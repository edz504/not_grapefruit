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O:\2015_16TeamFolders\notgrapefruit\Results\"/>
    </mc:Choice>
  </mc:AlternateContent>
  <bookViews>
    <workbookView xWindow="0" yWindow="465" windowWidth="28800" windowHeight="1746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3" r:id="rId6"/>
    <sheet name="grove" sheetId="22" r:id="rId7"/>
    <sheet name="P02" sheetId="21" r:id="rId8"/>
    <sheet name="P03" sheetId="20" r:id="rId9"/>
    <sheet name="P05" sheetId="19" r:id="rId10"/>
    <sheet name="P09" sheetId="18" r:id="rId11"/>
    <sheet name="S35" sheetId="17" r:id="rId12"/>
    <sheet name="S51" sheetId="16" r:id="rId13"/>
    <sheet name="S59" sheetId="15" r:id="rId14"/>
    <sheet name="S73" sheetId="14" r:id="rId15"/>
    <sheet name="ORA" sheetId="13" r:id="rId16"/>
    <sheet name="POJ" sheetId="12" r:id="rId17"/>
    <sheet name="ROJ" sheetId="11" r:id="rId18"/>
    <sheet name="FCOJ" sheetId="10" r:id="rId19"/>
    <sheet name="market" sheetId="9" r:id="rId20"/>
  </sheets>
  <definedNames>
    <definedName name="AddColumn1">shipping_manufacturing!$L$4:$L$12</definedName>
    <definedName name="AddColumn2">shipping_manufacturing!$K$16:$K$20</definedName>
    <definedName name="AddColumn3">shipping_manufacturing!$L$24:$L$32</definedName>
    <definedName name="AddRow3">shipping_manufacturing!$B$32</definedName>
    <definedName name="AddRow4">shipping_manufacturing!$B$42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shipping_manufacturing!$B$36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37" i="23" l="1"/>
  <c r="S16" i="23"/>
  <c r="S15" i="23"/>
  <c r="T19" i="23" s="1"/>
  <c r="S14" i="23"/>
  <c r="H40" i="23"/>
  <c r="H39" i="23"/>
  <c r="H38" i="23"/>
  <c r="H35" i="23"/>
  <c r="H34" i="23"/>
  <c r="S39" i="23" s="1"/>
  <c r="H33" i="23"/>
  <c r="S36" i="23" s="1"/>
  <c r="H30" i="23"/>
  <c r="H29" i="23"/>
  <c r="H28" i="23"/>
  <c r="H27" i="23"/>
  <c r="H24" i="23"/>
  <c r="H23" i="23"/>
  <c r="H15" i="23"/>
  <c r="H14" i="23"/>
  <c r="H13" i="23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170" i="17"/>
  <c r="AZ121" i="17"/>
  <c r="AZ108" i="17"/>
  <c r="AZ99" i="17"/>
  <c r="AZ92" i="17"/>
  <c r="BA14" i="17"/>
  <c r="AZ42" i="18"/>
  <c r="AZ43" i="18"/>
  <c r="AZ53" i="18"/>
  <c r="AZ54" i="18"/>
  <c r="AZ64" i="18"/>
  <c r="AZ65" i="18"/>
  <c r="AZ75" i="18"/>
  <c r="AZ76" i="18"/>
  <c r="AZ42" i="19"/>
  <c r="AZ43" i="19"/>
  <c r="AZ53" i="19"/>
  <c r="AZ54" i="19"/>
  <c r="AZ64" i="19"/>
  <c r="AZ65" i="19"/>
  <c r="AZ75" i="19"/>
  <c r="AZ76" i="19"/>
  <c r="AZ42" i="20"/>
  <c r="AZ43" i="20"/>
  <c r="AZ53" i="20"/>
  <c r="AZ54" i="20"/>
  <c r="AZ64" i="20"/>
  <c r="AZ65" i="20"/>
  <c r="AZ75" i="20"/>
  <c r="AZ76" i="20"/>
  <c r="AZ42" i="21"/>
  <c r="AZ43" i="21"/>
  <c r="AZ53" i="21"/>
  <c r="AZ54" i="21"/>
  <c r="AZ64" i="21"/>
  <c r="AZ65" i="21"/>
  <c r="AZ75" i="21"/>
  <c r="AZ76" i="21"/>
  <c r="T25" i="23"/>
  <c r="D109" i="10"/>
  <c r="E109" i="10"/>
  <c r="F109" i="10"/>
  <c r="G109" i="10"/>
  <c r="H109" i="10"/>
  <c r="H116" i="10" s="1"/>
  <c r="I109" i="10"/>
  <c r="J109" i="10"/>
  <c r="K109" i="10"/>
  <c r="L109" i="10"/>
  <c r="M109" i="10"/>
  <c r="M120" i="10" s="1"/>
  <c r="N109" i="10"/>
  <c r="O109" i="10"/>
  <c r="D110" i="10"/>
  <c r="E110" i="10"/>
  <c r="F110" i="10"/>
  <c r="G110" i="10"/>
  <c r="H110" i="10"/>
  <c r="I110" i="10"/>
  <c r="I121" i="10" s="1"/>
  <c r="J110" i="10"/>
  <c r="K110" i="10"/>
  <c r="K121" i="10" s="1"/>
  <c r="L110" i="10"/>
  <c r="M110" i="10"/>
  <c r="N110" i="10"/>
  <c r="O110" i="10"/>
  <c r="D111" i="10"/>
  <c r="E111" i="10"/>
  <c r="E122" i="10" s="1"/>
  <c r="F111" i="10"/>
  <c r="G111" i="10"/>
  <c r="G122" i="10" s="1"/>
  <c r="H111" i="10"/>
  <c r="I111" i="10"/>
  <c r="J111" i="10"/>
  <c r="K111" i="10"/>
  <c r="L111" i="10"/>
  <c r="M111" i="10"/>
  <c r="M122" i="10" s="1"/>
  <c r="N111" i="10"/>
  <c r="O111" i="10"/>
  <c r="O122" i="10" s="1"/>
  <c r="D112" i="10"/>
  <c r="E112" i="10"/>
  <c r="F112" i="10"/>
  <c r="G112" i="10"/>
  <c r="H112" i="10"/>
  <c r="I112" i="10"/>
  <c r="I123" i="10" s="1"/>
  <c r="J112" i="10"/>
  <c r="K112" i="10"/>
  <c r="K123" i="10" s="1"/>
  <c r="L112" i="10"/>
  <c r="M112" i="10"/>
  <c r="N112" i="10"/>
  <c r="O112" i="10"/>
  <c r="D113" i="10"/>
  <c r="E113" i="10"/>
  <c r="E124" i="10" s="1"/>
  <c r="F113" i="10"/>
  <c r="G113" i="10"/>
  <c r="G124" i="10" s="1"/>
  <c r="H113" i="10"/>
  <c r="I113" i="10"/>
  <c r="J113" i="10"/>
  <c r="K113" i="10"/>
  <c r="L113" i="10"/>
  <c r="M113" i="10"/>
  <c r="M124" i="10" s="1"/>
  <c r="N113" i="10"/>
  <c r="O113" i="10"/>
  <c r="O124" i="10" s="1"/>
  <c r="D114" i="10"/>
  <c r="E114" i="10"/>
  <c r="F114" i="10"/>
  <c r="G114" i="10"/>
  <c r="H114" i="10"/>
  <c r="I114" i="10"/>
  <c r="I125" i="10" s="1"/>
  <c r="J114" i="10"/>
  <c r="K114" i="10"/>
  <c r="K125" i="10" s="1"/>
  <c r="L114" i="10"/>
  <c r="M114" i="10"/>
  <c r="N114" i="10"/>
  <c r="O114" i="10"/>
  <c r="D115" i="10"/>
  <c r="E115" i="10"/>
  <c r="E126" i="10" s="1"/>
  <c r="F115" i="10"/>
  <c r="G115" i="10"/>
  <c r="G126" i="10" s="1"/>
  <c r="H115" i="10"/>
  <c r="I115" i="10"/>
  <c r="J115" i="10"/>
  <c r="J116" i="10" s="1"/>
  <c r="K115" i="10"/>
  <c r="L115" i="10"/>
  <c r="M115" i="10"/>
  <c r="M126" i="10" s="1"/>
  <c r="N115" i="10"/>
  <c r="O115" i="10"/>
  <c r="O126" i="10" s="1"/>
  <c r="D116" i="10"/>
  <c r="F116" i="10"/>
  <c r="L116" i="10"/>
  <c r="M116" i="10"/>
  <c r="N116" i="10"/>
  <c r="D120" i="10"/>
  <c r="F120" i="10"/>
  <c r="H120" i="10"/>
  <c r="H127" i="10" s="1"/>
  <c r="I120" i="10"/>
  <c r="J120" i="10"/>
  <c r="J127" i="10" s="1"/>
  <c r="K120" i="10"/>
  <c r="L120" i="10"/>
  <c r="N120" i="10"/>
  <c r="D121" i="10"/>
  <c r="E121" i="10"/>
  <c r="F121" i="10"/>
  <c r="G121" i="10"/>
  <c r="H121" i="10"/>
  <c r="J121" i="10"/>
  <c r="L121" i="10"/>
  <c r="M121" i="10"/>
  <c r="N121" i="10"/>
  <c r="O121" i="10"/>
  <c r="D122" i="10"/>
  <c r="F122" i="10"/>
  <c r="H122" i="10"/>
  <c r="I122" i="10"/>
  <c r="J122" i="10"/>
  <c r="K122" i="10"/>
  <c r="L122" i="10"/>
  <c r="N122" i="10"/>
  <c r="D123" i="10"/>
  <c r="E123" i="10"/>
  <c r="F123" i="10"/>
  <c r="G123" i="10"/>
  <c r="H123" i="10"/>
  <c r="J123" i="10"/>
  <c r="L123" i="10"/>
  <c r="M123" i="10"/>
  <c r="N123" i="10"/>
  <c r="O123" i="10"/>
  <c r="D124" i="10"/>
  <c r="F124" i="10"/>
  <c r="H124" i="10"/>
  <c r="I124" i="10"/>
  <c r="J124" i="10"/>
  <c r="K124" i="10"/>
  <c r="L124" i="10"/>
  <c r="N124" i="10"/>
  <c r="D125" i="10"/>
  <c r="E125" i="10"/>
  <c r="F125" i="10"/>
  <c r="G125" i="10"/>
  <c r="H125" i="10"/>
  <c r="J125" i="10"/>
  <c r="L125" i="10"/>
  <c r="M125" i="10"/>
  <c r="N125" i="10"/>
  <c r="O125" i="10"/>
  <c r="D126" i="10"/>
  <c r="F126" i="10"/>
  <c r="H126" i="10"/>
  <c r="I126" i="10"/>
  <c r="J126" i="10"/>
  <c r="K126" i="10"/>
  <c r="L126" i="10"/>
  <c r="N126" i="10"/>
  <c r="D127" i="10"/>
  <c r="F127" i="10"/>
  <c r="K127" i="10"/>
  <c r="L127" i="10"/>
  <c r="N127" i="10"/>
  <c r="D131" i="10"/>
  <c r="E131" i="10"/>
  <c r="F131" i="10"/>
  <c r="G131" i="10"/>
  <c r="H131" i="10"/>
  <c r="H138" i="10" s="1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J138" i="10" s="1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F138" i="10"/>
  <c r="L138" i="10"/>
  <c r="M138" i="10"/>
  <c r="N138" i="10"/>
  <c r="D109" i="11"/>
  <c r="E109" i="11"/>
  <c r="F109" i="11"/>
  <c r="G109" i="11"/>
  <c r="H109" i="11"/>
  <c r="H116" i="11" s="1"/>
  <c r="I109" i="11"/>
  <c r="I120" i="11" s="1"/>
  <c r="J109" i="11"/>
  <c r="K109" i="11"/>
  <c r="L109" i="11"/>
  <c r="M109" i="11"/>
  <c r="M116" i="11" s="1"/>
  <c r="N109" i="11"/>
  <c r="O109" i="11"/>
  <c r="D110" i="11"/>
  <c r="E110" i="11"/>
  <c r="E121" i="11" s="1"/>
  <c r="F110" i="11"/>
  <c r="G110" i="11"/>
  <c r="H110" i="11"/>
  <c r="I110" i="11"/>
  <c r="J110" i="11"/>
  <c r="K110" i="11"/>
  <c r="L110" i="11"/>
  <c r="M110" i="11"/>
  <c r="M121" i="11" s="1"/>
  <c r="N110" i="11"/>
  <c r="O110" i="11"/>
  <c r="D111" i="11"/>
  <c r="E111" i="11"/>
  <c r="F111" i="11"/>
  <c r="G111" i="11"/>
  <c r="H111" i="11"/>
  <c r="I111" i="11"/>
  <c r="I122" i="11" s="1"/>
  <c r="J111" i="11"/>
  <c r="K111" i="11"/>
  <c r="L111" i="11"/>
  <c r="M111" i="11"/>
  <c r="N111" i="11"/>
  <c r="O111" i="11"/>
  <c r="D112" i="11"/>
  <c r="E112" i="11"/>
  <c r="E123" i="11" s="1"/>
  <c r="F112" i="11"/>
  <c r="G112" i="11"/>
  <c r="H112" i="11"/>
  <c r="I112" i="11"/>
  <c r="J112" i="11"/>
  <c r="K112" i="11"/>
  <c r="L112" i="11"/>
  <c r="M112" i="11"/>
  <c r="M123" i="11" s="1"/>
  <c r="N112" i="11"/>
  <c r="O112" i="11"/>
  <c r="D113" i="11"/>
  <c r="E113" i="11"/>
  <c r="F113" i="11"/>
  <c r="G113" i="11"/>
  <c r="H113" i="11"/>
  <c r="I113" i="11"/>
  <c r="I124" i="11" s="1"/>
  <c r="J113" i="11"/>
  <c r="J116" i="11" s="1"/>
  <c r="K113" i="11"/>
  <c r="L113" i="11"/>
  <c r="M113" i="11"/>
  <c r="N113" i="11"/>
  <c r="O113" i="11"/>
  <c r="D114" i="11"/>
  <c r="E114" i="11"/>
  <c r="E125" i="11" s="1"/>
  <c r="F114" i="11"/>
  <c r="G114" i="11"/>
  <c r="H114" i="11"/>
  <c r="I114" i="11"/>
  <c r="J114" i="11"/>
  <c r="K114" i="11"/>
  <c r="L114" i="11"/>
  <c r="M114" i="11"/>
  <c r="M125" i="11" s="1"/>
  <c r="N114" i="11"/>
  <c r="O114" i="11"/>
  <c r="D115" i="11"/>
  <c r="E115" i="11"/>
  <c r="F115" i="11"/>
  <c r="G115" i="11"/>
  <c r="H115" i="11"/>
  <c r="I115" i="11"/>
  <c r="I126" i="11" s="1"/>
  <c r="J115" i="11"/>
  <c r="K115" i="11"/>
  <c r="L115" i="11"/>
  <c r="M115" i="11"/>
  <c r="N115" i="11"/>
  <c r="O115" i="11"/>
  <c r="D116" i="11"/>
  <c r="E116" i="11"/>
  <c r="F116" i="11"/>
  <c r="I116" i="11"/>
  <c r="K116" i="11"/>
  <c r="L116" i="11"/>
  <c r="N116" i="11"/>
  <c r="D120" i="11"/>
  <c r="E120" i="11"/>
  <c r="F120" i="11"/>
  <c r="G120" i="11"/>
  <c r="G127" i="11" s="1"/>
  <c r="H120" i="11"/>
  <c r="H127" i="11" s="1"/>
  <c r="J120" i="11"/>
  <c r="J127" i="11" s="1"/>
  <c r="K120" i="11"/>
  <c r="L120" i="11"/>
  <c r="M120" i="11"/>
  <c r="N120" i="11"/>
  <c r="O120" i="11"/>
  <c r="D121" i="11"/>
  <c r="F121" i="11"/>
  <c r="G121" i="11"/>
  <c r="H121" i="11"/>
  <c r="I121" i="11"/>
  <c r="J121" i="11"/>
  <c r="K121" i="11"/>
  <c r="L121" i="11"/>
  <c r="N121" i="11"/>
  <c r="O121" i="11"/>
  <c r="D122" i="11"/>
  <c r="E122" i="11"/>
  <c r="F122" i="11"/>
  <c r="G122" i="11"/>
  <c r="H122" i="11"/>
  <c r="J122" i="11"/>
  <c r="K122" i="11"/>
  <c r="L122" i="11"/>
  <c r="M122" i="11"/>
  <c r="N122" i="11"/>
  <c r="O122" i="11"/>
  <c r="D123" i="11"/>
  <c r="F123" i="11"/>
  <c r="G123" i="11"/>
  <c r="H123" i="11"/>
  <c r="I123" i="11"/>
  <c r="J123" i="11"/>
  <c r="K123" i="11"/>
  <c r="K127" i="11" s="1"/>
  <c r="L123" i="11"/>
  <c r="N123" i="11"/>
  <c r="O123" i="11"/>
  <c r="D124" i="11"/>
  <c r="E124" i="11"/>
  <c r="F124" i="11"/>
  <c r="G124" i="11"/>
  <c r="H124" i="11"/>
  <c r="J124" i="11"/>
  <c r="K124" i="11"/>
  <c r="L124" i="11"/>
  <c r="M124" i="11"/>
  <c r="N124" i="11"/>
  <c r="O124" i="11"/>
  <c r="D125" i="11"/>
  <c r="F125" i="11"/>
  <c r="G125" i="11"/>
  <c r="H125" i="11"/>
  <c r="I125" i="11"/>
  <c r="J125" i="11"/>
  <c r="K125" i="11"/>
  <c r="L125" i="11"/>
  <c r="N125" i="11"/>
  <c r="O125" i="11"/>
  <c r="D126" i="11"/>
  <c r="E126" i="11"/>
  <c r="F126" i="11"/>
  <c r="G126" i="11"/>
  <c r="H126" i="11"/>
  <c r="J126" i="11"/>
  <c r="K126" i="11"/>
  <c r="L126" i="11"/>
  <c r="M126" i="11"/>
  <c r="N126" i="11"/>
  <c r="O126" i="11"/>
  <c r="D127" i="11"/>
  <c r="F127" i="11"/>
  <c r="L127" i="11"/>
  <c r="M127" i="11"/>
  <c r="N127" i="11"/>
  <c r="D131" i="11"/>
  <c r="E131" i="11"/>
  <c r="F131" i="11"/>
  <c r="G131" i="11"/>
  <c r="H131" i="11"/>
  <c r="H138" i="11" s="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J138" i="11" s="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K138" i="11"/>
  <c r="L138" i="11"/>
  <c r="N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I121" i="12" s="1"/>
  <c r="J110" i="12"/>
  <c r="K110" i="12"/>
  <c r="L110" i="12"/>
  <c r="M110" i="12"/>
  <c r="N110" i="12"/>
  <c r="O110" i="12"/>
  <c r="D111" i="12"/>
  <c r="E111" i="12"/>
  <c r="E122" i="12" s="1"/>
  <c r="F111" i="12"/>
  <c r="G111" i="12"/>
  <c r="G122" i="12" s="1"/>
  <c r="H111" i="12"/>
  <c r="H116" i="12" s="1"/>
  <c r="I111" i="12"/>
  <c r="J111" i="12"/>
  <c r="J116" i="12" s="1"/>
  <c r="K111" i="12"/>
  <c r="L111" i="12"/>
  <c r="M111" i="12"/>
  <c r="M122" i="12" s="1"/>
  <c r="N111" i="12"/>
  <c r="O111" i="12"/>
  <c r="O122" i="12" s="1"/>
  <c r="D112" i="12"/>
  <c r="E112" i="12"/>
  <c r="F112" i="12"/>
  <c r="G112" i="12"/>
  <c r="H112" i="12"/>
  <c r="I112" i="12"/>
  <c r="I123" i="12" s="1"/>
  <c r="J112" i="12"/>
  <c r="K112" i="12"/>
  <c r="K123" i="12" s="1"/>
  <c r="L112" i="12"/>
  <c r="M112" i="12"/>
  <c r="N112" i="12"/>
  <c r="O112" i="12"/>
  <c r="D113" i="12"/>
  <c r="E113" i="12"/>
  <c r="E124" i="12" s="1"/>
  <c r="F113" i="12"/>
  <c r="G113" i="12"/>
  <c r="G124" i="12" s="1"/>
  <c r="H113" i="12"/>
  <c r="I113" i="12"/>
  <c r="J113" i="12"/>
  <c r="K113" i="12"/>
  <c r="L113" i="12"/>
  <c r="M113" i="12"/>
  <c r="M124" i="12" s="1"/>
  <c r="N113" i="12"/>
  <c r="O113" i="12"/>
  <c r="O124" i="12" s="1"/>
  <c r="D114" i="12"/>
  <c r="E114" i="12"/>
  <c r="F114" i="12"/>
  <c r="G114" i="12"/>
  <c r="H114" i="12"/>
  <c r="I114" i="12"/>
  <c r="I125" i="12" s="1"/>
  <c r="J114" i="12"/>
  <c r="K114" i="12"/>
  <c r="K125" i="12" s="1"/>
  <c r="L114" i="12"/>
  <c r="M114" i="12"/>
  <c r="N114" i="12"/>
  <c r="O114" i="12"/>
  <c r="D115" i="12"/>
  <c r="E115" i="12"/>
  <c r="E126" i="12" s="1"/>
  <c r="F115" i="12"/>
  <c r="G115" i="12"/>
  <c r="G126" i="12" s="1"/>
  <c r="H115" i="12"/>
  <c r="I115" i="12"/>
  <c r="J115" i="12"/>
  <c r="K115" i="12"/>
  <c r="L115" i="12"/>
  <c r="M115" i="12"/>
  <c r="M126" i="12" s="1"/>
  <c r="N115" i="12"/>
  <c r="O115" i="12"/>
  <c r="O126" i="12" s="1"/>
  <c r="D116" i="12"/>
  <c r="F116" i="12"/>
  <c r="L116" i="12"/>
  <c r="N116" i="12"/>
  <c r="D120" i="12"/>
  <c r="F120" i="12"/>
  <c r="H120" i="12"/>
  <c r="H127" i="12" s="1"/>
  <c r="I120" i="12"/>
  <c r="I127" i="12" s="1"/>
  <c r="J120" i="12"/>
  <c r="J127" i="12" s="1"/>
  <c r="K120" i="12"/>
  <c r="L120" i="12"/>
  <c r="N120" i="12"/>
  <c r="D121" i="12"/>
  <c r="E121" i="12"/>
  <c r="F121" i="12"/>
  <c r="G121" i="12"/>
  <c r="H121" i="12"/>
  <c r="J121" i="12"/>
  <c r="L121" i="12"/>
  <c r="M121" i="12"/>
  <c r="N121" i="12"/>
  <c r="O121" i="12"/>
  <c r="D122" i="12"/>
  <c r="F122" i="12"/>
  <c r="H122" i="12"/>
  <c r="I122" i="12"/>
  <c r="J122" i="12"/>
  <c r="K122" i="12"/>
  <c r="L122" i="12"/>
  <c r="N122" i="12"/>
  <c r="D123" i="12"/>
  <c r="E123" i="12"/>
  <c r="F123" i="12"/>
  <c r="G123" i="12"/>
  <c r="H123" i="12"/>
  <c r="J123" i="12"/>
  <c r="L123" i="12"/>
  <c r="M123" i="12"/>
  <c r="N123" i="12"/>
  <c r="O123" i="12"/>
  <c r="D124" i="12"/>
  <c r="F124" i="12"/>
  <c r="H124" i="12"/>
  <c r="I124" i="12"/>
  <c r="J124" i="12"/>
  <c r="K124" i="12"/>
  <c r="L124" i="12"/>
  <c r="N124" i="12"/>
  <c r="D125" i="12"/>
  <c r="E125" i="12"/>
  <c r="F125" i="12"/>
  <c r="G125" i="12"/>
  <c r="H125" i="12"/>
  <c r="J125" i="12"/>
  <c r="L125" i="12"/>
  <c r="M125" i="12"/>
  <c r="N125" i="12"/>
  <c r="O125" i="12"/>
  <c r="D126" i="12"/>
  <c r="F126" i="12"/>
  <c r="H126" i="12"/>
  <c r="I126" i="12"/>
  <c r="J126" i="12"/>
  <c r="K126" i="12"/>
  <c r="L126" i="12"/>
  <c r="N126" i="12"/>
  <c r="D127" i="12"/>
  <c r="F127" i="12"/>
  <c r="L127" i="12"/>
  <c r="N127" i="12"/>
  <c r="D131" i="12"/>
  <c r="E131" i="12"/>
  <c r="F131" i="12"/>
  <c r="G131" i="12"/>
  <c r="H131" i="12"/>
  <c r="H138" i="12" s="1"/>
  <c r="I131" i="12"/>
  <c r="J131" i="12"/>
  <c r="J138" i="12" s="1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F138" i="12"/>
  <c r="K138" i="12"/>
  <c r="L138" i="12"/>
  <c r="N138" i="12"/>
  <c r="D109" i="13"/>
  <c r="E109" i="13"/>
  <c r="F109" i="13"/>
  <c r="G109" i="13"/>
  <c r="H109" i="13"/>
  <c r="I109" i="13"/>
  <c r="J109" i="13"/>
  <c r="J116" i="13" s="1"/>
  <c r="K109" i="13"/>
  <c r="L109" i="13"/>
  <c r="M109" i="13"/>
  <c r="M116" i="13" s="1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H116" i="13" s="1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I116" i="13"/>
  <c r="K116" i="13"/>
  <c r="L116" i="13"/>
  <c r="N116" i="13"/>
  <c r="D120" i="13"/>
  <c r="E120" i="13"/>
  <c r="F120" i="13"/>
  <c r="G120" i="13"/>
  <c r="H120" i="13"/>
  <c r="H127" i="13" s="1"/>
  <c r="I120" i="13"/>
  <c r="J120" i="13"/>
  <c r="J127" i="13" s="1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F127" i="13"/>
  <c r="K127" i="13"/>
  <c r="L127" i="13"/>
  <c r="N127" i="13"/>
  <c r="D131" i="13"/>
  <c r="E131" i="13"/>
  <c r="F131" i="13"/>
  <c r="G131" i="13"/>
  <c r="H131" i="13"/>
  <c r="H138" i="13" s="1"/>
  <c r="I131" i="13"/>
  <c r="I138" i="13" s="1"/>
  <c r="J131" i="13"/>
  <c r="J138" i="13" s="1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F138" i="13"/>
  <c r="K138" i="13"/>
  <c r="L138" i="13"/>
  <c r="N138" i="13"/>
  <c r="AY259" i="14"/>
  <c r="AZ14" i="14"/>
  <c r="AY181" i="14"/>
  <c r="AY179" i="14"/>
  <c r="AY177" i="14"/>
  <c r="AY175" i="14"/>
  <c r="AY14" i="14"/>
  <c r="AX259" i="14" s="1"/>
  <c r="AX181" i="14"/>
  <c r="AX179" i="14"/>
  <c r="AX177" i="14"/>
  <c r="AX175" i="14"/>
  <c r="AW259" i="14"/>
  <c r="AX14" i="14"/>
  <c r="AW181" i="14"/>
  <c r="AW179" i="14"/>
  <c r="AW177" i="14"/>
  <c r="AW175" i="14"/>
  <c r="AW260" i="14" s="1"/>
  <c r="AV260" i="14"/>
  <c r="AW14" i="14"/>
  <c r="AV259" i="14" s="1"/>
  <c r="AV181" i="14"/>
  <c r="AV179" i="14"/>
  <c r="AV177" i="14"/>
  <c r="AV175" i="14"/>
  <c r="AU259" i="14"/>
  <c r="AV14" i="14"/>
  <c r="AU181" i="14"/>
  <c r="AU179" i="14"/>
  <c r="AU177" i="14"/>
  <c r="AU260" i="14" s="1"/>
  <c r="AU175" i="14"/>
  <c r="AU14" i="14"/>
  <c r="AT259" i="14" s="1"/>
  <c r="AT181" i="14"/>
  <c r="AT179" i="14"/>
  <c r="AT177" i="14"/>
  <c r="AT175" i="14"/>
  <c r="AT260" i="14" s="1"/>
  <c r="AS259" i="14"/>
  <c r="AT14" i="14"/>
  <c r="AS181" i="14"/>
  <c r="AS179" i="14"/>
  <c r="AS177" i="14"/>
  <c r="AS175" i="14"/>
  <c r="AS260" i="14" s="1"/>
  <c r="AR260" i="14"/>
  <c r="AS14" i="14"/>
  <c r="AR259" i="14" s="1"/>
  <c r="AR181" i="14"/>
  <c r="AR179" i="14"/>
  <c r="AR177" i="14"/>
  <c r="AR175" i="14"/>
  <c r="AQ259" i="14"/>
  <c r="AR14" i="14"/>
  <c r="AQ181" i="14"/>
  <c r="AQ179" i="14"/>
  <c r="AQ177" i="14"/>
  <c r="AQ175" i="14"/>
  <c r="AQ14" i="14"/>
  <c r="AP259" i="14" s="1"/>
  <c r="AP181" i="14"/>
  <c r="AP179" i="14"/>
  <c r="AP177" i="14"/>
  <c r="AP175" i="14"/>
  <c r="AP260" i="14" s="1"/>
  <c r="AO259" i="14"/>
  <c r="AP14" i="14"/>
  <c r="AO181" i="14"/>
  <c r="AO179" i="14"/>
  <c r="AO177" i="14"/>
  <c r="AO175" i="14"/>
  <c r="AN260" i="14"/>
  <c r="AO14" i="14"/>
  <c r="AN259" i="14" s="1"/>
  <c r="AN181" i="14"/>
  <c r="AN179" i="14"/>
  <c r="AN177" i="14"/>
  <c r="AN175" i="14"/>
  <c r="AM259" i="14"/>
  <c r="AN14" i="14"/>
  <c r="AM181" i="14"/>
  <c r="AM179" i="14"/>
  <c r="AM177" i="14"/>
  <c r="AM260" i="14" s="1"/>
  <c r="AM175" i="14"/>
  <c r="AM14" i="14"/>
  <c r="AL259" i="14" s="1"/>
  <c r="AL181" i="14"/>
  <c r="AL179" i="14"/>
  <c r="AL177" i="14"/>
  <c r="AL175" i="14"/>
  <c r="AL260" i="14" s="1"/>
  <c r="AK259" i="14"/>
  <c r="AL14" i="14"/>
  <c r="AK181" i="14"/>
  <c r="AK179" i="14"/>
  <c r="AK177" i="14"/>
  <c r="AK175" i="14"/>
  <c r="AJ260" i="14"/>
  <c r="AK14" i="14"/>
  <c r="AJ259" i="14" s="1"/>
  <c r="AJ181" i="14"/>
  <c r="AJ179" i="14"/>
  <c r="AJ177" i="14"/>
  <c r="AJ175" i="14"/>
  <c r="AI259" i="14"/>
  <c r="AJ14" i="14"/>
  <c r="AI181" i="14"/>
  <c r="AI179" i="14"/>
  <c r="AI177" i="14"/>
  <c r="AI175" i="14"/>
  <c r="AI14" i="14"/>
  <c r="AH259" i="14" s="1"/>
  <c r="AH181" i="14"/>
  <c r="AH179" i="14"/>
  <c r="AH177" i="14"/>
  <c r="AH175" i="14"/>
  <c r="AH260" i="14" s="1"/>
  <c r="AG259" i="14"/>
  <c r="AH14" i="14"/>
  <c r="AG181" i="14"/>
  <c r="AG179" i="14"/>
  <c r="AG177" i="14"/>
  <c r="AG175" i="14"/>
  <c r="AG14" i="14"/>
  <c r="AF259" i="14" s="1"/>
  <c r="AF181" i="14"/>
  <c r="AF179" i="14"/>
  <c r="AF177" i="14"/>
  <c r="AF175" i="14"/>
  <c r="AE259" i="14"/>
  <c r="AF14" i="14"/>
  <c r="AE181" i="14"/>
  <c r="AE179" i="14"/>
  <c r="AE177" i="14"/>
  <c r="AE260" i="14" s="1"/>
  <c r="AE175" i="14"/>
  <c r="AE14" i="14"/>
  <c r="AD259" i="14" s="1"/>
  <c r="AD181" i="14"/>
  <c r="AD179" i="14"/>
  <c r="AD177" i="14"/>
  <c r="AD175" i="14"/>
  <c r="AD260" i="14" s="1"/>
  <c r="AC259" i="14"/>
  <c r="AD14" i="14"/>
  <c r="AC181" i="14"/>
  <c r="AC179" i="14"/>
  <c r="AC177" i="14"/>
  <c r="AC175" i="14"/>
  <c r="AC14" i="14"/>
  <c r="AB259" i="14" s="1"/>
  <c r="AB181" i="14"/>
  <c r="AB179" i="14"/>
  <c r="AB260" i="14" s="1"/>
  <c r="AB177" i="14"/>
  <c r="AB175" i="14"/>
  <c r="AA259" i="14"/>
  <c r="AB14" i="14"/>
  <c r="AA181" i="14"/>
  <c r="AA179" i="14"/>
  <c r="AA177" i="14"/>
  <c r="AA260" i="14" s="1"/>
  <c r="AA175" i="14"/>
  <c r="AA14" i="14"/>
  <c r="Z259" i="14" s="1"/>
  <c r="Z181" i="14"/>
  <c r="Z179" i="14"/>
  <c r="Z177" i="14"/>
  <c r="Z175" i="14"/>
  <c r="Y259" i="14"/>
  <c r="Z14" i="14"/>
  <c r="Y181" i="14"/>
  <c r="Y179" i="14"/>
  <c r="Y177" i="14"/>
  <c r="Y175" i="14"/>
  <c r="Y14" i="14"/>
  <c r="X259" i="14" s="1"/>
  <c r="X181" i="14"/>
  <c r="X179" i="14"/>
  <c r="X177" i="14"/>
  <c r="X175" i="14"/>
  <c r="W259" i="14"/>
  <c r="X14" i="14"/>
  <c r="W181" i="14"/>
  <c r="W179" i="14"/>
  <c r="W177" i="14"/>
  <c r="W260" i="14" s="1"/>
  <c r="W175" i="14"/>
  <c r="V260" i="14"/>
  <c r="W14" i="14"/>
  <c r="V259" i="14" s="1"/>
  <c r="V181" i="14"/>
  <c r="V179" i="14"/>
  <c r="V177" i="14"/>
  <c r="V175" i="14"/>
  <c r="U259" i="14"/>
  <c r="V14" i="14"/>
  <c r="U181" i="14"/>
  <c r="U179" i="14"/>
  <c r="U177" i="14"/>
  <c r="U175" i="14"/>
  <c r="U14" i="14"/>
  <c r="T259" i="14" s="1"/>
  <c r="T181" i="14"/>
  <c r="T179" i="14"/>
  <c r="T260" i="14" s="1"/>
  <c r="T177" i="14"/>
  <c r="T175" i="14"/>
  <c r="S259" i="14"/>
  <c r="T14" i="14"/>
  <c r="S181" i="14"/>
  <c r="S179" i="14"/>
  <c r="S177" i="14"/>
  <c r="S260" i="14" s="1"/>
  <c r="S175" i="14"/>
  <c r="S14" i="14"/>
  <c r="R259" i="14" s="1"/>
  <c r="R181" i="14"/>
  <c r="R179" i="14"/>
  <c r="R177" i="14"/>
  <c r="R175" i="14"/>
  <c r="Q259" i="14"/>
  <c r="R14" i="14"/>
  <c r="Q181" i="14"/>
  <c r="Q179" i="14"/>
  <c r="Q177" i="14"/>
  <c r="Q175" i="14"/>
  <c r="Q14" i="14"/>
  <c r="P259" i="14" s="1"/>
  <c r="P181" i="14"/>
  <c r="P179" i="14"/>
  <c r="P177" i="14"/>
  <c r="P175" i="14"/>
  <c r="P260" i="14" s="1"/>
  <c r="O259" i="14"/>
  <c r="P14" i="14"/>
  <c r="O181" i="14"/>
  <c r="O179" i="14"/>
  <c r="O177" i="14"/>
  <c r="O260" i="14" s="1"/>
  <c r="O175" i="14"/>
  <c r="N260" i="14"/>
  <c r="O14" i="14"/>
  <c r="N259" i="14" s="1"/>
  <c r="N181" i="14"/>
  <c r="N179" i="14"/>
  <c r="N177" i="14"/>
  <c r="N175" i="14"/>
  <c r="M259" i="14"/>
  <c r="N14" i="14"/>
  <c r="M181" i="14"/>
  <c r="M179" i="14"/>
  <c r="M177" i="14"/>
  <c r="M175" i="14"/>
  <c r="M260" i="14" s="1"/>
  <c r="L260" i="14"/>
  <c r="M14" i="14"/>
  <c r="L259" i="14" s="1"/>
  <c r="L181" i="14"/>
  <c r="L179" i="14"/>
  <c r="L177" i="14"/>
  <c r="L175" i="14"/>
  <c r="K259" i="14"/>
  <c r="L14" i="14"/>
  <c r="K181" i="14"/>
  <c r="K179" i="14"/>
  <c r="K177" i="14"/>
  <c r="K175" i="14"/>
  <c r="K14" i="14"/>
  <c r="J259" i="14" s="1"/>
  <c r="J181" i="14"/>
  <c r="J179" i="14"/>
  <c r="J177" i="14"/>
  <c r="J175" i="14"/>
  <c r="J260" i="14" s="1"/>
  <c r="I259" i="14"/>
  <c r="J14" i="14"/>
  <c r="I181" i="14"/>
  <c r="I179" i="14"/>
  <c r="I177" i="14"/>
  <c r="I175" i="14"/>
  <c r="H260" i="14"/>
  <c r="I14" i="14"/>
  <c r="H259" i="14" s="1"/>
  <c r="H181" i="14"/>
  <c r="H179" i="14"/>
  <c r="H177" i="14"/>
  <c r="H175" i="14"/>
  <c r="G259" i="14"/>
  <c r="H14" i="14"/>
  <c r="G181" i="14"/>
  <c r="G179" i="14"/>
  <c r="G177" i="14"/>
  <c r="G260" i="14" s="1"/>
  <c r="G175" i="14"/>
  <c r="G14" i="14"/>
  <c r="F259" i="14" s="1"/>
  <c r="F181" i="14"/>
  <c r="F179" i="14"/>
  <c r="F177" i="14"/>
  <c r="F175" i="14"/>
  <c r="F260" i="14" s="1"/>
  <c r="E259" i="14"/>
  <c r="F14" i="14"/>
  <c r="E181" i="14"/>
  <c r="E179" i="14"/>
  <c r="E177" i="14"/>
  <c r="E175" i="14"/>
  <c r="E260" i="14" s="1"/>
  <c r="D260" i="14"/>
  <c r="E14" i="14"/>
  <c r="D259" i="14" s="1"/>
  <c r="D181" i="14"/>
  <c r="D179" i="14"/>
  <c r="D177" i="14"/>
  <c r="D175" i="14"/>
  <c r="AY259" i="15"/>
  <c r="AZ14" i="15"/>
  <c r="AY181" i="15"/>
  <c r="AY179" i="15"/>
  <c r="AY177" i="15"/>
  <c r="AY175" i="15"/>
  <c r="AY14" i="15"/>
  <c r="AX259" i="15" s="1"/>
  <c r="AX181" i="15"/>
  <c r="AX179" i="15"/>
  <c r="AX177" i="15"/>
  <c r="AX175" i="15"/>
  <c r="AX260" i="15" s="1"/>
  <c r="AW259" i="15"/>
  <c r="AX14" i="15"/>
  <c r="AW181" i="15"/>
  <c r="AW179" i="15"/>
  <c r="AW177" i="15"/>
  <c r="AW175" i="15"/>
  <c r="AW260" i="15" s="1"/>
  <c r="AV260" i="15"/>
  <c r="AW14" i="15"/>
  <c r="AV259" i="15" s="1"/>
  <c r="AV181" i="15"/>
  <c r="AV179" i="15"/>
  <c r="AV177" i="15"/>
  <c r="AV175" i="15"/>
  <c r="AU259" i="15"/>
  <c r="AV14" i="15"/>
  <c r="AU181" i="15"/>
  <c r="AU179" i="15"/>
  <c r="AU177" i="15"/>
  <c r="AU260" i="15" s="1"/>
  <c r="AU175" i="15"/>
  <c r="AU14" i="15"/>
  <c r="AT259" i="15" s="1"/>
  <c r="AT181" i="15"/>
  <c r="AT179" i="15"/>
  <c r="AT177" i="15"/>
  <c r="AT175" i="15"/>
  <c r="AT260" i="15" s="1"/>
  <c r="AS259" i="15"/>
  <c r="AT14" i="15"/>
  <c r="AS181" i="15"/>
  <c r="AS179" i="15"/>
  <c r="AS177" i="15"/>
  <c r="AS175" i="15"/>
  <c r="AS260" i="15" s="1"/>
  <c r="AR260" i="15"/>
  <c r="AS14" i="15"/>
  <c r="AR259" i="15" s="1"/>
  <c r="AR181" i="15"/>
  <c r="AR179" i="15"/>
  <c r="AR177" i="15"/>
  <c r="AR175" i="15"/>
  <c r="AQ259" i="15"/>
  <c r="AR14" i="15"/>
  <c r="AQ181" i="15"/>
  <c r="AQ179" i="15"/>
  <c r="AQ177" i="15"/>
  <c r="AQ260" i="15" s="1"/>
  <c r="AQ175" i="15"/>
  <c r="AQ14" i="15"/>
  <c r="AP259" i="15" s="1"/>
  <c r="AP181" i="15"/>
  <c r="AP179" i="15"/>
  <c r="AP177" i="15"/>
  <c r="AP175" i="15"/>
  <c r="AP260" i="15" s="1"/>
  <c r="AO259" i="15"/>
  <c r="AP14" i="15"/>
  <c r="AO181" i="15"/>
  <c r="AO179" i="15"/>
  <c r="AO177" i="15"/>
  <c r="AO175" i="15"/>
  <c r="AO14" i="15"/>
  <c r="AN259" i="15" s="1"/>
  <c r="AN181" i="15"/>
  <c r="AN179" i="15"/>
  <c r="AN260" i="15" s="1"/>
  <c r="AN177" i="15"/>
  <c r="AN175" i="15"/>
  <c r="AM259" i="15"/>
  <c r="AN14" i="15"/>
  <c r="AM181" i="15"/>
  <c r="AM179" i="15"/>
  <c r="AM177" i="15"/>
  <c r="AM260" i="15" s="1"/>
  <c r="AM175" i="15"/>
  <c r="AM14" i="15"/>
  <c r="AL259" i="15" s="1"/>
  <c r="AL181" i="15"/>
  <c r="AL179" i="15"/>
  <c r="AL177" i="15"/>
  <c r="AL175" i="15"/>
  <c r="AL260" i="15" s="1"/>
  <c r="AK259" i="15"/>
  <c r="AL14" i="15"/>
  <c r="AK181" i="15"/>
  <c r="AK179" i="15"/>
  <c r="AK177" i="15"/>
  <c r="AK175" i="15"/>
  <c r="AK260" i="15" s="1"/>
  <c r="AK14" i="15"/>
  <c r="AJ259" i="15" s="1"/>
  <c r="AJ181" i="15"/>
  <c r="AJ179" i="15"/>
  <c r="AJ260" i="15" s="1"/>
  <c r="AJ177" i="15"/>
  <c r="AJ175" i="15"/>
  <c r="AI259" i="15"/>
  <c r="AJ14" i="15"/>
  <c r="AI181" i="15"/>
  <c r="AI179" i="15"/>
  <c r="AI177" i="15"/>
  <c r="AI260" i="15" s="1"/>
  <c r="AI175" i="15"/>
  <c r="AI14" i="15"/>
  <c r="AH259" i="15" s="1"/>
  <c r="AH181" i="15"/>
  <c r="AH179" i="15"/>
  <c r="AH177" i="15"/>
  <c r="AH175" i="15"/>
  <c r="AG259" i="15"/>
  <c r="AH14" i="15"/>
  <c r="AG181" i="15"/>
  <c r="AG179" i="15"/>
  <c r="AG177" i="15"/>
  <c r="AG175" i="15"/>
  <c r="AF260" i="15"/>
  <c r="AG14" i="15"/>
  <c r="AF259" i="15" s="1"/>
  <c r="AF181" i="15"/>
  <c r="AF179" i="15"/>
  <c r="AF177" i="15"/>
  <c r="AF175" i="15"/>
  <c r="AE259" i="15"/>
  <c r="AF14" i="15"/>
  <c r="AE181" i="15"/>
  <c r="AE179" i="15"/>
  <c r="AE177" i="15"/>
  <c r="AE260" i="15" s="1"/>
  <c r="AE175" i="15"/>
  <c r="AD260" i="15"/>
  <c r="AE14" i="15"/>
  <c r="AD259" i="15" s="1"/>
  <c r="AD181" i="15"/>
  <c r="AD179" i="15"/>
  <c r="AD177" i="15"/>
  <c r="AD175" i="15"/>
  <c r="AC259" i="15"/>
  <c r="AD14" i="15"/>
  <c r="AC181" i="15"/>
  <c r="AC179" i="15"/>
  <c r="AC177" i="15"/>
  <c r="AC175" i="15"/>
  <c r="AB260" i="15"/>
  <c r="AC14" i="15"/>
  <c r="AB259" i="15" s="1"/>
  <c r="AB181" i="15"/>
  <c r="AB179" i="15"/>
  <c r="AB177" i="15"/>
  <c r="AB175" i="15"/>
  <c r="AA259" i="15"/>
  <c r="AB14" i="15"/>
  <c r="AA181" i="15"/>
  <c r="AA179" i="15"/>
  <c r="AA177" i="15"/>
  <c r="AA175" i="15"/>
  <c r="AA14" i="15"/>
  <c r="Z259" i="15" s="1"/>
  <c r="Z181" i="15"/>
  <c r="Z179" i="15"/>
  <c r="Z177" i="15"/>
  <c r="Z175" i="15"/>
  <c r="Z260" i="15" s="1"/>
  <c r="Z14" i="15"/>
  <c r="Y259" i="15" s="1"/>
  <c r="Y181" i="15"/>
  <c r="Y179" i="15"/>
  <c r="Y177" i="15"/>
  <c r="Y175" i="15"/>
  <c r="Y14" i="15"/>
  <c r="X259" i="15" s="1"/>
  <c r="X181" i="15"/>
  <c r="X179" i="15"/>
  <c r="X177" i="15"/>
  <c r="X175" i="15"/>
  <c r="W259" i="15"/>
  <c r="X14" i="15"/>
  <c r="W181" i="15"/>
  <c r="W179" i="15"/>
  <c r="W177" i="15"/>
  <c r="W260" i="15" s="1"/>
  <c r="W175" i="15"/>
  <c r="W14" i="15"/>
  <c r="V259" i="15" s="1"/>
  <c r="V181" i="15"/>
  <c r="V179" i="15"/>
  <c r="V177" i="15"/>
  <c r="V175" i="15"/>
  <c r="V260" i="15" s="1"/>
  <c r="U259" i="15"/>
  <c r="V14" i="15"/>
  <c r="U181" i="15"/>
  <c r="U179" i="15"/>
  <c r="U177" i="15"/>
  <c r="U175" i="15"/>
  <c r="U14" i="15"/>
  <c r="T259" i="15" s="1"/>
  <c r="T181" i="15"/>
  <c r="T179" i="15"/>
  <c r="T260" i="15" s="1"/>
  <c r="T177" i="15"/>
  <c r="T175" i="15"/>
  <c r="S259" i="15"/>
  <c r="T14" i="15"/>
  <c r="S181" i="15"/>
  <c r="S179" i="15"/>
  <c r="S177" i="15"/>
  <c r="S260" i="15" s="1"/>
  <c r="S175" i="15"/>
  <c r="S14" i="15"/>
  <c r="R259" i="15" s="1"/>
  <c r="R181" i="15"/>
  <c r="R179" i="15"/>
  <c r="R177" i="15"/>
  <c r="R175" i="15"/>
  <c r="R14" i="15"/>
  <c r="Q259" i="15" s="1"/>
  <c r="Q181" i="15"/>
  <c r="Q179" i="15"/>
  <c r="Q177" i="15"/>
  <c r="Q175" i="15"/>
  <c r="Q14" i="15"/>
  <c r="P259" i="15" s="1"/>
  <c r="P181" i="15"/>
  <c r="P179" i="15"/>
  <c r="P177" i="15"/>
  <c r="P175" i="15"/>
  <c r="O259" i="15"/>
  <c r="P14" i="15"/>
  <c r="O181" i="15"/>
  <c r="O179" i="15"/>
  <c r="O177" i="15"/>
  <c r="O260" i="15" s="1"/>
  <c r="O175" i="15"/>
  <c r="N260" i="15"/>
  <c r="O14" i="15"/>
  <c r="N259" i="15" s="1"/>
  <c r="N181" i="15"/>
  <c r="N179" i="15"/>
  <c r="N177" i="15"/>
  <c r="N175" i="15"/>
  <c r="M259" i="15"/>
  <c r="N14" i="15"/>
  <c r="M181" i="15"/>
  <c r="M179" i="15"/>
  <c r="M177" i="15"/>
  <c r="M175" i="15"/>
  <c r="M14" i="15"/>
  <c r="L259" i="15" s="1"/>
  <c r="L181" i="15"/>
  <c r="L179" i="15"/>
  <c r="L260" i="15" s="1"/>
  <c r="L177" i="15"/>
  <c r="L175" i="15"/>
  <c r="K259" i="15"/>
  <c r="L14" i="15"/>
  <c r="K181" i="15"/>
  <c r="K179" i="15"/>
  <c r="K177" i="15"/>
  <c r="K175" i="15"/>
  <c r="K14" i="15"/>
  <c r="J259" i="15" s="1"/>
  <c r="J181" i="15"/>
  <c r="J179" i="15"/>
  <c r="J177" i="15"/>
  <c r="J175" i="15"/>
  <c r="J14" i="15"/>
  <c r="I259" i="15" s="1"/>
  <c r="I181" i="15"/>
  <c r="I179" i="15"/>
  <c r="I177" i="15"/>
  <c r="I175" i="15"/>
  <c r="I14" i="15"/>
  <c r="H259" i="15" s="1"/>
  <c r="H181" i="15"/>
  <c r="H179" i="15"/>
  <c r="H177" i="15"/>
  <c r="H175" i="15"/>
  <c r="H260" i="15" s="1"/>
  <c r="G259" i="15"/>
  <c r="H14" i="15"/>
  <c r="G181" i="15"/>
  <c r="G179" i="15"/>
  <c r="G177" i="15"/>
  <c r="G260" i="15" s="1"/>
  <c r="G175" i="15"/>
  <c r="G14" i="15"/>
  <c r="F259" i="15" s="1"/>
  <c r="F181" i="15"/>
  <c r="F179" i="15"/>
  <c r="F177" i="15"/>
  <c r="F175" i="15"/>
  <c r="F260" i="15" s="1"/>
  <c r="E259" i="15"/>
  <c r="F14" i="15"/>
  <c r="E181" i="15"/>
  <c r="E179" i="15"/>
  <c r="E177" i="15"/>
  <c r="E175" i="15"/>
  <c r="E260" i="15" s="1"/>
  <c r="D260" i="15"/>
  <c r="E14" i="15"/>
  <c r="D181" i="15"/>
  <c r="D179" i="15"/>
  <c r="D177" i="15"/>
  <c r="D175" i="15"/>
  <c r="AY259" i="16"/>
  <c r="AZ14" i="16"/>
  <c r="AY181" i="16"/>
  <c r="AY179" i="16"/>
  <c r="AY177" i="16"/>
  <c r="AY175" i="16"/>
  <c r="AY14" i="16"/>
  <c r="AX259" i="16" s="1"/>
  <c r="AX181" i="16"/>
  <c r="AX179" i="16"/>
  <c r="AX177" i="16"/>
  <c r="AX175" i="16"/>
  <c r="AX14" i="16"/>
  <c r="AW259" i="16" s="1"/>
  <c r="AW181" i="16"/>
  <c r="AW179" i="16"/>
  <c r="AW177" i="16"/>
  <c r="AW175" i="16"/>
  <c r="AW260" i="16" s="1"/>
  <c r="AV260" i="16"/>
  <c r="AW14" i="16"/>
  <c r="AV259" i="16" s="1"/>
  <c r="AV181" i="16"/>
  <c r="AV179" i="16"/>
  <c r="AV177" i="16"/>
  <c r="AV175" i="16"/>
  <c r="AU259" i="16"/>
  <c r="AV14" i="16"/>
  <c r="AU181" i="16"/>
  <c r="AU179" i="16"/>
  <c r="AU177" i="16"/>
  <c r="AU260" i="16" s="1"/>
  <c r="AU175" i="16"/>
  <c r="AU14" i="16"/>
  <c r="AT259" i="16" s="1"/>
  <c r="AT181" i="16"/>
  <c r="AT179" i="16"/>
  <c r="AT177" i="16"/>
  <c r="AT175" i="16"/>
  <c r="AT260" i="16" s="1"/>
  <c r="AS259" i="16"/>
  <c r="AT14" i="16"/>
  <c r="AS181" i="16"/>
  <c r="AS179" i="16"/>
  <c r="AS177" i="16"/>
  <c r="AS175" i="16"/>
  <c r="AS260" i="16" s="1"/>
  <c r="AR260" i="16"/>
  <c r="AS14" i="16"/>
  <c r="AR259" i="16" s="1"/>
  <c r="AR181" i="16"/>
  <c r="AR179" i="16"/>
  <c r="AR177" i="16"/>
  <c r="AR175" i="16"/>
  <c r="AQ259" i="16"/>
  <c r="AR14" i="16"/>
  <c r="AQ181" i="16"/>
  <c r="AQ179" i="16"/>
  <c r="AQ177" i="16"/>
  <c r="AQ175" i="16"/>
  <c r="AQ14" i="16"/>
  <c r="AP259" i="16" s="1"/>
  <c r="AP181" i="16"/>
  <c r="AP179" i="16"/>
  <c r="AP177" i="16"/>
  <c r="AP175" i="16"/>
  <c r="AP260" i="16" s="1"/>
  <c r="AP14" i="16"/>
  <c r="AO259" i="16" s="1"/>
  <c r="AO181" i="16"/>
  <c r="AO179" i="16"/>
  <c r="AO177" i="16"/>
  <c r="AO175" i="16"/>
  <c r="AO14" i="16"/>
  <c r="AN259" i="16" s="1"/>
  <c r="AN181" i="16"/>
  <c r="AN179" i="16"/>
  <c r="AN177" i="16"/>
  <c r="AN175" i="16"/>
  <c r="AM259" i="16"/>
  <c r="AN14" i="16"/>
  <c r="AM181" i="16"/>
  <c r="AM179" i="16"/>
  <c r="AM177" i="16"/>
  <c r="AM260" i="16" s="1"/>
  <c r="AM175" i="16"/>
  <c r="AM14" i="16"/>
  <c r="AL259" i="16" s="1"/>
  <c r="AL181" i="16"/>
  <c r="AL179" i="16"/>
  <c r="AL177" i="16"/>
  <c r="AL175" i="16"/>
  <c r="AL260" i="16" s="1"/>
  <c r="AK259" i="16"/>
  <c r="AL14" i="16"/>
  <c r="AK181" i="16"/>
  <c r="AK179" i="16"/>
  <c r="AK177" i="16"/>
  <c r="AK175" i="16"/>
  <c r="AK14" i="16"/>
  <c r="AJ259" i="16" s="1"/>
  <c r="AJ181" i="16"/>
  <c r="AJ179" i="16"/>
  <c r="AJ260" i="16" s="1"/>
  <c r="AJ177" i="16"/>
  <c r="AJ175" i="16"/>
  <c r="AI259" i="16"/>
  <c r="AJ14" i="16"/>
  <c r="AI181" i="16"/>
  <c r="AI179" i="16"/>
  <c r="AI177" i="16"/>
  <c r="AI260" i="16" s="1"/>
  <c r="AI175" i="16"/>
  <c r="AI14" i="16"/>
  <c r="AH259" i="16" s="1"/>
  <c r="AH181" i="16"/>
  <c r="AH179" i="16"/>
  <c r="AH177" i="16"/>
  <c r="AH175" i="16"/>
  <c r="AH14" i="16"/>
  <c r="AG259" i="16" s="1"/>
  <c r="AG181" i="16"/>
  <c r="AG179" i="16"/>
  <c r="AG177" i="16"/>
  <c r="AG175" i="16"/>
  <c r="AG14" i="16"/>
  <c r="AF259" i="16" s="1"/>
  <c r="AF181" i="16"/>
  <c r="AF179" i="16"/>
  <c r="AF177" i="16"/>
  <c r="AF175" i="16"/>
  <c r="AF260" i="16" s="1"/>
  <c r="AE259" i="16"/>
  <c r="AF14" i="16"/>
  <c r="AE181" i="16"/>
  <c r="AE179" i="16"/>
  <c r="AE177" i="16"/>
  <c r="AE260" i="16" s="1"/>
  <c r="AE175" i="16"/>
  <c r="AD260" i="16"/>
  <c r="AE14" i="16"/>
  <c r="AD259" i="16" s="1"/>
  <c r="AD181" i="16"/>
  <c r="AD179" i="16"/>
  <c r="AD177" i="16"/>
  <c r="AD175" i="16"/>
  <c r="AC259" i="16"/>
  <c r="AD14" i="16"/>
  <c r="AC181" i="16"/>
  <c r="AC179" i="16"/>
  <c r="AC177" i="16"/>
  <c r="AC175" i="16"/>
  <c r="AC260" i="16" s="1"/>
  <c r="AB260" i="16"/>
  <c r="AC14" i="16"/>
  <c r="AB259" i="16" s="1"/>
  <c r="AB181" i="16"/>
  <c r="AB179" i="16"/>
  <c r="AB177" i="16"/>
  <c r="AB175" i="16"/>
  <c r="AA259" i="16"/>
  <c r="AB14" i="16"/>
  <c r="AA181" i="16"/>
  <c r="AA179" i="16"/>
  <c r="AA177" i="16"/>
  <c r="AA175" i="16"/>
  <c r="AA14" i="16"/>
  <c r="Z259" i="16" s="1"/>
  <c r="Z181" i="16"/>
  <c r="Z179" i="16"/>
  <c r="Z177" i="16"/>
  <c r="Z175" i="16"/>
  <c r="Z14" i="16"/>
  <c r="Y259" i="16" s="1"/>
  <c r="Y181" i="16"/>
  <c r="Y179" i="16"/>
  <c r="Y177" i="16"/>
  <c r="Y175" i="16"/>
  <c r="Y260" i="16" s="1"/>
  <c r="X260" i="16"/>
  <c r="Y14" i="16"/>
  <c r="X259" i="16" s="1"/>
  <c r="X181" i="16"/>
  <c r="X179" i="16"/>
  <c r="X177" i="16"/>
  <c r="X175" i="16"/>
  <c r="W259" i="16"/>
  <c r="X14" i="16"/>
  <c r="W181" i="16"/>
  <c r="W179" i="16"/>
  <c r="W177" i="16"/>
  <c r="W260" i="16" s="1"/>
  <c r="W175" i="16"/>
  <c r="W14" i="16"/>
  <c r="V259" i="16" s="1"/>
  <c r="V181" i="16"/>
  <c r="V179" i="16"/>
  <c r="V177" i="16"/>
  <c r="V175" i="16"/>
  <c r="V260" i="16" s="1"/>
  <c r="U259" i="16"/>
  <c r="V14" i="16"/>
  <c r="U181" i="16"/>
  <c r="U179" i="16"/>
  <c r="U177" i="16"/>
  <c r="U175" i="16"/>
  <c r="U260" i="16" s="1"/>
  <c r="T260" i="16"/>
  <c r="U14" i="16"/>
  <c r="T259" i="16" s="1"/>
  <c r="T181" i="16"/>
  <c r="T179" i="16"/>
  <c r="T177" i="16"/>
  <c r="T175" i="16"/>
  <c r="S259" i="16"/>
  <c r="T14" i="16"/>
  <c r="S181" i="16"/>
  <c r="S179" i="16"/>
  <c r="S177" i="16"/>
  <c r="S175" i="16"/>
  <c r="S14" i="16"/>
  <c r="R259" i="16" s="1"/>
  <c r="R181" i="16"/>
  <c r="R179" i="16"/>
  <c r="R177" i="16"/>
  <c r="R175" i="16"/>
  <c r="R260" i="16" s="1"/>
  <c r="R14" i="16"/>
  <c r="Q259" i="16" s="1"/>
  <c r="Q181" i="16"/>
  <c r="Q179" i="16"/>
  <c r="Q177" i="16"/>
  <c r="Q175" i="16"/>
  <c r="Q14" i="16"/>
  <c r="P259" i="16" s="1"/>
  <c r="P181" i="16"/>
  <c r="P179" i="16"/>
  <c r="P260" i="16" s="1"/>
  <c r="P177" i="16"/>
  <c r="P175" i="16"/>
  <c r="O259" i="16"/>
  <c r="P14" i="16"/>
  <c r="O181" i="16"/>
  <c r="O179" i="16"/>
  <c r="O177" i="16"/>
  <c r="O260" i="16" s="1"/>
  <c r="O175" i="16"/>
  <c r="N260" i="16"/>
  <c r="O14" i="16"/>
  <c r="N259" i="16" s="1"/>
  <c r="N181" i="16"/>
  <c r="N179" i="16"/>
  <c r="N177" i="16"/>
  <c r="N175" i="16"/>
  <c r="M259" i="16"/>
  <c r="N14" i="16"/>
  <c r="M181" i="16"/>
  <c r="M179" i="16"/>
  <c r="M177" i="16"/>
  <c r="M175" i="16"/>
  <c r="M14" i="16"/>
  <c r="L259" i="16" s="1"/>
  <c r="L181" i="16"/>
  <c r="L179" i="16"/>
  <c r="L260" i="16" s="1"/>
  <c r="L177" i="16"/>
  <c r="L175" i="16"/>
  <c r="K259" i="16"/>
  <c r="L14" i="16"/>
  <c r="K181" i="16"/>
  <c r="K179" i="16"/>
  <c r="K177" i="16"/>
  <c r="K260" i="16" s="1"/>
  <c r="K175" i="16"/>
  <c r="K14" i="16"/>
  <c r="J259" i="16" s="1"/>
  <c r="J181" i="16"/>
  <c r="J179" i="16"/>
  <c r="J177" i="16"/>
  <c r="J175" i="16"/>
  <c r="J260" i="16" s="1"/>
  <c r="J14" i="16"/>
  <c r="I259" i="16" s="1"/>
  <c r="I181" i="16"/>
  <c r="I179" i="16"/>
  <c r="I177" i="16"/>
  <c r="I175" i="16"/>
  <c r="I14" i="16"/>
  <c r="H259" i="16" s="1"/>
  <c r="H181" i="16"/>
  <c r="H179" i="16"/>
  <c r="H177" i="16"/>
  <c r="H175" i="16"/>
  <c r="H260" i="16" s="1"/>
  <c r="G259" i="16"/>
  <c r="H14" i="16"/>
  <c r="G181" i="16"/>
  <c r="G179" i="16"/>
  <c r="G177" i="16"/>
  <c r="G260" i="16" s="1"/>
  <c r="G175" i="16"/>
  <c r="G14" i="16"/>
  <c r="F259" i="16" s="1"/>
  <c r="F181" i="16"/>
  <c r="F179" i="16"/>
  <c r="F177" i="16"/>
  <c r="F175" i="16"/>
  <c r="F260" i="16" s="1"/>
  <c r="E259" i="16"/>
  <c r="F14" i="16"/>
  <c r="E181" i="16"/>
  <c r="E179" i="16"/>
  <c r="E177" i="16"/>
  <c r="E175" i="16"/>
  <c r="E14" i="16"/>
  <c r="D181" i="16"/>
  <c r="D179" i="16"/>
  <c r="D260" i="16" s="1"/>
  <c r="D177" i="16"/>
  <c r="D175" i="16"/>
  <c r="AY259" i="17"/>
  <c r="AZ14" i="17"/>
  <c r="AY181" i="17"/>
  <c r="AY179" i="17"/>
  <c r="AY177" i="17"/>
  <c r="AY260" i="17" s="1"/>
  <c r="AY175" i="17"/>
  <c r="AY14" i="17"/>
  <c r="AX259" i="17" s="1"/>
  <c r="AX181" i="17"/>
  <c r="AX179" i="17"/>
  <c r="AX177" i="17"/>
  <c r="AX175" i="17"/>
  <c r="AX14" i="17"/>
  <c r="AW259" i="17" s="1"/>
  <c r="AW181" i="17"/>
  <c r="AW179" i="17"/>
  <c r="AW177" i="17"/>
  <c r="AW175" i="17"/>
  <c r="AV260" i="17"/>
  <c r="AW14" i="17"/>
  <c r="AV259" i="17" s="1"/>
  <c r="AV181" i="17"/>
  <c r="AV179" i="17"/>
  <c r="AV177" i="17"/>
  <c r="AV175" i="17"/>
  <c r="AU259" i="17"/>
  <c r="AV14" i="17"/>
  <c r="AU181" i="17"/>
  <c r="AU179" i="17"/>
  <c r="AU177" i="17"/>
  <c r="AU260" i="17" s="1"/>
  <c r="AU175" i="17"/>
  <c r="AT260" i="17"/>
  <c r="AU14" i="17"/>
  <c r="AT259" i="17" s="1"/>
  <c r="AT181" i="17"/>
  <c r="AT179" i="17"/>
  <c r="AT177" i="17"/>
  <c r="AT175" i="17"/>
  <c r="AS259" i="17"/>
  <c r="AT14" i="17"/>
  <c r="AS181" i="17"/>
  <c r="AS179" i="17"/>
  <c r="AS177" i="17"/>
  <c r="AS175" i="17"/>
  <c r="AR260" i="17"/>
  <c r="AS14" i="17"/>
  <c r="AR259" i="17" s="1"/>
  <c r="AR181" i="17"/>
  <c r="AR179" i="17"/>
  <c r="AR177" i="17"/>
  <c r="AR175" i="17"/>
  <c r="AQ259" i="17"/>
  <c r="AR14" i="17"/>
  <c r="AQ181" i="17"/>
  <c r="AQ179" i="17"/>
  <c r="AQ177" i="17"/>
  <c r="AQ175" i="17"/>
  <c r="AQ14" i="17"/>
  <c r="AP259" i="17" s="1"/>
  <c r="AP181" i="17"/>
  <c r="AP179" i="17"/>
  <c r="AP177" i="17"/>
  <c r="AP175" i="17"/>
  <c r="AP260" i="17" s="1"/>
  <c r="AP14" i="17"/>
  <c r="AO259" i="17" s="1"/>
  <c r="AO181" i="17"/>
  <c r="AO179" i="17"/>
  <c r="AO177" i="17"/>
  <c r="AO175" i="17"/>
  <c r="AO14" i="17"/>
  <c r="AN259" i="17" s="1"/>
  <c r="AN181" i="17"/>
  <c r="AN179" i="17"/>
  <c r="AN177" i="17"/>
  <c r="AN175" i="17"/>
  <c r="AN260" i="17" s="1"/>
  <c r="AM259" i="17"/>
  <c r="AN14" i="17"/>
  <c r="AM181" i="17"/>
  <c r="AM179" i="17"/>
  <c r="AM177" i="17"/>
  <c r="AM260" i="17" s="1"/>
  <c r="AM175" i="17"/>
  <c r="AM14" i="17"/>
  <c r="AL259" i="17" s="1"/>
  <c r="AL181" i="17"/>
  <c r="AL179" i="17"/>
  <c r="AL177" i="17"/>
  <c r="AL175" i="17"/>
  <c r="AL260" i="17" s="1"/>
  <c r="AK259" i="17"/>
  <c r="AL14" i="17"/>
  <c r="AK181" i="17"/>
  <c r="AK179" i="17"/>
  <c r="AK177" i="17"/>
  <c r="AK175" i="17"/>
  <c r="AK260" i="17" s="1"/>
  <c r="AJ260" i="17"/>
  <c r="AK14" i="17"/>
  <c r="AJ259" i="17" s="1"/>
  <c r="AJ181" i="17"/>
  <c r="AJ179" i="17"/>
  <c r="AJ177" i="17"/>
  <c r="AJ175" i="17"/>
  <c r="AI259" i="17"/>
  <c r="AJ14" i="17"/>
  <c r="AI181" i="17"/>
  <c r="AI179" i="17"/>
  <c r="AI177" i="17"/>
  <c r="AI260" i="17" s="1"/>
  <c r="AI175" i="17"/>
  <c r="AI14" i="17"/>
  <c r="AH259" i="17" s="1"/>
  <c r="AH181" i="17"/>
  <c r="AH179" i="17"/>
  <c r="AH177" i="17"/>
  <c r="AH175" i="17"/>
  <c r="AH14" i="17"/>
  <c r="AG259" i="17" s="1"/>
  <c r="AG181" i="17"/>
  <c r="AG179" i="17"/>
  <c r="AG177" i="17"/>
  <c r="AG175" i="17"/>
  <c r="AG260" i="17" s="1"/>
  <c r="AF260" i="17"/>
  <c r="AG14" i="17"/>
  <c r="AF259" i="17" s="1"/>
  <c r="AF181" i="17"/>
  <c r="AF179" i="17"/>
  <c r="AF177" i="17"/>
  <c r="AF175" i="17"/>
  <c r="AE259" i="17"/>
  <c r="AF14" i="17"/>
  <c r="AE181" i="17"/>
  <c r="AE179" i="17"/>
  <c r="AE177" i="17"/>
  <c r="AE260" i="17" s="1"/>
  <c r="AE175" i="17"/>
  <c r="AE14" i="17"/>
  <c r="AD259" i="17" s="1"/>
  <c r="AD181" i="17"/>
  <c r="AD179" i="17"/>
  <c r="AD177" i="17"/>
  <c r="AD175" i="17"/>
  <c r="AD260" i="17" s="1"/>
  <c r="AC259" i="17"/>
  <c r="AD14" i="17"/>
  <c r="AC181" i="17"/>
  <c r="AC179" i="17"/>
  <c r="AC177" i="17"/>
  <c r="AC175" i="17"/>
  <c r="AC260" i="17" s="1"/>
  <c r="AB260" i="17"/>
  <c r="AC14" i="17"/>
  <c r="AB259" i="17" s="1"/>
  <c r="AB181" i="17"/>
  <c r="AB179" i="17"/>
  <c r="AB177" i="17"/>
  <c r="AB175" i="17"/>
  <c r="AA259" i="17"/>
  <c r="AB14" i="17"/>
  <c r="AA181" i="17"/>
  <c r="AA179" i="17"/>
  <c r="AA177" i="17"/>
  <c r="AA175" i="17"/>
  <c r="AA14" i="17"/>
  <c r="Z259" i="17" s="1"/>
  <c r="Z181" i="17"/>
  <c r="Z179" i="17"/>
  <c r="Z177" i="17"/>
  <c r="Z175" i="17"/>
  <c r="Z260" i="17" s="1"/>
  <c r="Z14" i="17"/>
  <c r="Y259" i="17" s="1"/>
  <c r="Y181" i="17"/>
  <c r="Y179" i="17"/>
  <c r="Y177" i="17"/>
  <c r="Y175" i="17"/>
  <c r="Y14" i="17"/>
  <c r="X259" i="17" s="1"/>
  <c r="X181" i="17"/>
  <c r="X179" i="17"/>
  <c r="X177" i="17"/>
  <c r="X175" i="17"/>
  <c r="W259" i="17"/>
  <c r="X14" i="17"/>
  <c r="W181" i="17"/>
  <c r="W179" i="17"/>
  <c r="W177" i="17"/>
  <c r="W260" i="17" s="1"/>
  <c r="W175" i="17"/>
  <c r="V260" i="17"/>
  <c r="W14" i="17"/>
  <c r="V259" i="17" s="1"/>
  <c r="V181" i="17"/>
  <c r="V179" i="17"/>
  <c r="V177" i="17"/>
  <c r="V175" i="17"/>
  <c r="U259" i="17"/>
  <c r="V14" i="17"/>
  <c r="U181" i="17"/>
  <c r="U179" i="17"/>
  <c r="U177" i="17"/>
  <c r="U175" i="17"/>
  <c r="U14" i="17"/>
  <c r="T259" i="17" s="1"/>
  <c r="T181" i="17"/>
  <c r="T179" i="17"/>
  <c r="T260" i="17" s="1"/>
  <c r="T177" i="17"/>
  <c r="T175" i="17"/>
  <c r="S259" i="17"/>
  <c r="T14" i="17"/>
  <c r="S181" i="17"/>
  <c r="S179" i="17"/>
  <c r="S177" i="17"/>
  <c r="S260" i="17" s="1"/>
  <c r="S175" i="17"/>
  <c r="S14" i="17"/>
  <c r="R259" i="17" s="1"/>
  <c r="R181" i="17"/>
  <c r="R179" i="17"/>
  <c r="R177" i="17"/>
  <c r="R175" i="17"/>
  <c r="R14" i="17"/>
  <c r="Q259" i="17" s="1"/>
  <c r="Q181" i="17"/>
  <c r="Q179" i="17"/>
  <c r="Q177" i="17"/>
  <c r="Q175" i="17"/>
  <c r="Q260" i="17" s="1"/>
  <c r="Q14" i="17"/>
  <c r="P259" i="17" s="1"/>
  <c r="P181" i="17"/>
  <c r="P179" i="17"/>
  <c r="P177" i="17"/>
  <c r="P175" i="17"/>
  <c r="O259" i="17"/>
  <c r="P14" i="17"/>
  <c r="O181" i="17"/>
  <c r="O179" i="17"/>
  <c r="O177" i="17"/>
  <c r="O260" i="17" s="1"/>
  <c r="O175" i="17"/>
  <c r="N260" i="17"/>
  <c r="O14" i="17"/>
  <c r="N259" i="17" s="1"/>
  <c r="N181" i="17"/>
  <c r="N179" i="17"/>
  <c r="N177" i="17"/>
  <c r="N175" i="17"/>
  <c r="M259" i="17"/>
  <c r="N14" i="17"/>
  <c r="M181" i="17"/>
  <c r="M179" i="17"/>
  <c r="M177" i="17"/>
  <c r="M175" i="17"/>
  <c r="M260" i="17" s="1"/>
  <c r="M14" i="17"/>
  <c r="L259" i="17" s="1"/>
  <c r="L181" i="17"/>
  <c r="L179" i="17"/>
  <c r="L260" i="17" s="1"/>
  <c r="L177" i="17"/>
  <c r="L175" i="17"/>
  <c r="K259" i="17"/>
  <c r="L14" i="17"/>
  <c r="K181" i="17"/>
  <c r="K179" i="17"/>
  <c r="K177" i="17"/>
  <c r="K260" i="17" s="1"/>
  <c r="K175" i="17"/>
  <c r="K14" i="17"/>
  <c r="J259" i="17" s="1"/>
  <c r="J181" i="17"/>
  <c r="J179" i="17"/>
  <c r="J177" i="17"/>
  <c r="J175" i="17"/>
  <c r="J14" i="17"/>
  <c r="I259" i="17" s="1"/>
  <c r="I181" i="17"/>
  <c r="I179" i="17"/>
  <c r="I177" i="17"/>
  <c r="I175" i="17"/>
  <c r="I14" i="17"/>
  <c r="H259" i="17" s="1"/>
  <c r="H181" i="17"/>
  <c r="H179" i="17"/>
  <c r="H177" i="17"/>
  <c r="H175" i="17"/>
  <c r="H260" i="17" s="1"/>
  <c r="G259" i="17"/>
  <c r="H14" i="17"/>
  <c r="G181" i="17"/>
  <c r="G179" i="17"/>
  <c r="G177" i="17"/>
  <c r="G260" i="17" s="1"/>
  <c r="G175" i="17"/>
  <c r="G14" i="17"/>
  <c r="F259" i="17" s="1"/>
  <c r="F181" i="17"/>
  <c r="F179" i="17"/>
  <c r="F177" i="17"/>
  <c r="F175" i="17"/>
  <c r="F260" i="17" s="1"/>
  <c r="E259" i="17"/>
  <c r="F14" i="17"/>
  <c r="E181" i="17"/>
  <c r="E179" i="17"/>
  <c r="E177" i="17"/>
  <c r="E175" i="17"/>
  <c r="D260" i="17"/>
  <c r="E14" i="17"/>
  <c r="D259" i="17" s="1"/>
  <c r="D181" i="17"/>
  <c r="D179" i="17"/>
  <c r="D177" i="17"/>
  <c r="D175" i="17"/>
  <c r="AY14" i="18"/>
  <c r="AY15" i="18"/>
  <c r="AY16" i="18"/>
  <c r="AY10" i="18"/>
  <c r="AY13" i="18" s="1"/>
  <c r="AY17" i="18"/>
  <c r="AY29" i="18"/>
  <c r="AX14" i="18"/>
  <c r="AX15" i="18"/>
  <c r="AX16" i="18"/>
  <c r="AX17" i="18"/>
  <c r="AX29" i="18"/>
  <c r="AW14" i="18"/>
  <c r="AW15" i="18"/>
  <c r="AW16" i="18"/>
  <c r="AW10" i="18"/>
  <c r="AW13" i="18" s="1"/>
  <c r="AW17" i="18"/>
  <c r="AW29" i="18"/>
  <c r="AV14" i="18"/>
  <c r="AV15" i="18"/>
  <c r="AV16" i="18"/>
  <c r="AV17" i="18"/>
  <c r="AV29" i="18"/>
  <c r="AU14" i="18"/>
  <c r="AU15" i="18"/>
  <c r="AU16" i="18"/>
  <c r="AU17" i="18"/>
  <c r="AU29" i="18"/>
  <c r="AT14" i="18"/>
  <c r="AT15" i="18"/>
  <c r="AT16" i="18"/>
  <c r="AT10" i="18" s="1"/>
  <c r="AT13" i="18" s="1"/>
  <c r="AT17" i="18"/>
  <c r="AT29" i="18"/>
  <c r="AS14" i="18"/>
  <c r="AS10" i="18" s="1"/>
  <c r="AS13" i="18" s="1"/>
  <c r="AS15" i="18"/>
  <c r="AS16" i="18"/>
  <c r="AS17" i="18"/>
  <c r="AS29" i="18"/>
  <c r="AR14" i="18"/>
  <c r="AR15" i="18"/>
  <c r="AR16" i="18"/>
  <c r="AR10" i="18"/>
  <c r="AR13" i="18" s="1"/>
  <c r="AR17" i="18"/>
  <c r="AR29" i="18"/>
  <c r="AQ14" i="18"/>
  <c r="AQ15" i="18"/>
  <c r="AQ16" i="18"/>
  <c r="AQ10" i="18" s="1"/>
  <c r="AQ13" i="18" s="1"/>
  <c r="AQ17" i="18"/>
  <c r="AQ29" i="18"/>
  <c r="AP14" i="18"/>
  <c r="AP10" i="18" s="1"/>
  <c r="AP13" i="18" s="1"/>
  <c r="AP15" i="18"/>
  <c r="AP16" i="18"/>
  <c r="AP17" i="18"/>
  <c r="AP29" i="18"/>
  <c r="AO14" i="18"/>
  <c r="AO15" i="18"/>
  <c r="AO16" i="18"/>
  <c r="AO17" i="18"/>
  <c r="AO29" i="18"/>
  <c r="AN14" i="18"/>
  <c r="AN15" i="18"/>
  <c r="AN16" i="18"/>
  <c r="AN10" i="18"/>
  <c r="AN13" i="18"/>
  <c r="AN17" i="18"/>
  <c r="AN29" i="18"/>
  <c r="AM14" i="18"/>
  <c r="AM15" i="18"/>
  <c r="AM16" i="18"/>
  <c r="AM10" i="18"/>
  <c r="AM13" i="18" s="1"/>
  <c r="AM17" i="18"/>
  <c r="AM29" i="18"/>
  <c r="AL14" i="18"/>
  <c r="AL15" i="18"/>
  <c r="AL16" i="18"/>
  <c r="AL10" i="18"/>
  <c r="AL13" i="18" s="1"/>
  <c r="AL17" i="18"/>
  <c r="AL29" i="18"/>
  <c r="AK14" i="18"/>
  <c r="AK15" i="18"/>
  <c r="AK10" i="18" s="1"/>
  <c r="AK13" i="18" s="1"/>
  <c r="AK16" i="18"/>
  <c r="AK17" i="18"/>
  <c r="AK29" i="18"/>
  <c r="AJ14" i="18"/>
  <c r="AJ15" i="18"/>
  <c r="AJ16" i="18"/>
  <c r="AJ17" i="18"/>
  <c r="AJ29" i="18"/>
  <c r="AI14" i="18"/>
  <c r="AI15" i="18"/>
  <c r="AI16" i="18"/>
  <c r="AI10" i="18"/>
  <c r="AI13" i="18" s="1"/>
  <c r="AI17" i="18"/>
  <c r="AI29" i="18"/>
  <c r="AH14" i="18"/>
  <c r="AH15" i="18"/>
  <c r="AH16" i="18"/>
  <c r="AH17" i="18"/>
  <c r="AH29" i="18"/>
  <c r="AG14" i="18"/>
  <c r="AG15" i="18"/>
  <c r="AG16" i="18"/>
  <c r="AG10" i="18"/>
  <c r="AG13" i="18" s="1"/>
  <c r="AG17" i="18"/>
  <c r="AG29" i="18"/>
  <c r="AF14" i="18"/>
  <c r="AF10" i="18" s="1"/>
  <c r="AF13" i="18" s="1"/>
  <c r="AF15" i="18"/>
  <c r="AF16" i="18"/>
  <c r="AF17" i="18"/>
  <c r="AF29" i="18"/>
  <c r="AE14" i="18"/>
  <c r="AE15" i="18"/>
  <c r="AE16" i="18"/>
  <c r="AE17" i="18"/>
  <c r="AE29" i="18"/>
  <c r="AD14" i="18"/>
  <c r="AD15" i="18"/>
  <c r="AD16" i="18"/>
  <c r="AD10" i="18"/>
  <c r="AD13" i="18" s="1"/>
  <c r="AD17" i="18"/>
  <c r="AD29" i="18"/>
  <c r="AC14" i="18"/>
  <c r="AC15" i="18"/>
  <c r="AC16" i="18"/>
  <c r="AC17" i="18"/>
  <c r="AC29" i="18"/>
  <c r="AB14" i="18"/>
  <c r="AB10" i="18" s="1"/>
  <c r="AB15" i="18"/>
  <c r="AB16" i="18"/>
  <c r="AB13" i="18"/>
  <c r="AB17" i="18"/>
  <c r="AB29" i="18"/>
  <c r="AA14" i="18"/>
  <c r="AA15" i="18"/>
  <c r="AA16" i="18"/>
  <c r="AA10" i="18"/>
  <c r="AA13" i="18" s="1"/>
  <c r="AA17" i="18"/>
  <c r="AA29" i="18"/>
  <c r="Z14" i="18"/>
  <c r="Z10" i="18" s="1"/>
  <c r="Z15" i="18"/>
  <c r="Z16" i="18"/>
  <c r="Z13" i="18"/>
  <c r="Z17" i="18"/>
  <c r="Z29" i="18"/>
  <c r="Y14" i="18"/>
  <c r="Y15" i="18"/>
  <c r="Y16" i="18"/>
  <c r="Y17" i="18"/>
  <c r="Y29" i="18"/>
  <c r="X14" i="18"/>
  <c r="X15" i="18"/>
  <c r="X16" i="18"/>
  <c r="X10" i="18" s="1"/>
  <c r="X13" i="18" s="1"/>
  <c r="X17" i="18"/>
  <c r="X29" i="18"/>
  <c r="W14" i="18"/>
  <c r="W15" i="18"/>
  <c r="W10" i="18" s="1"/>
  <c r="W13" i="18" s="1"/>
  <c r="W16" i="18"/>
  <c r="W17" i="18"/>
  <c r="W29" i="18"/>
  <c r="V14" i="18"/>
  <c r="V15" i="18"/>
  <c r="V16" i="18"/>
  <c r="V10" i="18"/>
  <c r="V13" i="18"/>
  <c r="V17" i="18"/>
  <c r="V29" i="18"/>
  <c r="U14" i="18"/>
  <c r="U15" i="18"/>
  <c r="U16" i="18"/>
  <c r="U10" i="18"/>
  <c r="U13" i="18"/>
  <c r="U17" i="18"/>
  <c r="U29" i="18"/>
  <c r="T15" i="18"/>
  <c r="T16" i="18"/>
  <c r="T21" i="18"/>
  <c r="T33" i="18" s="1"/>
  <c r="T22" i="18"/>
  <c r="T67" i="18" s="1"/>
  <c r="T23" i="18"/>
  <c r="T24" i="18"/>
  <c r="T29" i="18"/>
  <c r="T34" i="18"/>
  <c r="T39" i="18"/>
  <c r="T44" i="18"/>
  <c r="T45" i="18"/>
  <c r="T51" i="18" s="1"/>
  <c r="T55" i="18"/>
  <c r="T56" i="18"/>
  <c r="T62" i="18" s="1"/>
  <c r="T66" i="18"/>
  <c r="T72" i="18" s="1"/>
  <c r="T68" i="18"/>
  <c r="T73" i="18"/>
  <c r="S14" i="18"/>
  <c r="S15" i="18"/>
  <c r="S16" i="18"/>
  <c r="T17" i="18" s="1"/>
  <c r="S17" i="18"/>
  <c r="S29" i="18"/>
  <c r="R14" i="18"/>
  <c r="R15" i="18"/>
  <c r="R16" i="18"/>
  <c r="R17" i="18"/>
  <c r="R29" i="18"/>
  <c r="Q14" i="18"/>
  <c r="Q15" i="18"/>
  <c r="Q16" i="18"/>
  <c r="Q17" i="18"/>
  <c r="Q29" i="18"/>
  <c r="P14" i="18"/>
  <c r="P15" i="18"/>
  <c r="P16" i="18"/>
  <c r="P10" i="18"/>
  <c r="P13" i="18" s="1"/>
  <c r="P17" i="18"/>
  <c r="P29" i="18"/>
  <c r="O14" i="18"/>
  <c r="O15" i="18"/>
  <c r="O10" i="18" s="1"/>
  <c r="O16" i="18"/>
  <c r="O13" i="18"/>
  <c r="O17" i="18"/>
  <c r="O29" i="18"/>
  <c r="N14" i="18"/>
  <c r="N15" i="18"/>
  <c r="N16" i="18"/>
  <c r="N10" i="18"/>
  <c r="N13" i="18" s="1"/>
  <c r="N17" i="18"/>
  <c r="N29" i="18"/>
  <c r="M14" i="18"/>
  <c r="M15" i="18"/>
  <c r="M16" i="18"/>
  <c r="M17" i="18"/>
  <c r="M29" i="18"/>
  <c r="L14" i="18"/>
  <c r="L15" i="18"/>
  <c r="L16" i="18"/>
  <c r="L10" i="18"/>
  <c r="L13" i="18"/>
  <c r="L17" i="18"/>
  <c r="L29" i="18"/>
  <c r="K14" i="18"/>
  <c r="K10" i="18" s="1"/>
  <c r="K13" i="18" s="1"/>
  <c r="K15" i="18"/>
  <c r="K16" i="18"/>
  <c r="K17" i="18"/>
  <c r="K29" i="18"/>
  <c r="J14" i="18"/>
  <c r="J10" i="18" s="1"/>
  <c r="J13" i="18" s="1"/>
  <c r="J15" i="18"/>
  <c r="J16" i="18"/>
  <c r="J17" i="18"/>
  <c r="J29" i="18"/>
  <c r="I14" i="18"/>
  <c r="I10" i="18" s="1"/>
  <c r="I13" i="18" s="1"/>
  <c r="I15" i="18"/>
  <c r="I16" i="18"/>
  <c r="I17" i="18"/>
  <c r="I29" i="18"/>
  <c r="H14" i="18"/>
  <c r="H15" i="18"/>
  <c r="H16" i="18"/>
  <c r="H10" i="18" s="1"/>
  <c r="H13" i="18"/>
  <c r="H17" i="18"/>
  <c r="H29" i="18"/>
  <c r="G14" i="18"/>
  <c r="G15" i="18"/>
  <c r="G16" i="18"/>
  <c r="G10" i="18" s="1"/>
  <c r="G13" i="18"/>
  <c r="G17" i="18"/>
  <c r="G29" i="18"/>
  <c r="F14" i="18"/>
  <c r="F15" i="18"/>
  <c r="F10" i="18" s="1"/>
  <c r="F16" i="18"/>
  <c r="F13" i="18"/>
  <c r="F17" i="18"/>
  <c r="F29" i="18"/>
  <c r="E14" i="18"/>
  <c r="E15" i="18"/>
  <c r="E16" i="18"/>
  <c r="E10" i="18"/>
  <c r="E13" i="18" s="1"/>
  <c r="E17" i="18"/>
  <c r="E29" i="18"/>
  <c r="D14" i="18"/>
  <c r="D15" i="18"/>
  <c r="D16" i="18"/>
  <c r="D17" i="18"/>
  <c r="D27" i="18"/>
  <c r="D30" i="18" s="1"/>
  <c r="D29" i="18"/>
  <c r="E27" i="18" s="1"/>
  <c r="AY14" i="19"/>
  <c r="AY10" i="19" s="1"/>
  <c r="AY13" i="19" s="1"/>
  <c r="AY15" i="19"/>
  <c r="AY16" i="19"/>
  <c r="AY17" i="19"/>
  <c r="AY29" i="19"/>
  <c r="AX14" i="19"/>
  <c r="AX15" i="19"/>
  <c r="AX16" i="19"/>
  <c r="AX17" i="19"/>
  <c r="AX29" i="19"/>
  <c r="AW14" i="19"/>
  <c r="AW10" i="19" s="1"/>
  <c r="AW13" i="19" s="1"/>
  <c r="AW15" i="19"/>
  <c r="AW16" i="19"/>
  <c r="AW17" i="19"/>
  <c r="AW29" i="19"/>
  <c r="AV14" i="19"/>
  <c r="AV15" i="19"/>
  <c r="AV16" i="19"/>
  <c r="AV10" i="19"/>
  <c r="AV13" i="19" s="1"/>
  <c r="AV17" i="19"/>
  <c r="AV29" i="19"/>
  <c r="AU14" i="19"/>
  <c r="AU15" i="19"/>
  <c r="AU10" i="19" s="1"/>
  <c r="AU13" i="19" s="1"/>
  <c r="AU16" i="19"/>
  <c r="AU17" i="19"/>
  <c r="AU29" i="19"/>
  <c r="AT14" i="19"/>
  <c r="AT15" i="19"/>
  <c r="AT16" i="19"/>
  <c r="AT17" i="19"/>
  <c r="AT29" i="19"/>
  <c r="AS14" i="19"/>
  <c r="AS10" i="19" s="1"/>
  <c r="AS13" i="19" s="1"/>
  <c r="AS15" i="19"/>
  <c r="AS16" i="19"/>
  <c r="AS17" i="19"/>
  <c r="AS29" i="19"/>
  <c r="AR14" i="19"/>
  <c r="AR10" i="19" s="1"/>
  <c r="AR13" i="19" s="1"/>
  <c r="AR15" i="19"/>
  <c r="AR16" i="19"/>
  <c r="AR17" i="19"/>
  <c r="AR29" i="19"/>
  <c r="AQ14" i="19"/>
  <c r="AQ15" i="19"/>
  <c r="AQ16" i="19"/>
  <c r="AQ17" i="19"/>
  <c r="AQ29" i="19"/>
  <c r="AP14" i="19"/>
  <c r="AP10" i="19" s="1"/>
  <c r="AP15" i="19"/>
  <c r="AP16" i="19"/>
  <c r="AP13" i="19"/>
  <c r="AP17" i="19"/>
  <c r="AP29" i="19"/>
  <c r="AO14" i="19"/>
  <c r="AO10" i="19" s="1"/>
  <c r="AO13" i="19" s="1"/>
  <c r="AO15" i="19"/>
  <c r="AO16" i="19"/>
  <c r="AO17" i="19"/>
  <c r="AO29" i="19"/>
  <c r="AN14" i="19"/>
  <c r="AN15" i="19"/>
  <c r="AN16" i="19"/>
  <c r="AN10" i="19" s="1"/>
  <c r="AN13" i="19" s="1"/>
  <c r="AN17" i="19"/>
  <c r="AN29" i="19"/>
  <c r="AM14" i="19"/>
  <c r="AM15" i="19"/>
  <c r="AM16" i="19"/>
  <c r="AM10" i="19"/>
  <c r="AM13" i="19"/>
  <c r="AM17" i="19"/>
  <c r="AM29" i="19"/>
  <c r="AL21" i="19"/>
  <c r="AL22" i="19"/>
  <c r="AL23" i="19"/>
  <c r="AL24" i="19"/>
  <c r="AL29" i="19"/>
  <c r="AL34" i="19"/>
  <c r="AL40" i="19"/>
  <c r="AL44" i="19"/>
  <c r="AL50" i="19" s="1"/>
  <c r="AL45" i="19"/>
  <c r="AL51" i="19" s="1"/>
  <c r="AL56" i="19"/>
  <c r="AL62" i="19"/>
  <c r="AL67" i="19"/>
  <c r="AL73" i="19" s="1"/>
  <c r="AK14" i="19"/>
  <c r="AK15" i="19"/>
  <c r="AL16" i="19" s="1"/>
  <c r="AK16" i="19"/>
  <c r="AL17" i="19" s="1"/>
  <c r="AK17" i="19"/>
  <c r="AK29" i="19"/>
  <c r="AJ14" i="19"/>
  <c r="AJ15" i="19"/>
  <c r="AJ16" i="19"/>
  <c r="AJ10" i="19"/>
  <c r="AJ13" i="19"/>
  <c r="AJ17" i="19"/>
  <c r="AJ29" i="19"/>
  <c r="AI14" i="19"/>
  <c r="AI15" i="19"/>
  <c r="AI16" i="19"/>
  <c r="AI17" i="19"/>
  <c r="AI29" i="19"/>
  <c r="AH14" i="19"/>
  <c r="AH10" i="19" s="1"/>
  <c r="AH13" i="19" s="1"/>
  <c r="AH15" i="19"/>
  <c r="AH16" i="19"/>
  <c r="AH17" i="19"/>
  <c r="AH29" i="19"/>
  <c r="AG14" i="19"/>
  <c r="AG15" i="19"/>
  <c r="AG10" i="19" s="1"/>
  <c r="AG13" i="19" s="1"/>
  <c r="AG16" i="19"/>
  <c r="AG17" i="19"/>
  <c r="AG29" i="19"/>
  <c r="AF14" i="19"/>
  <c r="AF15" i="19"/>
  <c r="AF16" i="19"/>
  <c r="AF17" i="19"/>
  <c r="AF29" i="19"/>
  <c r="AE14" i="19"/>
  <c r="AE10" i="19" s="1"/>
  <c r="AE13" i="19" s="1"/>
  <c r="AE15" i="19"/>
  <c r="AE16" i="19"/>
  <c r="AE17" i="19"/>
  <c r="AE29" i="19"/>
  <c r="AD14" i="19"/>
  <c r="AD10" i="19" s="1"/>
  <c r="AD13" i="19" s="1"/>
  <c r="AD15" i="19"/>
  <c r="AD16" i="19"/>
  <c r="AD17" i="19"/>
  <c r="AD29" i="19"/>
  <c r="AC14" i="19"/>
  <c r="AC15" i="19"/>
  <c r="AC16" i="19"/>
  <c r="AC10" i="19"/>
  <c r="AC13" i="19" s="1"/>
  <c r="AC17" i="19"/>
  <c r="AC29" i="19"/>
  <c r="AB14" i="19"/>
  <c r="AB15" i="19"/>
  <c r="AB16" i="19"/>
  <c r="AB10" i="19"/>
  <c r="AB13" i="19" s="1"/>
  <c r="AB17" i="19"/>
  <c r="AB29" i="19"/>
  <c r="AA14" i="19"/>
  <c r="AA15" i="19"/>
  <c r="AA10" i="19" s="1"/>
  <c r="AA13" i="19" s="1"/>
  <c r="AA16" i="19"/>
  <c r="AA17" i="19"/>
  <c r="AA29" i="19"/>
  <c r="Z14" i="19"/>
  <c r="Z15" i="19"/>
  <c r="Z16" i="19"/>
  <c r="Z17" i="19"/>
  <c r="Z29" i="19"/>
  <c r="Y14" i="19"/>
  <c r="Y15" i="19"/>
  <c r="Y16" i="19"/>
  <c r="Y10" i="19"/>
  <c r="Y13" i="19" s="1"/>
  <c r="Y17" i="19"/>
  <c r="Y29" i="19"/>
  <c r="X14" i="19"/>
  <c r="X15" i="19"/>
  <c r="X16" i="19"/>
  <c r="X17" i="19"/>
  <c r="X21" i="19"/>
  <c r="X29" i="19"/>
  <c r="W14" i="19"/>
  <c r="W10" i="19" s="1"/>
  <c r="W15" i="19"/>
  <c r="W16" i="19"/>
  <c r="W13" i="19"/>
  <c r="W17" i="19"/>
  <c r="W29" i="19"/>
  <c r="V14" i="19"/>
  <c r="V10" i="19" s="1"/>
  <c r="V13" i="19" s="1"/>
  <c r="V15" i="19"/>
  <c r="V16" i="19"/>
  <c r="V17" i="19"/>
  <c r="V29" i="19"/>
  <c r="U14" i="19"/>
  <c r="U15" i="19"/>
  <c r="U16" i="19"/>
  <c r="U10" i="19" s="1"/>
  <c r="U13" i="19"/>
  <c r="U17" i="19"/>
  <c r="U29" i="19"/>
  <c r="T14" i="19"/>
  <c r="T15" i="19"/>
  <c r="T10" i="19" s="1"/>
  <c r="T13" i="19" s="1"/>
  <c r="T16" i="19"/>
  <c r="T17" i="19"/>
  <c r="T29" i="19"/>
  <c r="S14" i="19"/>
  <c r="S15" i="19"/>
  <c r="S16" i="19"/>
  <c r="S17" i="19"/>
  <c r="S29" i="19"/>
  <c r="R14" i="19"/>
  <c r="R15" i="19"/>
  <c r="R10" i="19" s="1"/>
  <c r="R13" i="19" s="1"/>
  <c r="R16" i="19"/>
  <c r="R17" i="19"/>
  <c r="R29" i="19"/>
  <c r="Q16" i="19"/>
  <c r="Q17" i="19"/>
  <c r="Q21" i="19"/>
  <c r="Q66" i="19" s="1"/>
  <c r="Q22" i="19"/>
  <c r="Q23" i="19"/>
  <c r="Q29" i="19"/>
  <c r="Q44" i="19"/>
  <c r="Q67" i="19"/>
  <c r="Q72" i="19"/>
  <c r="P14" i="19"/>
  <c r="Q15" i="19" s="1"/>
  <c r="P15" i="19"/>
  <c r="P10" i="19" s="1"/>
  <c r="P16" i="19"/>
  <c r="P13" i="19"/>
  <c r="Q14" i="19" s="1"/>
  <c r="Q10" i="19" s="1"/>
  <c r="Q13" i="19" s="1"/>
  <c r="P17" i="19"/>
  <c r="P22" i="19"/>
  <c r="P29" i="19"/>
  <c r="O14" i="19"/>
  <c r="O10" i="19" s="1"/>
  <c r="O13" i="19" s="1"/>
  <c r="O15" i="19"/>
  <c r="O16" i="19"/>
  <c r="O17" i="19"/>
  <c r="O29" i="19"/>
  <c r="N14" i="19"/>
  <c r="N15" i="19"/>
  <c r="N16" i="19"/>
  <c r="N10" i="19" s="1"/>
  <c r="N13" i="19" s="1"/>
  <c r="N17" i="19"/>
  <c r="N29" i="19"/>
  <c r="M14" i="19"/>
  <c r="M15" i="19"/>
  <c r="M16" i="19"/>
  <c r="M10" i="19"/>
  <c r="M13" i="19"/>
  <c r="M17" i="19"/>
  <c r="M29" i="19"/>
  <c r="L14" i="19"/>
  <c r="L15" i="19"/>
  <c r="L16" i="19"/>
  <c r="L10" i="19" s="1"/>
  <c r="L13" i="19" s="1"/>
  <c r="L17" i="19"/>
  <c r="L29" i="19"/>
  <c r="K17" i="19"/>
  <c r="K21" i="19"/>
  <c r="K22" i="19"/>
  <c r="K23" i="19"/>
  <c r="K24" i="19"/>
  <c r="K29" i="19"/>
  <c r="K33" i="19"/>
  <c r="K39" i="19"/>
  <c r="K44" i="19"/>
  <c r="K50" i="19" s="1"/>
  <c r="K55" i="19"/>
  <c r="K61" i="19"/>
  <c r="K66" i="19"/>
  <c r="K72" i="19"/>
  <c r="J14" i="19"/>
  <c r="J15" i="19"/>
  <c r="K16" i="19" s="1"/>
  <c r="J16" i="19"/>
  <c r="J17" i="19"/>
  <c r="J29" i="19"/>
  <c r="I14" i="19"/>
  <c r="I10" i="19" s="1"/>
  <c r="I13" i="19" s="1"/>
  <c r="I15" i="19"/>
  <c r="I16" i="19"/>
  <c r="I17" i="19"/>
  <c r="I29" i="19"/>
  <c r="H14" i="19"/>
  <c r="H15" i="19"/>
  <c r="H10" i="19" s="1"/>
  <c r="H13" i="19" s="1"/>
  <c r="H16" i="19"/>
  <c r="H17" i="19"/>
  <c r="H29" i="19"/>
  <c r="G14" i="19"/>
  <c r="G15" i="19"/>
  <c r="G16" i="19"/>
  <c r="G10" i="19"/>
  <c r="G13" i="19" s="1"/>
  <c r="G17" i="19"/>
  <c r="G29" i="19"/>
  <c r="G30" i="19"/>
  <c r="F14" i="19"/>
  <c r="F15" i="19"/>
  <c r="F16" i="19"/>
  <c r="F10" i="19"/>
  <c r="F13" i="19"/>
  <c r="F17" i="19"/>
  <c r="F29" i="19"/>
  <c r="F30" i="19"/>
  <c r="E14" i="19"/>
  <c r="E15" i="19"/>
  <c r="E16" i="19"/>
  <c r="E10" i="19"/>
  <c r="E13" i="19"/>
  <c r="E17" i="19"/>
  <c r="E29" i="19"/>
  <c r="E30" i="19"/>
  <c r="D14" i="19"/>
  <c r="D10" i="19" s="1"/>
  <c r="D15" i="19"/>
  <c r="D16" i="19"/>
  <c r="D17" i="19"/>
  <c r="AZ17" i="19" s="1"/>
  <c r="D21" i="19"/>
  <c r="D55" i="19" s="1"/>
  <c r="D57" i="19" s="1"/>
  <c r="D22" i="19"/>
  <c r="D23" i="19"/>
  <c r="D24" i="19"/>
  <c r="D27" i="19"/>
  <c r="D30" i="19" s="1"/>
  <c r="D29" i="19"/>
  <c r="E27" i="19" s="1"/>
  <c r="F27" i="19" s="1"/>
  <c r="G27" i="19" s="1"/>
  <c r="D33" i="19"/>
  <c r="D35" i="19" s="1"/>
  <c r="D34" i="19"/>
  <c r="D39" i="19"/>
  <c r="D40" i="19"/>
  <c r="D44" i="19"/>
  <c r="D45" i="19"/>
  <c r="D51" i="19" s="1"/>
  <c r="D56" i="19"/>
  <c r="D61" i="19"/>
  <c r="D62" i="19"/>
  <c r="D67" i="19"/>
  <c r="D73" i="19" s="1"/>
  <c r="AY14" i="20"/>
  <c r="AY10" i="20" s="1"/>
  <c r="AY13" i="20" s="1"/>
  <c r="AY15" i="20"/>
  <c r="AY16" i="20"/>
  <c r="AY17" i="20"/>
  <c r="AY29" i="20"/>
  <c r="AX14" i="20"/>
  <c r="AX10" i="20" s="1"/>
  <c r="AX13" i="20" s="1"/>
  <c r="AX15" i="20"/>
  <c r="AX16" i="20"/>
  <c r="AX17" i="20"/>
  <c r="AX29" i="20"/>
  <c r="AW14" i="20"/>
  <c r="AW10" i="20" s="1"/>
  <c r="AW13" i="20" s="1"/>
  <c r="AX21" i="20" s="1"/>
  <c r="AW15" i="20"/>
  <c r="AW16" i="20"/>
  <c r="AW17" i="20"/>
  <c r="AW29" i="20"/>
  <c r="AV14" i="20"/>
  <c r="AV15" i="20"/>
  <c r="AV10" i="20" s="1"/>
  <c r="AV16" i="20"/>
  <c r="AV13" i="20"/>
  <c r="AV17" i="20"/>
  <c r="AV29" i="20"/>
  <c r="AU14" i="20"/>
  <c r="AU10" i="20" s="1"/>
  <c r="AU13" i="20" s="1"/>
  <c r="AU15" i="20"/>
  <c r="AU16" i="20"/>
  <c r="AU17" i="20"/>
  <c r="AU29" i="20"/>
  <c r="AT14" i="20"/>
  <c r="AT15" i="20"/>
  <c r="AT16" i="20"/>
  <c r="AT10" i="20"/>
  <c r="AT13" i="20"/>
  <c r="AT17" i="20"/>
  <c r="AT29" i="20"/>
  <c r="AS16" i="20"/>
  <c r="AS21" i="20"/>
  <c r="AS22" i="20"/>
  <c r="AS56" i="20" s="1"/>
  <c r="AS24" i="20"/>
  <c r="AS29" i="20"/>
  <c r="AS34" i="20"/>
  <c r="AS40" i="20" s="1"/>
  <c r="AS44" i="20"/>
  <c r="AS50" i="20" s="1"/>
  <c r="AS45" i="20"/>
  <c r="AS51" i="20" s="1"/>
  <c r="AS46" i="20"/>
  <c r="AS62" i="20"/>
  <c r="AS66" i="20"/>
  <c r="AR14" i="20"/>
  <c r="AR15" i="20"/>
  <c r="AR16" i="20"/>
  <c r="AS17" i="20" s="1"/>
  <c r="AR17" i="20"/>
  <c r="AR29" i="20"/>
  <c r="AQ14" i="20"/>
  <c r="AQ10" i="20" s="1"/>
  <c r="AQ15" i="20"/>
  <c r="AQ16" i="20"/>
  <c r="AQ13" i="20"/>
  <c r="AQ17" i="20"/>
  <c r="AQ29" i="20"/>
  <c r="AP14" i="20"/>
  <c r="AP15" i="20"/>
  <c r="AP16" i="20"/>
  <c r="AP10" i="20"/>
  <c r="AP13" i="20" s="1"/>
  <c r="AP17" i="20"/>
  <c r="AP29" i="20"/>
  <c r="AO14" i="20"/>
  <c r="AO15" i="20"/>
  <c r="AO16" i="20"/>
  <c r="AO17" i="20"/>
  <c r="AO29" i="20"/>
  <c r="AN14" i="20"/>
  <c r="AN15" i="20"/>
  <c r="AN10" i="20" s="1"/>
  <c r="AN16" i="20"/>
  <c r="AN13" i="20"/>
  <c r="AN17" i="20"/>
  <c r="AN29" i="20"/>
  <c r="AM14" i="20"/>
  <c r="AM10" i="20" s="1"/>
  <c r="AM13" i="20" s="1"/>
  <c r="AM15" i="20"/>
  <c r="AM16" i="20"/>
  <c r="AM17" i="20"/>
  <c r="AM29" i="20"/>
  <c r="AL14" i="20"/>
  <c r="AL15" i="20"/>
  <c r="AL16" i="20"/>
  <c r="AL10" i="20" s="1"/>
  <c r="AL13" i="20" s="1"/>
  <c r="AL17" i="20"/>
  <c r="AL29" i="20"/>
  <c r="AK14" i="20"/>
  <c r="AK15" i="20"/>
  <c r="AK16" i="20"/>
  <c r="AK10" i="20"/>
  <c r="AK13" i="20"/>
  <c r="AK17" i="20"/>
  <c r="AK29" i="20"/>
  <c r="AJ14" i="20"/>
  <c r="AJ10" i="20" s="1"/>
  <c r="AJ13" i="20" s="1"/>
  <c r="AJ15" i="20"/>
  <c r="AJ16" i="20"/>
  <c r="AJ17" i="20"/>
  <c r="AJ29" i="20"/>
  <c r="AI14" i="20"/>
  <c r="AI15" i="20"/>
  <c r="AI16" i="20"/>
  <c r="AI17" i="20"/>
  <c r="AI29" i="20"/>
  <c r="AH14" i="20"/>
  <c r="AH10" i="20" s="1"/>
  <c r="AH13" i="20" s="1"/>
  <c r="AH15" i="20"/>
  <c r="AH16" i="20"/>
  <c r="AH17" i="20"/>
  <c r="AH29" i="20"/>
  <c r="AG14" i="20"/>
  <c r="AG10" i="20" s="1"/>
  <c r="AG13" i="20" s="1"/>
  <c r="AG15" i="20"/>
  <c r="AG16" i="20"/>
  <c r="AG17" i="20"/>
  <c r="AG29" i="20"/>
  <c r="AF14" i="20"/>
  <c r="AF15" i="20"/>
  <c r="AF10" i="20" s="1"/>
  <c r="AF16" i="20"/>
  <c r="AF13" i="20"/>
  <c r="AF17" i="20"/>
  <c r="AF29" i="20"/>
  <c r="AE14" i="20"/>
  <c r="AE10" i="20" s="1"/>
  <c r="AE13" i="20" s="1"/>
  <c r="AE17" i="20"/>
  <c r="AE21" i="20"/>
  <c r="AE22" i="20"/>
  <c r="AE24" i="20"/>
  <c r="AE29" i="20"/>
  <c r="AE34" i="20"/>
  <c r="AE40" i="20" s="1"/>
  <c r="AE45" i="20"/>
  <c r="AE51" i="20"/>
  <c r="AE56" i="20"/>
  <c r="AE62" i="20"/>
  <c r="AE66" i="20"/>
  <c r="AE67" i="20"/>
  <c r="AE73" i="20" s="1"/>
  <c r="AD14" i="20"/>
  <c r="AE15" i="20" s="1"/>
  <c r="AD15" i="20"/>
  <c r="AE16" i="20" s="1"/>
  <c r="AD16" i="20"/>
  <c r="AD10" i="20"/>
  <c r="AD13" i="20"/>
  <c r="AD17" i="20"/>
  <c r="AD29" i="20"/>
  <c r="AC14" i="20"/>
  <c r="AC15" i="20"/>
  <c r="AC16" i="20"/>
  <c r="AC10" i="20"/>
  <c r="AC13" i="20" s="1"/>
  <c r="AC17" i="20"/>
  <c r="AC29" i="20"/>
  <c r="AB14" i="20"/>
  <c r="AB15" i="20"/>
  <c r="AB16" i="20"/>
  <c r="AB17" i="20"/>
  <c r="AB29" i="20"/>
  <c r="AA14" i="20"/>
  <c r="AA10" i="20" s="1"/>
  <c r="AA13" i="20" s="1"/>
  <c r="AA15" i="20"/>
  <c r="AA16" i="20"/>
  <c r="AA17" i="20"/>
  <c r="AA29" i="20"/>
  <c r="Z14" i="20"/>
  <c r="Z15" i="20"/>
  <c r="Z16" i="20"/>
  <c r="Z17" i="20"/>
  <c r="Z29" i="20"/>
  <c r="Y14" i="20"/>
  <c r="Y10" i="20" s="1"/>
  <c r="Y13" i="20" s="1"/>
  <c r="Y15" i="20"/>
  <c r="Y16" i="20"/>
  <c r="Y17" i="20"/>
  <c r="Y29" i="20"/>
  <c r="X14" i="20"/>
  <c r="X15" i="20"/>
  <c r="X10" i="20" s="1"/>
  <c r="X13" i="20" s="1"/>
  <c r="Y22" i="20" s="1"/>
  <c r="X16" i="20"/>
  <c r="X17" i="20"/>
  <c r="X21" i="20"/>
  <c r="X29" i="20"/>
  <c r="X66" i="20"/>
  <c r="W14" i="20"/>
  <c r="W10" i="20" s="1"/>
  <c r="W13" i="20" s="1"/>
  <c r="W15" i="20"/>
  <c r="W16" i="20"/>
  <c r="W17" i="20"/>
  <c r="W29" i="20"/>
  <c r="V14" i="20"/>
  <c r="V15" i="20"/>
  <c r="V16" i="20"/>
  <c r="V10" i="20"/>
  <c r="V13" i="20"/>
  <c r="V17" i="20"/>
  <c r="V29" i="20"/>
  <c r="U14" i="20"/>
  <c r="U15" i="20"/>
  <c r="U16" i="20"/>
  <c r="U10" i="20"/>
  <c r="U13" i="20" s="1"/>
  <c r="U17" i="20"/>
  <c r="U29" i="20"/>
  <c r="T14" i="20"/>
  <c r="T15" i="20"/>
  <c r="T16" i="20"/>
  <c r="T10" i="20"/>
  <c r="T13" i="20" s="1"/>
  <c r="T17" i="20"/>
  <c r="T29" i="20"/>
  <c r="S14" i="20"/>
  <c r="S15" i="20"/>
  <c r="S16" i="20"/>
  <c r="S17" i="20"/>
  <c r="S29" i="20"/>
  <c r="R14" i="20"/>
  <c r="R10" i="20" s="1"/>
  <c r="R13" i="20" s="1"/>
  <c r="R15" i="20"/>
  <c r="R16" i="20"/>
  <c r="R17" i="20"/>
  <c r="R29" i="20"/>
  <c r="Q14" i="20"/>
  <c r="Q15" i="20"/>
  <c r="Q16" i="20"/>
  <c r="Q17" i="20"/>
  <c r="Q29" i="20"/>
  <c r="P14" i="20"/>
  <c r="P15" i="20"/>
  <c r="P10" i="20" s="1"/>
  <c r="P13" i="20" s="1"/>
  <c r="P16" i="20"/>
  <c r="P17" i="20"/>
  <c r="P29" i="20"/>
  <c r="O14" i="20"/>
  <c r="O15" i="20"/>
  <c r="O16" i="20"/>
  <c r="O10" i="20"/>
  <c r="O13" i="20" s="1"/>
  <c r="P22" i="20" s="1"/>
  <c r="O17" i="20"/>
  <c r="O29" i="20"/>
  <c r="N14" i="20"/>
  <c r="N15" i="20"/>
  <c r="N16" i="20"/>
  <c r="N10" i="20"/>
  <c r="N13" i="20"/>
  <c r="N17" i="20"/>
  <c r="N29" i="20"/>
  <c r="M14" i="20"/>
  <c r="M15" i="20"/>
  <c r="M16" i="20"/>
  <c r="M17" i="20"/>
  <c r="M29" i="20"/>
  <c r="L16" i="20"/>
  <c r="L21" i="20"/>
  <c r="L22" i="20"/>
  <c r="L23" i="20"/>
  <c r="L24" i="20"/>
  <c r="L29" i="20"/>
  <c r="L33" i="20"/>
  <c r="L34" i="20"/>
  <c r="L40" i="20"/>
  <c r="L44" i="20"/>
  <c r="L45" i="20"/>
  <c r="L51" i="20" s="1"/>
  <c r="L55" i="20"/>
  <c r="L56" i="20"/>
  <c r="L61" i="20"/>
  <c r="L66" i="20"/>
  <c r="L67" i="20"/>
  <c r="L68" i="20" s="1"/>
  <c r="L72" i="20"/>
  <c r="L73" i="20"/>
  <c r="K14" i="20"/>
  <c r="K15" i="20"/>
  <c r="K16" i="20"/>
  <c r="L17" i="20" s="1"/>
  <c r="K17" i="20"/>
  <c r="K29" i="20"/>
  <c r="J14" i="20"/>
  <c r="J15" i="20"/>
  <c r="J16" i="20"/>
  <c r="J17" i="20"/>
  <c r="J29" i="20"/>
  <c r="I14" i="20"/>
  <c r="I15" i="20"/>
  <c r="I16" i="20"/>
  <c r="I17" i="20"/>
  <c r="I29" i="20"/>
  <c r="H14" i="20"/>
  <c r="H15" i="20"/>
  <c r="H10" i="20" s="1"/>
  <c r="H16" i="20"/>
  <c r="H13" i="20"/>
  <c r="H17" i="20"/>
  <c r="H29" i="20"/>
  <c r="G14" i="20"/>
  <c r="G10" i="20" s="1"/>
  <c r="G13" i="20" s="1"/>
  <c r="G15" i="20"/>
  <c r="G16" i="20"/>
  <c r="G17" i="20"/>
  <c r="G29" i="20"/>
  <c r="F14" i="20"/>
  <c r="F15" i="20"/>
  <c r="F16" i="20"/>
  <c r="F10" i="20"/>
  <c r="F13" i="20"/>
  <c r="F17" i="20"/>
  <c r="F29" i="20"/>
  <c r="E14" i="20"/>
  <c r="E15" i="20"/>
  <c r="E16" i="20"/>
  <c r="E10" i="20"/>
  <c r="E13" i="20" s="1"/>
  <c r="E17" i="20"/>
  <c r="E29" i="20"/>
  <c r="D14" i="20"/>
  <c r="D15" i="20"/>
  <c r="D16" i="20"/>
  <c r="D17" i="20"/>
  <c r="D21" i="20"/>
  <c r="D27" i="20"/>
  <c r="D29" i="20"/>
  <c r="AY14" i="21"/>
  <c r="AY15" i="21"/>
  <c r="AY16" i="21"/>
  <c r="AY10" i="21"/>
  <c r="AY13" i="21" s="1"/>
  <c r="AY17" i="21"/>
  <c r="AY29" i="21"/>
  <c r="AX14" i="21"/>
  <c r="AX10" i="21" s="1"/>
  <c r="AX13" i="21" s="1"/>
  <c r="AX15" i="21"/>
  <c r="AX16" i="21"/>
  <c r="AX17" i="21"/>
  <c r="AX29" i="21"/>
  <c r="AW14" i="21"/>
  <c r="AW15" i="21"/>
  <c r="AW16" i="21"/>
  <c r="AW17" i="21"/>
  <c r="AW29" i="21"/>
  <c r="AV14" i="21"/>
  <c r="AV10" i="21" s="1"/>
  <c r="AV13" i="21" s="1"/>
  <c r="AV15" i="21"/>
  <c r="AV16" i="21"/>
  <c r="AV17" i="21"/>
  <c r="AV29" i="21"/>
  <c r="AU14" i="21"/>
  <c r="AU15" i="21"/>
  <c r="AU16" i="21"/>
  <c r="AU10" i="21"/>
  <c r="AU13" i="21" s="1"/>
  <c r="AU17" i="21"/>
  <c r="AU29" i="21"/>
  <c r="AT14" i="21"/>
  <c r="AT10" i="21" s="1"/>
  <c r="AT13" i="21" s="1"/>
  <c r="AT15" i="21"/>
  <c r="AT16" i="21"/>
  <c r="AT17" i="21"/>
  <c r="AT29" i="21"/>
  <c r="AS14" i="21"/>
  <c r="AS15" i="21"/>
  <c r="AS16" i="21"/>
  <c r="AS17" i="21"/>
  <c r="AS29" i="21"/>
  <c r="AR14" i="21"/>
  <c r="AR15" i="21"/>
  <c r="AR16" i="21"/>
  <c r="AR10" i="21"/>
  <c r="AR13" i="21" s="1"/>
  <c r="AR17" i="21"/>
  <c r="AR29" i="21"/>
  <c r="AQ14" i="21"/>
  <c r="AQ15" i="21"/>
  <c r="AQ16" i="21"/>
  <c r="AQ10" i="21"/>
  <c r="AQ13" i="21" s="1"/>
  <c r="AQ17" i="21"/>
  <c r="AQ29" i="21"/>
  <c r="AP14" i="21"/>
  <c r="AP10" i="21" s="1"/>
  <c r="AP13" i="21" s="1"/>
  <c r="AP15" i="21"/>
  <c r="AP16" i="21"/>
  <c r="AP17" i="21"/>
  <c r="AP29" i="21"/>
  <c r="AO14" i="21"/>
  <c r="AO15" i="21"/>
  <c r="AO16" i="21"/>
  <c r="AO17" i="21"/>
  <c r="AO29" i="21"/>
  <c r="AN14" i="21"/>
  <c r="AN10" i="21" s="1"/>
  <c r="AN13" i="21" s="1"/>
  <c r="AN15" i="21"/>
  <c r="AN16" i="21"/>
  <c r="AN17" i="21"/>
  <c r="AN29" i="21"/>
  <c r="AM14" i="21"/>
  <c r="AM15" i="21"/>
  <c r="AM16" i="21"/>
  <c r="AM10" i="21"/>
  <c r="AM13" i="21" s="1"/>
  <c r="AM17" i="21"/>
  <c r="AM21" i="21"/>
  <c r="AM29" i="21"/>
  <c r="AL14" i="21"/>
  <c r="AL15" i="21"/>
  <c r="AL10" i="21" s="1"/>
  <c r="AL13" i="21" s="1"/>
  <c r="AL16" i="21"/>
  <c r="AL17" i="21"/>
  <c r="AL29" i="21"/>
  <c r="AK14" i="21"/>
  <c r="AK15" i="21"/>
  <c r="AK16" i="21"/>
  <c r="AK17" i="21"/>
  <c r="AK29" i="21"/>
  <c r="AJ14" i="21"/>
  <c r="AJ15" i="21"/>
  <c r="AJ16" i="21"/>
  <c r="AJ10" i="21"/>
  <c r="AJ13" i="21" s="1"/>
  <c r="AJ17" i="21"/>
  <c r="AJ29" i="21"/>
  <c r="AI14" i="21"/>
  <c r="AI15" i="21"/>
  <c r="AI16" i="21"/>
  <c r="AI10" i="21"/>
  <c r="AI13" i="21" s="1"/>
  <c r="AI17" i="21"/>
  <c r="AI29" i="21"/>
  <c r="AH14" i="21"/>
  <c r="AH10" i="21" s="1"/>
  <c r="AH13" i="21" s="1"/>
  <c r="AH15" i="21"/>
  <c r="AH16" i="21"/>
  <c r="AH17" i="21"/>
  <c r="AH29" i="21"/>
  <c r="AG14" i="21"/>
  <c r="AG15" i="21"/>
  <c r="AG16" i="21"/>
  <c r="AG17" i="21"/>
  <c r="AG29" i="21"/>
  <c r="AF14" i="21"/>
  <c r="AF10" i="21" s="1"/>
  <c r="AF13" i="21" s="1"/>
  <c r="AF15" i="21"/>
  <c r="AF16" i="21"/>
  <c r="AF17" i="21"/>
  <c r="AF29" i="21"/>
  <c r="AE14" i="21"/>
  <c r="AE15" i="21"/>
  <c r="AE16" i="21"/>
  <c r="AE10" i="21"/>
  <c r="AE13" i="21" s="1"/>
  <c r="AE17" i="21"/>
  <c r="AE29" i="21"/>
  <c r="AD14" i="21"/>
  <c r="AD10" i="21" s="1"/>
  <c r="AD13" i="21" s="1"/>
  <c r="AD15" i="21"/>
  <c r="AD16" i="21"/>
  <c r="AD17" i="21"/>
  <c r="AD29" i="21"/>
  <c r="AC14" i="21"/>
  <c r="AC15" i="21"/>
  <c r="AC10" i="21" s="1"/>
  <c r="AC13" i="21" s="1"/>
  <c r="AC16" i="21"/>
  <c r="AC17" i="21"/>
  <c r="AC29" i="21"/>
  <c r="AB14" i="21"/>
  <c r="AB15" i="21"/>
  <c r="AB16" i="21"/>
  <c r="AB10" i="21"/>
  <c r="AB13" i="21" s="1"/>
  <c r="AB17" i="21"/>
  <c r="AB29" i="21"/>
  <c r="AA14" i="21"/>
  <c r="AA15" i="21"/>
  <c r="AA16" i="21"/>
  <c r="AA10" i="21"/>
  <c r="AA13" i="21" s="1"/>
  <c r="AA17" i="21"/>
  <c r="AA29" i="21"/>
  <c r="Z14" i="21"/>
  <c r="Z15" i="21"/>
  <c r="Z16" i="21"/>
  <c r="Z17" i="21"/>
  <c r="Z29" i="21"/>
  <c r="Y14" i="21"/>
  <c r="Y10" i="21" s="1"/>
  <c r="Y13" i="21" s="1"/>
  <c r="Z21" i="21" s="1"/>
  <c r="Y15" i="21"/>
  <c r="Y16" i="21"/>
  <c r="Y17" i="21"/>
  <c r="Y29" i="21"/>
  <c r="X14" i="21"/>
  <c r="X10" i="21" s="1"/>
  <c r="X13" i="21" s="1"/>
  <c r="X15" i="21"/>
  <c r="X16" i="21"/>
  <c r="X17" i="21"/>
  <c r="X29" i="21"/>
  <c r="W14" i="21"/>
  <c r="W15" i="21"/>
  <c r="W16" i="21"/>
  <c r="W10" i="21"/>
  <c r="W13" i="21" s="1"/>
  <c r="W17" i="21"/>
  <c r="W29" i="21"/>
  <c r="V14" i="21"/>
  <c r="V15" i="21"/>
  <c r="V16" i="21"/>
  <c r="V17" i="21"/>
  <c r="V29" i="21"/>
  <c r="U14" i="21"/>
  <c r="U15" i="21"/>
  <c r="U16" i="21"/>
  <c r="U17" i="21"/>
  <c r="U29" i="21"/>
  <c r="T14" i="21"/>
  <c r="T10" i="21" s="1"/>
  <c r="T13" i="21" s="1"/>
  <c r="T15" i="21"/>
  <c r="T16" i="21"/>
  <c r="T17" i="21"/>
  <c r="T29" i="21"/>
  <c r="S21" i="21"/>
  <c r="S22" i="21"/>
  <c r="S34" i="21" s="1"/>
  <c r="S40" i="21" s="1"/>
  <c r="S29" i="21"/>
  <c r="S45" i="21"/>
  <c r="S51" i="21" s="1"/>
  <c r="R14" i="21"/>
  <c r="S15" i="21" s="1"/>
  <c r="R15" i="21"/>
  <c r="S16" i="21" s="1"/>
  <c r="R16" i="21"/>
  <c r="S17" i="21" s="1"/>
  <c r="R17" i="21"/>
  <c r="R29" i="21"/>
  <c r="Q14" i="21"/>
  <c r="Q15" i="21"/>
  <c r="Q16" i="21"/>
  <c r="Q17" i="21"/>
  <c r="Q29" i="21"/>
  <c r="P14" i="21"/>
  <c r="P15" i="21"/>
  <c r="P16" i="21"/>
  <c r="P10" i="21"/>
  <c r="P13" i="21"/>
  <c r="P17" i="21"/>
  <c r="P29" i="21"/>
  <c r="O14" i="21"/>
  <c r="O15" i="21"/>
  <c r="O16" i="21"/>
  <c r="O10" i="21"/>
  <c r="O13" i="21" s="1"/>
  <c r="O17" i="21"/>
  <c r="O29" i="21"/>
  <c r="N14" i="21"/>
  <c r="N15" i="21"/>
  <c r="N16" i="21"/>
  <c r="N17" i="21"/>
  <c r="N29" i="21"/>
  <c r="M14" i="21"/>
  <c r="M15" i="21"/>
  <c r="M16" i="21"/>
  <c r="M17" i="21"/>
  <c r="M29" i="21"/>
  <c r="L14" i="21"/>
  <c r="L10" i="21" s="1"/>
  <c r="L15" i="21"/>
  <c r="L16" i="21"/>
  <c r="L13" i="21"/>
  <c r="L17" i="21"/>
  <c r="L29" i="21"/>
  <c r="K14" i="21"/>
  <c r="K15" i="21"/>
  <c r="K16" i="21"/>
  <c r="K10" i="21"/>
  <c r="K13" i="21" s="1"/>
  <c r="K17" i="21"/>
  <c r="K29" i="21"/>
  <c r="J14" i="21"/>
  <c r="J15" i="21"/>
  <c r="J16" i="21"/>
  <c r="J17" i="21"/>
  <c r="J29" i="21"/>
  <c r="I14" i="21"/>
  <c r="I15" i="21"/>
  <c r="I16" i="21"/>
  <c r="I17" i="21"/>
  <c r="I29" i="21"/>
  <c r="H14" i="21"/>
  <c r="H10" i="21" s="1"/>
  <c r="H13" i="21" s="1"/>
  <c r="H15" i="21"/>
  <c r="H16" i="21"/>
  <c r="H17" i="21"/>
  <c r="H29" i="21"/>
  <c r="G14" i="21"/>
  <c r="G15" i="21"/>
  <c r="G16" i="21"/>
  <c r="G10" i="21"/>
  <c r="G13" i="21" s="1"/>
  <c r="G17" i="21"/>
  <c r="G29" i="21"/>
  <c r="F14" i="21"/>
  <c r="F15" i="21"/>
  <c r="F16" i="21"/>
  <c r="F17" i="21"/>
  <c r="F29" i="21"/>
  <c r="E14" i="21"/>
  <c r="E15" i="21"/>
  <c r="E16" i="21"/>
  <c r="E17" i="21"/>
  <c r="E29" i="21"/>
  <c r="D14" i="21"/>
  <c r="D10" i="21" s="1"/>
  <c r="D15" i="21"/>
  <c r="D16" i="21"/>
  <c r="D13" i="21"/>
  <c r="D17" i="21"/>
  <c r="D27" i="21"/>
  <c r="E27" i="21" s="1"/>
  <c r="E30" i="21" s="1"/>
  <c r="D29" i="21"/>
  <c r="D30" i="21"/>
  <c r="B21" i="18"/>
  <c r="B21" i="19"/>
  <c r="AP21" i="19" s="1"/>
  <c r="B21" i="20"/>
  <c r="AH21" i="20" s="1"/>
  <c r="B21" i="21"/>
  <c r="D151" i="22"/>
  <c r="E151" i="22"/>
  <c r="F151" i="22"/>
  <c r="G151" i="22"/>
  <c r="H151" i="22"/>
  <c r="I151" i="22"/>
  <c r="J151" i="22"/>
  <c r="K151" i="22"/>
  <c r="L151" i="22"/>
  <c r="M151" i="22"/>
  <c r="N151" i="22"/>
  <c r="O151" i="22"/>
  <c r="P151" i="22"/>
  <c r="Q151" i="22"/>
  <c r="R151" i="22"/>
  <c r="S151" i="22"/>
  <c r="T151" i="22"/>
  <c r="U151" i="22"/>
  <c r="V151" i="22"/>
  <c r="W151" i="22"/>
  <c r="X151" i="22"/>
  <c r="Y151" i="22"/>
  <c r="Z151" i="22"/>
  <c r="AA151" i="22"/>
  <c r="AB151" i="22"/>
  <c r="AC151" i="22"/>
  <c r="AD151" i="22"/>
  <c r="AE151" i="22"/>
  <c r="AF151" i="22"/>
  <c r="AG151" i="22"/>
  <c r="AH151" i="22"/>
  <c r="AI151" i="22"/>
  <c r="AJ151" i="22"/>
  <c r="AK151" i="22"/>
  <c r="AL151" i="22"/>
  <c r="AM151" i="22"/>
  <c r="AN151" i="22"/>
  <c r="AO151" i="22"/>
  <c r="AP151" i="22"/>
  <c r="AQ151" i="22"/>
  <c r="AR151" i="22"/>
  <c r="AS151" i="22"/>
  <c r="AT151" i="22"/>
  <c r="AU151" i="22"/>
  <c r="AV151" i="22"/>
  <c r="AW151" i="22"/>
  <c r="AX151" i="22"/>
  <c r="C151" i="22"/>
  <c r="D142" i="22"/>
  <c r="E142" i="22"/>
  <c r="F142" i="22"/>
  <c r="G142" i="22"/>
  <c r="H142" i="22"/>
  <c r="I142" i="22"/>
  <c r="J142" i="22"/>
  <c r="K142" i="22"/>
  <c r="L142" i="22"/>
  <c r="M142" i="22"/>
  <c r="N142" i="22"/>
  <c r="O142" i="22"/>
  <c r="P142" i="22"/>
  <c r="Q142" i="22"/>
  <c r="R142" i="22"/>
  <c r="S142" i="22"/>
  <c r="T142" i="22"/>
  <c r="U142" i="22"/>
  <c r="V142" i="22"/>
  <c r="W142" i="22"/>
  <c r="X142" i="22"/>
  <c r="Y142" i="22"/>
  <c r="Z142" i="22"/>
  <c r="AA142" i="22"/>
  <c r="AB142" i="22"/>
  <c r="AC142" i="22"/>
  <c r="AD142" i="22"/>
  <c r="AE142" i="22"/>
  <c r="AF142" i="22"/>
  <c r="AG142" i="22"/>
  <c r="AH142" i="22"/>
  <c r="AI142" i="22"/>
  <c r="AJ142" i="22"/>
  <c r="AK142" i="22"/>
  <c r="AL142" i="22"/>
  <c r="AM142" i="22"/>
  <c r="AN142" i="22"/>
  <c r="AO142" i="22"/>
  <c r="AP142" i="22"/>
  <c r="AQ142" i="22"/>
  <c r="AR142" i="22"/>
  <c r="AS142" i="22"/>
  <c r="AT142" i="22"/>
  <c r="AU142" i="22"/>
  <c r="AV142" i="22"/>
  <c r="AW142" i="22"/>
  <c r="AX142" i="22"/>
  <c r="C142" i="22"/>
  <c r="D133" i="22"/>
  <c r="E133" i="22"/>
  <c r="F133" i="22"/>
  <c r="G133" i="22"/>
  <c r="H133" i="22"/>
  <c r="I133" i="22"/>
  <c r="J133" i="22"/>
  <c r="K133" i="22"/>
  <c r="L133" i="22"/>
  <c r="M133" i="22"/>
  <c r="N133" i="22"/>
  <c r="O133" i="22"/>
  <c r="P133" i="22"/>
  <c r="Q133" i="22"/>
  <c r="R133" i="22"/>
  <c r="S133" i="22"/>
  <c r="T133" i="22"/>
  <c r="U133" i="22"/>
  <c r="V133" i="22"/>
  <c r="W133" i="22"/>
  <c r="X133" i="22"/>
  <c r="Y133" i="22"/>
  <c r="Z133" i="22"/>
  <c r="AA133" i="22"/>
  <c r="AB133" i="22"/>
  <c r="AC133" i="22"/>
  <c r="AD133" i="22"/>
  <c r="AE133" i="22"/>
  <c r="AF133" i="22"/>
  <c r="AG133" i="22"/>
  <c r="AH133" i="22"/>
  <c r="AI133" i="22"/>
  <c r="AJ133" i="22"/>
  <c r="AK133" i="22"/>
  <c r="AL133" i="22"/>
  <c r="AM133" i="22"/>
  <c r="AN133" i="22"/>
  <c r="AO133" i="22"/>
  <c r="AP133" i="22"/>
  <c r="AQ133" i="22"/>
  <c r="AR133" i="22"/>
  <c r="AS133" i="22"/>
  <c r="AT133" i="22"/>
  <c r="AU133" i="22"/>
  <c r="AV133" i="22"/>
  <c r="AW133" i="22"/>
  <c r="AX133" i="22"/>
  <c r="C133" i="22"/>
  <c r="D124" i="22"/>
  <c r="E124" i="22"/>
  <c r="F124" i="22"/>
  <c r="G124" i="22"/>
  <c r="H124" i="22"/>
  <c r="I124" i="22"/>
  <c r="J124" i="22"/>
  <c r="K124" i="22"/>
  <c r="L124" i="22"/>
  <c r="M124" i="22"/>
  <c r="N124" i="22"/>
  <c r="O124" i="22"/>
  <c r="P124" i="22"/>
  <c r="Q124" i="22"/>
  <c r="R124" i="22"/>
  <c r="S124" i="22"/>
  <c r="T124" i="22"/>
  <c r="U124" i="22"/>
  <c r="V124" i="22"/>
  <c r="W124" i="22"/>
  <c r="X124" i="22"/>
  <c r="Y124" i="22"/>
  <c r="Z124" i="22"/>
  <c r="AA124" i="22"/>
  <c r="AB124" i="22"/>
  <c r="AC124" i="22"/>
  <c r="AD124" i="22"/>
  <c r="AE124" i="22"/>
  <c r="AF124" i="22"/>
  <c r="AG124" i="22"/>
  <c r="AH124" i="22"/>
  <c r="AI124" i="22"/>
  <c r="AJ124" i="22"/>
  <c r="AK124" i="22"/>
  <c r="AL124" i="22"/>
  <c r="AM124" i="22"/>
  <c r="AN124" i="22"/>
  <c r="AO124" i="22"/>
  <c r="AP124" i="22"/>
  <c r="AQ124" i="22"/>
  <c r="AR124" i="22"/>
  <c r="AS124" i="22"/>
  <c r="AT124" i="22"/>
  <c r="AU124" i="22"/>
  <c r="AV124" i="22"/>
  <c r="AW124" i="22"/>
  <c r="AX124" i="22"/>
  <c r="C124" i="22"/>
  <c r="D115" i="22"/>
  <c r="E115" i="22"/>
  <c r="F115" i="22"/>
  <c r="G115" i="22"/>
  <c r="H115" i="22"/>
  <c r="I115" i="22"/>
  <c r="J115" i="22"/>
  <c r="K115" i="22"/>
  <c r="L115" i="22"/>
  <c r="M115" i="22"/>
  <c r="N115" i="22"/>
  <c r="O115" i="22"/>
  <c r="P115" i="22"/>
  <c r="Q115" i="22"/>
  <c r="R115" i="22"/>
  <c r="S115" i="22"/>
  <c r="T115" i="22"/>
  <c r="U115" i="22"/>
  <c r="V115" i="22"/>
  <c r="W115" i="22"/>
  <c r="X115" i="22"/>
  <c r="Y115" i="22"/>
  <c r="Z115" i="22"/>
  <c r="AA115" i="22"/>
  <c r="AB115" i="22"/>
  <c r="AC115" i="22"/>
  <c r="AD115" i="22"/>
  <c r="AE115" i="22"/>
  <c r="AF115" i="22"/>
  <c r="AG115" i="22"/>
  <c r="AH115" i="22"/>
  <c r="AI115" i="22"/>
  <c r="AJ115" i="22"/>
  <c r="AK115" i="22"/>
  <c r="AL115" i="22"/>
  <c r="AM115" i="22"/>
  <c r="AN115" i="22"/>
  <c r="AO115" i="22"/>
  <c r="AP115" i="22"/>
  <c r="AQ115" i="22"/>
  <c r="AR115" i="22"/>
  <c r="AS115" i="22"/>
  <c r="AT115" i="22"/>
  <c r="AU115" i="22"/>
  <c r="AV115" i="22"/>
  <c r="AW115" i="22"/>
  <c r="AX115" i="22"/>
  <c r="C115" i="22"/>
  <c r="D106" i="22"/>
  <c r="E106" i="22"/>
  <c r="F106" i="22"/>
  <c r="G106" i="22"/>
  <c r="H106" i="22"/>
  <c r="I106" i="22"/>
  <c r="J106" i="22"/>
  <c r="K106" i="22"/>
  <c r="L106" i="22"/>
  <c r="M106" i="22"/>
  <c r="N106" i="22"/>
  <c r="O106" i="22"/>
  <c r="P106" i="22"/>
  <c r="Q106" i="22"/>
  <c r="R106" i="22"/>
  <c r="S106" i="22"/>
  <c r="T106" i="22"/>
  <c r="U106" i="22"/>
  <c r="V106" i="22"/>
  <c r="W106" i="22"/>
  <c r="X106" i="22"/>
  <c r="Y106" i="22"/>
  <c r="Z106" i="22"/>
  <c r="AA106" i="22"/>
  <c r="AB106" i="22"/>
  <c r="AC106" i="22"/>
  <c r="AD106" i="22"/>
  <c r="AE106" i="22"/>
  <c r="AF106" i="22"/>
  <c r="AG106" i="22"/>
  <c r="AH106" i="22"/>
  <c r="AI106" i="22"/>
  <c r="AJ106" i="22"/>
  <c r="AK106" i="22"/>
  <c r="AL106" i="22"/>
  <c r="AM106" i="22"/>
  <c r="AN106" i="22"/>
  <c r="AO106" i="22"/>
  <c r="AP106" i="22"/>
  <c r="AQ106" i="22"/>
  <c r="AR106" i="22"/>
  <c r="AS106" i="22"/>
  <c r="AT106" i="22"/>
  <c r="AU106" i="22"/>
  <c r="AV106" i="22"/>
  <c r="AW106" i="22"/>
  <c r="AX106" i="22"/>
  <c r="C106" i="22"/>
  <c r="C88" i="22"/>
  <c r="D88" i="22"/>
  <c r="E88" i="22"/>
  <c r="F88" i="22"/>
  <c r="G88" i="22"/>
  <c r="H88" i="22"/>
  <c r="I88" i="22"/>
  <c r="J88" i="22"/>
  <c r="K88" i="22"/>
  <c r="L88" i="22"/>
  <c r="M88" i="22"/>
  <c r="N88" i="22"/>
  <c r="O88" i="22"/>
  <c r="P88" i="22"/>
  <c r="Q88" i="22"/>
  <c r="R88" i="22"/>
  <c r="S88" i="22"/>
  <c r="T88" i="22"/>
  <c r="U88" i="22"/>
  <c r="V88" i="22"/>
  <c r="W88" i="22"/>
  <c r="X88" i="22"/>
  <c r="Y88" i="22"/>
  <c r="Z88" i="22"/>
  <c r="AA88" i="22"/>
  <c r="AB88" i="22"/>
  <c r="AC88" i="22"/>
  <c r="AD88" i="22"/>
  <c r="AE88" i="22"/>
  <c r="AF88" i="22"/>
  <c r="AG88" i="22"/>
  <c r="AH88" i="22"/>
  <c r="AI88" i="22"/>
  <c r="AJ88" i="22"/>
  <c r="AK88" i="22"/>
  <c r="AL88" i="22"/>
  <c r="AM88" i="22"/>
  <c r="AN88" i="22"/>
  <c r="AO88" i="22"/>
  <c r="AP88" i="22"/>
  <c r="AQ88" i="22"/>
  <c r="AR88" i="22"/>
  <c r="AS88" i="22"/>
  <c r="AT88" i="22"/>
  <c r="AU88" i="22"/>
  <c r="AV88" i="22"/>
  <c r="AW88" i="22"/>
  <c r="AX88" i="22"/>
  <c r="C89" i="22"/>
  <c r="D89" i="22"/>
  <c r="E89" i="22"/>
  <c r="F89" i="22"/>
  <c r="G89" i="22"/>
  <c r="H89" i="22"/>
  <c r="I89" i="22"/>
  <c r="J89" i="22"/>
  <c r="K89" i="22"/>
  <c r="L89" i="22"/>
  <c r="M89" i="22"/>
  <c r="N89" i="22"/>
  <c r="O89" i="22"/>
  <c r="P89" i="22"/>
  <c r="Q89" i="22"/>
  <c r="R89" i="22"/>
  <c r="S89" i="22"/>
  <c r="T89" i="22"/>
  <c r="U89" i="22"/>
  <c r="V89" i="22"/>
  <c r="W89" i="22"/>
  <c r="X89" i="22"/>
  <c r="Y89" i="22"/>
  <c r="Z89" i="22"/>
  <c r="AA89" i="22"/>
  <c r="AB89" i="22"/>
  <c r="AC89" i="22"/>
  <c r="AD89" i="22"/>
  <c r="AE89" i="22"/>
  <c r="AF89" i="22"/>
  <c r="AG89" i="22"/>
  <c r="AH89" i="22"/>
  <c r="AI89" i="22"/>
  <c r="AJ89" i="22"/>
  <c r="AK89" i="22"/>
  <c r="AL89" i="22"/>
  <c r="AM89" i="22"/>
  <c r="AN89" i="22"/>
  <c r="AO89" i="22"/>
  <c r="AP89" i="22"/>
  <c r="AQ89" i="22"/>
  <c r="AR89" i="22"/>
  <c r="AS89" i="22"/>
  <c r="AT89" i="22"/>
  <c r="AU89" i="22"/>
  <c r="AV89" i="22"/>
  <c r="AW89" i="22"/>
  <c r="AX89" i="22"/>
  <c r="C90" i="22"/>
  <c r="D90" i="22"/>
  <c r="E90" i="22"/>
  <c r="F90" i="22"/>
  <c r="G90" i="22"/>
  <c r="H90" i="22"/>
  <c r="I90" i="22"/>
  <c r="J90" i="22"/>
  <c r="K90" i="22"/>
  <c r="L90" i="22"/>
  <c r="M90" i="22"/>
  <c r="N90" i="22"/>
  <c r="O90" i="22"/>
  <c r="P90" i="22"/>
  <c r="Q90" i="22"/>
  <c r="R90" i="22"/>
  <c r="S90" i="22"/>
  <c r="T90" i="22"/>
  <c r="U90" i="22"/>
  <c r="V90" i="22"/>
  <c r="W90" i="22"/>
  <c r="X90" i="22"/>
  <c r="Y90" i="22"/>
  <c r="Z90" i="22"/>
  <c r="AA90" i="22"/>
  <c r="AB90" i="22"/>
  <c r="AC90" i="22"/>
  <c r="AD90" i="22"/>
  <c r="AE90" i="22"/>
  <c r="AF90" i="22"/>
  <c r="AG90" i="22"/>
  <c r="AH90" i="22"/>
  <c r="AI90" i="22"/>
  <c r="AJ90" i="22"/>
  <c r="AK90" i="22"/>
  <c r="AL90" i="22"/>
  <c r="AM90" i="22"/>
  <c r="AN90" i="22"/>
  <c r="AO90" i="22"/>
  <c r="AP90" i="22"/>
  <c r="AQ90" i="22"/>
  <c r="AR90" i="22"/>
  <c r="AS90" i="22"/>
  <c r="AT90" i="22"/>
  <c r="AU90" i="22"/>
  <c r="AV90" i="22"/>
  <c r="AW90" i="22"/>
  <c r="AX90" i="22"/>
  <c r="C91" i="22"/>
  <c r="D91" i="22"/>
  <c r="E91" i="22"/>
  <c r="F91" i="22"/>
  <c r="G91" i="22"/>
  <c r="H91" i="22"/>
  <c r="I91" i="22"/>
  <c r="J91" i="22"/>
  <c r="K91" i="22"/>
  <c r="L91" i="22"/>
  <c r="M91" i="22"/>
  <c r="N91" i="22"/>
  <c r="O91" i="22"/>
  <c r="P91" i="22"/>
  <c r="Q91" i="22"/>
  <c r="R91" i="22"/>
  <c r="S91" i="22"/>
  <c r="T91" i="22"/>
  <c r="U91" i="22"/>
  <c r="V91" i="22"/>
  <c r="W91" i="22"/>
  <c r="X91" i="22"/>
  <c r="Y91" i="22"/>
  <c r="Z91" i="22"/>
  <c r="AA91" i="22"/>
  <c r="AB91" i="22"/>
  <c r="AC91" i="22"/>
  <c r="AD91" i="22"/>
  <c r="AE91" i="22"/>
  <c r="AF91" i="22"/>
  <c r="AG91" i="22"/>
  <c r="AH91" i="22"/>
  <c r="AI91" i="22"/>
  <c r="AJ91" i="22"/>
  <c r="AK91" i="22"/>
  <c r="AL91" i="22"/>
  <c r="AM91" i="22"/>
  <c r="AN91" i="22"/>
  <c r="AO91" i="22"/>
  <c r="AP91" i="22"/>
  <c r="AQ91" i="22"/>
  <c r="AR91" i="22"/>
  <c r="AS91" i="22"/>
  <c r="AT91" i="22"/>
  <c r="AU91" i="22"/>
  <c r="AV91" i="22"/>
  <c r="AW91" i="22"/>
  <c r="AX91" i="22"/>
  <c r="C92" i="22"/>
  <c r="D92" i="22"/>
  <c r="E92" i="22"/>
  <c r="F92" i="22"/>
  <c r="G92" i="22"/>
  <c r="H92" i="22"/>
  <c r="I92" i="22"/>
  <c r="J92" i="22"/>
  <c r="K92" i="22"/>
  <c r="L92" i="22"/>
  <c r="M92" i="22"/>
  <c r="N92" i="22"/>
  <c r="O92" i="22"/>
  <c r="P92" i="22"/>
  <c r="Q92" i="22"/>
  <c r="R92" i="22"/>
  <c r="S92" i="22"/>
  <c r="T92" i="22"/>
  <c r="U92" i="22"/>
  <c r="V92" i="22"/>
  <c r="W92" i="22"/>
  <c r="X92" i="22"/>
  <c r="Y92" i="22"/>
  <c r="Z92" i="22"/>
  <c r="AA92" i="22"/>
  <c r="AB92" i="22"/>
  <c r="AC92" i="22"/>
  <c r="AD92" i="22"/>
  <c r="AE92" i="22"/>
  <c r="AF92" i="22"/>
  <c r="AG92" i="22"/>
  <c r="AH92" i="22"/>
  <c r="AI92" i="22"/>
  <c r="AJ92" i="22"/>
  <c r="AK92" i="22"/>
  <c r="AL92" i="22"/>
  <c r="AM92" i="22"/>
  <c r="AN92" i="22"/>
  <c r="AO92" i="22"/>
  <c r="AP92" i="22"/>
  <c r="AQ92" i="22"/>
  <c r="AR92" i="22"/>
  <c r="AS92" i="22"/>
  <c r="AT92" i="22"/>
  <c r="AU92" i="22"/>
  <c r="AV92" i="22"/>
  <c r="AW92" i="22"/>
  <c r="AX92" i="22"/>
  <c r="C93" i="22"/>
  <c r="D93" i="22"/>
  <c r="E93" i="22"/>
  <c r="F93" i="22"/>
  <c r="G93" i="22"/>
  <c r="H93" i="22"/>
  <c r="I93" i="22"/>
  <c r="J93" i="22"/>
  <c r="K93" i="22"/>
  <c r="L93" i="22"/>
  <c r="M93" i="22"/>
  <c r="N93" i="22"/>
  <c r="O93" i="22"/>
  <c r="P93" i="22"/>
  <c r="Q93" i="22"/>
  <c r="R93" i="22"/>
  <c r="S93" i="22"/>
  <c r="T93" i="22"/>
  <c r="U93" i="22"/>
  <c r="V93" i="22"/>
  <c r="W93" i="22"/>
  <c r="X93" i="22"/>
  <c r="Y93" i="22"/>
  <c r="Z93" i="22"/>
  <c r="AA93" i="22"/>
  <c r="AB93" i="22"/>
  <c r="AC93" i="22"/>
  <c r="AD93" i="22"/>
  <c r="AE93" i="22"/>
  <c r="AF93" i="22"/>
  <c r="AG93" i="22"/>
  <c r="AH93" i="22"/>
  <c r="AI93" i="22"/>
  <c r="AJ93" i="22"/>
  <c r="AK93" i="22"/>
  <c r="AL93" i="22"/>
  <c r="AM93" i="22"/>
  <c r="AN93" i="22"/>
  <c r="AO93" i="22"/>
  <c r="AP93" i="22"/>
  <c r="AQ93" i="22"/>
  <c r="AR93" i="22"/>
  <c r="AS93" i="22"/>
  <c r="AT93" i="22"/>
  <c r="AU93" i="22"/>
  <c r="AV93" i="22"/>
  <c r="AW93" i="22"/>
  <c r="AX93" i="22"/>
  <c r="C19" i="22"/>
  <c r="C28" i="22" s="1"/>
  <c r="D19" i="22"/>
  <c r="D28" i="22" s="1"/>
  <c r="E19" i="22"/>
  <c r="E28" i="22" s="1"/>
  <c r="F19" i="22"/>
  <c r="F28" i="22" s="1"/>
  <c r="G19" i="22"/>
  <c r="G28" i="22" s="1"/>
  <c r="H19" i="22"/>
  <c r="H28" i="22" s="1"/>
  <c r="I19" i="22"/>
  <c r="I28" i="22" s="1"/>
  <c r="J19" i="22"/>
  <c r="J28" i="22" s="1"/>
  <c r="K19" i="22"/>
  <c r="K28" i="22" s="1"/>
  <c r="L19" i="22"/>
  <c r="L28" i="22" s="1"/>
  <c r="M19" i="22"/>
  <c r="M28" i="22" s="1"/>
  <c r="N19" i="22"/>
  <c r="N28" i="22" s="1"/>
  <c r="C20" i="22"/>
  <c r="C29" i="22" s="1"/>
  <c r="D20" i="22"/>
  <c r="D29" i="22" s="1"/>
  <c r="E20" i="22"/>
  <c r="E29" i="22" s="1"/>
  <c r="F20" i="22"/>
  <c r="F29" i="22" s="1"/>
  <c r="G20" i="22"/>
  <c r="G29" i="22" s="1"/>
  <c r="H20" i="22"/>
  <c r="H29" i="22" s="1"/>
  <c r="I20" i="22"/>
  <c r="I29" i="22" s="1"/>
  <c r="J20" i="22"/>
  <c r="J29" i="22" s="1"/>
  <c r="K20" i="22"/>
  <c r="K29" i="22" s="1"/>
  <c r="L20" i="22"/>
  <c r="L29" i="22" s="1"/>
  <c r="M20" i="22"/>
  <c r="M29" i="22" s="1"/>
  <c r="N20" i="22"/>
  <c r="N29" i="22" s="1"/>
  <c r="C21" i="22"/>
  <c r="C30" i="22" s="1"/>
  <c r="D21" i="22"/>
  <c r="D30" i="22" s="1"/>
  <c r="E21" i="22"/>
  <c r="E30" i="22" s="1"/>
  <c r="F21" i="22"/>
  <c r="F30" i="22" s="1"/>
  <c r="G21" i="22"/>
  <c r="G30" i="22" s="1"/>
  <c r="H21" i="22"/>
  <c r="H30" i="22" s="1"/>
  <c r="I21" i="22"/>
  <c r="I30" i="22" s="1"/>
  <c r="J21" i="22"/>
  <c r="J30" i="22" s="1"/>
  <c r="K21" i="22"/>
  <c r="K30" i="22" s="1"/>
  <c r="L21" i="22"/>
  <c r="L30" i="22" s="1"/>
  <c r="M21" i="22"/>
  <c r="M30" i="22" s="1"/>
  <c r="N21" i="22"/>
  <c r="N30" i="22" s="1"/>
  <c r="C22" i="22"/>
  <c r="C31" i="22" s="1"/>
  <c r="D22" i="22"/>
  <c r="D31" i="22" s="1"/>
  <c r="E22" i="22"/>
  <c r="E31" i="22" s="1"/>
  <c r="F22" i="22"/>
  <c r="F31" i="22" s="1"/>
  <c r="G22" i="22"/>
  <c r="G31" i="22" s="1"/>
  <c r="H22" i="22"/>
  <c r="H31" i="22" s="1"/>
  <c r="I22" i="22"/>
  <c r="I31" i="22" s="1"/>
  <c r="J22" i="22"/>
  <c r="J31" i="22" s="1"/>
  <c r="K22" i="22"/>
  <c r="K31" i="22" s="1"/>
  <c r="L22" i="22"/>
  <c r="L31" i="22" s="1"/>
  <c r="M22" i="22"/>
  <c r="M31" i="22" s="1"/>
  <c r="N22" i="22"/>
  <c r="N31" i="22" s="1"/>
  <c r="C23" i="22"/>
  <c r="C32" i="22" s="1"/>
  <c r="D23" i="22"/>
  <c r="D32" i="22" s="1"/>
  <c r="E23" i="22"/>
  <c r="E32" i="22" s="1"/>
  <c r="F23" i="22"/>
  <c r="F32" i="22" s="1"/>
  <c r="G23" i="22"/>
  <c r="G32" i="22" s="1"/>
  <c r="H23" i="22"/>
  <c r="H32" i="22" s="1"/>
  <c r="I23" i="22"/>
  <c r="I32" i="22" s="1"/>
  <c r="J23" i="22"/>
  <c r="J32" i="22" s="1"/>
  <c r="K23" i="22"/>
  <c r="K32" i="22" s="1"/>
  <c r="L23" i="22"/>
  <c r="L32" i="22" s="1"/>
  <c r="M23" i="22"/>
  <c r="M32" i="22" s="1"/>
  <c r="N23" i="22"/>
  <c r="N32" i="22" s="1"/>
  <c r="C24" i="22"/>
  <c r="C33" i="22" s="1"/>
  <c r="D24" i="22"/>
  <c r="D33" i="22" s="1"/>
  <c r="E24" i="22"/>
  <c r="E33" i="22" s="1"/>
  <c r="F24" i="22"/>
  <c r="F33" i="22" s="1"/>
  <c r="G24" i="22"/>
  <c r="G33" i="22" s="1"/>
  <c r="H24" i="22"/>
  <c r="H33" i="22" s="1"/>
  <c r="I24" i="22"/>
  <c r="I33" i="22" s="1"/>
  <c r="J24" i="22"/>
  <c r="J33" i="22" s="1"/>
  <c r="K24" i="22"/>
  <c r="K33" i="22" s="1"/>
  <c r="L24" i="22"/>
  <c r="L33" i="22" s="1"/>
  <c r="M24" i="22"/>
  <c r="M33" i="22" s="1"/>
  <c r="N24" i="22"/>
  <c r="N33" i="22" s="1"/>
  <c r="B22" i="20"/>
  <c r="B22" i="19"/>
  <c r="B22" i="18"/>
  <c r="Z55" i="21" l="1"/>
  <c r="Z44" i="21"/>
  <c r="Z23" i="21"/>
  <c r="Z33" i="21"/>
  <c r="Z66" i="21"/>
  <c r="Y21" i="21"/>
  <c r="I21" i="21"/>
  <c r="E21" i="21"/>
  <c r="P21" i="21"/>
  <c r="E10" i="21"/>
  <c r="E13" i="21" s="1"/>
  <c r="AW21" i="21"/>
  <c r="AG21" i="21"/>
  <c r="K10" i="20"/>
  <c r="K13" i="20" s="1"/>
  <c r="L14" i="20" s="1"/>
  <c r="L10" i="20" s="1"/>
  <c r="L13" i="20" s="1"/>
  <c r="L15" i="20"/>
  <c r="F10" i="21"/>
  <c r="F13" i="21" s="1"/>
  <c r="AM23" i="21"/>
  <c r="AM44" i="21"/>
  <c r="AM66" i="21"/>
  <c r="AM33" i="21"/>
  <c r="AM55" i="21"/>
  <c r="D22" i="18"/>
  <c r="K22" i="18"/>
  <c r="F27" i="21"/>
  <c r="L21" i="21"/>
  <c r="Q10" i="21"/>
  <c r="Q13" i="21" s="1"/>
  <c r="AE21" i="21"/>
  <c r="AK22" i="20"/>
  <c r="AK21" i="20"/>
  <c r="G22" i="19"/>
  <c r="G21" i="19"/>
  <c r="X21" i="21"/>
  <c r="AI21" i="21"/>
  <c r="H21" i="21"/>
  <c r="N10" i="21"/>
  <c r="N13" i="21" s="1"/>
  <c r="S23" i="21"/>
  <c r="S44" i="21"/>
  <c r="S66" i="21"/>
  <c r="S33" i="21"/>
  <c r="AB21" i="21"/>
  <c r="AO21" i="21"/>
  <c r="M21" i="21"/>
  <c r="S56" i="21"/>
  <c r="S62" i="21" s="1"/>
  <c r="S24" i="21"/>
  <c r="S67" i="21"/>
  <c r="S73" i="21" s="1"/>
  <c r="J10" i="21"/>
  <c r="J13" i="21" s="1"/>
  <c r="M10" i="21"/>
  <c r="M13" i="21" s="1"/>
  <c r="S55" i="21"/>
  <c r="AK21" i="21"/>
  <c r="AS21" i="21"/>
  <c r="AY21" i="21"/>
  <c r="AN22" i="20"/>
  <c r="AN21" i="20"/>
  <c r="AP44" i="19"/>
  <c r="AP66" i="19"/>
  <c r="AP23" i="19"/>
  <c r="AP33" i="19"/>
  <c r="AP55" i="19"/>
  <c r="Q21" i="21"/>
  <c r="H21" i="20"/>
  <c r="H22" i="20"/>
  <c r="AC21" i="21"/>
  <c r="AD21" i="21"/>
  <c r="B22" i="21"/>
  <c r="Y22" i="21" s="1"/>
  <c r="AU21" i="21"/>
  <c r="D21" i="21"/>
  <c r="AH66" i="20"/>
  <c r="AH33" i="20"/>
  <c r="AH44" i="20"/>
  <c r="AH23" i="20"/>
  <c r="AH55" i="20"/>
  <c r="I10" i="21"/>
  <c r="I13" i="21" s="1"/>
  <c r="U21" i="21"/>
  <c r="U10" i="21"/>
  <c r="U13" i="21" s="1"/>
  <c r="V10" i="21"/>
  <c r="V13" i="21" s="1"/>
  <c r="AR21" i="21"/>
  <c r="D30" i="20"/>
  <c r="E27" i="20"/>
  <c r="AX66" i="20"/>
  <c r="AX33" i="20"/>
  <c r="AX44" i="20"/>
  <c r="AX23" i="20"/>
  <c r="AX55" i="20"/>
  <c r="AE21" i="19"/>
  <c r="AE22" i="19"/>
  <c r="D33" i="20"/>
  <c r="D55" i="20"/>
  <c r="D23" i="20"/>
  <c r="D44" i="20"/>
  <c r="S21" i="20"/>
  <c r="S22" i="20"/>
  <c r="AF21" i="20"/>
  <c r="AF22" i="20"/>
  <c r="X66" i="19"/>
  <c r="X55" i="19"/>
  <c r="X44" i="19"/>
  <c r="X23" i="19"/>
  <c r="X33" i="19"/>
  <c r="AN21" i="21"/>
  <c r="AS10" i="21"/>
  <c r="AS13" i="21" s="1"/>
  <c r="G22" i="20"/>
  <c r="G21" i="20"/>
  <c r="O21" i="20"/>
  <c r="Q21" i="20"/>
  <c r="Q22" i="20"/>
  <c r="U22" i="20"/>
  <c r="U21" i="20"/>
  <c r="AB21" i="20"/>
  <c r="AB22" i="20"/>
  <c r="AU22" i="20"/>
  <c r="AU21" i="20"/>
  <c r="AW22" i="20"/>
  <c r="AW21" i="20"/>
  <c r="AG10" i="21"/>
  <c r="AG13" i="21" s="1"/>
  <c r="AW10" i="21"/>
  <c r="AW13" i="21" s="1"/>
  <c r="D66" i="20"/>
  <c r="L46" i="20"/>
  <c r="L50" i="20"/>
  <c r="X44" i="20"/>
  <c r="X23" i="20"/>
  <c r="X55" i="20"/>
  <c r="X33" i="20"/>
  <c r="Z10" i="20"/>
  <c r="Z13" i="20" s="1"/>
  <c r="AS21" i="19"/>
  <c r="AS22" i="19"/>
  <c r="AQ22" i="19"/>
  <c r="R22" i="19"/>
  <c r="J22" i="19"/>
  <c r="D22" i="20"/>
  <c r="AG22" i="20"/>
  <c r="AZ17" i="21"/>
  <c r="R10" i="21"/>
  <c r="R13" i="21" s="1"/>
  <c r="S14" i="21" s="1"/>
  <c r="S10" i="21" s="1"/>
  <c r="S13" i="21" s="1"/>
  <c r="Z10" i="21"/>
  <c r="Z13" i="21" s="1"/>
  <c r="AE22" i="21"/>
  <c r="I21" i="20"/>
  <c r="I22" i="20"/>
  <c r="X22" i="20"/>
  <c r="Y21" i="20"/>
  <c r="AS72" i="20"/>
  <c r="AS68" i="20"/>
  <c r="D46" i="19"/>
  <c r="D50" i="19"/>
  <c r="AQ21" i="21"/>
  <c r="AO10" i="21"/>
  <c r="AO13" i="21" s="1"/>
  <c r="D10" i="20"/>
  <c r="J10" i="20"/>
  <c r="J13" i="20" s="1"/>
  <c r="M10" i="20"/>
  <c r="M13" i="20" s="1"/>
  <c r="AE72" i="20"/>
  <c r="AE68" i="20"/>
  <c r="AM22" i="20"/>
  <c r="AM21" i="20"/>
  <c r="AV21" i="20"/>
  <c r="AV22" i="20"/>
  <c r="U22" i="19"/>
  <c r="Y45" i="20"/>
  <c r="Y51" i="20" s="1"/>
  <c r="Y24" i="20"/>
  <c r="Y67" i="20"/>
  <c r="Y73" i="20" s="1"/>
  <c r="Y34" i="20"/>
  <c r="Y40" i="20" s="1"/>
  <c r="Y56" i="20"/>
  <c r="Y62" i="20" s="1"/>
  <c r="Q50" i="19"/>
  <c r="AX21" i="19"/>
  <c r="AO21" i="19"/>
  <c r="V21" i="19"/>
  <c r="AF21" i="21"/>
  <c r="AK10" i="21"/>
  <c r="AK13" i="21" s="1"/>
  <c r="AV21" i="21"/>
  <c r="F21" i="20"/>
  <c r="F22" i="20"/>
  <c r="L57" i="20"/>
  <c r="L62" i="20"/>
  <c r="AX22" i="20"/>
  <c r="AY21" i="20"/>
  <c r="AY22" i="20"/>
  <c r="S10" i="19"/>
  <c r="S13" i="19" s="1"/>
  <c r="AF21" i="19"/>
  <c r="AF22" i="19"/>
  <c r="AJ21" i="21"/>
  <c r="L35" i="20"/>
  <c r="L39" i="20"/>
  <c r="P45" i="20"/>
  <c r="P51" i="20" s="1"/>
  <c r="P56" i="20"/>
  <c r="P62" i="20" s="1"/>
  <c r="P24" i="20"/>
  <c r="P34" i="20"/>
  <c r="P40" i="20" s="1"/>
  <c r="P67" i="20"/>
  <c r="P73" i="20" s="1"/>
  <c r="V21" i="20"/>
  <c r="V22" i="20"/>
  <c r="X72" i="20"/>
  <c r="P45" i="19"/>
  <c r="P51" i="19" s="1"/>
  <c r="P56" i="19"/>
  <c r="P62" i="19" s="1"/>
  <c r="P34" i="19"/>
  <c r="P40" i="19" s="1"/>
  <c r="P67" i="19"/>
  <c r="P73" i="19" s="1"/>
  <c r="P24" i="19"/>
  <c r="D21" i="18"/>
  <c r="X21" i="18"/>
  <c r="K21" i="18"/>
  <c r="G21" i="18"/>
  <c r="P21" i="20"/>
  <c r="Z22" i="20"/>
  <c r="Z21" i="20"/>
  <c r="AD21" i="20"/>
  <c r="AD22" i="20"/>
  <c r="AH22" i="20"/>
  <c r="AI10" i="20"/>
  <c r="AI13" i="20" s="1"/>
  <c r="AQ21" i="20"/>
  <c r="AQ22" i="20"/>
  <c r="AR21" i="20"/>
  <c r="AR22" i="20"/>
  <c r="AD22" i="19"/>
  <c r="AD21" i="19"/>
  <c r="I10" i="20"/>
  <c r="I13" i="20" s="1"/>
  <c r="Q10" i="20"/>
  <c r="Q13" i="20" s="1"/>
  <c r="S10" i="20"/>
  <c r="S13" i="20" s="1"/>
  <c r="W22" i="20"/>
  <c r="AG21" i="20"/>
  <c r="Z21" i="19"/>
  <c r="Z22" i="19"/>
  <c r="H22" i="18"/>
  <c r="W21" i="20"/>
  <c r="H21" i="19"/>
  <c r="H22" i="19"/>
  <c r="N21" i="19"/>
  <c r="N22" i="19"/>
  <c r="Q68" i="19"/>
  <c r="Q73" i="19"/>
  <c r="F21" i="18"/>
  <c r="F22" i="18"/>
  <c r="Q21" i="18"/>
  <c r="Q22" i="18"/>
  <c r="AL22" i="18"/>
  <c r="AL21" i="18"/>
  <c r="AZ17" i="20"/>
  <c r="AI21" i="20"/>
  <c r="AI22" i="20"/>
  <c r="U21" i="19"/>
  <c r="AW22" i="19"/>
  <c r="AW21" i="19"/>
  <c r="O22" i="20"/>
  <c r="AB10" i="20"/>
  <c r="AB13" i="20" s="1"/>
  <c r="AL21" i="20"/>
  <c r="AL22" i="20"/>
  <c r="AO21" i="20"/>
  <c r="F21" i="19"/>
  <c r="F22" i="19"/>
  <c r="I21" i="19"/>
  <c r="I22" i="19"/>
  <c r="J10" i="19"/>
  <c r="J13" i="19" s="1"/>
  <c r="K14" i="19" s="1"/>
  <c r="K10" i="19" s="1"/>
  <c r="K13" i="19" s="1"/>
  <c r="K15" i="19"/>
  <c r="W22" i="19"/>
  <c r="W21" i="19"/>
  <c r="AN22" i="19"/>
  <c r="AN21" i="19"/>
  <c r="AE44" i="20"/>
  <c r="AE55" i="20"/>
  <c r="AE23" i="20"/>
  <c r="AE33" i="20"/>
  <c r="P21" i="19"/>
  <c r="Q45" i="19"/>
  <c r="Q51" i="19" s="1"/>
  <c r="Q24" i="19"/>
  <c r="Q56" i="19"/>
  <c r="Q62" i="19" s="1"/>
  <c r="Q34" i="19"/>
  <c r="Q40" i="19" s="1"/>
  <c r="AB22" i="18"/>
  <c r="AB21" i="18"/>
  <c r="AO22" i="20"/>
  <c r="AS15" i="20"/>
  <c r="AR10" i="20"/>
  <c r="AR13" i="20" s="1"/>
  <c r="AS14" i="20" s="1"/>
  <c r="AS55" i="20"/>
  <c r="AS23" i="20"/>
  <c r="AS33" i="20"/>
  <c r="J21" i="19"/>
  <c r="O22" i="19"/>
  <c r="O21" i="19"/>
  <c r="AV21" i="19"/>
  <c r="AV22" i="19"/>
  <c r="AA22" i="18"/>
  <c r="AA21" i="18"/>
  <c r="AH21" i="18"/>
  <c r="AH22" i="18"/>
  <c r="R21" i="19"/>
  <c r="H21" i="18"/>
  <c r="L22" i="18"/>
  <c r="L21" i="18"/>
  <c r="S40" i="23"/>
  <c r="AL15" i="19"/>
  <c r="AK10" i="19"/>
  <c r="AK13" i="19" s="1"/>
  <c r="AL14" i="19" s="1"/>
  <c r="AL10" i="19" s="1"/>
  <c r="AL13" i="19" s="1"/>
  <c r="J21" i="18"/>
  <c r="J22" i="18"/>
  <c r="P21" i="18"/>
  <c r="P22" i="18"/>
  <c r="V22" i="18"/>
  <c r="V21" i="18"/>
  <c r="H27" i="19"/>
  <c r="AG22" i="18"/>
  <c r="AG21" i="18"/>
  <c r="BA14" i="14"/>
  <c r="D13" i="19"/>
  <c r="M22" i="19"/>
  <c r="M21" i="19"/>
  <c r="S21" i="19"/>
  <c r="S22" i="19"/>
  <c r="X22" i="19"/>
  <c r="Z10" i="19"/>
  <c r="Z13" i="19" s="1"/>
  <c r="AB22" i="19"/>
  <c r="AB21" i="19"/>
  <c r="AC21" i="19"/>
  <c r="AC22" i="19"/>
  <c r="M21" i="18"/>
  <c r="M22" i="18"/>
  <c r="H10" i="23"/>
  <c r="Y21" i="18"/>
  <c r="Y22" i="18"/>
  <c r="AE21" i="18"/>
  <c r="AE22" i="18"/>
  <c r="AN22" i="18"/>
  <c r="AN21" i="18"/>
  <c r="K67" i="19"/>
  <c r="K73" i="19" s="1"/>
  <c r="K34" i="19"/>
  <c r="K45" i="19"/>
  <c r="K51" i="19" s="1"/>
  <c r="AH21" i="19"/>
  <c r="AI22" i="19"/>
  <c r="AI21" i="19"/>
  <c r="AT21" i="19"/>
  <c r="AT22" i="19"/>
  <c r="K56" i="19"/>
  <c r="Q33" i="19"/>
  <c r="V22" i="19"/>
  <c r="AF10" i="19"/>
  <c r="AF13" i="19" s="1"/>
  <c r="AL46" i="19"/>
  <c r="AP22" i="19"/>
  <c r="AQ21" i="19"/>
  <c r="F27" i="18"/>
  <c r="E30" i="18"/>
  <c r="T40" i="18"/>
  <c r="T35" i="18"/>
  <c r="AC22" i="18"/>
  <c r="AO10" i="20"/>
  <c r="AO13" i="20" s="1"/>
  <c r="Q55" i="19"/>
  <c r="AH22" i="19"/>
  <c r="AI10" i="19"/>
  <c r="AI13" i="19" s="1"/>
  <c r="AL55" i="19"/>
  <c r="AL33" i="19"/>
  <c r="AL66" i="19"/>
  <c r="AO22" i="19"/>
  <c r="G22" i="18"/>
  <c r="O21" i="18"/>
  <c r="O22" i="18"/>
  <c r="AS67" i="20"/>
  <c r="AS73" i="20" s="1"/>
  <c r="D66" i="19"/>
  <c r="AT10" i="19"/>
  <c r="AT13" i="19" s="1"/>
  <c r="AX10" i="19"/>
  <c r="AX13" i="19" s="1"/>
  <c r="T50" i="18"/>
  <c r="T46" i="18"/>
  <c r="W22" i="18"/>
  <c r="W21" i="18"/>
  <c r="AK21" i="19"/>
  <c r="AK22" i="19"/>
  <c r="I21" i="18"/>
  <c r="I22" i="18"/>
  <c r="Q10" i="18"/>
  <c r="Q13" i="18" s="1"/>
  <c r="AC21" i="18"/>
  <c r="M120" i="12"/>
  <c r="M127" i="12" s="1"/>
  <c r="M116" i="12"/>
  <c r="E116" i="12"/>
  <c r="H8" i="23" s="1"/>
  <c r="E120" i="12"/>
  <c r="E127" i="12" s="1"/>
  <c r="X10" i="19"/>
  <c r="X13" i="19" s="1"/>
  <c r="AX22" i="19"/>
  <c r="D10" i="18"/>
  <c r="M10" i="18"/>
  <c r="M13" i="18" s="1"/>
  <c r="AU21" i="18"/>
  <c r="AU22" i="18"/>
  <c r="T61" i="18"/>
  <c r="T57" i="18"/>
  <c r="X22" i="18"/>
  <c r="AE10" i="18"/>
  <c r="AE13" i="18" s="1"/>
  <c r="AJ21" i="18"/>
  <c r="AJ22" i="18"/>
  <c r="AM22" i="18"/>
  <c r="AR21" i="18"/>
  <c r="AR22" i="18"/>
  <c r="AU10" i="18"/>
  <c r="AU13" i="18" s="1"/>
  <c r="AM21" i="18"/>
  <c r="AO21" i="18"/>
  <c r="AO22" i="18"/>
  <c r="M127" i="13"/>
  <c r="E127" i="13"/>
  <c r="AQ10" i="19"/>
  <c r="AQ13" i="19" s="1"/>
  <c r="AT22" i="18"/>
  <c r="AT21" i="18"/>
  <c r="AZ259" i="17"/>
  <c r="AG260" i="16"/>
  <c r="AC10" i="18"/>
  <c r="AC13" i="18" s="1"/>
  <c r="AO10" i="18"/>
  <c r="AO13" i="18" s="1"/>
  <c r="AQ22" i="18"/>
  <c r="AQ21" i="18"/>
  <c r="S10" i="18"/>
  <c r="S13" i="18" s="1"/>
  <c r="T14" i="18" s="1"/>
  <c r="T10" i="18" s="1"/>
  <c r="T13" i="18" s="1"/>
  <c r="Y10" i="18"/>
  <c r="Y13" i="18" s="1"/>
  <c r="AJ10" i="18"/>
  <c r="AJ13" i="18" s="1"/>
  <c r="AS21" i="18"/>
  <c r="AS22" i="18"/>
  <c r="S260" i="16"/>
  <c r="AZ259" i="14"/>
  <c r="Q260" i="14"/>
  <c r="X260" i="14"/>
  <c r="I260" i="14"/>
  <c r="AZ260" i="14" s="1"/>
  <c r="O138" i="12"/>
  <c r="G138" i="12"/>
  <c r="K121" i="12"/>
  <c r="K127" i="12" s="1"/>
  <c r="K116" i="12"/>
  <c r="O116" i="12"/>
  <c r="O120" i="12"/>
  <c r="O127" i="12" s="1"/>
  <c r="G116" i="12"/>
  <c r="G120" i="12"/>
  <c r="G127" i="12" s="1"/>
  <c r="I138" i="11"/>
  <c r="E138" i="10"/>
  <c r="P260" i="17"/>
  <c r="D259" i="15"/>
  <c r="AZ259" i="15" s="1"/>
  <c r="BA14" i="15"/>
  <c r="P260" i="15"/>
  <c r="AQ260" i="14"/>
  <c r="I138" i="10"/>
  <c r="T43" i="23"/>
  <c r="AZ17" i="18"/>
  <c r="I260" i="17"/>
  <c r="AS260" i="17"/>
  <c r="AW260" i="17"/>
  <c r="AF260" i="14"/>
  <c r="I127" i="13"/>
  <c r="M138" i="12"/>
  <c r="E138" i="12"/>
  <c r="I127" i="10"/>
  <c r="M127" i="10"/>
  <c r="E116" i="10"/>
  <c r="E120" i="10"/>
  <c r="E127" i="10" s="1"/>
  <c r="S10" i="23" s="1"/>
  <c r="R10" i="18"/>
  <c r="R13" i="18" s="1"/>
  <c r="AX21" i="18"/>
  <c r="AX22" i="18"/>
  <c r="E260" i="17"/>
  <c r="AZ260" i="17" s="1"/>
  <c r="Y260" i="14"/>
  <c r="M138" i="13"/>
  <c r="E138" i="13"/>
  <c r="I116" i="12"/>
  <c r="K138" i="10"/>
  <c r="O138" i="10"/>
  <c r="G138" i="10"/>
  <c r="D259" i="16"/>
  <c r="AZ259" i="16" s="1"/>
  <c r="BA14" i="16"/>
  <c r="Z260" i="16"/>
  <c r="AN260" i="16"/>
  <c r="AQ260" i="16"/>
  <c r="AX260" i="16"/>
  <c r="I260" i="15"/>
  <c r="AC260" i="15"/>
  <c r="AG260" i="15"/>
  <c r="U260" i="14"/>
  <c r="AI260" i="14"/>
  <c r="AX260" i="14"/>
  <c r="I138" i="12"/>
  <c r="O116" i="10"/>
  <c r="O120" i="10"/>
  <c r="O127" i="10" s="1"/>
  <c r="G116" i="10"/>
  <c r="G120" i="10"/>
  <c r="G127" i="10" s="1"/>
  <c r="AH10" i="18"/>
  <c r="AH13" i="18" s="1"/>
  <c r="J260" i="15"/>
  <c r="X260" i="15"/>
  <c r="AA260" i="15"/>
  <c r="O127" i="13"/>
  <c r="G127" i="13"/>
  <c r="S7" i="23" s="1"/>
  <c r="O127" i="11"/>
  <c r="I127" i="11"/>
  <c r="K116" i="10"/>
  <c r="AX10" i="18"/>
  <c r="AX13" i="18" s="1"/>
  <c r="J260" i="17"/>
  <c r="X260" i="17"/>
  <c r="AA260" i="17"/>
  <c r="AH260" i="17"/>
  <c r="AO260" i="17"/>
  <c r="M260" i="16"/>
  <c r="Q260" i="16"/>
  <c r="AY260" i="16"/>
  <c r="M260" i="15"/>
  <c r="Q260" i="15"/>
  <c r="AZ260" i="15" s="1"/>
  <c r="AH260" i="15"/>
  <c r="AO260" i="15"/>
  <c r="AY260" i="14"/>
  <c r="M138" i="11"/>
  <c r="E127" i="11"/>
  <c r="S9" i="23" s="1"/>
  <c r="I116" i="10"/>
  <c r="R260" i="17"/>
  <c r="AQ260" i="17"/>
  <c r="AX260" i="17"/>
  <c r="AA260" i="16"/>
  <c r="AH260" i="16"/>
  <c r="K260" i="15"/>
  <c r="R260" i="15"/>
  <c r="K260" i="14"/>
  <c r="Z260" i="14"/>
  <c r="AK260" i="14"/>
  <c r="AO260" i="14"/>
  <c r="O138" i="13"/>
  <c r="G138" i="13"/>
  <c r="O116" i="13"/>
  <c r="G116" i="13"/>
  <c r="H7" i="23" s="1"/>
  <c r="O138" i="11"/>
  <c r="G138" i="11"/>
  <c r="O116" i="11"/>
  <c r="G116" i="11"/>
  <c r="AV10" i="18"/>
  <c r="AV13" i="18" s="1"/>
  <c r="U260" i="17"/>
  <c r="Y260" i="17"/>
  <c r="E260" i="16"/>
  <c r="AZ260" i="16" s="1"/>
  <c r="I260" i="16"/>
  <c r="AK260" i="16"/>
  <c r="AO260" i="16"/>
  <c r="U260" i="15"/>
  <c r="Y260" i="15"/>
  <c r="AY260" i="15"/>
  <c r="R260" i="14"/>
  <c r="AC260" i="14"/>
  <c r="AG260" i="14"/>
  <c r="S42" i="23"/>
  <c r="Y34" i="21" l="1"/>
  <c r="Y40" i="21" s="1"/>
  <c r="Y24" i="21"/>
  <c r="Y56" i="21"/>
  <c r="Y62" i="21" s="1"/>
  <c r="Y45" i="21"/>
  <c r="Y51" i="21" s="1"/>
  <c r="Y67" i="21"/>
  <c r="Y73" i="21" s="1"/>
  <c r="AW21" i="18"/>
  <c r="AW22" i="18"/>
  <c r="AT24" i="18"/>
  <c r="AT45" i="18"/>
  <c r="AT51" i="18" s="1"/>
  <c r="AT56" i="18"/>
  <c r="AT62" i="18" s="1"/>
  <c r="AT67" i="18"/>
  <c r="AT73" i="18" s="1"/>
  <c r="AT34" i="18"/>
  <c r="AT40" i="18" s="1"/>
  <c r="AR67" i="18"/>
  <c r="AR73" i="18" s="1"/>
  <c r="AR56" i="18"/>
  <c r="AR62" i="18" s="1"/>
  <c r="AR34" i="18"/>
  <c r="AR40" i="18" s="1"/>
  <c r="AR24" i="18"/>
  <c r="AR45" i="18"/>
  <c r="AR51" i="18" s="1"/>
  <c r="I44" i="18"/>
  <c r="I66" i="18"/>
  <c r="I55" i="18"/>
  <c r="I33" i="18"/>
  <c r="I23" i="18"/>
  <c r="AY21" i="19"/>
  <c r="AY22" i="19"/>
  <c r="AL72" i="19"/>
  <c r="AL68" i="19"/>
  <c r="V24" i="19"/>
  <c r="V56" i="19"/>
  <c r="V62" i="19" s="1"/>
  <c r="V67" i="19"/>
  <c r="V73" i="19" s="1"/>
  <c r="V34" i="19"/>
  <c r="V40" i="19" s="1"/>
  <c r="V45" i="19"/>
  <c r="V51" i="19" s="1"/>
  <c r="Y56" i="18"/>
  <c r="Y62" i="18" s="1"/>
  <c r="Y24" i="18"/>
  <c r="Y45" i="18"/>
  <c r="Y51" i="18" s="1"/>
  <c r="Y34" i="18"/>
  <c r="Y40" i="18" s="1"/>
  <c r="Y67" i="18"/>
  <c r="Y73" i="18" s="1"/>
  <c r="AB56" i="19"/>
  <c r="AB62" i="19" s="1"/>
  <c r="AB67" i="19"/>
  <c r="AB73" i="19" s="1"/>
  <c r="AB45" i="19"/>
  <c r="AB51" i="19" s="1"/>
  <c r="AB24" i="19"/>
  <c r="AB34" i="19"/>
  <c r="AB40" i="19" s="1"/>
  <c r="AZ10" i="19"/>
  <c r="P24" i="18"/>
  <c r="P34" i="18"/>
  <c r="P40" i="18" s="1"/>
  <c r="P56" i="18"/>
  <c r="P62" i="18" s="1"/>
  <c r="P45" i="18"/>
  <c r="P51" i="18" s="1"/>
  <c r="P67" i="18"/>
  <c r="P73" i="18" s="1"/>
  <c r="L67" i="18"/>
  <c r="L73" i="18" s="1"/>
  <c r="L56" i="18"/>
  <c r="L62" i="18" s="1"/>
  <c r="L24" i="18"/>
  <c r="L45" i="18"/>
  <c r="L51" i="18" s="1"/>
  <c r="L34" i="18"/>
  <c r="L40" i="18" s="1"/>
  <c r="AV23" i="19"/>
  <c r="AV44" i="19"/>
  <c r="AV66" i="19"/>
  <c r="AV55" i="19"/>
  <c r="AV33" i="19"/>
  <c r="P44" i="19"/>
  <c r="P23" i="19"/>
  <c r="P55" i="19"/>
  <c r="P33" i="19"/>
  <c r="P66" i="19"/>
  <c r="W45" i="19"/>
  <c r="W51" i="19" s="1"/>
  <c r="W56" i="19"/>
  <c r="W62" i="19" s="1"/>
  <c r="W24" i="19"/>
  <c r="W67" i="19"/>
  <c r="W73" i="19" s="1"/>
  <c r="W34" i="19"/>
  <c r="W40" i="19" s="1"/>
  <c r="AL56" i="20"/>
  <c r="AL62" i="20" s="1"/>
  <c r="AL24" i="20"/>
  <c r="AL34" i="20"/>
  <c r="AL40" i="20" s="1"/>
  <c r="AL67" i="20"/>
  <c r="AL73" i="20" s="1"/>
  <c r="AL45" i="20"/>
  <c r="AL51" i="20" s="1"/>
  <c r="AI33" i="20"/>
  <c r="AI23" i="20"/>
  <c r="AI55" i="20"/>
  <c r="AI66" i="20"/>
  <c r="AI44" i="20"/>
  <c r="H56" i="18"/>
  <c r="H62" i="18" s="1"/>
  <c r="H24" i="18"/>
  <c r="H34" i="18"/>
  <c r="H40" i="18" s="1"/>
  <c r="H45" i="18"/>
  <c r="H51" i="18" s="1"/>
  <c r="H67" i="18"/>
  <c r="H73" i="18" s="1"/>
  <c r="AD44" i="19"/>
  <c r="AD55" i="19"/>
  <c r="AD23" i="19"/>
  <c r="AD66" i="19"/>
  <c r="AD33" i="19"/>
  <c r="AD56" i="20"/>
  <c r="AD62" i="20" s="1"/>
  <c r="AD24" i="20"/>
  <c r="AD34" i="20"/>
  <c r="AD40" i="20" s="1"/>
  <c r="AD67" i="20"/>
  <c r="AD73" i="20" s="1"/>
  <c r="AD45" i="20"/>
  <c r="AD51" i="20" s="1"/>
  <c r="D66" i="18"/>
  <c r="D33" i="18"/>
  <c r="D44" i="18"/>
  <c r="D23" i="18"/>
  <c r="D55" i="18"/>
  <c r="V56" i="20"/>
  <c r="V62" i="20" s="1"/>
  <c r="V24" i="20"/>
  <c r="V34" i="20"/>
  <c r="V40" i="20" s="1"/>
  <c r="V67" i="20"/>
  <c r="V73" i="20" s="1"/>
  <c r="V45" i="20"/>
  <c r="V51" i="20" s="1"/>
  <c r="AX67" i="20"/>
  <c r="AX73" i="20" s="1"/>
  <c r="AX34" i="20"/>
  <c r="AX40" i="20" s="1"/>
  <c r="AX56" i="20"/>
  <c r="AX62" i="20" s="1"/>
  <c r="AX24" i="20"/>
  <c r="AX45" i="20"/>
  <c r="AX51" i="20" s="1"/>
  <c r="AF44" i="21"/>
  <c r="AF33" i="21"/>
  <c r="AF55" i="21"/>
  <c r="AF23" i="21"/>
  <c r="AF66" i="21"/>
  <c r="AE56" i="21"/>
  <c r="AE62" i="21" s="1"/>
  <c r="AE24" i="21"/>
  <c r="AE67" i="21"/>
  <c r="AE73" i="21" s="1"/>
  <c r="AE45" i="21"/>
  <c r="AE51" i="21" s="1"/>
  <c r="AE34" i="21"/>
  <c r="AE40" i="21" s="1"/>
  <c r="AQ45" i="19"/>
  <c r="AQ51" i="19" s="1"/>
  <c r="AQ67" i="19"/>
  <c r="AQ73" i="19" s="1"/>
  <c r="AQ34" i="19"/>
  <c r="AQ40" i="19" s="1"/>
  <c r="AQ24" i="19"/>
  <c r="AQ56" i="19"/>
  <c r="AQ62" i="19" s="1"/>
  <c r="AU44" i="20"/>
  <c r="AU55" i="20"/>
  <c r="AU23" i="20"/>
  <c r="AU66" i="20"/>
  <c r="AU33" i="20"/>
  <c r="O44" i="20"/>
  <c r="O55" i="20"/>
  <c r="O33" i="20"/>
  <c r="O66" i="20"/>
  <c r="O23" i="20"/>
  <c r="X57" i="19"/>
  <c r="X61" i="19"/>
  <c r="D61" i="20"/>
  <c r="AX35" i="20"/>
  <c r="AX39" i="20"/>
  <c r="U22" i="21"/>
  <c r="D44" i="21"/>
  <c r="D33" i="21"/>
  <c r="D55" i="21"/>
  <c r="D66" i="21"/>
  <c r="D23" i="21"/>
  <c r="H44" i="20"/>
  <c r="H23" i="20"/>
  <c r="H55" i="20"/>
  <c r="H33" i="20"/>
  <c r="H66" i="20"/>
  <c r="AN44" i="20"/>
  <c r="AN23" i="20"/>
  <c r="AN55" i="20"/>
  <c r="AN66" i="20"/>
  <c r="AN33" i="20"/>
  <c r="S57" i="21"/>
  <c r="S61" i="21"/>
  <c r="Z22" i="21"/>
  <c r="S68" i="21"/>
  <c r="S72" i="21"/>
  <c r="X22" i="21"/>
  <c r="L44" i="21"/>
  <c r="L33" i="21"/>
  <c r="L66" i="21"/>
  <c r="L55" i="21"/>
  <c r="L23" i="21"/>
  <c r="AM50" i="21"/>
  <c r="AW44" i="21"/>
  <c r="AW66" i="21"/>
  <c r="AW55" i="21"/>
  <c r="AW23" i="21"/>
  <c r="AW33" i="21"/>
  <c r="I55" i="21"/>
  <c r="I23" i="21"/>
  <c r="I44" i="21"/>
  <c r="I33" i="21"/>
  <c r="I66" i="21"/>
  <c r="H9" i="23"/>
  <c r="S31" i="23"/>
  <c r="T32" i="23" s="1"/>
  <c r="AQ66" i="18"/>
  <c r="AQ44" i="18"/>
  <c r="AQ23" i="18"/>
  <c r="AQ55" i="18"/>
  <c r="AQ33" i="18"/>
  <c r="AR22" i="19"/>
  <c r="AR21" i="19"/>
  <c r="AR33" i="18"/>
  <c r="AR66" i="18"/>
  <c r="AR55" i="18"/>
  <c r="AR44" i="18"/>
  <c r="AR23" i="18"/>
  <c r="S8" i="23"/>
  <c r="T11" i="23" s="1"/>
  <c r="T45" i="23" s="1"/>
  <c r="AK34" i="19"/>
  <c r="AK40" i="19" s="1"/>
  <c r="AK24" i="19"/>
  <c r="AK56" i="19"/>
  <c r="AK62" i="19" s="1"/>
  <c r="AK45" i="19"/>
  <c r="AK51" i="19" s="1"/>
  <c r="AK67" i="19"/>
  <c r="AK73" i="19" s="1"/>
  <c r="AU22" i="19"/>
  <c r="AU21" i="19"/>
  <c r="AL35" i="19"/>
  <c r="AL39" i="19"/>
  <c r="Q39" i="19"/>
  <c r="Q35" i="19"/>
  <c r="K35" i="19"/>
  <c r="K40" i="19"/>
  <c r="Y44" i="18"/>
  <c r="Y33" i="18"/>
  <c r="Y55" i="18"/>
  <c r="Y23" i="18"/>
  <c r="Y66" i="18"/>
  <c r="AA21" i="19"/>
  <c r="AA22" i="19"/>
  <c r="P33" i="18"/>
  <c r="P55" i="18"/>
  <c r="P23" i="18"/>
  <c r="P66" i="18"/>
  <c r="P44" i="18"/>
  <c r="H23" i="18"/>
  <c r="H33" i="18"/>
  <c r="H55" i="18"/>
  <c r="H44" i="18"/>
  <c r="H66" i="18"/>
  <c r="O44" i="19"/>
  <c r="O55" i="19"/>
  <c r="O33" i="19"/>
  <c r="O66" i="19"/>
  <c r="O23" i="19"/>
  <c r="AO45" i="20"/>
  <c r="AO51" i="20" s="1"/>
  <c r="AO24" i="20"/>
  <c r="AO56" i="20"/>
  <c r="AO62" i="20" s="1"/>
  <c r="AO34" i="20"/>
  <c r="AO40" i="20" s="1"/>
  <c r="AO67" i="20"/>
  <c r="AO73" i="20" s="1"/>
  <c r="AE35" i="20"/>
  <c r="AE39" i="20"/>
  <c r="AL23" i="20"/>
  <c r="AL66" i="20"/>
  <c r="AL33" i="20"/>
  <c r="AL44" i="20"/>
  <c r="AL55" i="20"/>
  <c r="Z67" i="19"/>
  <c r="Z73" i="19" s="1"/>
  <c r="Z34" i="19"/>
  <c r="Z40" i="19" s="1"/>
  <c r="Z45" i="19"/>
  <c r="Z51" i="19" s="1"/>
  <c r="Z56" i="19"/>
  <c r="Z62" i="19" s="1"/>
  <c r="Z24" i="19"/>
  <c r="AD24" i="19"/>
  <c r="AD45" i="19"/>
  <c r="AD51" i="19" s="1"/>
  <c r="AD34" i="19"/>
  <c r="AD40" i="19" s="1"/>
  <c r="AD67" i="19"/>
  <c r="AD73" i="19" s="1"/>
  <c r="AD56" i="19"/>
  <c r="AD62" i="19" s="1"/>
  <c r="AD23" i="20"/>
  <c r="AD33" i="20"/>
  <c r="AD66" i="20"/>
  <c r="AD44" i="20"/>
  <c r="AD55" i="20"/>
  <c r="V23" i="20"/>
  <c r="V33" i="20"/>
  <c r="V66" i="20"/>
  <c r="V55" i="20"/>
  <c r="V44" i="20"/>
  <c r="AJ22" i="21"/>
  <c r="V44" i="19"/>
  <c r="V55" i="19"/>
  <c r="V33" i="19"/>
  <c r="V23" i="19"/>
  <c r="V66" i="19"/>
  <c r="AA21" i="21"/>
  <c r="AA22" i="21"/>
  <c r="AS67" i="19"/>
  <c r="AS73" i="19" s="1"/>
  <c r="AS34" i="19"/>
  <c r="AS40" i="19" s="1"/>
  <c r="AS24" i="19"/>
  <c r="AS56" i="19"/>
  <c r="AS62" i="19" s="1"/>
  <c r="AS45" i="19"/>
  <c r="AS51" i="19" s="1"/>
  <c r="AU24" i="20"/>
  <c r="AU45" i="20"/>
  <c r="AU51" i="20" s="1"/>
  <c r="AU56" i="20"/>
  <c r="AU62" i="20" s="1"/>
  <c r="AU34" i="20"/>
  <c r="AU40" i="20" s="1"/>
  <c r="AU67" i="20"/>
  <c r="AU73" i="20" s="1"/>
  <c r="G44" i="20"/>
  <c r="G55" i="20"/>
  <c r="G23" i="20"/>
  <c r="G33" i="20"/>
  <c r="G66" i="20"/>
  <c r="X72" i="19"/>
  <c r="X68" i="19"/>
  <c r="D39" i="20"/>
  <c r="AX68" i="20"/>
  <c r="AX72" i="20"/>
  <c r="U44" i="21"/>
  <c r="U33" i="21"/>
  <c r="U66" i="21"/>
  <c r="U23" i="21"/>
  <c r="U55" i="21"/>
  <c r="AU23" i="21"/>
  <c r="AU44" i="21"/>
  <c r="AU66" i="21"/>
  <c r="AU33" i="21"/>
  <c r="AU55" i="21"/>
  <c r="Q22" i="21"/>
  <c r="AN45" i="20"/>
  <c r="AN51" i="20" s="1"/>
  <c r="AN56" i="20"/>
  <c r="AN62" i="20" s="1"/>
  <c r="AN34" i="20"/>
  <c r="AN40" i="20" s="1"/>
  <c r="AN67" i="20"/>
  <c r="AN73" i="20" s="1"/>
  <c r="AN24" i="20"/>
  <c r="N22" i="21"/>
  <c r="N21" i="21"/>
  <c r="AU22" i="21"/>
  <c r="S46" i="21"/>
  <c r="S50" i="21"/>
  <c r="X33" i="21"/>
  <c r="X23" i="21"/>
  <c r="X55" i="21"/>
  <c r="X44" i="21"/>
  <c r="X66" i="21"/>
  <c r="F30" i="21"/>
  <c r="G27" i="21"/>
  <c r="F22" i="21"/>
  <c r="F21" i="21"/>
  <c r="AQ24" i="18"/>
  <c r="AQ45" i="18"/>
  <c r="AQ51" i="18" s="1"/>
  <c r="AQ67" i="18"/>
  <c r="AQ73" i="18" s="1"/>
  <c r="AQ56" i="18"/>
  <c r="AQ62" i="18" s="1"/>
  <c r="AQ34" i="18"/>
  <c r="AQ40" i="18" s="1"/>
  <c r="AM56" i="18"/>
  <c r="AM62" i="18" s="1"/>
  <c r="AM45" i="18"/>
  <c r="AM51" i="18" s="1"/>
  <c r="AM67" i="18"/>
  <c r="AM73" i="18" s="1"/>
  <c r="AM34" i="18"/>
  <c r="AM40" i="18" s="1"/>
  <c r="AM24" i="18"/>
  <c r="AU56" i="18"/>
  <c r="AU62" i="18" s="1"/>
  <c r="AU34" i="18"/>
  <c r="AU40" i="18" s="1"/>
  <c r="AU45" i="18"/>
  <c r="AU51" i="18" s="1"/>
  <c r="AU24" i="18"/>
  <c r="AU67" i="18"/>
  <c r="AU73" i="18" s="1"/>
  <c r="AK23" i="19"/>
  <c r="AK33" i="19"/>
  <c r="AK55" i="19"/>
  <c r="AK66" i="19"/>
  <c r="AK44" i="19"/>
  <c r="D68" i="19"/>
  <c r="D72" i="19"/>
  <c r="AL61" i="19"/>
  <c r="AL57" i="19"/>
  <c r="K62" i="19"/>
  <c r="K57" i="19"/>
  <c r="X45" i="19"/>
  <c r="X51" i="19" s="1"/>
  <c r="X24" i="19"/>
  <c r="X67" i="19"/>
  <c r="X73" i="19" s="1"/>
  <c r="X34" i="19"/>
  <c r="X40" i="19" s="1"/>
  <c r="X56" i="19"/>
  <c r="X62" i="19" s="1"/>
  <c r="AG44" i="18"/>
  <c r="AG66" i="18"/>
  <c r="AG23" i="18"/>
  <c r="AG55" i="18"/>
  <c r="AG33" i="18"/>
  <c r="J45" i="18"/>
  <c r="J51" i="18" s="1"/>
  <c r="J34" i="18"/>
  <c r="J40" i="18" s="1"/>
  <c r="J67" i="18"/>
  <c r="J73" i="18" s="1"/>
  <c r="J24" i="18"/>
  <c r="J56" i="18"/>
  <c r="J62" i="18" s="1"/>
  <c r="R33" i="19"/>
  <c r="R23" i="19"/>
  <c r="R44" i="19"/>
  <c r="R66" i="19"/>
  <c r="R55" i="19"/>
  <c r="O24" i="19"/>
  <c r="O34" i="19"/>
  <c r="O40" i="19" s="1"/>
  <c r="O67" i="19"/>
  <c r="O73" i="19" s="1"/>
  <c r="O56" i="19"/>
  <c r="O62" i="19" s="1"/>
  <c r="O45" i="19"/>
  <c r="O51" i="19" s="1"/>
  <c r="AB33" i="18"/>
  <c r="AB55" i="18"/>
  <c r="AB66" i="18"/>
  <c r="AB23" i="18"/>
  <c r="AB44" i="18"/>
  <c r="L21" i="19"/>
  <c r="L22" i="19"/>
  <c r="AC22" i="20"/>
  <c r="AC21" i="20"/>
  <c r="AL55" i="18"/>
  <c r="AL33" i="18"/>
  <c r="AL23" i="18"/>
  <c r="AL66" i="18"/>
  <c r="AL44" i="18"/>
  <c r="N56" i="19"/>
  <c r="N62" i="19" s="1"/>
  <c r="N24" i="19"/>
  <c r="N34" i="19"/>
  <c r="N40" i="19" s="1"/>
  <c r="N67" i="19"/>
  <c r="N73" i="19" s="1"/>
  <c r="N45" i="19"/>
  <c r="N51" i="19" s="1"/>
  <c r="Z33" i="19"/>
  <c r="Z23" i="19"/>
  <c r="Z44" i="19"/>
  <c r="Z66" i="19"/>
  <c r="Z55" i="19"/>
  <c r="AR34" i="20"/>
  <c r="AR40" i="20" s="1"/>
  <c r="AR67" i="20"/>
  <c r="AR73" i="20" s="1"/>
  <c r="AR45" i="20"/>
  <c r="AR51" i="20" s="1"/>
  <c r="AR24" i="20"/>
  <c r="AR56" i="20"/>
  <c r="AR62" i="20" s="1"/>
  <c r="Z66" i="20"/>
  <c r="Z33" i="20"/>
  <c r="Z44" i="20"/>
  <c r="Z55" i="20"/>
  <c r="Z23" i="20"/>
  <c r="AJ33" i="21"/>
  <c r="AJ55" i="21"/>
  <c r="AJ44" i="21"/>
  <c r="AJ66" i="21"/>
  <c r="AJ23" i="21"/>
  <c r="AO44" i="19"/>
  <c r="AO33" i="19"/>
  <c r="AO55" i="19"/>
  <c r="AO23" i="19"/>
  <c r="AO66" i="19"/>
  <c r="N21" i="20"/>
  <c r="N22" i="20"/>
  <c r="T22" i="21"/>
  <c r="T21" i="21"/>
  <c r="AS33" i="19"/>
  <c r="AS55" i="19"/>
  <c r="AS66" i="19"/>
  <c r="AS44" i="19"/>
  <c r="AS23" i="19"/>
  <c r="D72" i="20"/>
  <c r="AB34" i="20"/>
  <c r="AB40" i="20" s="1"/>
  <c r="AB67" i="20"/>
  <c r="AB73" i="20" s="1"/>
  <c r="AB24" i="20"/>
  <c r="AB56" i="20"/>
  <c r="AB62" i="20" s="1"/>
  <c r="AB45" i="20"/>
  <c r="AB51" i="20" s="1"/>
  <c r="G24" i="20"/>
  <c r="G45" i="20"/>
  <c r="G51" i="20" s="1"/>
  <c r="G56" i="20"/>
  <c r="G62" i="20" s="1"/>
  <c r="G67" i="20"/>
  <c r="G73" i="20" s="1"/>
  <c r="G34" i="20"/>
  <c r="G40" i="20" s="1"/>
  <c r="AF45" i="20"/>
  <c r="AF51" i="20" s="1"/>
  <c r="AF56" i="20"/>
  <c r="AF62" i="20" s="1"/>
  <c r="AF34" i="20"/>
  <c r="AF40" i="20" s="1"/>
  <c r="AF67" i="20"/>
  <c r="AF73" i="20" s="1"/>
  <c r="AF24" i="20"/>
  <c r="F27" i="20"/>
  <c r="E30" i="20"/>
  <c r="J22" i="21"/>
  <c r="J21" i="21"/>
  <c r="AV22" i="21"/>
  <c r="AF22" i="21"/>
  <c r="AN22" i="21"/>
  <c r="D22" i="21"/>
  <c r="L22" i="21"/>
  <c r="Q55" i="21"/>
  <c r="Q23" i="21"/>
  <c r="Q44" i="21"/>
  <c r="Q66" i="21"/>
  <c r="Q33" i="21"/>
  <c r="AY22" i="21"/>
  <c r="K21" i="21"/>
  <c r="K22" i="21"/>
  <c r="AO22" i="21"/>
  <c r="G44" i="19"/>
  <c r="G55" i="19"/>
  <c r="G33" i="19"/>
  <c r="G23" i="19"/>
  <c r="G66" i="19"/>
  <c r="AZ10" i="21"/>
  <c r="G21" i="21"/>
  <c r="AZ21" i="21" s="1"/>
  <c r="G22" i="21"/>
  <c r="Y55" i="21"/>
  <c r="Y23" i="21"/>
  <c r="Y44" i="21"/>
  <c r="Y66" i="21"/>
  <c r="Y33" i="21"/>
  <c r="AS34" i="18"/>
  <c r="AS40" i="18" s="1"/>
  <c r="AS45" i="18"/>
  <c r="AS51" i="18" s="1"/>
  <c r="AS56" i="18"/>
  <c r="AS62" i="18" s="1"/>
  <c r="AS24" i="18"/>
  <c r="AS67" i="18"/>
  <c r="AS73" i="18" s="1"/>
  <c r="AP22" i="18"/>
  <c r="AP21" i="18"/>
  <c r="AJ67" i="18"/>
  <c r="AJ73" i="18" s="1"/>
  <c r="AJ45" i="18"/>
  <c r="AJ51" i="18" s="1"/>
  <c r="AJ34" i="18"/>
  <c r="AJ40" i="18" s="1"/>
  <c r="AJ24" i="18"/>
  <c r="AJ56" i="18"/>
  <c r="AJ62" i="18" s="1"/>
  <c r="AU23" i="18"/>
  <c r="AU55" i="18"/>
  <c r="AU44" i="18"/>
  <c r="AU33" i="18"/>
  <c r="AU66" i="18"/>
  <c r="W23" i="18"/>
  <c r="W33" i="18"/>
  <c r="W55" i="18"/>
  <c r="W66" i="18"/>
  <c r="W44" i="18"/>
  <c r="AJ22" i="19"/>
  <c r="AJ21" i="19"/>
  <c r="G27" i="18"/>
  <c r="F30" i="18"/>
  <c r="AT34" i="19"/>
  <c r="AT40" i="19" s="1"/>
  <c r="AT45" i="19"/>
  <c r="AT51" i="19" s="1"/>
  <c r="AT67" i="19"/>
  <c r="AT73" i="19" s="1"/>
  <c r="AT56" i="19"/>
  <c r="AT62" i="19" s="1"/>
  <c r="AT24" i="19"/>
  <c r="K68" i="19"/>
  <c r="M34" i="18"/>
  <c r="M40" i="18" s="1"/>
  <c r="M56" i="18"/>
  <c r="M62" i="18" s="1"/>
  <c r="M45" i="18"/>
  <c r="M51" i="18" s="1"/>
  <c r="M67" i="18"/>
  <c r="M73" i="18" s="1"/>
  <c r="M24" i="18"/>
  <c r="S34" i="19"/>
  <c r="S40" i="19" s="1"/>
  <c r="S24" i="19"/>
  <c r="S56" i="19"/>
  <c r="S62" i="19" s="1"/>
  <c r="S67" i="19"/>
  <c r="S73" i="19" s="1"/>
  <c r="S45" i="19"/>
  <c r="S51" i="19" s="1"/>
  <c r="AG24" i="18"/>
  <c r="AG45" i="18"/>
  <c r="AG51" i="18" s="1"/>
  <c r="AG67" i="18"/>
  <c r="AG73" i="18" s="1"/>
  <c r="AG34" i="18"/>
  <c r="AG40" i="18" s="1"/>
  <c r="AG56" i="18"/>
  <c r="AG62" i="18" s="1"/>
  <c r="J33" i="18"/>
  <c r="J55" i="18"/>
  <c r="J44" i="18"/>
  <c r="J66" i="18"/>
  <c r="J23" i="18"/>
  <c r="AH45" i="18"/>
  <c r="AH51" i="18" s="1"/>
  <c r="AH24" i="18"/>
  <c r="AH34" i="18"/>
  <c r="AH40" i="18" s="1"/>
  <c r="AH56" i="18"/>
  <c r="AH62" i="18" s="1"/>
  <c r="AH67" i="18"/>
  <c r="AH73" i="18" s="1"/>
  <c r="J66" i="19"/>
  <c r="J33" i="19"/>
  <c r="J44" i="19"/>
  <c r="J55" i="19"/>
  <c r="J23" i="19"/>
  <c r="AB67" i="18"/>
  <c r="AB73" i="18" s="1"/>
  <c r="AB24" i="18"/>
  <c r="AB34" i="18"/>
  <c r="AB40" i="18" s="1"/>
  <c r="AB45" i="18"/>
  <c r="AB51" i="18" s="1"/>
  <c r="AB56" i="18"/>
  <c r="AB62" i="18" s="1"/>
  <c r="AE57" i="20"/>
  <c r="AE61" i="20"/>
  <c r="I45" i="19"/>
  <c r="I51" i="19" s="1"/>
  <c r="I24" i="19"/>
  <c r="I34" i="19"/>
  <c r="I40" i="19" s="1"/>
  <c r="I67" i="19"/>
  <c r="I73" i="19" s="1"/>
  <c r="I56" i="19"/>
  <c r="I62" i="19" s="1"/>
  <c r="O24" i="20"/>
  <c r="O56" i="20"/>
  <c r="O62" i="20" s="1"/>
  <c r="O34" i="20"/>
  <c r="O40" i="20" s="1"/>
  <c r="O67" i="20"/>
  <c r="O73" i="20" s="1"/>
  <c r="O45" i="20"/>
  <c r="O51" i="20" s="1"/>
  <c r="AL34" i="18"/>
  <c r="AL40" i="18" s="1"/>
  <c r="AL56" i="18"/>
  <c r="AL62" i="18" s="1"/>
  <c r="AL67" i="18"/>
  <c r="AL73" i="18" s="1"/>
  <c r="AL24" i="18"/>
  <c r="AL45" i="18"/>
  <c r="AL51" i="18" s="1"/>
  <c r="N23" i="19"/>
  <c r="N66" i="19"/>
  <c r="N44" i="19"/>
  <c r="N33" i="19"/>
  <c r="N55" i="19"/>
  <c r="AG66" i="20"/>
  <c r="AG23" i="20"/>
  <c r="AG55" i="20"/>
  <c r="AG33" i="20"/>
  <c r="AG44" i="20"/>
  <c r="AR55" i="20"/>
  <c r="AR66" i="20"/>
  <c r="AR23" i="20"/>
  <c r="AR33" i="20"/>
  <c r="AR44" i="20"/>
  <c r="Z67" i="20"/>
  <c r="Z73" i="20" s="1"/>
  <c r="Z45" i="20"/>
  <c r="Z51" i="20" s="1"/>
  <c r="Z34" i="20"/>
  <c r="Z40" i="20" s="1"/>
  <c r="Z24" i="20"/>
  <c r="Z56" i="20"/>
  <c r="Z62" i="20" s="1"/>
  <c r="AF45" i="19"/>
  <c r="AF51" i="19" s="1"/>
  <c r="AF24" i="19"/>
  <c r="AF67" i="19"/>
  <c r="AF73" i="19" s="1"/>
  <c r="AF56" i="19"/>
  <c r="AF62" i="19" s="1"/>
  <c r="AF34" i="19"/>
  <c r="AF40" i="19" s="1"/>
  <c r="F56" i="20"/>
  <c r="F62" i="20" s="1"/>
  <c r="F24" i="20"/>
  <c r="F34" i="20"/>
  <c r="F40" i="20" s="1"/>
  <c r="F45" i="20"/>
  <c r="F51" i="20" s="1"/>
  <c r="F67" i="20"/>
  <c r="F73" i="20" s="1"/>
  <c r="AX44" i="19"/>
  <c r="AX66" i="19"/>
  <c r="AX23" i="19"/>
  <c r="AX55" i="19"/>
  <c r="AX33" i="19"/>
  <c r="U56" i="19"/>
  <c r="U62" i="19" s="1"/>
  <c r="U24" i="19"/>
  <c r="U34" i="19"/>
  <c r="U40" i="19" s="1"/>
  <c r="U45" i="19"/>
  <c r="U51" i="19" s="1"/>
  <c r="U67" i="19"/>
  <c r="U73" i="19" s="1"/>
  <c r="K21" i="20"/>
  <c r="K22" i="20"/>
  <c r="AA21" i="20"/>
  <c r="AA22" i="20"/>
  <c r="AX22" i="21"/>
  <c r="AX21" i="21"/>
  <c r="AB55" i="20"/>
  <c r="AB66" i="20"/>
  <c r="AB44" i="20"/>
  <c r="AB23" i="20"/>
  <c r="AB33" i="20"/>
  <c r="AT22" i="21"/>
  <c r="AT21" i="21"/>
  <c r="AF44" i="20"/>
  <c r="AF23" i="20"/>
  <c r="AF33" i="20"/>
  <c r="AF66" i="20"/>
  <c r="AF55" i="20"/>
  <c r="AE45" i="19"/>
  <c r="AE51" i="19" s="1"/>
  <c r="AE56" i="19"/>
  <c r="AE62" i="19" s="1"/>
  <c r="AE67" i="19"/>
  <c r="AE73" i="19" s="1"/>
  <c r="AE34" i="19"/>
  <c r="AE40" i="19" s="1"/>
  <c r="AE24" i="19"/>
  <c r="AH61" i="20"/>
  <c r="AH57" i="20"/>
  <c r="AD55" i="21"/>
  <c r="AD23" i="21"/>
  <c r="AD66" i="21"/>
  <c r="AD33" i="21"/>
  <c r="AD44" i="21"/>
  <c r="AP61" i="19"/>
  <c r="AY66" i="21"/>
  <c r="AY33" i="21"/>
  <c r="AY23" i="21"/>
  <c r="AY55" i="21"/>
  <c r="AY44" i="21"/>
  <c r="AO44" i="21"/>
  <c r="AO66" i="21"/>
  <c r="AO55" i="21"/>
  <c r="AO33" i="21"/>
  <c r="AO23" i="21"/>
  <c r="O21" i="21"/>
  <c r="O22" i="21"/>
  <c r="G24" i="19"/>
  <c r="G67" i="19"/>
  <c r="G73" i="19" s="1"/>
  <c r="G45" i="19"/>
  <c r="G51" i="19" s="1"/>
  <c r="G34" i="19"/>
  <c r="G40" i="19" s="1"/>
  <c r="G56" i="19"/>
  <c r="G62" i="19" s="1"/>
  <c r="K45" i="18"/>
  <c r="K51" i="18" s="1"/>
  <c r="K67" i="18"/>
  <c r="K73" i="18" s="1"/>
  <c r="K56" i="18"/>
  <c r="K62" i="18" s="1"/>
  <c r="K34" i="18"/>
  <c r="K40" i="18" s="1"/>
  <c r="K24" i="18"/>
  <c r="P22" i="21"/>
  <c r="Z72" i="21"/>
  <c r="AD22" i="18"/>
  <c r="AD21" i="18"/>
  <c r="O56" i="18"/>
  <c r="O62" i="18" s="1"/>
  <c r="O34" i="18"/>
  <c r="O40" i="18" s="1"/>
  <c r="O67" i="18"/>
  <c r="O73" i="18" s="1"/>
  <c r="O24" i="18"/>
  <c r="O45" i="18"/>
  <c r="O51" i="18" s="1"/>
  <c r="AT55" i="19"/>
  <c r="AT23" i="19"/>
  <c r="AT44" i="19"/>
  <c r="AT66" i="19"/>
  <c r="AT33" i="19"/>
  <c r="M33" i="18"/>
  <c r="M55" i="18"/>
  <c r="M44" i="18"/>
  <c r="M23" i="18"/>
  <c r="M66" i="18"/>
  <c r="AH23" i="18"/>
  <c r="AH55" i="18"/>
  <c r="AH44" i="18"/>
  <c r="AH66" i="18"/>
  <c r="AH33" i="18"/>
  <c r="I66" i="19"/>
  <c r="I23" i="19"/>
  <c r="I33" i="19"/>
  <c r="I44" i="19"/>
  <c r="I55" i="19"/>
  <c r="H45" i="19"/>
  <c r="H51" i="19" s="1"/>
  <c r="H56" i="19"/>
  <c r="H62" i="19" s="1"/>
  <c r="H34" i="19"/>
  <c r="H40" i="19" s="1"/>
  <c r="H67" i="19"/>
  <c r="H73" i="19" s="1"/>
  <c r="H24" i="19"/>
  <c r="AQ67" i="20"/>
  <c r="AQ73" i="20" s="1"/>
  <c r="AQ34" i="20"/>
  <c r="AQ40" i="20" s="1"/>
  <c r="AQ45" i="20"/>
  <c r="AQ51" i="20" s="1"/>
  <c r="AQ24" i="20"/>
  <c r="AQ56" i="20"/>
  <c r="AQ62" i="20" s="1"/>
  <c r="Y66" i="20"/>
  <c r="Y44" i="20"/>
  <c r="Y55" i="20"/>
  <c r="Y23" i="20"/>
  <c r="Y33" i="20"/>
  <c r="X39" i="20"/>
  <c r="AE44" i="19"/>
  <c r="AE23" i="19"/>
  <c r="AE33" i="19"/>
  <c r="AE55" i="19"/>
  <c r="AE66" i="19"/>
  <c r="AD22" i="21"/>
  <c r="H22" i="21"/>
  <c r="Z39" i="21"/>
  <c r="AY21" i="18"/>
  <c r="AY22" i="18"/>
  <c r="AX67" i="18"/>
  <c r="AX73" i="18" s="1"/>
  <c r="AX34" i="18"/>
  <c r="AX40" i="18" s="1"/>
  <c r="AX24" i="18"/>
  <c r="AX45" i="18"/>
  <c r="AX51" i="18" s="1"/>
  <c r="AX56" i="18"/>
  <c r="AX62" i="18" s="1"/>
  <c r="AK21" i="18"/>
  <c r="AK22" i="18"/>
  <c r="AO44" i="18"/>
  <c r="AO55" i="18"/>
  <c r="AO23" i="18"/>
  <c r="AO33" i="18"/>
  <c r="AO66" i="18"/>
  <c r="AF21" i="18"/>
  <c r="AF22" i="18"/>
  <c r="AZ10" i="18"/>
  <c r="D13" i="18"/>
  <c r="AC33" i="18"/>
  <c r="AC55" i="18"/>
  <c r="AC44" i="18"/>
  <c r="AC66" i="18"/>
  <c r="AC23" i="18"/>
  <c r="O23" i="18"/>
  <c r="O33" i="18"/>
  <c r="O66" i="18"/>
  <c r="O55" i="18"/>
  <c r="O44" i="18"/>
  <c r="Q57" i="19"/>
  <c r="Q61" i="19"/>
  <c r="AP45" i="19"/>
  <c r="AP51" i="19" s="1"/>
  <c r="AP67" i="19"/>
  <c r="AP73" i="19" s="1"/>
  <c r="AP34" i="19"/>
  <c r="AP40" i="19" s="1"/>
  <c r="AP56" i="19"/>
  <c r="AP62" i="19" s="1"/>
  <c r="AP24" i="19"/>
  <c r="AI33" i="19"/>
  <c r="AI55" i="19"/>
  <c r="AI66" i="19"/>
  <c r="AI23" i="19"/>
  <c r="AI44" i="19"/>
  <c r="AN24" i="18"/>
  <c r="AN34" i="18"/>
  <c r="AN40" i="18" s="1"/>
  <c r="AN67" i="18"/>
  <c r="AN73" i="18" s="1"/>
  <c r="AN45" i="18"/>
  <c r="AN51" i="18" s="1"/>
  <c r="AN56" i="18"/>
  <c r="AN62" i="18" s="1"/>
  <c r="AC56" i="19"/>
  <c r="AC62" i="19" s="1"/>
  <c r="AC24" i="19"/>
  <c r="AC34" i="19"/>
  <c r="AC40" i="19" s="1"/>
  <c r="AC67" i="19"/>
  <c r="AC73" i="19" s="1"/>
  <c r="AC45" i="19"/>
  <c r="AC51" i="19" s="1"/>
  <c r="M55" i="19"/>
  <c r="M23" i="19"/>
  <c r="M33" i="19"/>
  <c r="M44" i="19"/>
  <c r="M66" i="19"/>
  <c r="H30" i="19"/>
  <c r="I27" i="19"/>
  <c r="AA66" i="18"/>
  <c r="AA23" i="18"/>
  <c r="AA44" i="18"/>
  <c r="AA55" i="18"/>
  <c r="AA33" i="18"/>
  <c r="AN23" i="19"/>
  <c r="AN44" i="19"/>
  <c r="AN55" i="19"/>
  <c r="AN33" i="19"/>
  <c r="AN66" i="19"/>
  <c r="F56" i="19"/>
  <c r="F62" i="19" s="1"/>
  <c r="F24" i="19"/>
  <c r="F34" i="19"/>
  <c r="F40" i="19" s="1"/>
  <c r="F45" i="19"/>
  <c r="F51" i="19" s="1"/>
  <c r="F67" i="19"/>
  <c r="F73" i="19" s="1"/>
  <c r="AW24" i="19"/>
  <c r="AW34" i="19"/>
  <c r="AW40" i="19" s="1"/>
  <c r="AW56" i="19"/>
  <c r="AW62" i="19" s="1"/>
  <c r="AW67" i="19"/>
  <c r="AW73" i="19" s="1"/>
  <c r="AW45" i="19"/>
  <c r="AW51" i="19" s="1"/>
  <c r="Q44" i="18"/>
  <c r="Q23" i="18"/>
  <c r="Q66" i="18"/>
  <c r="Q33" i="18"/>
  <c r="Q55" i="18"/>
  <c r="H44" i="19"/>
  <c r="H23" i="19"/>
  <c r="H66" i="19"/>
  <c r="H33" i="19"/>
  <c r="H55" i="19"/>
  <c r="T21" i="20"/>
  <c r="T22" i="20"/>
  <c r="AQ33" i="20"/>
  <c r="AQ23" i="20"/>
  <c r="AQ44" i="20"/>
  <c r="AQ66" i="20"/>
  <c r="AQ55" i="20"/>
  <c r="G55" i="18"/>
  <c r="G23" i="18"/>
  <c r="G33" i="18"/>
  <c r="G44" i="18"/>
  <c r="G66" i="18"/>
  <c r="T22" i="19"/>
  <c r="T21" i="19"/>
  <c r="AV44" i="21"/>
  <c r="AV33" i="21"/>
  <c r="AV23" i="21"/>
  <c r="AV55" i="21"/>
  <c r="AV66" i="21"/>
  <c r="Q46" i="19"/>
  <c r="AV44" i="20"/>
  <c r="AV23" i="20"/>
  <c r="AV55" i="20"/>
  <c r="AV33" i="20"/>
  <c r="AV66" i="20"/>
  <c r="AP22" i="21"/>
  <c r="AP21" i="21"/>
  <c r="X45" i="20"/>
  <c r="X51" i="20" s="1"/>
  <c r="X56" i="20"/>
  <c r="X62" i="20" s="1"/>
  <c r="X67" i="20"/>
  <c r="X24" i="20"/>
  <c r="X34" i="20"/>
  <c r="X40" i="20" s="1"/>
  <c r="D67" i="20"/>
  <c r="D73" i="20" s="1"/>
  <c r="D34" i="20"/>
  <c r="D40" i="20" s="1"/>
  <c r="D24" i="20"/>
  <c r="D45" i="20"/>
  <c r="D51" i="20" s="1"/>
  <c r="D56" i="20"/>
  <c r="D62" i="20" s="1"/>
  <c r="X61" i="20"/>
  <c r="X57" i="20"/>
  <c r="U56" i="20"/>
  <c r="U62" i="20" s="1"/>
  <c r="U67" i="20"/>
  <c r="U73" i="20" s="1"/>
  <c r="U24" i="20"/>
  <c r="U34" i="20"/>
  <c r="U40" i="20" s="1"/>
  <c r="U45" i="20"/>
  <c r="U51" i="20" s="1"/>
  <c r="X39" i="19"/>
  <c r="S33" i="20"/>
  <c r="S44" i="20"/>
  <c r="S23" i="20"/>
  <c r="S55" i="20"/>
  <c r="S66" i="20"/>
  <c r="AX61" i="20"/>
  <c r="AR33" i="21"/>
  <c r="AR55" i="21"/>
  <c r="AR44" i="21"/>
  <c r="AR23" i="21"/>
  <c r="AR66" i="21"/>
  <c r="AH50" i="20"/>
  <c r="AC22" i="21"/>
  <c r="AS55" i="21"/>
  <c r="AS23" i="21"/>
  <c r="AS44" i="21"/>
  <c r="AS66" i="21"/>
  <c r="AS33" i="21"/>
  <c r="AB22" i="21"/>
  <c r="H33" i="21"/>
  <c r="H55" i="21"/>
  <c r="H44" i="21"/>
  <c r="H23" i="21"/>
  <c r="H66" i="21"/>
  <c r="AK56" i="20"/>
  <c r="AK62" i="20" s="1"/>
  <c r="AK67" i="20"/>
  <c r="AK73" i="20" s="1"/>
  <c r="AK45" i="20"/>
  <c r="AK51" i="20" s="1"/>
  <c r="AK24" i="20"/>
  <c r="AK34" i="20"/>
  <c r="AK40" i="20" s="1"/>
  <c r="AM61" i="21"/>
  <c r="AG22" i="21"/>
  <c r="E22" i="21"/>
  <c r="AO34" i="18"/>
  <c r="AO40" i="18" s="1"/>
  <c r="AO56" i="18"/>
  <c r="AO62" i="18" s="1"/>
  <c r="AO45" i="18"/>
  <c r="AO51" i="18" s="1"/>
  <c r="AO24" i="18"/>
  <c r="AO67" i="18"/>
  <c r="AO73" i="18" s="1"/>
  <c r="AJ33" i="18"/>
  <c r="AJ66" i="18"/>
  <c r="AJ23" i="18"/>
  <c r="AJ44" i="18"/>
  <c r="AJ55" i="18"/>
  <c r="W56" i="18"/>
  <c r="W62" i="18" s="1"/>
  <c r="W67" i="18"/>
  <c r="W73" i="18" s="1"/>
  <c r="W34" i="18"/>
  <c r="W40" i="18" s="1"/>
  <c r="W45" i="18"/>
  <c r="W51" i="18" s="1"/>
  <c r="W24" i="18"/>
  <c r="AQ66" i="19"/>
  <c r="AQ23" i="19"/>
  <c r="AQ44" i="19"/>
  <c r="AQ33" i="19"/>
  <c r="AQ55" i="19"/>
  <c r="AN23" i="18"/>
  <c r="AN44" i="18"/>
  <c r="AN55" i="18"/>
  <c r="AN66" i="18"/>
  <c r="AN33" i="18"/>
  <c r="S55" i="19"/>
  <c r="S44" i="19"/>
  <c r="S66" i="19"/>
  <c r="S23" i="19"/>
  <c r="S33" i="19"/>
  <c r="K46" i="19"/>
  <c r="AS35" i="20"/>
  <c r="AS39" i="20"/>
  <c r="AE46" i="20"/>
  <c r="AE50" i="20"/>
  <c r="Q67" i="18"/>
  <c r="Q73" i="18" s="1"/>
  <c r="Q45" i="18"/>
  <c r="Q51" i="18" s="1"/>
  <c r="Q34" i="18"/>
  <c r="Q40" i="18" s="1"/>
  <c r="Q24" i="18"/>
  <c r="Q56" i="18"/>
  <c r="Q62" i="18" s="1"/>
  <c r="F23" i="20"/>
  <c r="F55" i="20"/>
  <c r="F33" i="20"/>
  <c r="F66" i="20"/>
  <c r="F44" i="20"/>
  <c r="AV45" i="20"/>
  <c r="AV51" i="20" s="1"/>
  <c r="AV56" i="20"/>
  <c r="AV62" i="20" s="1"/>
  <c r="AV67" i="20"/>
  <c r="AV73" i="20" s="1"/>
  <c r="AV34" i="20"/>
  <c r="AV40" i="20" s="1"/>
  <c r="AV24" i="20"/>
  <c r="AG45" i="20"/>
  <c r="AG51" i="20" s="1"/>
  <c r="AG24" i="20"/>
  <c r="AG34" i="20"/>
  <c r="AG40" i="20" s="1"/>
  <c r="AG67" i="20"/>
  <c r="AG73" i="20" s="1"/>
  <c r="AG56" i="20"/>
  <c r="AG62" i="20" s="1"/>
  <c r="U55" i="20"/>
  <c r="U23" i="20"/>
  <c r="U33" i="20"/>
  <c r="U66" i="20"/>
  <c r="U44" i="20"/>
  <c r="S67" i="20"/>
  <c r="S73" i="20" s="1"/>
  <c r="S34" i="20"/>
  <c r="S40" i="20" s="1"/>
  <c r="S45" i="20"/>
  <c r="S51" i="20" s="1"/>
  <c r="S56" i="20"/>
  <c r="S62" i="20" s="1"/>
  <c r="S24" i="20"/>
  <c r="AS22" i="21"/>
  <c r="AK55" i="20"/>
  <c r="AK23" i="20"/>
  <c r="AK33" i="20"/>
  <c r="AK44" i="20"/>
  <c r="AK66" i="20"/>
  <c r="D67" i="18"/>
  <c r="D73" i="18" s="1"/>
  <c r="D45" i="18"/>
  <c r="D51" i="18" s="1"/>
  <c r="D34" i="18"/>
  <c r="D40" i="18" s="1"/>
  <c r="D24" i="18"/>
  <c r="D56" i="18"/>
  <c r="D62" i="18" s="1"/>
  <c r="P33" i="21"/>
  <c r="P55" i="21"/>
  <c r="P44" i="21"/>
  <c r="P23" i="21"/>
  <c r="P66" i="21"/>
  <c r="AX33" i="18"/>
  <c r="AX55" i="18"/>
  <c r="AX66" i="18"/>
  <c r="AX44" i="18"/>
  <c r="AX23" i="18"/>
  <c r="Z21" i="18"/>
  <c r="Z22" i="18"/>
  <c r="AM23" i="18"/>
  <c r="AM66" i="18"/>
  <c r="AM44" i="18"/>
  <c r="AM55" i="18"/>
  <c r="AM33" i="18"/>
  <c r="X24" i="18"/>
  <c r="X45" i="18"/>
  <c r="X51" i="18" s="1"/>
  <c r="X67" i="18"/>
  <c r="X73" i="18" s="1"/>
  <c r="X56" i="18"/>
  <c r="X62" i="18" s="1"/>
  <c r="X34" i="18"/>
  <c r="X40" i="18" s="1"/>
  <c r="AX45" i="19"/>
  <c r="AX51" i="19" s="1"/>
  <c r="AX67" i="19"/>
  <c r="AX73" i="19" s="1"/>
  <c r="AX34" i="19"/>
  <c r="AX40" i="19" s="1"/>
  <c r="AX56" i="19"/>
  <c r="AX62" i="19" s="1"/>
  <c r="AX24" i="19"/>
  <c r="R22" i="18"/>
  <c r="R21" i="18"/>
  <c r="G56" i="18"/>
  <c r="G62" i="18" s="1"/>
  <c r="G34" i="18"/>
  <c r="G40" i="18" s="1"/>
  <c r="G24" i="18"/>
  <c r="G45" i="18"/>
  <c r="G51" i="18" s="1"/>
  <c r="G67" i="18"/>
  <c r="G73" i="18" s="1"/>
  <c r="AP21" i="20"/>
  <c r="AP22" i="20"/>
  <c r="AI34" i="19"/>
  <c r="AI40" i="19" s="1"/>
  <c r="AI45" i="19"/>
  <c r="AI51" i="19" s="1"/>
  <c r="AI56" i="19"/>
  <c r="AI62" i="19" s="1"/>
  <c r="AI24" i="19"/>
  <c r="AI67" i="19"/>
  <c r="AI73" i="19" s="1"/>
  <c r="AE56" i="18"/>
  <c r="AE62" i="18" s="1"/>
  <c r="AE24" i="18"/>
  <c r="AE45" i="18"/>
  <c r="AE51" i="18" s="1"/>
  <c r="AE67" i="18"/>
  <c r="AE73" i="18" s="1"/>
  <c r="AE34" i="18"/>
  <c r="AE40" i="18" s="1"/>
  <c r="AC23" i="19"/>
  <c r="AC55" i="19"/>
  <c r="AC44" i="19"/>
  <c r="AC66" i="19"/>
  <c r="AC33" i="19"/>
  <c r="M56" i="19"/>
  <c r="M62" i="19" s="1"/>
  <c r="M67" i="19"/>
  <c r="M73" i="19" s="1"/>
  <c r="M45" i="19"/>
  <c r="M51" i="19" s="1"/>
  <c r="M24" i="19"/>
  <c r="M34" i="19"/>
  <c r="M40" i="19" s="1"/>
  <c r="V55" i="18"/>
  <c r="V33" i="18"/>
  <c r="V66" i="18"/>
  <c r="V23" i="18"/>
  <c r="V44" i="18"/>
  <c r="AA45" i="18"/>
  <c r="AA51" i="18" s="1"/>
  <c r="AA67" i="18"/>
  <c r="AA73" i="18" s="1"/>
  <c r="AA24" i="18"/>
  <c r="AA34" i="18"/>
  <c r="AA40" i="18" s="1"/>
  <c r="AA56" i="18"/>
  <c r="AA62" i="18" s="1"/>
  <c r="AS57" i="20"/>
  <c r="AS61" i="20"/>
  <c r="AN24" i="19"/>
  <c r="AN34" i="19"/>
  <c r="AN40" i="19" s="1"/>
  <c r="AN67" i="19"/>
  <c r="AN73" i="19" s="1"/>
  <c r="AN45" i="19"/>
  <c r="AN51" i="19" s="1"/>
  <c r="AN56" i="19"/>
  <c r="AN62" i="19" s="1"/>
  <c r="F23" i="19"/>
  <c r="F44" i="19"/>
  <c r="F55" i="19"/>
  <c r="F66" i="19"/>
  <c r="F33" i="19"/>
  <c r="U23" i="19"/>
  <c r="U33" i="19"/>
  <c r="U66" i="19"/>
  <c r="U55" i="19"/>
  <c r="U44" i="19"/>
  <c r="F34" i="18"/>
  <c r="F40" i="18" s="1"/>
  <c r="F56" i="18"/>
  <c r="F62" i="18" s="1"/>
  <c r="F67" i="18"/>
  <c r="F73" i="18" s="1"/>
  <c r="F24" i="18"/>
  <c r="F45" i="18"/>
  <c r="F51" i="18" s="1"/>
  <c r="R22" i="20"/>
  <c r="R21" i="20"/>
  <c r="AJ21" i="20"/>
  <c r="AJ22" i="20"/>
  <c r="K66" i="18"/>
  <c r="K33" i="18"/>
  <c r="K23" i="18"/>
  <c r="K44" i="18"/>
  <c r="K55" i="18"/>
  <c r="AY67" i="20"/>
  <c r="AY73" i="20" s="1"/>
  <c r="AY34" i="20"/>
  <c r="AY40" i="20" s="1"/>
  <c r="AY45" i="20"/>
  <c r="AY51" i="20" s="1"/>
  <c r="AY56" i="20"/>
  <c r="AY62" i="20" s="1"/>
  <c r="AY24" i="20"/>
  <c r="AQ22" i="21"/>
  <c r="AM44" i="20"/>
  <c r="AM55" i="20"/>
  <c r="AM33" i="20"/>
  <c r="AM66" i="20"/>
  <c r="AM23" i="20"/>
  <c r="AQ66" i="21"/>
  <c r="AQ33" i="21"/>
  <c r="AQ23" i="21"/>
  <c r="AQ44" i="21"/>
  <c r="AQ55" i="21"/>
  <c r="I45" i="20"/>
  <c r="I51" i="20" s="1"/>
  <c r="I24" i="20"/>
  <c r="I67" i="20"/>
  <c r="I73" i="20" s="1"/>
  <c r="I34" i="20"/>
  <c r="I40" i="20" s="1"/>
  <c r="I56" i="20"/>
  <c r="I62" i="20" s="1"/>
  <c r="J67" i="19"/>
  <c r="J73" i="19" s="1"/>
  <c r="J56" i="19"/>
  <c r="J62" i="19" s="1"/>
  <c r="J34" i="19"/>
  <c r="J40" i="19" s="1"/>
  <c r="J45" i="19"/>
  <c r="J51" i="19" s="1"/>
  <c r="J24" i="19"/>
  <c r="AW66" i="20"/>
  <c r="AW33" i="20"/>
  <c r="AW23" i="20"/>
  <c r="AW55" i="20"/>
  <c r="AW44" i="20"/>
  <c r="Q45" i="20"/>
  <c r="Q51" i="20" s="1"/>
  <c r="Q24" i="20"/>
  <c r="Q56" i="20"/>
  <c r="Q62" i="20" s="1"/>
  <c r="Q67" i="20"/>
  <c r="Q73" i="20" s="1"/>
  <c r="Q34" i="20"/>
  <c r="Q40" i="20" s="1"/>
  <c r="D50" i="20"/>
  <c r="D46" i="20"/>
  <c r="W22" i="21"/>
  <c r="W21" i="21"/>
  <c r="AH39" i="20"/>
  <c r="AC55" i="21"/>
  <c r="AC23" i="21"/>
  <c r="AC44" i="21"/>
  <c r="AC66" i="21"/>
  <c r="AC33" i="21"/>
  <c r="AP68" i="19"/>
  <c r="AP72" i="19"/>
  <c r="AK22" i="21"/>
  <c r="M22" i="21"/>
  <c r="AB33" i="21"/>
  <c r="AB55" i="21"/>
  <c r="AB44" i="21"/>
  <c r="AB23" i="21"/>
  <c r="AB66" i="21"/>
  <c r="AI22" i="21"/>
  <c r="AE23" i="21"/>
  <c r="AE44" i="21"/>
  <c r="AE66" i="21"/>
  <c r="AE33" i="21"/>
  <c r="AE55" i="21"/>
  <c r="AM39" i="21"/>
  <c r="AG44" i="21"/>
  <c r="AG66" i="21"/>
  <c r="AG55" i="21"/>
  <c r="AG23" i="21"/>
  <c r="AG33" i="21"/>
  <c r="E44" i="21"/>
  <c r="E66" i="21"/>
  <c r="E55" i="21"/>
  <c r="E23" i="21"/>
  <c r="E33" i="21"/>
  <c r="Z50" i="21"/>
  <c r="AS33" i="18"/>
  <c r="AS55" i="18"/>
  <c r="AS66" i="18"/>
  <c r="AS44" i="18"/>
  <c r="AS23" i="18"/>
  <c r="N22" i="18"/>
  <c r="N21" i="18"/>
  <c r="AH67" i="19"/>
  <c r="AH73" i="19" s="1"/>
  <c r="AH34" i="19"/>
  <c r="AH40" i="19" s="1"/>
  <c r="AH45" i="19"/>
  <c r="AH51" i="19" s="1"/>
  <c r="AH56" i="19"/>
  <c r="AH62" i="19" s="1"/>
  <c r="AH24" i="19"/>
  <c r="AM22" i="19"/>
  <c r="AM21" i="19"/>
  <c r="AW44" i="19"/>
  <c r="AW33" i="19"/>
  <c r="AW55" i="19"/>
  <c r="AW66" i="19"/>
  <c r="AW23" i="19"/>
  <c r="W24" i="20"/>
  <c r="W56" i="20"/>
  <c r="W62" i="20" s="1"/>
  <c r="W45" i="20"/>
  <c r="W51" i="20" s="1"/>
  <c r="W34" i="20"/>
  <c r="W40" i="20" s="1"/>
  <c r="W67" i="20"/>
  <c r="W73" i="20" s="1"/>
  <c r="P44" i="20"/>
  <c r="P23" i="20"/>
  <c r="P55" i="20"/>
  <c r="P33" i="20"/>
  <c r="P66" i="20"/>
  <c r="AF66" i="19"/>
  <c r="AF44" i="19"/>
  <c r="AF33" i="19"/>
  <c r="AF55" i="19"/>
  <c r="AF23" i="19"/>
  <c r="AZ10" i="20"/>
  <c r="D13" i="20"/>
  <c r="AH22" i="21"/>
  <c r="AH21" i="21"/>
  <c r="AN44" i="21"/>
  <c r="AN33" i="21"/>
  <c r="AN55" i="21"/>
  <c r="AN66" i="21"/>
  <c r="AN23" i="21"/>
  <c r="AR22" i="21"/>
  <c r="AP39" i="19"/>
  <c r="AP35" i="19"/>
  <c r="AM22" i="21"/>
  <c r="M22" i="20"/>
  <c r="M21" i="20"/>
  <c r="AI21" i="18"/>
  <c r="AI22" i="18"/>
  <c r="S22" i="18"/>
  <c r="S21" i="18"/>
  <c r="U21" i="18"/>
  <c r="U22" i="18"/>
  <c r="AT55" i="18"/>
  <c r="AT44" i="18"/>
  <c r="AT66" i="18"/>
  <c r="AT33" i="18"/>
  <c r="AT23" i="18"/>
  <c r="AV21" i="18"/>
  <c r="AV22" i="18"/>
  <c r="Y22" i="19"/>
  <c r="Y21" i="19"/>
  <c r="I56" i="18"/>
  <c r="I62" i="18" s="1"/>
  <c r="I34" i="18"/>
  <c r="I40" i="18" s="1"/>
  <c r="I24" i="18"/>
  <c r="I45" i="18"/>
  <c r="I51" i="18" s="1"/>
  <c r="I67" i="18"/>
  <c r="I73" i="18" s="1"/>
  <c r="AO24" i="19"/>
  <c r="AO34" i="19"/>
  <c r="AO40" i="19" s="1"/>
  <c r="AO56" i="19"/>
  <c r="AO62" i="19" s="1"/>
  <c r="AO45" i="19"/>
  <c r="AO51" i="19" s="1"/>
  <c r="AO67" i="19"/>
  <c r="AO73" i="19" s="1"/>
  <c r="AC34" i="18"/>
  <c r="AC40" i="18" s="1"/>
  <c r="AC24" i="18"/>
  <c r="AC45" i="18"/>
  <c r="AC51" i="18" s="1"/>
  <c r="AC67" i="18"/>
  <c r="AC73" i="18" s="1"/>
  <c r="AC56" i="18"/>
  <c r="AC62" i="18" s="1"/>
  <c r="AG22" i="19"/>
  <c r="AG21" i="19"/>
  <c r="AH33" i="19"/>
  <c r="AH66" i="19"/>
  <c r="AH23" i="19"/>
  <c r="AH55" i="19"/>
  <c r="AH44" i="19"/>
  <c r="AE23" i="18"/>
  <c r="AE44" i="18"/>
  <c r="AE33" i="18"/>
  <c r="AE55" i="18"/>
  <c r="AE66" i="18"/>
  <c r="AB55" i="19"/>
  <c r="AB23" i="19"/>
  <c r="AB33" i="19"/>
  <c r="AB44" i="19"/>
  <c r="AB66" i="19"/>
  <c r="E22" i="19"/>
  <c r="E21" i="19"/>
  <c r="V34" i="18"/>
  <c r="V40" i="18" s="1"/>
  <c r="V56" i="18"/>
  <c r="V62" i="18" s="1"/>
  <c r="V24" i="18"/>
  <c r="V67" i="18"/>
  <c r="V73" i="18" s="1"/>
  <c r="V45" i="18"/>
  <c r="V51" i="18" s="1"/>
  <c r="L33" i="18"/>
  <c r="L23" i="18"/>
  <c r="L55" i="18"/>
  <c r="L44" i="18"/>
  <c r="L66" i="18"/>
  <c r="AV56" i="19"/>
  <c r="AV62" i="19" s="1"/>
  <c r="AV24" i="19"/>
  <c r="AV45" i="19"/>
  <c r="AV51" i="19" s="1"/>
  <c r="AV34" i="19"/>
  <c r="AV40" i="19" s="1"/>
  <c r="AV67" i="19"/>
  <c r="AV73" i="19" s="1"/>
  <c r="AS10" i="20"/>
  <c r="AS13" i="20" s="1"/>
  <c r="W44" i="19"/>
  <c r="W23" i="19"/>
  <c r="W55" i="19"/>
  <c r="W66" i="19"/>
  <c r="W33" i="19"/>
  <c r="AO66" i="20"/>
  <c r="AO55" i="20"/>
  <c r="AO33" i="20"/>
  <c r="AO44" i="20"/>
  <c r="AO23" i="20"/>
  <c r="AI67" i="20"/>
  <c r="AI73" i="20" s="1"/>
  <c r="AI34" i="20"/>
  <c r="AI40" i="20" s="1"/>
  <c r="AI45" i="20"/>
  <c r="AI51" i="20" s="1"/>
  <c r="AI24" i="20"/>
  <c r="AI56" i="20"/>
  <c r="AI62" i="20" s="1"/>
  <c r="F55" i="18"/>
  <c r="F33" i="18"/>
  <c r="F23" i="18"/>
  <c r="F44" i="18"/>
  <c r="F66" i="18"/>
  <c r="W44" i="20"/>
  <c r="W55" i="20"/>
  <c r="W23" i="20"/>
  <c r="W33" i="20"/>
  <c r="W66" i="20"/>
  <c r="J22" i="20"/>
  <c r="J21" i="20"/>
  <c r="AH67" i="20"/>
  <c r="AH73" i="20" s="1"/>
  <c r="AH34" i="20"/>
  <c r="AH40" i="20" s="1"/>
  <c r="AH45" i="20"/>
  <c r="AH51" i="20" s="1"/>
  <c r="AH24" i="20"/>
  <c r="AH56" i="20"/>
  <c r="AH62" i="20" s="1"/>
  <c r="X23" i="18"/>
  <c r="X44" i="18"/>
  <c r="X55" i="18"/>
  <c r="X66" i="18"/>
  <c r="X33" i="18"/>
  <c r="AY33" i="20"/>
  <c r="AY23" i="20"/>
  <c r="AY44" i="20"/>
  <c r="AY55" i="20"/>
  <c r="AY66" i="20"/>
  <c r="AL22" i="21"/>
  <c r="AL21" i="21"/>
  <c r="AM24" i="20"/>
  <c r="AM34" i="20"/>
  <c r="AM40" i="20" s="1"/>
  <c r="AM67" i="20"/>
  <c r="AM73" i="20" s="1"/>
  <c r="AM45" i="20"/>
  <c r="AM51" i="20" s="1"/>
  <c r="AM56" i="20"/>
  <c r="AM62" i="20" s="1"/>
  <c r="I66" i="20"/>
  <c r="I44" i="20"/>
  <c r="I55" i="20"/>
  <c r="I33" i="20"/>
  <c r="I23" i="20"/>
  <c r="R34" i="19"/>
  <c r="R40" i="19" s="1"/>
  <c r="R24" i="19"/>
  <c r="R45" i="19"/>
  <c r="R51" i="19" s="1"/>
  <c r="R67" i="19"/>
  <c r="R73" i="19" s="1"/>
  <c r="R56" i="19"/>
  <c r="R62" i="19" s="1"/>
  <c r="X50" i="20"/>
  <c r="AW45" i="20"/>
  <c r="AW51" i="20" s="1"/>
  <c r="AW24" i="20"/>
  <c r="AW67" i="20"/>
  <c r="AW73" i="20" s="1"/>
  <c r="AW34" i="20"/>
  <c r="AW40" i="20" s="1"/>
  <c r="AW56" i="20"/>
  <c r="AW62" i="20" s="1"/>
  <c r="Q66" i="20"/>
  <c r="Q44" i="20"/>
  <c r="Q33" i="20"/>
  <c r="Q55" i="20"/>
  <c r="Q23" i="20"/>
  <c r="X46" i="19"/>
  <c r="X50" i="19"/>
  <c r="AX46" i="20"/>
  <c r="AX50" i="20"/>
  <c r="V21" i="21"/>
  <c r="V22" i="21"/>
  <c r="AH72" i="20"/>
  <c r="H45" i="20"/>
  <c r="H51" i="20" s="1"/>
  <c r="H56" i="20"/>
  <c r="H62" i="20" s="1"/>
  <c r="H67" i="20"/>
  <c r="H73" i="20" s="1"/>
  <c r="H34" i="20"/>
  <c r="H40" i="20" s="1"/>
  <c r="H24" i="20"/>
  <c r="AP46" i="19"/>
  <c r="AP50" i="19"/>
  <c r="AK55" i="21"/>
  <c r="AK23" i="21"/>
  <c r="AK44" i="21"/>
  <c r="AK33" i="21"/>
  <c r="AK66" i="21"/>
  <c r="M44" i="21"/>
  <c r="M66" i="21"/>
  <c r="M55" i="21"/>
  <c r="M33" i="21"/>
  <c r="M23" i="21"/>
  <c r="S39" i="21"/>
  <c r="S35" i="21"/>
  <c r="AI66" i="21"/>
  <c r="AI33" i="21"/>
  <c r="AI23" i="21"/>
  <c r="AI44" i="21"/>
  <c r="AI55" i="21"/>
  <c r="R22" i="21"/>
  <c r="R21" i="21"/>
  <c r="AM72" i="21"/>
  <c r="AW22" i="21"/>
  <c r="I22" i="21"/>
  <c r="Z61" i="21"/>
  <c r="AO72" i="20" l="1"/>
  <c r="AO68" i="20"/>
  <c r="AE46" i="18"/>
  <c r="AE50" i="18"/>
  <c r="AN39" i="21"/>
  <c r="F68" i="19"/>
  <c r="F72" i="19"/>
  <c r="AJ61" i="18"/>
  <c r="AJ57" i="18"/>
  <c r="G72" i="18"/>
  <c r="G68" i="18"/>
  <c r="AO61" i="18"/>
  <c r="AO57" i="18"/>
  <c r="AP45" i="18"/>
  <c r="AP51" i="18" s="1"/>
  <c r="AP34" i="18"/>
  <c r="AP40" i="18" s="1"/>
  <c r="AP67" i="18"/>
  <c r="AP73" i="18" s="1"/>
  <c r="AP24" i="18"/>
  <c r="AP56" i="18"/>
  <c r="AP62" i="18" s="1"/>
  <c r="AS68" i="19"/>
  <c r="AS72" i="19"/>
  <c r="R61" i="19"/>
  <c r="R57" i="19"/>
  <c r="AQ68" i="18"/>
  <c r="AQ72" i="18"/>
  <c r="D50" i="21"/>
  <c r="D46" i="21"/>
  <c r="D72" i="18"/>
  <c r="D68" i="18"/>
  <c r="AW45" i="21"/>
  <c r="AW51" i="21" s="1"/>
  <c r="AW34" i="21"/>
  <c r="AW40" i="21" s="1"/>
  <c r="AW24" i="21"/>
  <c r="AW56" i="21"/>
  <c r="AW62" i="21" s="1"/>
  <c r="AW67" i="21"/>
  <c r="AW73" i="21" s="1"/>
  <c r="X46" i="20"/>
  <c r="X35" i="18"/>
  <c r="X39" i="18"/>
  <c r="W46" i="20"/>
  <c r="W50" i="20"/>
  <c r="W39" i="19"/>
  <c r="W35" i="19"/>
  <c r="Y67" i="19"/>
  <c r="Y73" i="19" s="1"/>
  <c r="Y45" i="19"/>
  <c r="Y51" i="19" s="1"/>
  <c r="Y24" i="19"/>
  <c r="Y56" i="19"/>
  <c r="Y62" i="19" s="1"/>
  <c r="Y34" i="19"/>
  <c r="Y40" i="19" s="1"/>
  <c r="AM56" i="21"/>
  <c r="AM24" i="21"/>
  <c r="AM67" i="21"/>
  <c r="AM34" i="21"/>
  <c r="AM45" i="21"/>
  <c r="AF46" i="19"/>
  <c r="AF50" i="19"/>
  <c r="N55" i="18"/>
  <c r="N66" i="18"/>
  <c r="N33" i="18"/>
  <c r="N23" i="18"/>
  <c r="N44" i="18"/>
  <c r="AE46" i="21"/>
  <c r="AE50" i="21"/>
  <c r="AC61" i="21"/>
  <c r="AC57" i="21"/>
  <c r="AW68" i="20"/>
  <c r="AW72" i="20"/>
  <c r="F57" i="19"/>
  <c r="F61" i="19"/>
  <c r="AN39" i="18"/>
  <c r="AN35" i="18"/>
  <c r="G50" i="18"/>
  <c r="G46" i="18"/>
  <c r="AA68" i="18"/>
  <c r="AA72" i="18"/>
  <c r="AO50" i="18"/>
  <c r="AO46" i="18"/>
  <c r="Y46" i="20"/>
  <c r="Y50" i="20"/>
  <c r="I68" i="19"/>
  <c r="I72" i="19"/>
  <c r="AP57" i="19"/>
  <c r="AB46" i="20"/>
  <c r="AB50" i="20"/>
  <c r="J61" i="19"/>
  <c r="J57" i="19"/>
  <c r="J55" i="21"/>
  <c r="J23" i="21"/>
  <c r="J66" i="21"/>
  <c r="J33" i="21"/>
  <c r="J44" i="21"/>
  <c r="AS57" i="19"/>
  <c r="AS61" i="19"/>
  <c r="AL57" i="18"/>
  <c r="AL61" i="18"/>
  <c r="R68" i="19"/>
  <c r="R72" i="19"/>
  <c r="Q34" i="21"/>
  <c r="Q40" i="21" s="1"/>
  <c r="Q56" i="21"/>
  <c r="Q62" i="21" s="1"/>
  <c r="Q45" i="21"/>
  <c r="Q51" i="21" s="1"/>
  <c r="Q24" i="21"/>
  <c r="Q67" i="21"/>
  <c r="Q73" i="21" s="1"/>
  <c r="V46" i="20"/>
  <c r="V50" i="20"/>
  <c r="AD39" i="20"/>
  <c r="AD35" i="20"/>
  <c r="H39" i="18"/>
  <c r="H35" i="18"/>
  <c r="AA55" i="19"/>
  <c r="AA66" i="19"/>
  <c r="AA23" i="19"/>
  <c r="AA33" i="19"/>
  <c r="AA44" i="19"/>
  <c r="AR35" i="18"/>
  <c r="AR39" i="18"/>
  <c r="H61" i="20"/>
  <c r="H57" i="20"/>
  <c r="AK68" i="21"/>
  <c r="AK72" i="21"/>
  <c r="I57" i="20"/>
  <c r="I61" i="20"/>
  <c r="AB35" i="19"/>
  <c r="AB39" i="19"/>
  <c r="AH50" i="19"/>
  <c r="AH46" i="19"/>
  <c r="AV24" i="18"/>
  <c r="AV45" i="18"/>
  <c r="AV51" i="18" s="1"/>
  <c r="AV56" i="18"/>
  <c r="AV62" i="18" s="1"/>
  <c r="AV34" i="18"/>
  <c r="AV40" i="18" s="1"/>
  <c r="AV67" i="18"/>
  <c r="AV73" i="18" s="1"/>
  <c r="AH66" i="21"/>
  <c r="AH33" i="21"/>
  <c r="AH55" i="21"/>
  <c r="AH23" i="21"/>
  <c r="AH44" i="21"/>
  <c r="AF68" i="19"/>
  <c r="AF72" i="19"/>
  <c r="AM23" i="19"/>
  <c r="AM66" i="19"/>
  <c r="AM44" i="19"/>
  <c r="AM33" i="19"/>
  <c r="AM55" i="19"/>
  <c r="N45" i="18"/>
  <c r="N51" i="18" s="1"/>
  <c r="N67" i="18"/>
  <c r="N73" i="18" s="1"/>
  <c r="N34" i="18"/>
  <c r="N40" i="18" s="1"/>
  <c r="N24" i="18"/>
  <c r="N56" i="18"/>
  <c r="N62" i="18" s="1"/>
  <c r="E39" i="21"/>
  <c r="AG68" i="21"/>
  <c r="AG72" i="21"/>
  <c r="AK34" i="21"/>
  <c r="AK40" i="21" s="1"/>
  <c r="AK56" i="21"/>
  <c r="AK62" i="21" s="1"/>
  <c r="AK45" i="21"/>
  <c r="AK51" i="21" s="1"/>
  <c r="AK24" i="21"/>
  <c r="AK67" i="21"/>
  <c r="AK73" i="21" s="1"/>
  <c r="AM72" i="20"/>
  <c r="AM68" i="20"/>
  <c r="AJ55" i="20"/>
  <c r="AJ66" i="20"/>
  <c r="AJ23" i="20"/>
  <c r="AJ33" i="20"/>
  <c r="AJ44" i="20"/>
  <c r="U46" i="19"/>
  <c r="U50" i="19"/>
  <c r="F46" i="19"/>
  <c r="F50" i="19"/>
  <c r="V72" i="18"/>
  <c r="V68" i="18"/>
  <c r="AC39" i="19"/>
  <c r="AC35" i="19"/>
  <c r="AP66" i="20"/>
  <c r="AP33" i="20"/>
  <c r="AP44" i="20"/>
  <c r="AP23" i="20"/>
  <c r="AP55" i="20"/>
  <c r="Z33" i="18"/>
  <c r="Z23" i="18"/>
  <c r="Z66" i="18"/>
  <c r="Z55" i="18"/>
  <c r="Z44" i="18"/>
  <c r="P50" i="21"/>
  <c r="U57" i="20"/>
  <c r="U61" i="20"/>
  <c r="AN72" i="18"/>
  <c r="AN68" i="18"/>
  <c r="AQ72" i="19"/>
  <c r="AQ68" i="19"/>
  <c r="E45" i="21"/>
  <c r="E51" i="21" s="1"/>
  <c r="E34" i="21"/>
  <c r="E40" i="21" s="1"/>
  <c r="E56" i="21"/>
  <c r="E62" i="21" s="1"/>
  <c r="E24" i="21"/>
  <c r="E67" i="21"/>
  <c r="E73" i="21" s="1"/>
  <c r="AS72" i="21"/>
  <c r="AP45" i="21"/>
  <c r="AP51" i="21" s="1"/>
  <c r="AP67" i="21"/>
  <c r="AP73" i="21" s="1"/>
  <c r="AP56" i="21"/>
  <c r="AP62" i="21" s="1"/>
  <c r="AP24" i="21"/>
  <c r="AP34" i="21"/>
  <c r="AP40" i="21" s="1"/>
  <c r="AV61" i="21"/>
  <c r="G35" i="18"/>
  <c r="G39" i="18"/>
  <c r="T34" i="20"/>
  <c r="T40" i="20" s="1"/>
  <c r="T24" i="20"/>
  <c r="T56" i="20"/>
  <c r="T62" i="20" s="1"/>
  <c r="T45" i="20"/>
  <c r="T51" i="20" s="1"/>
  <c r="T67" i="20"/>
  <c r="T73" i="20" s="1"/>
  <c r="Q39" i="18"/>
  <c r="Q35" i="18"/>
  <c r="AN57" i="19"/>
  <c r="AN61" i="19"/>
  <c r="I30" i="19"/>
  <c r="J27" i="19"/>
  <c r="O39" i="18"/>
  <c r="O35" i="18"/>
  <c r="AK34" i="18"/>
  <c r="AK40" i="18" s="1"/>
  <c r="AK24" i="18"/>
  <c r="AK56" i="18"/>
  <c r="AK62" i="18" s="1"/>
  <c r="AK67" i="18"/>
  <c r="AK73" i="18" s="1"/>
  <c r="AK45" i="18"/>
  <c r="AK51" i="18" s="1"/>
  <c r="AY55" i="18"/>
  <c r="AY23" i="18"/>
  <c r="AY44" i="18"/>
  <c r="AY66" i="18"/>
  <c r="AY33" i="18"/>
  <c r="Y72" i="20"/>
  <c r="Y68" i="20"/>
  <c r="AH39" i="18"/>
  <c r="AH35" i="18"/>
  <c r="M57" i="18"/>
  <c r="M61" i="18"/>
  <c r="P67" i="21"/>
  <c r="P73" i="21" s="1"/>
  <c r="P34" i="21"/>
  <c r="P40" i="21" s="1"/>
  <c r="P24" i="21"/>
  <c r="P56" i="21"/>
  <c r="P62" i="21" s="1"/>
  <c r="P45" i="21"/>
  <c r="P51" i="21" s="1"/>
  <c r="AO68" i="21"/>
  <c r="AO72" i="21"/>
  <c r="AF39" i="20"/>
  <c r="AF35" i="20"/>
  <c r="AB68" i="20"/>
  <c r="AB72" i="20"/>
  <c r="AX68" i="19"/>
  <c r="AX72" i="19"/>
  <c r="AG57" i="20"/>
  <c r="AG61" i="20"/>
  <c r="J46" i="19"/>
  <c r="J50" i="19"/>
  <c r="W57" i="18"/>
  <c r="W61" i="18"/>
  <c r="Y57" i="21"/>
  <c r="Y61" i="21"/>
  <c r="G46" i="19"/>
  <c r="G50" i="19"/>
  <c r="J56" i="21"/>
  <c r="J62" i="21" s="1"/>
  <c r="J24" i="21"/>
  <c r="J45" i="21"/>
  <c r="J51" i="21" s="1"/>
  <c r="J67" i="21"/>
  <c r="J73" i="21" s="1"/>
  <c r="J34" i="21"/>
  <c r="J40" i="21" s="1"/>
  <c r="AS35" i="19"/>
  <c r="AS39" i="19"/>
  <c r="AO35" i="19"/>
  <c r="AO39" i="19"/>
  <c r="Z61" i="20"/>
  <c r="Z57" i="20"/>
  <c r="AC55" i="20"/>
  <c r="AC23" i="20"/>
  <c r="AC33" i="20"/>
  <c r="AC66" i="20"/>
  <c r="AC44" i="20"/>
  <c r="AB39" i="18"/>
  <c r="AB35" i="18"/>
  <c r="R50" i="19"/>
  <c r="R46" i="19"/>
  <c r="AG39" i="18"/>
  <c r="AG35" i="18"/>
  <c r="AK50" i="19"/>
  <c r="AK46" i="19"/>
  <c r="X72" i="21"/>
  <c r="N66" i="21"/>
  <c r="N33" i="21"/>
  <c r="N55" i="21"/>
  <c r="N23" i="21"/>
  <c r="N44" i="21"/>
  <c r="AU61" i="21"/>
  <c r="U39" i="21"/>
  <c r="U35" i="21"/>
  <c r="G72" i="20"/>
  <c r="G68" i="20"/>
  <c r="AA66" i="21"/>
  <c r="AA33" i="21"/>
  <c r="AA23" i="21"/>
  <c r="AA44" i="21"/>
  <c r="AA55" i="21"/>
  <c r="V57" i="20"/>
  <c r="V61" i="20"/>
  <c r="O72" i="19"/>
  <c r="O68" i="19"/>
  <c r="Y72" i="18"/>
  <c r="Y68" i="18"/>
  <c r="AR66" i="19"/>
  <c r="AR33" i="19"/>
  <c r="AR55" i="19"/>
  <c r="AR23" i="19"/>
  <c r="AR44" i="19"/>
  <c r="AW61" i="21"/>
  <c r="AW57" i="21"/>
  <c r="L39" i="21"/>
  <c r="AN39" i="20"/>
  <c r="AN35" i="20"/>
  <c r="U45" i="21"/>
  <c r="U51" i="21" s="1"/>
  <c r="U67" i="21"/>
  <c r="U73" i="21" s="1"/>
  <c r="U34" i="21"/>
  <c r="U40" i="21" s="1"/>
  <c r="U56" i="21"/>
  <c r="U62" i="21" s="1"/>
  <c r="U24" i="21"/>
  <c r="O72" i="20"/>
  <c r="O68" i="20"/>
  <c r="AU50" i="20"/>
  <c r="AU46" i="20"/>
  <c r="AD57" i="19"/>
  <c r="AD61" i="19"/>
  <c r="AI68" i="20"/>
  <c r="AI72" i="20"/>
  <c r="P61" i="19"/>
  <c r="P57" i="19"/>
  <c r="I61" i="18"/>
  <c r="I57" i="18"/>
  <c r="I34" i="21"/>
  <c r="I40" i="21" s="1"/>
  <c r="I56" i="21"/>
  <c r="I62" i="21" s="1"/>
  <c r="I45" i="21"/>
  <c r="I51" i="21" s="1"/>
  <c r="I67" i="21"/>
  <c r="I73" i="21" s="1"/>
  <c r="I24" i="21"/>
  <c r="Q57" i="20"/>
  <c r="Q61" i="20"/>
  <c r="AB72" i="19"/>
  <c r="AB68" i="19"/>
  <c r="Y66" i="19"/>
  <c r="Y33" i="19"/>
  <c r="Y44" i="19"/>
  <c r="Y23" i="19"/>
  <c r="Y55" i="19"/>
  <c r="AE68" i="21"/>
  <c r="AE72" i="21"/>
  <c r="AQ72" i="21"/>
  <c r="K68" i="18"/>
  <c r="K72" i="18"/>
  <c r="AS34" i="21"/>
  <c r="AS40" i="21" s="1"/>
  <c r="AS56" i="21"/>
  <c r="AS62" i="21" s="1"/>
  <c r="AS45" i="21"/>
  <c r="AS51" i="21" s="1"/>
  <c r="AS67" i="21"/>
  <c r="AS73" i="21" s="1"/>
  <c r="AS24" i="21"/>
  <c r="AH46" i="20"/>
  <c r="H46" i="19"/>
  <c r="H50" i="19"/>
  <c r="M57" i="19"/>
  <c r="M61" i="19"/>
  <c r="O57" i="18"/>
  <c r="O61" i="18"/>
  <c r="AE61" i="19"/>
  <c r="AE57" i="19"/>
  <c r="AO39" i="21"/>
  <c r="AF61" i="20"/>
  <c r="AF57" i="20"/>
  <c r="W46" i="18"/>
  <c r="W50" i="18"/>
  <c r="Y46" i="21"/>
  <c r="Y50" i="21"/>
  <c r="AL35" i="18"/>
  <c r="AL39" i="18"/>
  <c r="G30" i="21"/>
  <c r="H27" i="21"/>
  <c r="AD68" i="20"/>
  <c r="AD72" i="20"/>
  <c r="H57" i="18"/>
  <c r="H61" i="18"/>
  <c r="L57" i="21"/>
  <c r="L61" i="21"/>
  <c r="AF39" i="21"/>
  <c r="AV46" i="19"/>
  <c r="AV50" i="19"/>
  <c r="AI39" i="21"/>
  <c r="M50" i="21"/>
  <c r="V66" i="21"/>
  <c r="V33" i="21"/>
  <c r="V55" i="21"/>
  <c r="V23" i="21"/>
  <c r="V44" i="21"/>
  <c r="Q39" i="20"/>
  <c r="Q35" i="20"/>
  <c r="I35" i="20"/>
  <c r="I39" i="20"/>
  <c r="AB50" i="19"/>
  <c r="AB46" i="19"/>
  <c r="U34" i="18"/>
  <c r="U40" i="18" s="1"/>
  <c r="U24" i="18"/>
  <c r="U45" i="18"/>
  <c r="U51" i="18" s="1"/>
  <c r="U67" i="18"/>
  <c r="U73" i="18" s="1"/>
  <c r="U56" i="18"/>
  <c r="U62" i="18" s="1"/>
  <c r="AN50" i="21"/>
  <c r="AW50" i="19"/>
  <c r="AW46" i="19"/>
  <c r="AG61" i="21"/>
  <c r="M45" i="21"/>
  <c r="M51" i="21" s="1"/>
  <c r="M34" i="21"/>
  <c r="M40" i="21" s="1"/>
  <c r="M24" i="21"/>
  <c r="M67" i="21"/>
  <c r="M73" i="21" s="1"/>
  <c r="M56" i="21"/>
  <c r="M62" i="21" s="1"/>
  <c r="AJ34" i="20"/>
  <c r="AJ40" i="20" s="1"/>
  <c r="AJ56" i="20"/>
  <c r="AJ62" i="20" s="1"/>
  <c r="AJ67" i="20"/>
  <c r="AJ73" i="20" s="1"/>
  <c r="AJ24" i="20"/>
  <c r="AJ45" i="20"/>
  <c r="AJ51" i="20" s="1"/>
  <c r="AP67" i="20"/>
  <c r="AP73" i="20" s="1"/>
  <c r="AP45" i="20"/>
  <c r="AP51" i="20" s="1"/>
  <c r="AP34" i="20"/>
  <c r="AP40" i="20" s="1"/>
  <c r="AP24" i="20"/>
  <c r="AP56" i="20"/>
  <c r="AP62" i="20" s="1"/>
  <c r="R45" i="18"/>
  <c r="R51" i="18" s="1"/>
  <c r="R24" i="18"/>
  <c r="R34" i="18"/>
  <c r="R40" i="18" s="1"/>
  <c r="R67" i="18"/>
  <c r="R73" i="18" s="1"/>
  <c r="R56" i="18"/>
  <c r="R62" i="18" s="1"/>
  <c r="Z45" i="18"/>
  <c r="Z51" i="18" s="1"/>
  <c r="Z34" i="18"/>
  <c r="Z40" i="18" s="1"/>
  <c r="Z67" i="18"/>
  <c r="Z73" i="18" s="1"/>
  <c r="Z56" i="18"/>
  <c r="Z62" i="18" s="1"/>
  <c r="Z24" i="18"/>
  <c r="AJ50" i="18"/>
  <c r="AJ46" i="18"/>
  <c r="AS35" i="21"/>
  <c r="AS39" i="21"/>
  <c r="AR72" i="21"/>
  <c r="S57" i="20"/>
  <c r="S61" i="20"/>
  <c r="AP66" i="21"/>
  <c r="AP33" i="21"/>
  <c r="AP55" i="21"/>
  <c r="AP23" i="21"/>
  <c r="AP44" i="21"/>
  <c r="AV68" i="21"/>
  <c r="AV72" i="21"/>
  <c r="AQ35" i="20"/>
  <c r="AQ39" i="20"/>
  <c r="Q61" i="18"/>
  <c r="Q57" i="18"/>
  <c r="AN39" i="19"/>
  <c r="AN35" i="19"/>
  <c r="O72" i="18"/>
  <c r="O68" i="18"/>
  <c r="E21" i="18"/>
  <c r="E22" i="18"/>
  <c r="AY34" i="18"/>
  <c r="AY40" i="18" s="1"/>
  <c r="AY56" i="18"/>
  <c r="AY62" i="18" s="1"/>
  <c r="AY24" i="18"/>
  <c r="AY67" i="18"/>
  <c r="AY73" i="18" s="1"/>
  <c r="AY45" i="18"/>
  <c r="AY51" i="18" s="1"/>
  <c r="AE39" i="19"/>
  <c r="AE35" i="19"/>
  <c r="M46" i="18"/>
  <c r="M50" i="18"/>
  <c r="AO61" i="21"/>
  <c r="AO57" i="21"/>
  <c r="AF68" i="20"/>
  <c r="AF72" i="20"/>
  <c r="K33" i="20"/>
  <c r="K23" i="20"/>
  <c r="K44" i="20"/>
  <c r="K55" i="20"/>
  <c r="K66" i="20"/>
  <c r="AG39" i="20"/>
  <c r="AG35" i="20"/>
  <c r="W68" i="18"/>
  <c r="W72" i="18"/>
  <c r="G57" i="19"/>
  <c r="G61" i="19"/>
  <c r="Q50" i="21"/>
  <c r="Q46" i="21"/>
  <c r="AO61" i="19"/>
  <c r="AO57" i="19"/>
  <c r="AB57" i="18"/>
  <c r="AB61" i="18"/>
  <c r="AU56" i="21"/>
  <c r="AU62" i="21" s="1"/>
  <c r="AU24" i="21"/>
  <c r="AU67" i="21"/>
  <c r="AU73" i="21" s="1"/>
  <c r="AU45" i="21"/>
  <c r="AU51" i="21" s="1"/>
  <c r="AU34" i="21"/>
  <c r="AU40" i="21" s="1"/>
  <c r="U68" i="21"/>
  <c r="U72" i="21"/>
  <c r="AA67" i="21"/>
  <c r="AA73" i="21" s="1"/>
  <c r="AA34" i="21"/>
  <c r="AA40" i="21" s="1"/>
  <c r="AA56" i="21"/>
  <c r="AA62" i="21" s="1"/>
  <c r="AA24" i="21"/>
  <c r="AA45" i="21"/>
  <c r="AA51" i="21" s="1"/>
  <c r="L72" i="21"/>
  <c r="AU57" i="20"/>
  <c r="AU61" i="20"/>
  <c r="AF50" i="21"/>
  <c r="AI50" i="20"/>
  <c r="AI46" i="20"/>
  <c r="P39" i="19"/>
  <c r="P35" i="19"/>
  <c r="I35" i="18"/>
  <c r="I39" i="18"/>
  <c r="AI68" i="21"/>
  <c r="AI72" i="21"/>
  <c r="Q46" i="20"/>
  <c r="Q50" i="20"/>
  <c r="AL55" i="21"/>
  <c r="AL23" i="21"/>
  <c r="AL66" i="21"/>
  <c r="AL33" i="21"/>
  <c r="AL44" i="21"/>
  <c r="X68" i="18"/>
  <c r="X72" i="18"/>
  <c r="F68" i="18"/>
  <c r="F72" i="18"/>
  <c r="W72" i="19"/>
  <c r="W68" i="19"/>
  <c r="U44" i="18"/>
  <c r="U66" i="18"/>
  <c r="U23" i="18"/>
  <c r="U33" i="18"/>
  <c r="U55" i="18"/>
  <c r="AK35" i="21"/>
  <c r="AK39" i="21"/>
  <c r="Q72" i="20"/>
  <c r="Q68" i="20"/>
  <c r="I46" i="20"/>
  <c r="I50" i="20"/>
  <c r="AL56" i="21"/>
  <c r="AL62" i="21" s="1"/>
  <c r="AL24" i="21"/>
  <c r="AL45" i="21"/>
  <c r="AL51" i="21" s="1"/>
  <c r="AL34" i="21"/>
  <c r="AL40" i="21" s="1"/>
  <c r="AL67" i="21"/>
  <c r="AL73" i="21" s="1"/>
  <c r="X57" i="18"/>
  <c r="X61" i="18"/>
  <c r="J66" i="20"/>
  <c r="J33" i="20"/>
  <c r="J44" i="20"/>
  <c r="J23" i="20"/>
  <c r="J55" i="20"/>
  <c r="F46" i="18"/>
  <c r="F50" i="18"/>
  <c r="W61" i="19"/>
  <c r="W57" i="19"/>
  <c r="AH57" i="19"/>
  <c r="AH61" i="19"/>
  <c r="AV33" i="18"/>
  <c r="AV66" i="18"/>
  <c r="AV23" i="18"/>
  <c r="AV44" i="18"/>
  <c r="AV55" i="18"/>
  <c r="S66" i="18"/>
  <c r="S23" i="18"/>
  <c r="S55" i="18"/>
  <c r="S44" i="18"/>
  <c r="S33" i="18"/>
  <c r="AH45" i="21"/>
  <c r="AH51" i="21" s="1"/>
  <c r="AH67" i="21"/>
  <c r="AH73" i="21" s="1"/>
  <c r="AH56" i="21"/>
  <c r="AH62" i="21" s="1"/>
  <c r="AH24" i="21"/>
  <c r="AH34" i="21"/>
  <c r="AH40" i="21" s="1"/>
  <c r="P68" i="20"/>
  <c r="P72" i="20"/>
  <c r="AM56" i="19"/>
  <c r="AM62" i="19" s="1"/>
  <c r="AM45" i="19"/>
  <c r="AM51" i="19" s="1"/>
  <c r="AM67" i="19"/>
  <c r="AM73" i="19" s="1"/>
  <c r="AM24" i="19"/>
  <c r="AM34" i="19"/>
  <c r="AM40" i="19" s="1"/>
  <c r="AG50" i="21"/>
  <c r="AI67" i="21"/>
  <c r="AI73" i="21" s="1"/>
  <c r="AI34" i="21"/>
  <c r="AI40" i="21" s="1"/>
  <c r="AI56" i="21"/>
  <c r="AI62" i="21" s="1"/>
  <c r="AI24" i="21"/>
  <c r="AI45" i="21"/>
  <c r="AI51" i="21" s="1"/>
  <c r="AH35" i="20"/>
  <c r="AM35" i="20"/>
  <c r="AM39" i="20"/>
  <c r="R66" i="20"/>
  <c r="R33" i="20"/>
  <c r="R44" i="20"/>
  <c r="R23" i="20"/>
  <c r="R55" i="20"/>
  <c r="U57" i="19"/>
  <c r="U61" i="19"/>
  <c r="V35" i="18"/>
  <c r="V39" i="18"/>
  <c r="AC68" i="19"/>
  <c r="AC72" i="19"/>
  <c r="P61" i="21"/>
  <c r="AK72" i="20"/>
  <c r="AK68" i="20"/>
  <c r="AN57" i="18"/>
  <c r="AN61" i="18"/>
  <c r="AJ68" i="18"/>
  <c r="AJ72" i="18"/>
  <c r="AG45" i="21"/>
  <c r="AG51" i="21" s="1"/>
  <c r="AG34" i="21"/>
  <c r="AG40" i="21" s="1"/>
  <c r="AG24" i="21"/>
  <c r="AG67" i="21"/>
  <c r="AG73" i="21" s="1"/>
  <c r="AG56" i="21"/>
  <c r="AG62" i="21" s="1"/>
  <c r="H72" i="21"/>
  <c r="AS50" i="21"/>
  <c r="AS46" i="21"/>
  <c r="AR50" i="21"/>
  <c r="S50" i="20"/>
  <c r="S46" i="20"/>
  <c r="AV72" i="20"/>
  <c r="AV68" i="20"/>
  <c r="T55" i="20"/>
  <c r="T66" i="20"/>
  <c r="T23" i="20"/>
  <c r="T33" i="20"/>
  <c r="T44" i="20"/>
  <c r="Q68" i="18"/>
  <c r="Q72" i="18"/>
  <c r="AN50" i="19"/>
  <c r="AN46" i="19"/>
  <c r="AI46" i="19"/>
  <c r="AI50" i="19"/>
  <c r="AF24" i="18"/>
  <c r="AF45" i="18"/>
  <c r="AF51" i="18" s="1"/>
  <c r="AF67" i="18"/>
  <c r="AF73" i="18" s="1"/>
  <c r="AF56" i="18"/>
  <c r="AF62" i="18" s="1"/>
  <c r="AF34" i="18"/>
  <c r="AF40" i="18" s="1"/>
  <c r="AK23" i="18"/>
  <c r="AK44" i="18"/>
  <c r="AK33" i="18"/>
  <c r="AK55" i="18"/>
  <c r="AK66" i="18"/>
  <c r="AE46" i="19"/>
  <c r="AE50" i="19"/>
  <c r="AH72" i="18"/>
  <c r="AH68" i="18"/>
  <c r="M35" i="18"/>
  <c r="M39" i="18"/>
  <c r="AO50" i="21"/>
  <c r="AD50" i="21"/>
  <c r="AB57" i="20"/>
  <c r="AB61" i="20"/>
  <c r="AX46" i="19"/>
  <c r="AX50" i="19"/>
  <c r="AR46" i="20"/>
  <c r="AR50" i="20"/>
  <c r="J35" i="19"/>
  <c r="J39" i="19"/>
  <c r="J72" i="18"/>
  <c r="J68" i="18"/>
  <c r="W39" i="18"/>
  <c r="W35" i="18"/>
  <c r="G67" i="21"/>
  <c r="G73" i="21" s="1"/>
  <c r="G34" i="21"/>
  <c r="G40" i="21" s="1"/>
  <c r="G56" i="21"/>
  <c r="G62" i="21" s="1"/>
  <c r="G24" i="21"/>
  <c r="G45" i="21"/>
  <c r="G51" i="21" s="1"/>
  <c r="AO45" i="21"/>
  <c r="AO51" i="21" s="1"/>
  <c r="AO34" i="21"/>
  <c r="AO40" i="21" s="1"/>
  <c r="AO56" i="21"/>
  <c r="AO62" i="21" s="1"/>
  <c r="AO67" i="21"/>
  <c r="AO73" i="21" s="1"/>
  <c r="AO24" i="21"/>
  <c r="Q61" i="21"/>
  <c r="Q57" i="21"/>
  <c r="T66" i="21"/>
  <c r="T44" i="21"/>
  <c r="T33" i="21"/>
  <c r="T55" i="21"/>
  <c r="T23" i="21"/>
  <c r="AO50" i="19"/>
  <c r="AO46" i="19"/>
  <c r="Z46" i="20"/>
  <c r="Z50" i="20"/>
  <c r="Z61" i="19"/>
  <c r="Z57" i="19"/>
  <c r="AC56" i="20"/>
  <c r="AC62" i="20" s="1"/>
  <c r="AC67" i="20"/>
  <c r="AC73" i="20" s="1"/>
  <c r="AC24" i="20"/>
  <c r="AC34" i="20"/>
  <c r="AC40" i="20" s="1"/>
  <c r="AC45" i="20"/>
  <c r="AC51" i="20" s="1"/>
  <c r="AG61" i="18"/>
  <c r="AG57" i="18"/>
  <c r="AK68" i="19"/>
  <c r="AK72" i="19"/>
  <c r="X50" i="21"/>
  <c r="N45" i="21"/>
  <c r="N51" i="21" s="1"/>
  <c r="N67" i="21"/>
  <c r="N73" i="21" s="1"/>
  <c r="N56" i="21"/>
  <c r="N62" i="21" s="1"/>
  <c r="N34" i="21"/>
  <c r="N40" i="21" s="1"/>
  <c r="N24" i="21"/>
  <c r="AU39" i="21"/>
  <c r="U50" i="21"/>
  <c r="U46" i="21"/>
  <c r="G35" i="20"/>
  <c r="G39" i="20"/>
  <c r="V72" i="19"/>
  <c r="V68" i="19"/>
  <c r="V68" i="20"/>
  <c r="V72" i="20"/>
  <c r="O35" i="19"/>
  <c r="O39" i="19"/>
  <c r="P46" i="18"/>
  <c r="P50" i="18"/>
  <c r="AR67" i="19"/>
  <c r="AR73" i="19" s="1"/>
  <c r="AR34" i="19"/>
  <c r="AR40" i="19" s="1"/>
  <c r="AR56" i="19"/>
  <c r="AR62" i="19" s="1"/>
  <c r="AR24" i="19"/>
  <c r="AR45" i="19"/>
  <c r="AR51" i="19" s="1"/>
  <c r="I72" i="21"/>
  <c r="AW72" i="21"/>
  <c r="L50" i="21"/>
  <c r="AN68" i="20"/>
  <c r="AN72" i="20"/>
  <c r="H46" i="20"/>
  <c r="H50" i="20"/>
  <c r="O35" i="20"/>
  <c r="O39" i="20"/>
  <c r="AD46" i="19"/>
  <c r="AD50" i="19"/>
  <c r="AI57" i="20"/>
  <c r="AI61" i="20"/>
  <c r="I72" i="18"/>
  <c r="I68" i="18"/>
  <c r="V45" i="21"/>
  <c r="V51" i="21" s="1"/>
  <c r="V34" i="21"/>
  <c r="V40" i="21" s="1"/>
  <c r="V67" i="21"/>
  <c r="V73" i="21" s="1"/>
  <c r="V24" i="21"/>
  <c r="V56" i="21"/>
  <c r="V62" i="21" s="1"/>
  <c r="W57" i="20"/>
  <c r="W61" i="20"/>
  <c r="M56" i="20"/>
  <c r="M62" i="20" s="1"/>
  <c r="M67" i="20"/>
  <c r="M73" i="20" s="1"/>
  <c r="M45" i="20"/>
  <c r="M51" i="20" s="1"/>
  <c r="M34" i="20"/>
  <c r="M40" i="20" s="1"/>
  <c r="M24" i="20"/>
  <c r="U35" i="20"/>
  <c r="U39" i="20"/>
  <c r="AB67" i="21"/>
  <c r="AB73" i="21" s="1"/>
  <c r="AB34" i="21"/>
  <c r="AB40" i="21" s="1"/>
  <c r="AB24" i="21"/>
  <c r="AB56" i="21"/>
  <c r="AB62" i="21" s="1"/>
  <c r="AB45" i="21"/>
  <c r="AB51" i="21" s="1"/>
  <c r="AX61" i="19"/>
  <c r="AX57" i="19"/>
  <c r="Q72" i="21"/>
  <c r="AJ67" i="21"/>
  <c r="AJ73" i="21" s="1"/>
  <c r="AJ34" i="21"/>
  <c r="AJ40" i="21" s="1"/>
  <c r="AJ24" i="21"/>
  <c r="AJ45" i="21"/>
  <c r="AJ51" i="21" s="1"/>
  <c r="AJ56" i="21"/>
  <c r="AJ62" i="21" s="1"/>
  <c r="AR72" i="18"/>
  <c r="AR68" i="18"/>
  <c r="AD72" i="19"/>
  <c r="AD68" i="19"/>
  <c r="AK46" i="21"/>
  <c r="AK50" i="21"/>
  <c r="X46" i="18"/>
  <c r="X50" i="18"/>
  <c r="AB57" i="19"/>
  <c r="AB61" i="19"/>
  <c r="P39" i="20"/>
  <c r="P35" i="20"/>
  <c r="E61" i="21"/>
  <c r="E57" i="21"/>
  <c r="R67" i="20"/>
  <c r="R73" i="20" s="1"/>
  <c r="R45" i="20"/>
  <c r="R51" i="20" s="1"/>
  <c r="R24" i="20"/>
  <c r="R56" i="20"/>
  <c r="R62" i="20" s="1"/>
  <c r="R34" i="20"/>
  <c r="R40" i="20" s="1"/>
  <c r="AX50" i="18"/>
  <c r="AX46" i="18"/>
  <c r="AT35" i="19"/>
  <c r="AT39" i="19"/>
  <c r="AD39" i="21"/>
  <c r="J46" i="18"/>
  <c r="J50" i="18"/>
  <c r="L24" i="21"/>
  <c r="L45" i="21"/>
  <c r="L51" i="21" s="1"/>
  <c r="L67" i="21"/>
  <c r="L73" i="21" s="1"/>
  <c r="L34" i="21"/>
  <c r="L40" i="21" s="1"/>
  <c r="L56" i="21"/>
  <c r="L62" i="21" s="1"/>
  <c r="T24" i="21"/>
  <c r="T45" i="21"/>
  <c r="T51" i="21" s="1"/>
  <c r="T67" i="21"/>
  <c r="T73" i="21" s="1"/>
  <c r="T34" i="21"/>
  <c r="T40" i="21" s="1"/>
  <c r="T56" i="21"/>
  <c r="T62" i="21" s="1"/>
  <c r="Z68" i="19"/>
  <c r="Z72" i="19"/>
  <c r="R39" i="19"/>
  <c r="R35" i="19"/>
  <c r="I46" i="18"/>
  <c r="I50" i="18"/>
  <c r="AY57" i="20"/>
  <c r="AY61" i="20"/>
  <c r="AO46" i="20"/>
  <c r="AO50" i="20"/>
  <c r="AE68" i="18"/>
  <c r="AE72" i="18"/>
  <c r="AH68" i="19"/>
  <c r="AH72" i="19"/>
  <c r="AI34" i="18"/>
  <c r="AI40" i="18" s="1"/>
  <c r="AI56" i="18"/>
  <c r="AI62" i="18" s="1"/>
  <c r="AI24" i="18"/>
  <c r="AI67" i="18"/>
  <c r="AI73" i="18" s="1"/>
  <c r="AI45" i="18"/>
  <c r="AI51" i="18" s="1"/>
  <c r="P61" i="20"/>
  <c r="P57" i="20"/>
  <c r="AS68" i="18"/>
  <c r="AS72" i="18"/>
  <c r="E68" i="21"/>
  <c r="E72" i="21"/>
  <c r="AC35" i="21"/>
  <c r="AC39" i="21"/>
  <c r="W67" i="21"/>
  <c r="W73" i="21" s="1"/>
  <c r="W34" i="21"/>
  <c r="W40" i="21" s="1"/>
  <c r="W56" i="21"/>
  <c r="W62" i="21" s="1"/>
  <c r="W24" i="21"/>
  <c r="W45" i="21"/>
  <c r="W51" i="21" s="1"/>
  <c r="AW46" i="20"/>
  <c r="AW50" i="20"/>
  <c r="AQ50" i="21"/>
  <c r="AM46" i="20"/>
  <c r="AM50" i="20"/>
  <c r="K46" i="18"/>
  <c r="K50" i="18"/>
  <c r="U39" i="19"/>
  <c r="U35" i="19"/>
  <c r="AC57" i="19"/>
  <c r="AC61" i="19"/>
  <c r="AM61" i="18"/>
  <c r="AM57" i="18"/>
  <c r="AX68" i="18"/>
  <c r="AX72" i="18"/>
  <c r="AK35" i="20"/>
  <c r="AK39" i="20"/>
  <c r="F46" i="20"/>
  <c r="F50" i="20"/>
  <c r="H50" i="21"/>
  <c r="AS61" i="21"/>
  <c r="AS57" i="21"/>
  <c r="AR39" i="21"/>
  <c r="AV61" i="20"/>
  <c r="AV57" i="20"/>
  <c r="AV50" i="21"/>
  <c r="AQ61" i="20"/>
  <c r="AQ57" i="20"/>
  <c r="H39" i="19"/>
  <c r="H35" i="19"/>
  <c r="Q46" i="18"/>
  <c r="Q50" i="18"/>
  <c r="AA39" i="18"/>
  <c r="AA35" i="18"/>
  <c r="M50" i="19"/>
  <c r="M46" i="19"/>
  <c r="AI68" i="19"/>
  <c r="AI72" i="19"/>
  <c r="AC68" i="18"/>
  <c r="AC72" i="18"/>
  <c r="AO68" i="18"/>
  <c r="AO72" i="18"/>
  <c r="H67" i="21"/>
  <c r="H73" i="21" s="1"/>
  <c r="H34" i="21"/>
  <c r="H40" i="21" s="1"/>
  <c r="H24" i="21"/>
  <c r="H45" i="21"/>
  <c r="H51" i="21" s="1"/>
  <c r="H56" i="21"/>
  <c r="H62" i="21" s="1"/>
  <c r="I57" i="19"/>
  <c r="I61" i="19"/>
  <c r="AH57" i="18"/>
  <c r="AH61" i="18"/>
  <c r="AT68" i="19"/>
  <c r="AT72" i="19"/>
  <c r="O67" i="21"/>
  <c r="O73" i="21" s="1"/>
  <c r="O34" i="21"/>
  <c r="O40" i="21" s="1"/>
  <c r="O56" i="21"/>
  <c r="O62" i="21" s="1"/>
  <c r="O24" i="21"/>
  <c r="O45" i="21"/>
  <c r="O51" i="21" s="1"/>
  <c r="AY57" i="21"/>
  <c r="AY61" i="21"/>
  <c r="AD72" i="21"/>
  <c r="AT55" i="21"/>
  <c r="AT23" i="21"/>
  <c r="AT66" i="21"/>
  <c r="AT33" i="21"/>
  <c r="AT44" i="21"/>
  <c r="AX45" i="21"/>
  <c r="AX51" i="21" s="1"/>
  <c r="AX67" i="21"/>
  <c r="AX73" i="21" s="1"/>
  <c r="AX56" i="21"/>
  <c r="AX62" i="21" s="1"/>
  <c r="AX24" i="21"/>
  <c r="AX34" i="21"/>
  <c r="AX40" i="21" s="1"/>
  <c r="N57" i="19"/>
  <c r="N61" i="19"/>
  <c r="J57" i="18"/>
  <c r="J61" i="18"/>
  <c r="G30" i="18"/>
  <c r="H27" i="18"/>
  <c r="AU68" i="18"/>
  <c r="AU72" i="18"/>
  <c r="K23" i="21"/>
  <c r="K44" i="21"/>
  <c r="K66" i="21"/>
  <c r="K33" i="21"/>
  <c r="K55" i="21"/>
  <c r="AZ22" i="21"/>
  <c r="D24" i="21"/>
  <c r="D45" i="21"/>
  <c r="D51" i="21" s="1"/>
  <c r="D67" i="21"/>
  <c r="D73" i="21" s="1"/>
  <c r="D34" i="21"/>
  <c r="D40" i="21" s="1"/>
  <c r="D56" i="21"/>
  <c r="D62" i="21" s="1"/>
  <c r="D68" i="20"/>
  <c r="N56" i="20"/>
  <c r="N62" i="20" s="1"/>
  <c r="N24" i="20"/>
  <c r="N34" i="20"/>
  <c r="N40" i="20" s="1"/>
  <c r="N45" i="20"/>
  <c r="N51" i="20" s="1"/>
  <c r="N67" i="20"/>
  <c r="N73" i="20" s="1"/>
  <c r="AJ72" i="21"/>
  <c r="Z68" i="20"/>
  <c r="Z72" i="20"/>
  <c r="Z50" i="19"/>
  <c r="Z46" i="19"/>
  <c r="AL46" i="18"/>
  <c r="AL50" i="18"/>
  <c r="L55" i="19"/>
  <c r="L66" i="19"/>
  <c r="L33" i="19"/>
  <c r="L23" i="19"/>
  <c r="L44" i="19"/>
  <c r="AG72" i="18"/>
  <c r="AG68" i="18"/>
  <c r="AK39" i="19"/>
  <c r="AK35" i="19"/>
  <c r="AU46" i="21"/>
  <c r="AU50" i="21"/>
  <c r="G57" i="20"/>
  <c r="G61" i="20"/>
  <c r="V35" i="19"/>
  <c r="V39" i="19"/>
  <c r="AL57" i="20"/>
  <c r="AL61" i="20"/>
  <c r="O46" i="19"/>
  <c r="O50" i="19"/>
  <c r="Y35" i="18"/>
  <c r="Y39" i="18"/>
  <c r="AU55" i="19"/>
  <c r="AU23" i="19"/>
  <c r="AU44" i="19"/>
  <c r="AU66" i="19"/>
  <c r="AU33" i="19"/>
  <c r="AQ57" i="18"/>
  <c r="AQ61" i="18"/>
  <c r="I46" i="21"/>
  <c r="I50" i="21"/>
  <c r="D72" i="21"/>
  <c r="O46" i="20"/>
  <c r="O50" i="20"/>
  <c r="AF72" i="21"/>
  <c r="AI35" i="20"/>
  <c r="AI39" i="20"/>
  <c r="AV39" i="19"/>
  <c r="AV35" i="19"/>
  <c r="M68" i="21"/>
  <c r="M72" i="21"/>
  <c r="AW35" i="20"/>
  <c r="AW39" i="20"/>
  <c r="AQ46" i="19"/>
  <c r="AQ50" i="19"/>
  <c r="Y57" i="20"/>
  <c r="Y61" i="20"/>
  <c r="N68" i="19"/>
  <c r="N72" i="19"/>
  <c r="AV24" i="21"/>
  <c r="AV45" i="21"/>
  <c r="AV51" i="21" s="1"/>
  <c r="AV67" i="21"/>
  <c r="AV73" i="21" s="1"/>
  <c r="AV34" i="21"/>
  <c r="AV40" i="21" s="1"/>
  <c r="AV56" i="21"/>
  <c r="AV62" i="21" s="1"/>
  <c r="AL68" i="20"/>
  <c r="AL72" i="20"/>
  <c r="H39" i="20"/>
  <c r="H35" i="20"/>
  <c r="R55" i="21"/>
  <c r="R23" i="21"/>
  <c r="R66" i="21"/>
  <c r="R33" i="21"/>
  <c r="R44" i="21"/>
  <c r="J67" i="20"/>
  <c r="J73" i="20" s="1"/>
  <c r="J34" i="20"/>
  <c r="J40" i="20" s="1"/>
  <c r="J45" i="20"/>
  <c r="J51" i="20" s="1"/>
  <c r="J56" i="20"/>
  <c r="J62" i="20" s="1"/>
  <c r="J24" i="20"/>
  <c r="L72" i="18"/>
  <c r="L68" i="18"/>
  <c r="AR67" i="21"/>
  <c r="AR73" i="21" s="1"/>
  <c r="AR34" i="21"/>
  <c r="AR40" i="21" s="1"/>
  <c r="AR24" i="21"/>
  <c r="AR56" i="21"/>
  <c r="AR62" i="21" s="1"/>
  <c r="AR45" i="21"/>
  <c r="AR51" i="21" s="1"/>
  <c r="AB72" i="21"/>
  <c r="AM57" i="20"/>
  <c r="AM61" i="20"/>
  <c r="U68" i="19"/>
  <c r="U72" i="19"/>
  <c r="V57" i="18"/>
  <c r="V61" i="18"/>
  <c r="AK50" i="20"/>
  <c r="AK46" i="20"/>
  <c r="S39" i="20"/>
  <c r="S35" i="20"/>
  <c r="AV35" i="21"/>
  <c r="AV39" i="21"/>
  <c r="M72" i="19"/>
  <c r="M68" i="19"/>
  <c r="X35" i="20"/>
  <c r="AY46" i="21"/>
  <c r="AY50" i="21"/>
  <c r="AX66" i="21"/>
  <c r="AX33" i="21"/>
  <c r="AX55" i="21"/>
  <c r="AX23" i="21"/>
  <c r="AX44" i="21"/>
  <c r="G66" i="21"/>
  <c r="G33" i="21"/>
  <c r="G23" i="21"/>
  <c r="G44" i="21"/>
  <c r="G55" i="21"/>
  <c r="L34" i="19"/>
  <c r="L40" i="19" s="1"/>
  <c r="L56" i="19"/>
  <c r="L62" i="19" s="1"/>
  <c r="L67" i="19"/>
  <c r="L73" i="19" s="1"/>
  <c r="L45" i="19"/>
  <c r="L51" i="19" s="1"/>
  <c r="L24" i="19"/>
  <c r="X61" i="21"/>
  <c r="I35" i="21"/>
  <c r="I39" i="21"/>
  <c r="D61" i="18"/>
  <c r="D57" i="18"/>
  <c r="P46" i="19"/>
  <c r="P50" i="19"/>
  <c r="W46" i="19"/>
  <c r="W50" i="19"/>
  <c r="AO39" i="20"/>
  <c r="AO35" i="20"/>
  <c r="E55" i="19"/>
  <c r="E23" i="19"/>
  <c r="E33" i="19"/>
  <c r="E44" i="19"/>
  <c r="E66" i="19"/>
  <c r="AZ21" i="19"/>
  <c r="AH35" i="19"/>
  <c r="AH39" i="19"/>
  <c r="AT72" i="18"/>
  <c r="AT68" i="18"/>
  <c r="AI66" i="18"/>
  <c r="AI55" i="18"/>
  <c r="AI44" i="18"/>
  <c r="AI23" i="18"/>
  <c r="AI33" i="18"/>
  <c r="AN68" i="21"/>
  <c r="AN72" i="21"/>
  <c r="AW72" i="19"/>
  <c r="AW68" i="19"/>
  <c r="AS57" i="18"/>
  <c r="AS61" i="18"/>
  <c r="E46" i="21"/>
  <c r="E50" i="21"/>
  <c r="AB50" i="21"/>
  <c r="AB46" i="21"/>
  <c r="AC72" i="21"/>
  <c r="AW57" i="20"/>
  <c r="AW61" i="20"/>
  <c r="AQ67" i="21"/>
  <c r="AQ73" i="21" s="1"/>
  <c r="AQ34" i="21"/>
  <c r="AQ40" i="21" s="1"/>
  <c r="AQ56" i="21"/>
  <c r="AQ62" i="21" s="1"/>
  <c r="AQ24" i="21"/>
  <c r="AQ45" i="21"/>
  <c r="AQ51" i="21" s="1"/>
  <c r="AM46" i="18"/>
  <c r="AM50" i="18"/>
  <c r="AX57" i="18"/>
  <c r="AX61" i="18"/>
  <c r="U50" i="20"/>
  <c r="U46" i="20"/>
  <c r="F68" i="20"/>
  <c r="F72" i="20"/>
  <c r="S68" i="19"/>
  <c r="S72" i="19"/>
  <c r="AQ61" i="19"/>
  <c r="AQ57" i="19"/>
  <c r="H57" i="21"/>
  <c r="H61" i="21"/>
  <c r="AC34" i="21"/>
  <c r="AC40" i="21" s="1"/>
  <c r="AC56" i="21"/>
  <c r="AC62" i="21" s="1"/>
  <c r="AC45" i="21"/>
  <c r="AC51" i="21" s="1"/>
  <c r="AC24" i="21"/>
  <c r="AC67" i="21"/>
  <c r="AC73" i="21" s="1"/>
  <c r="AX57" i="20"/>
  <c r="X35" i="19"/>
  <c r="X73" i="20"/>
  <c r="X68" i="20"/>
  <c r="T55" i="19"/>
  <c r="T23" i="19"/>
  <c r="T33" i="19"/>
  <c r="T66" i="19"/>
  <c r="T44" i="19"/>
  <c r="AQ68" i="20"/>
  <c r="AQ72" i="20"/>
  <c r="H68" i="19"/>
  <c r="H72" i="19"/>
  <c r="AA61" i="18"/>
  <c r="AA57" i="18"/>
  <c r="M35" i="19"/>
  <c r="M39" i="19"/>
  <c r="AI57" i="19"/>
  <c r="AI61" i="19"/>
  <c r="AC50" i="18"/>
  <c r="AC46" i="18"/>
  <c r="AO35" i="18"/>
  <c r="AO39" i="18"/>
  <c r="AD56" i="21"/>
  <c r="AD62" i="21" s="1"/>
  <c r="AD24" i="21"/>
  <c r="AD45" i="21"/>
  <c r="AD51" i="21" s="1"/>
  <c r="AD67" i="21"/>
  <c r="AD73" i="21" s="1"/>
  <c r="AD34" i="21"/>
  <c r="AD40" i="21" s="1"/>
  <c r="Y35" i="20"/>
  <c r="Y39" i="20"/>
  <c r="I46" i="19"/>
  <c r="I50" i="19"/>
  <c r="AT46" i="19"/>
  <c r="AT50" i="19"/>
  <c r="AD55" i="18"/>
  <c r="AD66" i="18"/>
  <c r="AD44" i="18"/>
  <c r="AD33" i="18"/>
  <c r="AD23" i="18"/>
  <c r="O66" i="21"/>
  <c r="O33" i="21"/>
  <c r="O23" i="21"/>
  <c r="O55" i="21"/>
  <c r="O44" i="21"/>
  <c r="AT56" i="21"/>
  <c r="AT62" i="21" s="1"/>
  <c r="AT24" i="21"/>
  <c r="AT45" i="21"/>
  <c r="AT51" i="21" s="1"/>
  <c r="AT67" i="21"/>
  <c r="AT73" i="21" s="1"/>
  <c r="AT34" i="21"/>
  <c r="AT40" i="21" s="1"/>
  <c r="AA67" i="20"/>
  <c r="AA73" i="20" s="1"/>
  <c r="AA34" i="20"/>
  <c r="AA40" i="20" s="1"/>
  <c r="AA45" i="20"/>
  <c r="AA51" i="20" s="1"/>
  <c r="AA56" i="20"/>
  <c r="AA62" i="20" s="1"/>
  <c r="AA24" i="20"/>
  <c r="AR68" i="20"/>
  <c r="AR72" i="20"/>
  <c r="N39" i="19"/>
  <c r="N35" i="19"/>
  <c r="J39" i="18"/>
  <c r="J35" i="18"/>
  <c r="AJ33" i="19"/>
  <c r="AJ44" i="19"/>
  <c r="AJ66" i="19"/>
  <c r="AJ23" i="19"/>
  <c r="AJ55" i="19"/>
  <c r="AU39" i="18"/>
  <c r="AU35" i="18"/>
  <c r="Y35" i="21"/>
  <c r="Y39" i="21"/>
  <c r="G72" i="19"/>
  <c r="G68" i="19"/>
  <c r="AY67" i="21"/>
  <c r="AY73" i="21" s="1"/>
  <c r="AY34" i="21"/>
  <c r="AY40" i="21" s="1"/>
  <c r="AY56" i="21"/>
  <c r="AY62" i="21" s="1"/>
  <c r="AY24" i="21"/>
  <c r="AY45" i="21"/>
  <c r="AY51" i="21" s="1"/>
  <c r="AN24" i="21"/>
  <c r="AN45" i="21"/>
  <c r="AN51" i="21" s="1"/>
  <c r="AN67" i="21"/>
  <c r="AN73" i="21" s="1"/>
  <c r="AN34" i="21"/>
  <c r="AN40" i="21" s="1"/>
  <c r="AN56" i="21"/>
  <c r="AN62" i="21" s="1"/>
  <c r="N23" i="20"/>
  <c r="N33" i="20"/>
  <c r="N44" i="20"/>
  <c r="N55" i="20"/>
  <c r="N66" i="20"/>
  <c r="AJ50" i="21"/>
  <c r="AL72" i="18"/>
  <c r="AL68" i="18"/>
  <c r="AB50" i="18"/>
  <c r="AB46" i="18"/>
  <c r="AG46" i="18"/>
  <c r="AG50" i="18"/>
  <c r="F66" i="21"/>
  <c r="F33" i="21"/>
  <c r="F55" i="21"/>
  <c r="F23" i="21"/>
  <c r="AZ23" i="21" s="1"/>
  <c r="F44" i="21"/>
  <c r="X39" i="21"/>
  <c r="X35" i="21"/>
  <c r="G46" i="20"/>
  <c r="G50" i="20"/>
  <c r="V57" i="19"/>
  <c r="V61" i="19"/>
  <c r="AD57" i="20"/>
  <c r="AD61" i="20"/>
  <c r="AL46" i="20"/>
  <c r="AL50" i="20"/>
  <c r="H68" i="18"/>
  <c r="H72" i="18"/>
  <c r="P57" i="18"/>
  <c r="P61" i="18"/>
  <c r="Y46" i="18"/>
  <c r="Y50" i="18"/>
  <c r="AU56" i="19"/>
  <c r="AU62" i="19" s="1"/>
  <c r="AU24" i="19"/>
  <c r="AU45" i="19"/>
  <c r="AU51" i="19" s="1"/>
  <c r="AU67" i="19"/>
  <c r="AU73" i="19" s="1"/>
  <c r="AU34" i="19"/>
  <c r="AU40" i="19" s="1"/>
  <c r="AR50" i="18"/>
  <c r="AR46" i="18"/>
  <c r="AN50" i="20"/>
  <c r="AN46" i="20"/>
  <c r="D61" i="21"/>
  <c r="D57" i="20"/>
  <c r="AU35" i="20"/>
  <c r="AU39" i="20"/>
  <c r="D46" i="18"/>
  <c r="D50" i="18"/>
  <c r="AV57" i="19"/>
  <c r="AV61" i="19"/>
  <c r="AY45" i="19"/>
  <c r="AY51" i="19" s="1"/>
  <c r="AY34" i="19"/>
  <c r="AY40" i="19" s="1"/>
  <c r="AY56" i="19"/>
  <c r="AY62" i="19" s="1"/>
  <c r="AY24" i="19"/>
  <c r="AY67" i="19"/>
  <c r="AY73" i="19" s="1"/>
  <c r="AY39" i="20"/>
  <c r="AY35" i="20"/>
  <c r="L39" i="18"/>
  <c r="L35" i="18"/>
  <c r="AG67" i="19"/>
  <c r="AG73" i="19" s="1"/>
  <c r="AG34" i="19"/>
  <c r="AG40" i="19" s="1"/>
  <c r="AG24" i="19"/>
  <c r="AG45" i="19"/>
  <c r="AG51" i="19" s="1"/>
  <c r="AG56" i="19"/>
  <c r="AG62" i="19" s="1"/>
  <c r="AT57" i="18"/>
  <c r="AT61" i="18"/>
  <c r="AF35" i="19"/>
  <c r="AF39" i="19"/>
  <c r="AW35" i="19"/>
  <c r="AW39" i="19"/>
  <c r="AB39" i="21"/>
  <c r="V46" i="18"/>
  <c r="V50" i="18"/>
  <c r="R44" i="18"/>
  <c r="R66" i="18"/>
  <c r="R23" i="18"/>
  <c r="R33" i="18"/>
  <c r="R55" i="18"/>
  <c r="P68" i="21"/>
  <c r="P72" i="21"/>
  <c r="F57" i="20"/>
  <c r="F61" i="20"/>
  <c r="S57" i="19"/>
  <c r="S61" i="19"/>
  <c r="S68" i="20"/>
  <c r="S72" i="20"/>
  <c r="AN68" i="19"/>
  <c r="AN72" i="19"/>
  <c r="AC35" i="18"/>
  <c r="AC39" i="18"/>
  <c r="AT57" i="19"/>
  <c r="AT61" i="19"/>
  <c r="AY72" i="21"/>
  <c r="K67" i="20"/>
  <c r="K73" i="20" s="1"/>
  <c r="K34" i="20"/>
  <c r="K40" i="20" s="1"/>
  <c r="K45" i="20"/>
  <c r="K51" i="20" s="1"/>
  <c r="K56" i="20"/>
  <c r="K62" i="20" s="1"/>
  <c r="K24" i="20"/>
  <c r="AG46" i="20"/>
  <c r="AG50" i="20"/>
  <c r="AU57" i="18"/>
  <c r="AU61" i="18"/>
  <c r="G35" i="19"/>
  <c r="G39" i="19"/>
  <c r="AJ35" i="21"/>
  <c r="AJ39" i="21"/>
  <c r="AB68" i="18"/>
  <c r="AB72" i="18"/>
  <c r="AA34" i="19"/>
  <c r="AA40" i="19" s="1"/>
  <c r="AA67" i="19"/>
  <c r="AA73" i="19" s="1"/>
  <c r="AA45" i="19"/>
  <c r="AA51" i="19" s="1"/>
  <c r="AA56" i="19"/>
  <c r="AA62" i="19" s="1"/>
  <c r="AA24" i="19"/>
  <c r="AW35" i="21"/>
  <c r="AW39" i="21"/>
  <c r="P68" i="19"/>
  <c r="P72" i="19"/>
  <c r="AW66" i="18"/>
  <c r="AW33" i="18"/>
  <c r="AW23" i="18"/>
  <c r="AW44" i="18"/>
  <c r="AW55" i="18"/>
  <c r="I68" i="20"/>
  <c r="I72" i="20"/>
  <c r="AY68" i="20"/>
  <c r="AY72" i="20"/>
  <c r="S34" i="18"/>
  <c r="S40" i="18" s="1"/>
  <c r="S56" i="18"/>
  <c r="S62" i="18" s="1"/>
  <c r="S45" i="18"/>
  <c r="S51" i="18" s="1"/>
  <c r="S67" i="18"/>
  <c r="S73" i="18" s="1"/>
  <c r="S24" i="18"/>
  <c r="E22" i="20"/>
  <c r="E21" i="20"/>
  <c r="AS50" i="18"/>
  <c r="AS46" i="18"/>
  <c r="W66" i="21"/>
  <c r="W33" i="21"/>
  <c r="W55" i="21"/>
  <c r="W23" i="21"/>
  <c r="W44" i="21"/>
  <c r="AQ57" i="21"/>
  <c r="AQ61" i="21"/>
  <c r="K57" i="18"/>
  <c r="K61" i="18"/>
  <c r="AC46" i="19"/>
  <c r="AC50" i="19"/>
  <c r="AM39" i="18"/>
  <c r="AM35" i="18"/>
  <c r="P35" i="21"/>
  <c r="P39" i="21"/>
  <c r="S35" i="19"/>
  <c r="S39" i="19"/>
  <c r="AN46" i="18"/>
  <c r="AN50" i="18"/>
  <c r="AJ39" i="18"/>
  <c r="AJ35" i="18"/>
  <c r="AR57" i="21"/>
  <c r="AR61" i="21"/>
  <c r="AV39" i="20"/>
  <c r="AV35" i="20"/>
  <c r="G57" i="18"/>
  <c r="G61" i="18"/>
  <c r="H61" i="19"/>
  <c r="H57" i="19"/>
  <c r="AF33" i="18"/>
  <c r="AF66" i="18"/>
  <c r="AF44" i="18"/>
  <c r="AF55" i="18"/>
  <c r="AF23" i="18"/>
  <c r="AH46" i="18"/>
  <c r="AH50" i="18"/>
  <c r="AF50" i="20"/>
  <c r="AF46" i="20"/>
  <c r="AR35" i="20"/>
  <c r="AR39" i="20"/>
  <c r="AG68" i="20"/>
  <c r="AG72" i="20"/>
  <c r="J72" i="19"/>
  <c r="J68" i="19"/>
  <c r="K56" i="21"/>
  <c r="K62" i="21" s="1"/>
  <c r="K24" i="21"/>
  <c r="K67" i="21"/>
  <c r="K73" i="21" s="1"/>
  <c r="K45" i="21"/>
  <c r="K51" i="21" s="1"/>
  <c r="K34" i="21"/>
  <c r="K40" i="21" s="1"/>
  <c r="G27" i="20"/>
  <c r="F30" i="20"/>
  <c r="Z35" i="20"/>
  <c r="Z39" i="20"/>
  <c r="AK57" i="19"/>
  <c r="AK61" i="19"/>
  <c r="AU68" i="21"/>
  <c r="AU72" i="21"/>
  <c r="V39" i="20"/>
  <c r="V35" i="20"/>
  <c r="O57" i="19"/>
  <c r="O61" i="19"/>
  <c r="P72" i="18"/>
  <c r="P68" i="18"/>
  <c r="Y61" i="18"/>
  <c r="Y57" i="18"/>
  <c r="AQ39" i="18"/>
  <c r="AQ35" i="18"/>
  <c r="AW50" i="21"/>
  <c r="X67" i="21"/>
  <c r="X73" i="21" s="1"/>
  <c r="X56" i="21"/>
  <c r="X62" i="21" s="1"/>
  <c r="X34" i="21"/>
  <c r="X40" i="21" s="1"/>
  <c r="X24" i="21"/>
  <c r="X45" i="21"/>
  <c r="X51" i="21" s="1"/>
  <c r="AN61" i="20"/>
  <c r="AN57" i="20"/>
  <c r="O57" i="20"/>
  <c r="O61" i="20"/>
  <c r="R56" i="21"/>
  <c r="R62" i="21" s="1"/>
  <c r="R24" i="21"/>
  <c r="R45" i="21"/>
  <c r="R51" i="21" s="1"/>
  <c r="R67" i="21"/>
  <c r="R73" i="21" s="1"/>
  <c r="R34" i="21"/>
  <c r="R40" i="21" s="1"/>
  <c r="W72" i="20"/>
  <c r="W68" i="20"/>
  <c r="F35" i="18"/>
  <c r="F39" i="18"/>
  <c r="L50" i="18"/>
  <c r="L46" i="18"/>
  <c r="AT35" i="18"/>
  <c r="AT39" i="18"/>
  <c r="AI57" i="21"/>
  <c r="AI61" i="21"/>
  <c r="M39" i="21"/>
  <c r="AK61" i="21"/>
  <c r="AY50" i="20"/>
  <c r="AY46" i="20"/>
  <c r="W35" i="20"/>
  <c r="W39" i="20"/>
  <c r="F61" i="18"/>
  <c r="F57" i="18"/>
  <c r="AT21" i="20"/>
  <c r="AT22" i="20"/>
  <c r="L57" i="18"/>
  <c r="L61" i="18"/>
  <c r="AE57" i="18"/>
  <c r="AE61" i="18"/>
  <c r="AE57" i="21"/>
  <c r="AE61" i="21"/>
  <c r="AI50" i="21"/>
  <c r="M61" i="21"/>
  <c r="M57" i="21"/>
  <c r="AH68" i="20"/>
  <c r="AO57" i="20"/>
  <c r="AO61" i="20"/>
  <c r="E56" i="19"/>
  <c r="E62" i="19" s="1"/>
  <c r="E67" i="19"/>
  <c r="E73" i="19" s="1"/>
  <c r="E24" i="19"/>
  <c r="E34" i="19"/>
  <c r="E40" i="19" s="1"/>
  <c r="E45" i="19"/>
  <c r="E51" i="19" s="1"/>
  <c r="AZ22" i="19"/>
  <c r="AE39" i="18"/>
  <c r="AE35" i="18"/>
  <c r="AG66" i="19"/>
  <c r="AG33" i="19"/>
  <c r="AG44" i="19"/>
  <c r="AG55" i="19"/>
  <c r="AG23" i="19"/>
  <c r="AT46" i="18"/>
  <c r="AT50" i="18"/>
  <c r="M55" i="20"/>
  <c r="M23" i="20"/>
  <c r="M33" i="20"/>
  <c r="M66" i="20"/>
  <c r="M44" i="20"/>
  <c r="AN57" i="21"/>
  <c r="AN61" i="21"/>
  <c r="AF57" i="19"/>
  <c r="AF61" i="19"/>
  <c r="P46" i="20"/>
  <c r="P50" i="20"/>
  <c r="AW57" i="19"/>
  <c r="AW61" i="19"/>
  <c r="AS35" i="18"/>
  <c r="AS39" i="18"/>
  <c r="AG39" i="21"/>
  <c r="AE39" i="21"/>
  <c r="AE35" i="21"/>
  <c r="AB61" i="21"/>
  <c r="AC50" i="21"/>
  <c r="AC46" i="21"/>
  <c r="AQ39" i="21"/>
  <c r="AQ35" i="21"/>
  <c r="K35" i="18"/>
  <c r="K39" i="18"/>
  <c r="F39" i="19"/>
  <c r="F35" i="19"/>
  <c r="AM72" i="18"/>
  <c r="AM68" i="18"/>
  <c r="AX35" i="18"/>
  <c r="AX39" i="18"/>
  <c r="AK61" i="20"/>
  <c r="AK57" i="20"/>
  <c r="U72" i="20"/>
  <c r="U68" i="20"/>
  <c r="F39" i="20"/>
  <c r="F35" i="20"/>
  <c r="S46" i="19"/>
  <c r="S50" i="19"/>
  <c r="AQ35" i="19"/>
  <c r="AQ39" i="19"/>
  <c r="H35" i="21"/>
  <c r="H39" i="21"/>
  <c r="AV46" i="20"/>
  <c r="AV50" i="20"/>
  <c r="T56" i="19"/>
  <c r="T62" i="19" s="1"/>
  <c r="T67" i="19"/>
  <c r="T73" i="19" s="1"/>
  <c r="T45" i="19"/>
  <c r="T51" i="19" s="1"/>
  <c r="T24" i="19"/>
  <c r="T34" i="19"/>
  <c r="T40" i="19" s="1"/>
  <c r="AQ50" i="20"/>
  <c r="AQ46" i="20"/>
  <c r="AA46" i="18"/>
  <c r="AA50" i="18"/>
  <c r="AI39" i="19"/>
  <c r="AI35" i="19"/>
  <c r="O46" i="18"/>
  <c r="O50" i="18"/>
  <c r="AC57" i="18"/>
  <c r="AC61" i="18"/>
  <c r="AE68" i="19"/>
  <c r="AE72" i="19"/>
  <c r="I35" i="19"/>
  <c r="I39" i="19"/>
  <c r="M68" i="18"/>
  <c r="M72" i="18"/>
  <c r="AD45" i="18"/>
  <c r="AD51" i="18" s="1"/>
  <c r="AD56" i="18"/>
  <c r="AD62" i="18" s="1"/>
  <c r="AD67" i="18"/>
  <c r="AD73" i="18" s="1"/>
  <c r="AD24" i="18"/>
  <c r="AD34" i="18"/>
  <c r="AD40" i="18" s="1"/>
  <c r="AY39" i="21"/>
  <c r="AD61" i="21"/>
  <c r="AB35" i="20"/>
  <c r="AB39" i="20"/>
  <c r="AA33" i="20"/>
  <c r="AA23" i="20"/>
  <c r="AA44" i="20"/>
  <c r="AA55" i="20"/>
  <c r="AA66" i="20"/>
  <c r="AX39" i="19"/>
  <c r="AX35" i="19"/>
  <c r="AR61" i="20"/>
  <c r="AR57" i="20"/>
  <c r="N50" i="19"/>
  <c r="N46" i="19"/>
  <c r="AJ67" i="19"/>
  <c r="AJ73" i="19" s="1"/>
  <c r="AJ24" i="19"/>
  <c r="AJ45" i="19"/>
  <c r="AJ51" i="19" s="1"/>
  <c r="AJ34" i="19"/>
  <c r="AJ40" i="19" s="1"/>
  <c r="AJ56" i="19"/>
  <c r="AJ62" i="19" s="1"/>
  <c r="AU50" i="18"/>
  <c r="AU46" i="18"/>
  <c r="AP33" i="18"/>
  <c r="AP44" i="18"/>
  <c r="AP66" i="18"/>
  <c r="AP55" i="18"/>
  <c r="AP23" i="18"/>
  <c r="Y68" i="21"/>
  <c r="Y72" i="21"/>
  <c r="Q35" i="21"/>
  <c r="Q39" i="21"/>
  <c r="AF24" i="21"/>
  <c r="AF45" i="21"/>
  <c r="AF51" i="21" s="1"/>
  <c r="AF67" i="21"/>
  <c r="AF73" i="21" s="1"/>
  <c r="AF34" i="21"/>
  <c r="AF40" i="21" s="1"/>
  <c r="AF56" i="21"/>
  <c r="AF62" i="21" s="1"/>
  <c r="AS50" i="19"/>
  <c r="AS46" i="19"/>
  <c r="AO68" i="19"/>
  <c r="AO72" i="19"/>
  <c r="AJ57" i="21"/>
  <c r="AJ61" i="21"/>
  <c r="Z35" i="19"/>
  <c r="Z39" i="19"/>
  <c r="F45" i="21"/>
  <c r="F51" i="21" s="1"/>
  <c r="F67" i="21"/>
  <c r="F73" i="21" s="1"/>
  <c r="F56" i="21"/>
  <c r="F62" i="21" s="1"/>
  <c r="F24" i="21"/>
  <c r="F34" i="21"/>
  <c r="F40" i="21" s="1"/>
  <c r="U61" i="21"/>
  <c r="U57" i="21"/>
  <c r="D35" i="20"/>
  <c r="V50" i="19"/>
  <c r="V46" i="19"/>
  <c r="AD46" i="20"/>
  <c r="AD50" i="20"/>
  <c r="AL39" i="20"/>
  <c r="AL35" i="20"/>
  <c r="H50" i="18"/>
  <c r="H46" i="18"/>
  <c r="P35" i="18"/>
  <c r="P39" i="18"/>
  <c r="AR57" i="18"/>
  <c r="AR61" i="18"/>
  <c r="AQ46" i="18"/>
  <c r="AQ50" i="18"/>
  <c r="I61" i="21"/>
  <c r="I57" i="21"/>
  <c r="Z56" i="21"/>
  <c r="Z24" i="21"/>
  <c r="Z45" i="21"/>
  <c r="Z67" i="21"/>
  <c r="Z34" i="21"/>
  <c r="H68" i="20"/>
  <c r="H72" i="20"/>
  <c r="D35" i="21"/>
  <c r="D39" i="21"/>
  <c r="AU72" i="20"/>
  <c r="AU68" i="20"/>
  <c r="AF61" i="21"/>
  <c r="D39" i="18"/>
  <c r="D35" i="18"/>
  <c r="AD35" i="19"/>
  <c r="AD39" i="19"/>
  <c r="AV68" i="19"/>
  <c r="AV72" i="19"/>
  <c r="AY66" i="19"/>
  <c r="AY23" i="19"/>
  <c r="AY44" i="19"/>
  <c r="AY55" i="19"/>
  <c r="AY33" i="19"/>
  <c r="AW67" i="18"/>
  <c r="AW73" i="18" s="1"/>
  <c r="AW34" i="18"/>
  <c r="AW40" i="18" s="1"/>
  <c r="AW56" i="18"/>
  <c r="AW62" i="18" s="1"/>
  <c r="AW45" i="18"/>
  <c r="AW51" i="18" s="1"/>
  <c r="AW24" i="18"/>
  <c r="AA50" i="20" l="1"/>
  <c r="AA46" i="20"/>
  <c r="N39" i="20"/>
  <c r="N35" i="20"/>
  <c r="O57" i="21"/>
  <c r="O61" i="21"/>
  <c r="AK46" i="18"/>
  <c r="AK50" i="18"/>
  <c r="AL46" i="21"/>
  <c r="AL50" i="21"/>
  <c r="AP72" i="21"/>
  <c r="AP68" i="21"/>
  <c r="L35" i="21"/>
  <c r="AU57" i="21"/>
  <c r="AC50" i="20"/>
  <c r="AC46" i="20"/>
  <c r="Z35" i="18"/>
  <c r="Z39" i="18"/>
  <c r="AA46" i="19"/>
  <c r="AA50" i="19"/>
  <c r="J72" i="21"/>
  <c r="J68" i="21"/>
  <c r="N57" i="18"/>
  <c r="N61" i="18"/>
  <c r="M57" i="20"/>
  <c r="M61" i="20"/>
  <c r="M35" i="21"/>
  <c r="AF35" i="18"/>
  <c r="AF39" i="18"/>
  <c r="E55" i="20"/>
  <c r="E23" i="20"/>
  <c r="E33" i="20"/>
  <c r="E66" i="20"/>
  <c r="E44" i="20"/>
  <c r="AZ21" i="20"/>
  <c r="R61" i="18"/>
  <c r="R57" i="18"/>
  <c r="AB35" i="21"/>
  <c r="K57" i="21"/>
  <c r="K61" i="21"/>
  <c r="AR35" i="21"/>
  <c r="T46" i="21"/>
  <c r="T50" i="21"/>
  <c r="T68" i="20"/>
  <c r="T72" i="20"/>
  <c r="P57" i="21"/>
  <c r="AV50" i="18"/>
  <c r="AV46" i="18"/>
  <c r="U46" i="18"/>
  <c r="U50" i="18"/>
  <c r="AL35" i="21"/>
  <c r="AL39" i="21"/>
  <c r="E33" i="18"/>
  <c r="E23" i="18"/>
  <c r="AZ23" i="18" s="1"/>
  <c r="E44" i="18"/>
  <c r="E66" i="18"/>
  <c r="E55" i="18"/>
  <c r="AZ21" i="18"/>
  <c r="M46" i="21"/>
  <c r="AO35" i="21"/>
  <c r="Y39" i="19"/>
  <c r="Y35" i="19"/>
  <c r="AA39" i="21"/>
  <c r="AA35" i="21"/>
  <c r="N46" i="21"/>
  <c r="N50" i="21"/>
  <c r="AC72" i="20"/>
  <c r="AC68" i="20"/>
  <c r="AY61" i="18"/>
  <c r="AY57" i="18"/>
  <c r="J30" i="19"/>
  <c r="K27" i="19"/>
  <c r="AP61" i="20"/>
  <c r="AP57" i="20"/>
  <c r="AJ68" i="20"/>
  <c r="AJ72" i="20"/>
  <c r="AA35" i="19"/>
  <c r="AA39" i="19"/>
  <c r="AN35" i="21"/>
  <c r="Z62" i="21"/>
  <c r="Z57" i="21"/>
  <c r="AA35" i="20"/>
  <c r="AA39" i="20"/>
  <c r="AG35" i="21"/>
  <c r="W46" i="21"/>
  <c r="W50" i="21"/>
  <c r="E56" i="20"/>
  <c r="E62" i="20" s="1"/>
  <c r="E67" i="20"/>
  <c r="E73" i="20" s="1"/>
  <c r="E24" i="20"/>
  <c r="E34" i="20"/>
  <c r="E40" i="20" s="1"/>
  <c r="E45" i="20"/>
  <c r="E51" i="20" s="1"/>
  <c r="AZ22" i="20"/>
  <c r="AY68" i="21"/>
  <c r="R35" i="18"/>
  <c r="R39" i="18"/>
  <c r="F61" i="21"/>
  <c r="F57" i="21"/>
  <c r="AJ57" i="19"/>
  <c r="AJ61" i="19"/>
  <c r="O39" i="21"/>
  <c r="O35" i="21"/>
  <c r="T50" i="19"/>
  <c r="T46" i="19"/>
  <c r="AI35" i="18"/>
  <c r="AI39" i="18"/>
  <c r="AX57" i="21"/>
  <c r="AX61" i="21"/>
  <c r="AF68" i="21"/>
  <c r="L35" i="19"/>
  <c r="L39" i="19"/>
  <c r="K39" i="21"/>
  <c r="K35" i="21"/>
  <c r="AW68" i="21"/>
  <c r="T68" i="21"/>
  <c r="T72" i="21"/>
  <c r="T57" i="20"/>
  <c r="T61" i="20"/>
  <c r="R46" i="20"/>
  <c r="R50" i="20"/>
  <c r="AL72" i="21"/>
  <c r="AL68" i="21"/>
  <c r="K35" i="20"/>
  <c r="K39" i="20"/>
  <c r="AG57" i="21"/>
  <c r="AI35" i="21"/>
  <c r="Y68" i="19"/>
  <c r="Y72" i="19"/>
  <c r="AA68" i="21"/>
  <c r="AA72" i="21"/>
  <c r="AC35" i="20"/>
  <c r="AC39" i="20"/>
  <c r="P46" i="21"/>
  <c r="AJ57" i="20"/>
  <c r="AJ61" i="20"/>
  <c r="AH46" i="21"/>
  <c r="AH50" i="21"/>
  <c r="J57" i="21"/>
  <c r="J61" i="21"/>
  <c r="AF68" i="18"/>
  <c r="AF72" i="18"/>
  <c r="T35" i="21"/>
  <c r="T39" i="21"/>
  <c r="AW46" i="21"/>
  <c r="O68" i="21"/>
  <c r="O72" i="21"/>
  <c r="L68" i="19"/>
  <c r="L72" i="19"/>
  <c r="AT46" i="21"/>
  <c r="AT50" i="21"/>
  <c r="J61" i="20"/>
  <c r="J57" i="20"/>
  <c r="AP46" i="20"/>
  <c r="AP50" i="20"/>
  <c r="AM61" i="19"/>
  <c r="AM57" i="19"/>
  <c r="AM51" i="21"/>
  <c r="AM46" i="21"/>
  <c r="F72" i="21"/>
  <c r="F68" i="21"/>
  <c r="T35" i="19"/>
  <c r="T39" i="19"/>
  <c r="E72" i="19"/>
  <c r="E68" i="19"/>
  <c r="AX72" i="21"/>
  <c r="AX68" i="21"/>
  <c r="R46" i="21"/>
  <c r="R50" i="21"/>
  <c r="AJ68" i="21"/>
  <c r="AT35" i="21"/>
  <c r="AT39" i="21"/>
  <c r="S46" i="18"/>
  <c r="S50" i="18"/>
  <c r="L68" i="21"/>
  <c r="AM40" i="21"/>
  <c r="AM35" i="21"/>
  <c r="AY46" i="19"/>
  <c r="AY50" i="19"/>
  <c r="AP61" i="18"/>
  <c r="AP57" i="18"/>
  <c r="M50" i="20"/>
  <c r="M46" i="20"/>
  <c r="AG61" i="19"/>
  <c r="AG57" i="19"/>
  <c r="H27" i="20"/>
  <c r="G30" i="20"/>
  <c r="W35" i="21"/>
  <c r="W39" i="21"/>
  <c r="AW46" i="18"/>
  <c r="AW50" i="18"/>
  <c r="R50" i="18"/>
  <c r="R46" i="18"/>
  <c r="N68" i="20"/>
  <c r="N72" i="20"/>
  <c r="AJ50" i="19"/>
  <c r="AJ46" i="19"/>
  <c r="AD35" i="18"/>
  <c r="AD39" i="18"/>
  <c r="AI57" i="18"/>
  <c r="AI61" i="18"/>
  <c r="E50" i="19"/>
  <c r="E46" i="19"/>
  <c r="X57" i="21"/>
  <c r="R35" i="21"/>
  <c r="R39" i="21"/>
  <c r="AU46" i="19"/>
  <c r="AU50" i="19"/>
  <c r="AT72" i="21"/>
  <c r="AT68" i="21"/>
  <c r="Q68" i="21"/>
  <c r="X46" i="21"/>
  <c r="AK68" i="18"/>
  <c r="AK72" i="18"/>
  <c r="S57" i="18"/>
  <c r="S61" i="18"/>
  <c r="J46" i="20"/>
  <c r="J50" i="20"/>
  <c r="U57" i="18"/>
  <c r="U61" i="18"/>
  <c r="V57" i="21"/>
  <c r="V61" i="21"/>
  <c r="AR57" i="19"/>
  <c r="AR61" i="19"/>
  <c r="N72" i="21"/>
  <c r="N68" i="21"/>
  <c r="AY35" i="18"/>
  <c r="AY39" i="18"/>
  <c r="Z57" i="18"/>
  <c r="Z61" i="18"/>
  <c r="AP68" i="20"/>
  <c r="AP72" i="20"/>
  <c r="E35" i="21"/>
  <c r="AM46" i="19"/>
  <c r="AM50" i="19"/>
  <c r="AH35" i="21"/>
  <c r="AH39" i="21"/>
  <c r="AM73" i="21"/>
  <c r="AM68" i="21"/>
  <c r="AP35" i="18"/>
  <c r="AP39" i="18"/>
  <c r="AG68" i="19"/>
  <c r="AG72" i="19"/>
  <c r="F46" i="21"/>
  <c r="F50" i="21"/>
  <c r="AD61" i="18"/>
  <c r="AD57" i="18"/>
  <c r="E57" i="19"/>
  <c r="E61" i="19"/>
  <c r="R57" i="21"/>
  <c r="R61" i="21"/>
  <c r="R61" i="20"/>
  <c r="R57" i="20"/>
  <c r="AV57" i="18"/>
  <c r="AV61" i="18"/>
  <c r="U68" i="18"/>
  <c r="U72" i="18"/>
  <c r="K50" i="20"/>
  <c r="K46" i="20"/>
  <c r="AJ46" i="21"/>
  <c r="T72" i="19"/>
  <c r="T68" i="19"/>
  <c r="G57" i="21"/>
  <c r="G61" i="21"/>
  <c r="R39" i="20"/>
  <c r="R35" i="20"/>
  <c r="AV68" i="18"/>
  <c r="AV72" i="18"/>
  <c r="V46" i="21"/>
  <c r="V50" i="21"/>
  <c r="N57" i="21"/>
  <c r="N61" i="21"/>
  <c r="R68" i="18"/>
  <c r="R72" i="18"/>
  <c r="AJ68" i="19"/>
  <c r="AJ72" i="19"/>
  <c r="L57" i="19"/>
  <c r="L61" i="19"/>
  <c r="K46" i="21"/>
  <c r="K50" i="21"/>
  <c r="H46" i="21"/>
  <c r="AD46" i="21"/>
  <c r="AP46" i="21"/>
  <c r="AP50" i="21"/>
  <c r="Z46" i="18"/>
  <c r="Z50" i="18"/>
  <c r="Z40" i="21"/>
  <c r="Z35" i="21"/>
  <c r="AP68" i="18"/>
  <c r="AP72" i="18"/>
  <c r="AA68" i="20"/>
  <c r="AA72" i="20"/>
  <c r="AD57" i="21"/>
  <c r="AB57" i="21"/>
  <c r="M72" i="20"/>
  <c r="M68" i="20"/>
  <c r="AG46" i="19"/>
  <c r="AG50" i="19"/>
  <c r="AZ24" i="19"/>
  <c r="AT56" i="20"/>
  <c r="AT62" i="20" s="1"/>
  <c r="AT24" i="20"/>
  <c r="AT34" i="20"/>
  <c r="AT40" i="20" s="1"/>
  <c r="AT67" i="20"/>
  <c r="AT73" i="20" s="1"/>
  <c r="AT45" i="20"/>
  <c r="AT51" i="20" s="1"/>
  <c r="AK57" i="21"/>
  <c r="AF57" i="18"/>
  <c r="AF61" i="18"/>
  <c r="W72" i="21"/>
  <c r="W68" i="21"/>
  <c r="D57" i="21"/>
  <c r="N57" i="20"/>
  <c r="N61" i="20"/>
  <c r="AJ39" i="19"/>
  <c r="AJ35" i="19"/>
  <c r="AD46" i="18"/>
  <c r="AD50" i="18"/>
  <c r="T61" i="19"/>
  <c r="T57" i="19"/>
  <c r="AI68" i="18"/>
  <c r="AI72" i="18"/>
  <c r="E35" i="19"/>
  <c r="E39" i="19"/>
  <c r="G39" i="21"/>
  <c r="G35" i="21"/>
  <c r="R72" i="21"/>
  <c r="R68" i="21"/>
  <c r="D68" i="21"/>
  <c r="AU35" i="21"/>
  <c r="AO46" i="21"/>
  <c r="AK61" i="18"/>
  <c r="AK57" i="18"/>
  <c r="T46" i="20"/>
  <c r="T50" i="20"/>
  <c r="AG46" i="21"/>
  <c r="J35" i="20"/>
  <c r="J39" i="20"/>
  <c r="U35" i="18"/>
  <c r="U39" i="18"/>
  <c r="K68" i="20"/>
  <c r="K72" i="20"/>
  <c r="AP61" i="21"/>
  <c r="AP57" i="21"/>
  <c r="AN46" i="21"/>
  <c r="V35" i="21"/>
  <c r="V39" i="21"/>
  <c r="I27" i="21"/>
  <c r="H30" i="21"/>
  <c r="Y61" i="19"/>
  <c r="Y57" i="19"/>
  <c r="AR35" i="19"/>
  <c r="AR39" i="19"/>
  <c r="AA57" i="21"/>
  <c r="AA61" i="21"/>
  <c r="AY68" i="18"/>
  <c r="AY72" i="18"/>
  <c r="AS68" i="21"/>
  <c r="Z72" i="18"/>
  <c r="Z68" i="18"/>
  <c r="AJ46" i="20"/>
  <c r="AJ50" i="20"/>
  <c r="AM68" i="19"/>
  <c r="AM72" i="19"/>
  <c r="AH72" i="21"/>
  <c r="AH68" i="21"/>
  <c r="J46" i="21"/>
  <c r="J50" i="21"/>
  <c r="N35" i="18"/>
  <c r="N39" i="18"/>
  <c r="Z51" i="21"/>
  <c r="Z46" i="21"/>
  <c r="AW68" i="18"/>
  <c r="AW72" i="18"/>
  <c r="AX46" i="21"/>
  <c r="AX50" i="21"/>
  <c r="L46" i="19"/>
  <c r="L50" i="19"/>
  <c r="I27" i="18"/>
  <c r="H30" i="18"/>
  <c r="AD68" i="21"/>
  <c r="E67" i="18"/>
  <c r="E73" i="18" s="1"/>
  <c r="E34" i="18"/>
  <c r="E40" i="18" s="1"/>
  <c r="E56" i="18"/>
  <c r="E62" i="18" s="1"/>
  <c r="E45" i="18"/>
  <c r="E51" i="18" s="1"/>
  <c r="E24" i="18"/>
  <c r="AZ24" i="18" s="1"/>
  <c r="AZ22" i="18"/>
  <c r="Y46" i="19"/>
  <c r="Y50" i="19"/>
  <c r="AY39" i="19"/>
  <c r="AY35" i="19"/>
  <c r="F35" i="21"/>
  <c r="F39" i="21"/>
  <c r="AX35" i="21"/>
  <c r="AX39" i="21"/>
  <c r="AU35" i="19"/>
  <c r="AU39" i="19"/>
  <c r="K72" i="21"/>
  <c r="K68" i="21"/>
  <c r="S39" i="18"/>
  <c r="S35" i="18"/>
  <c r="AQ68" i="21"/>
  <c r="AR46" i="19"/>
  <c r="AR50" i="19"/>
  <c r="AA68" i="19"/>
  <c r="AA72" i="19"/>
  <c r="AY61" i="19"/>
  <c r="AY57" i="19"/>
  <c r="W61" i="21"/>
  <c r="W57" i="21"/>
  <c r="AW61" i="18"/>
  <c r="AW57" i="18"/>
  <c r="AI46" i="18"/>
  <c r="AI50" i="18"/>
  <c r="G46" i="21"/>
  <c r="G50" i="21"/>
  <c r="AU72" i="19"/>
  <c r="AU68" i="19"/>
  <c r="AV46" i="21"/>
  <c r="I68" i="21"/>
  <c r="H68" i="21"/>
  <c r="R72" i="20"/>
  <c r="R68" i="20"/>
  <c r="AV35" i="18"/>
  <c r="AV39" i="18"/>
  <c r="AL57" i="21"/>
  <c r="AL61" i="21"/>
  <c r="AR68" i="21"/>
  <c r="N35" i="21"/>
  <c r="N39" i="21"/>
  <c r="AC57" i="20"/>
  <c r="AC61" i="20"/>
  <c r="AP35" i="20"/>
  <c r="AP39" i="20"/>
  <c r="AM39" i="19"/>
  <c r="AM35" i="19"/>
  <c r="AH57" i="21"/>
  <c r="AH61" i="21"/>
  <c r="AA57" i="19"/>
  <c r="AA61" i="19"/>
  <c r="N46" i="18"/>
  <c r="N50" i="18"/>
  <c r="AY72" i="19"/>
  <c r="AY68" i="19"/>
  <c r="AF57" i="21"/>
  <c r="Z73" i="21"/>
  <c r="Z68" i="21"/>
  <c r="AP50" i="18"/>
  <c r="AP46" i="18"/>
  <c r="AA57" i="20"/>
  <c r="AA61" i="20"/>
  <c r="AY35" i="21"/>
  <c r="M35" i="20"/>
  <c r="M39" i="20"/>
  <c r="AG35" i="19"/>
  <c r="AG39" i="19"/>
  <c r="AI46" i="21"/>
  <c r="AT23" i="20"/>
  <c r="AT44" i="20"/>
  <c r="AT55" i="20"/>
  <c r="AT33" i="20"/>
  <c r="AT66" i="20"/>
  <c r="AF50" i="18"/>
  <c r="AF46" i="18"/>
  <c r="AW39" i="18"/>
  <c r="AW35" i="18"/>
  <c r="N46" i="20"/>
  <c r="N50" i="20"/>
  <c r="O46" i="21"/>
  <c r="O50" i="21"/>
  <c r="AD72" i="18"/>
  <c r="AD68" i="18"/>
  <c r="AC68" i="21"/>
  <c r="AZ23" i="19"/>
  <c r="G68" i="21"/>
  <c r="G72" i="21"/>
  <c r="AB68" i="21"/>
  <c r="AU61" i="19"/>
  <c r="AU57" i="19"/>
  <c r="AZ24" i="21"/>
  <c r="AT57" i="21"/>
  <c r="AT61" i="21"/>
  <c r="AQ46" i="21"/>
  <c r="AD35" i="21"/>
  <c r="L46" i="21"/>
  <c r="T57" i="21"/>
  <c r="T61" i="21"/>
  <c r="AK35" i="18"/>
  <c r="AK39" i="18"/>
  <c r="T35" i="20"/>
  <c r="T39" i="20"/>
  <c r="AR46" i="21"/>
  <c r="S72" i="18"/>
  <c r="S68" i="18"/>
  <c r="J68" i="20"/>
  <c r="J72" i="20"/>
  <c r="AF46" i="21"/>
  <c r="K57" i="20"/>
  <c r="K61" i="20"/>
  <c r="AP35" i="21"/>
  <c r="AP39" i="21"/>
  <c r="V68" i="21"/>
  <c r="V72" i="21"/>
  <c r="AF35" i="21"/>
  <c r="AR72" i="19"/>
  <c r="AR68" i="19"/>
  <c r="AA46" i="21"/>
  <c r="AA50" i="21"/>
  <c r="X68" i="21"/>
  <c r="AY46" i="18"/>
  <c r="AY50" i="18"/>
  <c r="AV57" i="21"/>
  <c r="AJ35" i="20"/>
  <c r="AJ39" i="20"/>
  <c r="J35" i="21"/>
  <c r="J39" i="21"/>
  <c r="N72" i="18"/>
  <c r="N68" i="18"/>
  <c r="AM62" i="21"/>
  <c r="AM57" i="21"/>
  <c r="I27" i="20" l="1"/>
  <c r="H30" i="20"/>
  <c r="L27" i="19"/>
  <c r="K30" i="19"/>
  <c r="E68" i="18"/>
  <c r="E72" i="18"/>
  <c r="E35" i="20"/>
  <c r="E39" i="20"/>
  <c r="I30" i="18"/>
  <c r="J27" i="18"/>
  <c r="E50" i="18"/>
  <c r="E46" i="18"/>
  <c r="AZ23" i="20"/>
  <c r="E57" i="20"/>
  <c r="E61" i="20"/>
  <c r="AT68" i="20"/>
  <c r="AT72" i="20"/>
  <c r="AT39" i="20"/>
  <c r="AT35" i="20"/>
  <c r="E50" i="20"/>
  <c r="E46" i="20"/>
  <c r="AT46" i="20"/>
  <c r="AT50" i="20"/>
  <c r="J27" i="21"/>
  <c r="I30" i="21"/>
  <c r="E39" i="18"/>
  <c r="E35" i="18"/>
  <c r="AT57" i="20"/>
  <c r="AT61" i="20"/>
  <c r="AZ24" i="20"/>
  <c r="E57" i="18"/>
  <c r="E61" i="18"/>
  <c r="E72" i="20"/>
  <c r="E68" i="20"/>
  <c r="L30" i="19" l="1"/>
  <c r="M27" i="19"/>
  <c r="K27" i="18"/>
  <c r="J30" i="18"/>
  <c r="K27" i="21"/>
  <c r="J30" i="21"/>
  <c r="I30" i="20"/>
  <c r="J27" i="20"/>
  <c r="L27" i="21" l="1"/>
  <c r="K30" i="21"/>
  <c r="N27" i="19"/>
  <c r="M30" i="19"/>
  <c r="K30" i="18"/>
  <c r="L27" i="18"/>
  <c r="J30" i="20"/>
  <c r="K27" i="20"/>
  <c r="K30" i="20" l="1"/>
  <c r="L27" i="20"/>
  <c r="L30" i="18"/>
  <c r="M27" i="18"/>
  <c r="O27" i="19"/>
  <c r="N30" i="19"/>
  <c r="M27" i="21"/>
  <c r="L30" i="21"/>
  <c r="M30" i="21" l="1"/>
  <c r="N27" i="21"/>
  <c r="N27" i="18"/>
  <c r="M30" i="18"/>
  <c r="L30" i="20"/>
  <c r="M27" i="20"/>
  <c r="P27" i="19"/>
  <c r="O30" i="19"/>
  <c r="M30" i="20" l="1"/>
  <c r="N27" i="20"/>
  <c r="P30" i="19"/>
  <c r="Q27" i="19"/>
  <c r="N30" i="18"/>
  <c r="O27" i="18"/>
  <c r="N30" i="21"/>
  <c r="O27" i="21"/>
  <c r="O30" i="21" l="1"/>
  <c r="P27" i="21"/>
  <c r="P27" i="18"/>
  <c r="O30" i="18"/>
  <c r="Q30" i="19"/>
  <c r="R27" i="19"/>
  <c r="O27" i="20"/>
  <c r="N30" i="20"/>
  <c r="P27" i="20" l="1"/>
  <c r="O30" i="20"/>
  <c r="Q27" i="21"/>
  <c r="P30" i="21"/>
  <c r="S27" i="19"/>
  <c r="R30" i="19"/>
  <c r="Q27" i="18"/>
  <c r="P30" i="18"/>
  <c r="R27" i="18" l="1"/>
  <c r="Q30" i="18"/>
  <c r="S30" i="19"/>
  <c r="T27" i="19"/>
  <c r="Q30" i="21"/>
  <c r="R27" i="21"/>
  <c r="Q27" i="20"/>
  <c r="P30" i="20"/>
  <c r="Q30" i="20" l="1"/>
  <c r="R27" i="20"/>
  <c r="T30" i="19"/>
  <c r="U27" i="19"/>
  <c r="S27" i="21"/>
  <c r="R30" i="21"/>
  <c r="S27" i="18"/>
  <c r="R30" i="18"/>
  <c r="S30" i="18" l="1"/>
  <c r="T27" i="18"/>
  <c r="V27" i="19"/>
  <c r="U30" i="19"/>
  <c r="R30" i="20"/>
  <c r="S27" i="20"/>
  <c r="T27" i="21"/>
  <c r="S30" i="21"/>
  <c r="U27" i="21" l="1"/>
  <c r="T30" i="21"/>
  <c r="T30" i="18"/>
  <c r="U27" i="18"/>
  <c r="T27" i="20"/>
  <c r="S30" i="20"/>
  <c r="W27" i="19"/>
  <c r="V30" i="19"/>
  <c r="X27" i="19" l="1"/>
  <c r="W30" i="19"/>
  <c r="T30" i="20"/>
  <c r="U27" i="20"/>
  <c r="V27" i="18"/>
  <c r="U30" i="18"/>
  <c r="U30" i="21"/>
  <c r="V27" i="21"/>
  <c r="V30" i="21" l="1"/>
  <c r="W27" i="21"/>
  <c r="W27" i="18"/>
  <c r="V30" i="18"/>
  <c r="V27" i="20"/>
  <c r="U30" i="20"/>
  <c r="X30" i="19"/>
  <c r="Y27" i="19"/>
  <c r="Y30" i="19" l="1"/>
  <c r="Z27" i="19"/>
  <c r="W27" i="20"/>
  <c r="V30" i="20"/>
  <c r="W30" i="21"/>
  <c r="X27" i="21"/>
  <c r="X27" i="18"/>
  <c r="W30" i="18"/>
  <c r="Y27" i="21" l="1"/>
  <c r="X30" i="21"/>
  <c r="X27" i="20"/>
  <c r="W30" i="20"/>
  <c r="AA27" i="19"/>
  <c r="Z30" i="19"/>
  <c r="Y27" i="18"/>
  <c r="X30" i="18"/>
  <c r="AA30" i="19" l="1"/>
  <c r="AB27" i="19"/>
  <c r="Y30" i="18"/>
  <c r="Z27" i="18"/>
  <c r="Y27" i="20"/>
  <c r="X30" i="20"/>
  <c r="Z27" i="21"/>
  <c r="Y30" i="21"/>
  <c r="Y30" i="20" l="1"/>
  <c r="Z27" i="20"/>
  <c r="AC27" i="19"/>
  <c r="AB30" i="19"/>
  <c r="AA27" i="21"/>
  <c r="Z30" i="21"/>
  <c r="AA27" i="18"/>
  <c r="Z30" i="18"/>
  <c r="AA30" i="21" l="1"/>
  <c r="AB27" i="21"/>
  <c r="Z30" i="20"/>
  <c r="AA27" i="20"/>
  <c r="AA30" i="18"/>
  <c r="AB27" i="18"/>
  <c r="AD27" i="19"/>
  <c r="AC30" i="19"/>
  <c r="AE27" i="19" l="1"/>
  <c r="AD30" i="19"/>
  <c r="AB27" i="20"/>
  <c r="AA30" i="20"/>
  <c r="AC27" i="21"/>
  <c r="AB30" i="21"/>
  <c r="AB30" i="18"/>
  <c r="AC27" i="18"/>
  <c r="AD27" i="18" l="1"/>
  <c r="AC30" i="18"/>
  <c r="AD27" i="21"/>
  <c r="AC30" i="21"/>
  <c r="AB30" i="20"/>
  <c r="AC27" i="20"/>
  <c r="AE30" i="19"/>
  <c r="AF27" i="19"/>
  <c r="AD27" i="20" l="1"/>
  <c r="AC30" i="20"/>
  <c r="AF30" i="19"/>
  <c r="AG27" i="19"/>
  <c r="AE27" i="21"/>
  <c r="AD30" i="21"/>
  <c r="AE27" i="18"/>
  <c r="AD30" i="18"/>
  <c r="AF27" i="21" l="1"/>
  <c r="AE30" i="21"/>
  <c r="AF27" i="18"/>
  <c r="AE30" i="18"/>
  <c r="AG30" i="19"/>
  <c r="AH27" i="19"/>
  <c r="AE27" i="20"/>
  <c r="AD30" i="20"/>
  <c r="AF27" i="20" l="1"/>
  <c r="AE30" i="20"/>
  <c r="AI27" i="19"/>
  <c r="AH30" i="19"/>
  <c r="AG27" i="18"/>
  <c r="AF30" i="18"/>
  <c r="AG27" i="21"/>
  <c r="AF30" i="21"/>
  <c r="AG30" i="21" l="1"/>
  <c r="AH27" i="21"/>
  <c r="AH27" i="18"/>
  <c r="AG30" i="18"/>
  <c r="AI30" i="19"/>
  <c r="AJ27" i="19"/>
  <c r="AG27" i="20"/>
  <c r="AF30" i="20"/>
  <c r="AG30" i="20" l="1"/>
  <c r="AH27" i="20"/>
  <c r="AK27" i="19"/>
  <c r="AJ30" i="19"/>
  <c r="AH30" i="21"/>
  <c r="AI27" i="21"/>
  <c r="AI27" i="18"/>
  <c r="AH30" i="18"/>
  <c r="AI30" i="21" l="1"/>
  <c r="AJ27" i="21"/>
  <c r="AL27" i="19"/>
  <c r="AK30" i="19"/>
  <c r="AH30" i="20"/>
  <c r="AI27" i="20"/>
  <c r="AI30" i="18"/>
  <c r="AJ27" i="18"/>
  <c r="AJ27" i="20" l="1"/>
  <c r="AI30" i="20"/>
  <c r="AK27" i="18"/>
  <c r="AJ30" i="18"/>
  <c r="AM27" i="19"/>
  <c r="AL30" i="19"/>
  <c r="AK27" i="21"/>
  <c r="AJ30" i="21"/>
  <c r="AK30" i="21" l="1"/>
  <c r="AL27" i="21"/>
  <c r="AM30" i="19"/>
  <c r="AN27" i="19"/>
  <c r="AL27" i="18"/>
  <c r="AK30" i="18"/>
  <c r="AJ30" i="20"/>
  <c r="AK27" i="20"/>
  <c r="AM27" i="18" l="1"/>
  <c r="AL30" i="18"/>
  <c r="AM27" i="21"/>
  <c r="AL30" i="21"/>
  <c r="AK30" i="20"/>
  <c r="AL27" i="20"/>
  <c r="AO27" i="19"/>
  <c r="AN30" i="19"/>
  <c r="AM27" i="20" l="1"/>
  <c r="AL30" i="20"/>
  <c r="AN27" i="21"/>
  <c r="AM30" i="21"/>
  <c r="AP27" i="19"/>
  <c r="AO30" i="19"/>
  <c r="AN27" i="18"/>
  <c r="AM30" i="18"/>
  <c r="AO27" i="18" l="1"/>
  <c r="AN30" i="18"/>
  <c r="AQ27" i="19"/>
  <c r="AP30" i="19"/>
  <c r="AO27" i="21"/>
  <c r="AN30" i="21"/>
  <c r="AN27" i="20"/>
  <c r="AM30" i="20"/>
  <c r="AO30" i="21" l="1"/>
  <c r="AP27" i="21"/>
  <c r="AQ30" i="19"/>
  <c r="AR27" i="19"/>
  <c r="AN30" i="20"/>
  <c r="AO27" i="20"/>
  <c r="AP27" i="18"/>
  <c r="AO30" i="18"/>
  <c r="AO30" i="20" l="1"/>
  <c r="AP27" i="20"/>
  <c r="AR30" i="19"/>
  <c r="AS27" i="19"/>
  <c r="AP30" i="21"/>
  <c r="AQ27" i="21"/>
  <c r="AP30" i="18"/>
  <c r="AQ27" i="18"/>
  <c r="AQ30" i="18" l="1"/>
  <c r="AR27" i="18"/>
  <c r="AP30" i="20"/>
  <c r="AQ27" i="20"/>
  <c r="AQ30" i="21"/>
  <c r="AR27" i="21"/>
  <c r="AS30" i="19"/>
  <c r="AT27" i="19"/>
  <c r="AS27" i="21" l="1"/>
  <c r="AR30" i="21"/>
  <c r="AS27" i="18"/>
  <c r="AR30" i="18"/>
  <c r="AT30" i="19"/>
  <c r="AU27" i="19"/>
  <c r="AQ30" i="20"/>
  <c r="AR27" i="20"/>
  <c r="AR30" i="20" l="1"/>
  <c r="AS27" i="20"/>
  <c r="AV27" i="19"/>
  <c r="AU30" i="19"/>
  <c r="AS30" i="18"/>
  <c r="AT27" i="18"/>
  <c r="AT27" i="21"/>
  <c r="AS30" i="21"/>
  <c r="AU27" i="21" l="1"/>
  <c r="AT30" i="21"/>
  <c r="AW27" i="19"/>
  <c r="AV30" i="19"/>
  <c r="AT27" i="20"/>
  <c r="AS30" i="20"/>
  <c r="AT30" i="18"/>
  <c r="AU27" i="18"/>
  <c r="AV27" i="18" l="1"/>
  <c r="AU30" i="18"/>
  <c r="AU27" i="20"/>
  <c r="AT30" i="20"/>
  <c r="AX27" i="19"/>
  <c r="AW30" i="19"/>
  <c r="AV27" i="21"/>
  <c r="AU30" i="21"/>
  <c r="AW27" i="21" l="1"/>
  <c r="AV30" i="21"/>
  <c r="AX30" i="19"/>
  <c r="AY27" i="19"/>
  <c r="AY30" i="19" s="1"/>
  <c r="AZ30" i="19" s="1"/>
  <c r="AV27" i="20"/>
  <c r="AU30" i="20"/>
  <c r="AW27" i="18"/>
  <c r="AV30" i="18"/>
  <c r="AW30" i="18" l="1"/>
  <c r="AX27" i="18"/>
  <c r="AV30" i="20"/>
  <c r="AW27" i="20"/>
  <c r="AW30" i="21"/>
  <c r="AX27" i="21"/>
  <c r="AX30" i="21" l="1"/>
  <c r="AY27" i="21"/>
  <c r="AY30" i="21" s="1"/>
  <c r="AZ30" i="21" s="1"/>
  <c r="AW30" i="20"/>
  <c r="AX27" i="20"/>
  <c r="AY27" i="18"/>
  <c r="AY30" i="18" s="1"/>
  <c r="AZ30" i="18" s="1"/>
  <c r="AX30" i="18"/>
  <c r="AX30" i="20" l="1"/>
  <c r="AY27" i="20"/>
  <c r="AY30" i="20" s="1"/>
  <c r="AZ30" i="20" s="1"/>
  <c r="D6" i="6" l="1"/>
  <c r="D7" i="6"/>
  <c r="D8" i="6"/>
  <c r="E7" i="6"/>
  <c r="F7" i="6"/>
  <c r="G7" i="6"/>
  <c r="H7" i="6"/>
  <c r="I7" i="6"/>
  <c r="J7" i="6"/>
  <c r="K7" i="6"/>
  <c r="L7" i="6"/>
  <c r="M7" i="6"/>
  <c r="N7" i="6"/>
  <c r="E8" i="6"/>
  <c r="F8" i="6"/>
  <c r="G8" i="6"/>
  <c r="H8" i="6"/>
  <c r="I8" i="6"/>
  <c r="J8" i="6"/>
  <c r="K8" i="6"/>
  <c r="L8" i="6"/>
  <c r="M8" i="6"/>
  <c r="N8" i="6"/>
  <c r="E6" i="6"/>
  <c r="F6" i="6"/>
  <c r="G6" i="6"/>
  <c r="H6" i="6"/>
  <c r="I6" i="6"/>
  <c r="J6" i="6"/>
  <c r="K6" i="6"/>
  <c r="L6" i="6"/>
  <c r="M6" i="6"/>
  <c r="N6" i="6"/>
  <c r="K6" i="7"/>
  <c r="E7" i="7"/>
  <c r="I7" i="7"/>
  <c r="K7" i="7" s="1"/>
  <c r="C8" i="7"/>
  <c r="K8" i="7" s="1"/>
  <c r="G8" i="7"/>
  <c r="C30" i="7"/>
  <c r="C29" i="7"/>
  <c r="N41" i="7"/>
  <c r="N40" i="7"/>
  <c r="N39" i="7"/>
  <c r="N38" i="7"/>
  <c r="M41" i="7"/>
  <c r="M40" i="7"/>
  <c r="M39" i="7"/>
  <c r="M38" i="7"/>
  <c r="L41" i="7"/>
  <c r="L40" i="7"/>
  <c r="L39" i="7"/>
  <c r="L38" i="7"/>
  <c r="K41" i="7"/>
  <c r="K40" i="7"/>
  <c r="K39" i="7"/>
  <c r="K38" i="7"/>
  <c r="J41" i="7"/>
  <c r="J40" i="7"/>
  <c r="J39" i="7"/>
  <c r="J38" i="7"/>
  <c r="I41" i="7"/>
  <c r="I40" i="7"/>
  <c r="I39" i="7"/>
  <c r="I38" i="7"/>
  <c r="H41" i="7"/>
  <c r="H40" i="7"/>
  <c r="H39" i="7"/>
  <c r="H38" i="7"/>
  <c r="G41" i="7"/>
  <c r="G40" i="7"/>
  <c r="G39" i="7"/>
  <c r="G38" i="7"/>
  <c r="F41" i="7"/>
  <c r="F40" i="7"/>
  <c r="F39" i="7"/>
  <c r="F38" i="7"/>
  <c r="E41" i="7"/>
  <c r="E40" i="7"/>
  <c r="E39" i="7"/>
  <c r="E38" i="7"/>
  <c r="D41" i="7"/>
  <c r="D40" i="7"/>
  <c r="D39" i="7"/>
  <c r="D38" i="7"/>
  <c r="C28" i="7"/>
  <c r="C31" i="7" s="1"/>
  <c r="C27" i="7"/>
  <c r="I19" i="7"/>
  <c r="G19" i="7"/>
  <c r="E19" i="7"/>
  <c r="C19" i="7"/>
  <c r="E48" i="6"/>
  <c r="F48" i="6"/>
  <c r="G48" i="6"/>
  <c r="H48" i="6"/>
  <c r="I48" i="6"/>
  <c r="J48" i="6"/>
  <c r="K48" i="6"/>
  <c r="L48" i="6"/>
  <c r="M48" i="6"/>
  <c r="N48" i="6"/>
  <c r="D48" i="6"/>
  <c r="O48" i="6" s="1"/>
  <c r="C52" i="5"/>
  <c r="C53" i="5"/>
  <c r="C54" i="5"/>
  <c r="C55" i="5"/>
  <c r="G55" i="5" s="1"/>
  <c r="H55" i="5" s="1"/>
  <c r="C56" i="5"/>
  <c r="G56" i="5" s="1"/>
  <c r="H56" i="5" s="1"/>
  <c r="C57" i="5"/>
  <c r="C58" i="5"/>
  <c r="C59" i="5"/>
  <c r="G59" i="5" s="1"/>
  <c r="H59" i="5" s="1"/>
  <c r="C60" i="5"/>
  <c r="C61" i="5"/>
  <c r="C62" i="5"/>
  <c r="C63" i="5"/>
  <c r="G63" i="5" s="1"/>
  <c r="H63" i="5" s="1"/>
  <c r="C64" i="5"/>
  <c r="G64" i="5" s="1"/>
  <c r="H64" i="5" s="1"/>
  <c r="C65" i="5"/>
  <c r="C67" i="5"/>
  <c r="G67" i="5" s="1"/>
  <c r="H67" i="5" s="1"/>
  <c r="C68" i="5"/>
  <c r="G68" i="5" s="1"/>
  <c r="H68" i="5" s="1"/>
  <c r="C69" i="5"/>
  <c r="C70" i="5"/>
  <c r="C71" i="5"/>
  <c r="C72" i="5"/>
  <c r="C73" i="5"/>
  <c r="G73" i="5" s="1"/>
  <c r="H73" i="5" s="1"/>
  <c r="C75" i="5"/>
  <c r="C76" i="5"/>
  <c r="C77" i="5"/>
  <c r="G77" i="5" s="1"/>
  <c r="H77" i="5" s="1"/>
  <c r="C78" i="5"/>
  <c r="C79" i="5"/>
  <c r="C80" i="5"/>
  <c r="C81" i="5"/>
  <c r="G81" i="5" s="1"/>
  <c r="H81" i="5" s="1"/>
  <c r="C82" i="5"/>
  <c r="C83" i="5"/>
  <c r="C84" i="5"/>
  <c r="C85" i="5"/>
  <c r="G85" i="5" s="1"/>
  <c r="H85" i="5" s="1"/>
  <c r="C86" i="5"/>
  <c r="C88" i="5"/>
  <c r="C89" i="5"/>
  <c r="C90" i="5"/>
  <c r="C91" i="5"/>
  <c r="G91" i="5" s="1"/>
  <c r="H91" i="5" s="1"/>
  <c r="C92" i="5"/>
  <c r="C93" i="5"/>
  <c r="G93" i="5" s="1"/>
  <c r="H93" i="5" s="1"/>
  <c r="C94" i="5"/>
  <c r="C95" i="5"/>
  <c r="C96" i="5"/>
  <c r="C97" i="5"/>
  <c r="C98" i="5"/>
  <c r="C99" i="5"/>
  <c r="G99" i="5" s="1"/>
  <c r="H99" i="5" s="1"/>
  <c r="C100" i="5"/>
  <c r="C101" i="5"/>
  <c r="G101" i="5" s="1"/>
  <c r="H101" i="5" s="1"/>
  <c r="C102" i="5"/>
  <c r="C103" i="5"/>
  <c r="C104" i="5"/>
  <c r="C105" i="5"/>
  <c r="C106" i="5"/>
  <c r="D47" i="6"/>
  <c r="E47" i="6"/>
  <c r="F47" i="6"/>
  <c r="G47" i="6"/>
  <c r="H47" i="6"/>
  <c r="I47" i="6"/>
  <c r="J47" i="6"/>
  <c r="K47" i="6"/>
  <c r="L47" i="6"/>
  <c r="M47" i="6"/>
  <c r="N47" i="6"/>
  <c r="C47" i="6"/>
  <c r="K31" i="7"/>
  <c r="J31" i="7"/>
  <c r="I31" i="7"/>
  <c r="H31" i="7"/>
  <c r="G31" i="7"/>
  <c r="F31" i="7"/>
  <c r="E31" i="7"/>
  <c r="D31" i="7"/>
  <c r="J19" i="7"/>
  <c r="H19" i="7"/>
  <c r="F19" i="7"/>
  <c r="D19" i="7"/>
  <c r="K11" i="7"/>
  <c r="K10" i="7"/>
  <c r="K9" i="7"/>
  <c r="G12" i="5"/>
  <c r="G9" i="5"/>
  <c r="H9" i="5" s="1"/>
  <c r="D16" i="5"/>
  <c r="P36" i="6"/>
  <c r="P30" i="6"/>
  <c r="G21" i="5"/>
  <c r="G6" i="5"/>
  <c r="G7" i="5"/>
  <c r="H7" i="5"/>
  <c r="G8" i="5"/>
  <c r="G16" i="5" s="1"/>
  <c r="G10" i="5"/>
  <c r="H10" i="5" s="1"/>
  <c r="G11" i="5"/>
  <c r="H11" i="5" s="1"/>
  <c r="H12" i="5"/>
  <c r="G13" i="5"/>
  <c r="H13" i="5" s="1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 s="1"/>
  <c r="G40" i="5"/>
  <c r="H40" i="5"/>
  <c r="G41" i="5"/>
  <c r="H41" i="5"/>
  <c r="G42" i="5"/>
  <c r="H42" i="5" s="1"/>
  <c r="G43" i="5"/>
  <c r="H43" i="5" s="1"/>
  <c r="G44" i="5"/>
  <c r="H44" i="5"/>
  <c r="G45" i="5"/>
  <c r="H45" i="5"/>
  <c r="G46" i="5"/>
  <c r="H46" i="5" s="1"/>
  <c r="G47" i="5"/>
  <c r="H47" i="5" s="1"/>
  <c r="G48" i="5"/>
  <c r="H48" i="5"/>
  <c r="G49" i="5"/>
  <c r="H49" i="5"/>
  <c r="G50" i="5"/>
  <c r="H50" i="5" s="1"/>
  <c r="G51" i="5"/>
  <c r="H51" i="5" s="1"/>
  <c r="G52" i="5"/>
  <c r="H52" i="5"/>
  <c r="G53" i="5"/>
  <c r="H53" i="5"/>
  <c r="G54" i="5"/>
  <c r="H54" i="5" s="1"/>
  <c r="G57" i="5"/>
  <c r="H57" i="5"/>
  <c r="G58" i="5"/>
  <c r="H58" i="5" s="1"/>
  <c r="G60" i="5"/>
  <c r="H60" i="5"/>
  <c r="G61" i="5"/>
  <c r="H61" i="5"/>
  <c r="G62" i="5"/>
  <c r="H62" i="5" s="1"/>
  <c r="G65" i="5"/>
  <c r="H65" i="5"/>
  <c r="G66" i="5"/>
  <c r="H66" i="5" s="1"/>
  <c r="G69" i="5"/>
  <c r="H69" i="5"/>
  <c r="G70" i="5"/>
  <c r="H70" i="5" s="1"/>
  <c r="G71" i="5"/>
  <c r="H71" i="5" s="1"/>
  <c r="G72" i="5"/>
  <c r="H72" i="5"/>
  <c r="G74" i="5"/>
  <c r="H74" i="5" s="1"/>
  <c r="G75" i="5"/>
  <c r="H75" i="5" s="1"/>
  <c r="G76" i="5"/>
  <c r="H76" i="5"/>
  <c r="G78" i="5"/>
  <c r="H78" i="5" s="1"/>
  <c r="G79" i="5"/>
  <c r="H79" i="5" s="1"/>
  <c r="G80" i="5"/>
  <c r="H80" i="5"/>
  <c r="G82" i="5"/>
  <c r="H82" i="5" s="1"/>
  <c r="G83" i="5"/>
  <c r="H83" i="5" s="1"/>
  <c r="G84" i="5"/>
  <c r="H84" i="5"/>
  <c r="G86" i="5"/>
  <c r="H86" i="5" s="1"/>
  <c r="G87" i="5"/>
  <c r="H87" i="5" s="1"/>
  <c r="G88" i="5"/>
  <c r="H88" i="5"/>
  <c r="G89" i="5"/>
  <c r="H89" i="5"/>
  <c r="G90" i="5"/>
  <c r="H90" i="5" s="1"/>
  <c r="G92" i="5"/>
  <c r="H92" i="5"/>
  <c r="G94" i="5"/>
  <c r="H94" i="5" s="1"/>
  <c r="G95" i="5"/>
  <c r="H95" i="5" s="1"/>
  <c r="G96" i="5"/>
  <c r="H96" i="5"/>
  <c r="G97" i="5"/>
  <c r="H97" i="5"/>
  <c r="G98" i="5"/>
  <c r="H98" i="5" s="1"/>
  <c r="G100" i="5"/>
  <c r="H100" i="5"/>
  <c r="G102" i="5"/>
  <c r="H102" i="5" s="1"/>
  <c r="G103" i="5"/>
  <c r="H103" i="5" s="1"/>
  <c r="G104" i="5"/>
  <c r="H104" i="5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7" i="6"/>
  <c r="H6" i="5"/>
  <c r="G107" i="5" l="1"/>
  <c r="H8" i="5"/>
  <c r="H36" i="5"/>
</calcChain>
</file>

<file path=xl/sharedStrings.xml><?xml version="1.0" encoding="utf-8"?>
<sst xmlns="http://schemas.openxmlformats.org/spreadsheetml/2006/main" count="3159" uniqueCount="415">
  <si>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</si>
  <si>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</si>
  <si>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</si>
  <si>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</si>
  <si>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</si>
  <si>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</si>
  <si>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</si>
  <si>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</si>
  <si>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</si>
  <si>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</si>
  <si>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</si>
  <si>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</si>
  <si>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</si>
  <si>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</si>
  <si>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</si>
  <si>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</si>
  <si>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</si>
  <si>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</si>
  <si>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</si>
  <si>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</si>
  <si>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</si>
  <si>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</si>
  <si>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</si>
  <si>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</si>
  <si>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</si>
  <si>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</si>
  <si>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</si>
  <si>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</si>
  <si>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</si>
  <si>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</si>
  <si>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</si>
  <si>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</si>
  <si>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</si>
  <si>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</si>
  <si>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</si>
  <si>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</si>
  <si>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</si>
  <si>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</si>
  <si>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</si>
  <si>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</si>
  <si>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</si>
  <si>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</si>
  <si>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</si>
  <si>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</si>
  <si>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</si>
  <si>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</si>
  <si>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</si>
  <si>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</si>
  <si>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</si>
  <si>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</si>
  <si>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</si>
  <si>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</si>
  <si>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</si>
  <si>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</si>
  <si>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</si>
  <si>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</si>
  <si>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</si>
  <si>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</si>
  <si>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</si>
  <si>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</si>
  <si>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</si>
  <si>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</si>
  <si>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</si>
  <si>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</si>
  <si>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</si>
  <si>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</si>
  <si>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</si>
  <si>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</si>
  <si>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</si>
  <si>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</si>
  <si>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</si>
  <si>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</si>
  <si>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</si>
  <si>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</si>
  <si>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</si>
  <si>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</si>
  <si>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</si>
  <si>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</si>
  <si>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</si>
  <si>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</si>
  <si>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</si>
  <si>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</si>
  <si>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</si>
  <si>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</si>
  <si>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</si>
  <si>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</si>
  <si>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</si>
  <si>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</si>
  <si>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</si>
  <si>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</si>
  <si>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</si>
  <si>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</si>
  <si>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</si>
  <si>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</si>
  <si>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</si>
  <si>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</si>
  <si>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</si>
  <si>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</si>
  <si>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</si>
  <si>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</si>
  <si>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</si>
  <si>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</si>
  <si>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</si>
  <si>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</si>
  <si>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</si>
  <si>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</si>
  <si>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</si>
  <si>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</si>
  <si>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</si>
  <si>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</si>
  <si>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</si>
  <si>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</si>
  <si>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</si>
  <si>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</si>
  <si>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</si>
  <si>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</si>
  <si>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</si>
  <si>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</si>
  <si>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</si>
  <si>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</si>
  <si>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</si>
  <si>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</si>
  <si>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</si>
  <si>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</si>
  <si>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</si>
  <si>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</si>
  <si>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</si>
  <si>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</si>
  <si>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</si>
  <si>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</si>
  <si>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</si>
  <si>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</si>
  <si>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</si>
  <si>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</si>
  <si>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</si>
  <si>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</si>
  <si>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</si>
  <si>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</si>
  <si>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</si>
  <si>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</si>
  <si>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</si>
  <si>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</si>
  <si>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</si>
  <si>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</si>
  <si>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</si>
  <si>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</si>
  <si>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</si>
  <si>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</si>
  <si>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</si>
  <si>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</si>
  <si>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</si>
  <si>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</si>
  <si>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</si>
  <si>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</si>
  <si>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</si>
  <si>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</si>
  <si>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</si>
  <si>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</si>
  <si>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</si>
  <si>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</si>
  <si>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</si>
  <si>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</si>
  <si>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</si>
  <si>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</si>
  <si>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</si>
  <si>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notgrapefruit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</si>
  <si>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</si>
  <si>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</si>
  <si>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</si>
  <si>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</si>
  <si>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</si>
  <si>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</si>
  <si>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</si>
  <si>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</si>
  <si>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</si>
  <si>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</si>
  <si>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</si>
  <si>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</si>
  <si>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</si>
  <si>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</si>
  <si>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</si>
  <si>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</si>
  <si>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</si>
  <si>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</si>
  <si>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</si>
  <si>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</si>
  <si>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</si>
  <si>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</si>
  <si>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</si>
  <si>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</si>
  <si>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</si>
  <si>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</si>
  <si>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</si>
  <si>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</si>
  <si>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</si>
  <si>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</si>
  <si>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</si>
  <si>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</si>
  <si>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</si>
  <si>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</si>
  <si>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</si>
  <si>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</si>
  <si>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</si>
  <si>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</si>
  <si>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</si>
  <si>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</si>
  <si>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</si>
  <si>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</si>
  <si>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</si>
  <si>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</si>
  <si>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</si>
  <si>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</si>
  <si>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</si>
  <si>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</si>
  <si>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</si>
  <si>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</si>
  <si>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</si>
  <si>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</si>
  <si>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</si>
  <si>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</si>
  <si>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</si>
  <si>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</si>
  <si>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</si>
  <si>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</si>
  <si>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</si>
  <si>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</si>
  <si>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</si>
  <si>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</si>
  <si>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</si>
  <si>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</si>
  <si>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</si>
  <si>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</si>
  <si>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</si>
  <si>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</si>
  <si>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</si>
  <si>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</si>
  <si>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</si>
  <si>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</si>
  <si>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</si>
  <si>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</si>
  <si>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</si>
  <si>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</si>
  <si>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</si>
  <si>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</si>
  <si>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</si>
  <si>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</si>
  <si>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</si>
  <si>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</si>
  <si>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</si>
  <si>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</si>
  <si>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</si>
  <si>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</si>
  <si>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</si>
  <si>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</si>
  <si>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</si>
  <si>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</si>
  <si>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</si>
  <si>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</si>
  <si>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</si>
  <si>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</si>
  <si>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</si>
  <si>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</si>
  <si>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</si>
  <si>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</si>
  <si>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</si>
  <si>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</si>
  <si>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</si>
  <si>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</si>
  <si>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</si>
  <si>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</si>
  <si>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</si>
  <si>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</si>
  <si>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</si>
  <si>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</si>
  <si>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</si>
  <si>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</si>
  <si>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</si>
  <si>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</si>
  <si>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</si>
  <si>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</si>
  <si>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</si>
  <si>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</si>
  <si>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</si>
  <si>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</si>
  <si>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</si>
  <si>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</si>
  <si>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</si>
  <si>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</si>
  <si>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</si>
  <si>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</si>
  <si>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</si>
  <si>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</si>
  <si>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</si>
  <si>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</si>
  <si>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</si>
  <si>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</si>
  <si>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</si>
  <si>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</si>
  <si>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</si>
  <si>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</si>
  <si>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</si>
  <si>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</si>
  <si>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</si>
  <si>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</si>
  <si>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</si>
  <si>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</si>
  <si>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</si>
  <si>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</si>
  <si>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</si>
  <si>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</si>
  <si>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</si>
  <si>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</si>
  <si>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</si>
  <si>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Yes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</si>
  <si>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</si>
  <si>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</si>
  <si>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</si>
  <si>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</si>
  <si>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</si>
  <si>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</si>
  <si>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</si>
  <si>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</si>
  <si>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</si>
  <si>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</si>
  <si>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</si>
  <si>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</si>
  <si>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</si>
  <si>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</si>
  <si>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</si>
  <si>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</si>
  <si>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</si>
  <si>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</si>
  <si>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</si>
  <si>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</si>
  <si>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</si>
  <si>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</si>
  <si>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</si>
  <si>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</si>
  <si>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</si>
  <si>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</si>
  <si>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Normalized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</si>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</sst>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07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3"/>
  <sheetViews>
    <sheetView showGridLines="0" workbookViewId="0">
      <selection activeCell="K35" sqref="K35"/>
    </sheetView>
  </sheetViews>
  <sheetFormatPr defaultColWidth="8.85546875"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8" t="s">
        <v>165</v>
      </c>
      <c r="E4" s="99"/>
      <c r="F4" s="100"/>
    </row>
    <row r="5" spans="2:6" x14ac:dyDescent="0.2">
      <c r="B5" s="6"/>
      <c r="C5" s="7" t="s">
        <v>111</v>
      </c>
      <c r="D5" s="101">
        <v>2018</v>
      </c>
      <c r="E5" s="102"/>
      <c r="F5" s="103"/>
    </row>
    <row r="6" spans="2:6" x14ac:dyDescent="0.2">
      <c r="B6" s="3"/>
      <c r="C6" s="3"/>
      <c r="D6" s="3"/>
      <c r="E6" s="3"/>
      <c r="F6" s="3"/>
    </row>
    <row r="8" spans="2:6" x14ac:dyDescent="0.2">
      <c r="B8">
        <v>4</v>
      </c>
      <c r="C8" t="s">
        <v>338</v>
      </c>
      <c r="D8">
        <v>4</v>
      </c>
      <c r="E8" t="s">
        <v>339</v>
      </c>
    </row>
    <row r="10" spans="2:6" x14ac:dyDescent="0.2">
      <c r="C10" t="s">
        <v>7</v>
      </c>
      <c r="E10" t="s">
        <v>34</v>
      </c>
    </row>
    <row r="11" spans="2:6" x14ac:dyDescent="0.2">
      <c r="C11" t="s">
        <v>8</v>
      </c>
      <c r="E11" t="s">
        <v>49</v>
      </c>
    </row>
    <row r="12" spans="2:6" x14ac:dyDescent="0.2">
      <c r="C12" t="s">
        <v>10</v>
      </c>
      <c r="E12" t="s">
        <v>57</v>
      </c>
    </row>
    <row r="13" spans="2:6" x14ac:dyDescent="0.2">
      <c r="C13" t="s">
        <v>14</v>
      </c>
      <c r="E13" t="s">
        <v>70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topLeftCell="A39" workbookViewId="0">
      <selection activeCell="M53" sqref="M53"/>
    </sheetView>
  </sheetViews>
  <sheetFormatPr defaultColWidth="8.85546875"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8.8554687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250</v>
      </c>
      <c r="E7" s="15" t="s">
        <v>166</v>
      </c>
      <c r="F7" s="15" t="s">
        <v>6</v>
      </c>
      <c r="G7" s="15">
        <f t="shared" si="0"/>
        <v>250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750</v>
      </c>
      <c r="E8" s="15" t="s">
        <v>166</v>
      </c>
      <c r="F8" s="15" t="s">
        <v>6</v>
      </c>
      <c r="G8" s="15">
        <f t="shared" si="0"/>
        <v>750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/>
      <c r="D10" s="15">
        <v>250</v>
      </c>
      <c r="E10" s="15" t="s">
        <v>166</v>
      </c>
      <c r="F10" s="15" t="s">
        <v>6</v>
      </c>
      <c r="G10" s="15">
        <f t="shared" si="0"/>
        <v>250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/>
      <c r="D12" s="15">
        <v>0</v>
      </c>
      <c r="E12" s="15" t="s">
        <v>166</v>
      </c>
      <c r="F12" s="15" t="s">
        <v>6</v>
      </c>
      <c r="G12" s="15">
        <f t="shared" si="0"/>
        <v>0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250</v>
      </c>
      <c r="E14" s="15" t="s">
        <v>166</v>
      </c>
      <c r="F14" s="15" t="s">
        <v>6</v>
      </c>
      <c r="G14" s="15">
        <f t="shared" si="0"/>
        <v>250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4</v>
      </c>
      <c r="E16" s="21" t="s">
        <v>16</v>
      </c>
      <c r="F16" s="12"/>
      <c r="G16" s="21">
        <f>COUNTIF(G6:G15,"&gt;0")</f>
        <v>4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17</v>
      </c>
      <c r="E22" s="15"/>
      <c r="F22" s="15" t="s">
        <v>6</v>
      </c>
      <c r="G22" s="15">
        <f t="shared" si="2"/>
        <v>17</v>
      </c>
      <c r="H22" s="17"/>
    </row>
    <row r="23" spans="2:8" x14ac:dyDescent="0.2">
      <c r="B23" s="14" t="s">
        <v>8</v>
      </c>
      <c r="C23" s="85"/>
      <c r="D23" s="15">
        <v>50</v>
      </c>
      <c r="E23" s="15"/>
      <c r="F23" s="15" t="s">
        <v>6</v>
      </c>
      <c r="G23" s="15">
        <f t="shared" si="2"/>
        <v>50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17</v>
      </c>
      <c r="E25" s="15"/>
      <c r="F25" s="15" t="s">
        <v>6</v>
      </c>
      <c r="G25" s="15">
        <f t="shared" si="2"/>
        <v>17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17</v>
      </c>
      <c r="E29" s="15"/>
      <c r="F29" s="15" t="s">
        <v>6</v>
      </c>
      <c r="G29" s="15">
        <f t="shared" si="2"/>
        <v>17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101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0</v>
      </c>
      <c r="E39" s="15" t="s">
        <v>166</v>
      </c>
      <c r="F39" s="15" t="s">
        <v>6</v>
      </c>
      <c r="G39" s="15">
        <f t="shared" si="3"/>
        <v>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>
        <v>500</v>
      </c>
      <c r="D51" s="14">
        <v>1000</v>
      </c>
      <c r="E51" s="15" t="s">
        <v>166</v>
      </c>
      <c r="F51" s="15" t="s">
        <v>6</v>
      </c>
      <c r="G51" s="15">
        <f t="shared" si="3"/>
        <v>1500</v>
      </c>
      <c r="H51" s="17" t="str">
        <f t="shared" si="4"/>
        <v/>
      </c>
    </row>
    <row r="52" spans="2:8" x14ac:dyDescent="0.2">
      <c r="B52" s="14" t="s">
        <v>35</v>
      </c>
      <c r="C52" s="84">
        <f t="shared" ref="C52:C106" si="5">+D52*0.2</f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>
        <f t="shared" si="5"/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>
        <f t="shared" si="5"/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>
        <f t="shared" si="5"/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>
        <f t="shared" si="5"/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>
        <f t="shared" si="5"/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>
        <f t="shared" si="5"/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>
        <f t="shared" si="5"/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>
        <f t="shared" si="5"/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4">
        <f t="shared" si="5"/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4">
        <f t="shared" si="5"/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4">
        <f t="shared" si="5"/>
        <v>0</v>
      </c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4">
        <f t="shared" si="5"/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4">
        <f t="shared" si="5"/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4">
        <v>1000</v>
      </c>
      <c r="D66" s="15">
        <v>3000</v>
      </c>
      <c r="E66" s="15" t="s">
        <v>166</v>
      </c>
      <c r="F66" s="15" t="s">
        <v>6</v>
      </c>
      <c r="G66" s="15">
        <f t="shared" si="3"/>
        <v>4000</v>
      </c>
      <c r="H66" s="17" t="str">
        <f t="shared" si="4"/>
        <v/>
      </c>
    </row>
    <row r="67" spans="2:8" x14ac:dyDescent="0.2">
      <c r="B67" s="14" t="s">
        <v>50</v>
      </c>
      <c r="C67" s="84">
        <f t="shared" si="5"/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4">
        <f t="shared" si="5"/>
        <v>0</v>
      </c>
      <c r="D68" s="15">
        <v>0</v>
      </c>
      <c r="E68" s="15" t="s">
        <v>166</v>
      </c>
      <c r="F68" s="15" t="s">
        <v>6</v>
      </c>
      <c r="G68" s="15">
        <f t="shared" ref="G68:G99" si="6">$D68+$C68</f>
        <v>0</v>
      </c>
      <c r="H68" s="17" t="str">
        <f t="shared" ref="H68:H99" si="7">IF(AND($D68=0, $G68&gt;0),"new", IF(AND($D68&gt;0, $G68=0),"sold",""))</f>
        <v/>
      </c>
    </row>
    <row r="69" spans="2:8" x14ac:dyDescent="0.2">
      <c r="B69" s="14" t="s">
        <v>52</v>
      </c>
      <c r="C69" s="84">
        <f t="shared" si="5"/>
        <v>0</v>
      </c>
      <c r="D69" s="15">
        <v>0</v>
      </c>
      <c r="E69" s="15" t="s">
        <v>166</v>
      </c>
      <c r="F69" s="15" t="s">
        <v>6</v>
      </c>
      <c r="G69" s="15">
        <f t="shared" si="6"/>
        <v>0</v>
      </c>
      <c r="H69" s="17" t="str">
        <f t="shared" si="7"/>
        <v/>
      </c>
    </row>
    <row r="70" spans="2:8" x14ac:dyDescent="0.2">
      <c r="B70" s="14" t="s">
        <v>53</v>
      </c>
      <c r="C70" s="84">
        <f t="shared" si="5"/>
        <v>0</v>
      </c>
      <c r="D70" s="15">
        <v>0</v>
      </c>
      <c r="E70" s="15" t="s">
        <v>166</v>
      </c>
      <c r="F70" s="15" t="s">
        <v>6</v>
      </c>
      <c r="G70" s="15">
        <f t="shared" si="6"/>
        <v>0</v>
      </c>
      <c r="H70" s="17" t="str">
        <f t="shared" si="7"/>
        <v/>
      </c>
    </row>
    <row r="71" spans="2:8" x14ac:dyDescent="0.2">
      <c r="B71" s="14" t="s">
        <v>54</v>
      </c>
      <c r="C71" s="84">
        <f t="shared" si="5"/>
        <v>0</v>
      </c>
      <c r="D71" s="15">
        <v>0</v>
      </c>
      <c r="E71" s="15" t="s">
        <v>166</v>
      </c>
      <c r="F71" s="15" t="s">
        <v>6</v>
      </c>
      <c r="G71" s="15">
        <f t="shared" si="6"/>
        <v>0</v>
      </c>
      <c r="H71" s="17" t="str">
        <f t="shared" si="7"/>
        <v/>
      </c>
    </row>
    <row r="72" spans="2:8" x14ac:dyDescent="0.2">
      <c r="B72" s="14" t="s">
        <v>55</v>
      </c>
      <c r="C72" s="84">
        <f t="shared" si="5"/>
        <v>0</v>
      </c>
      <c r="D72" s="15">
        <v>0</v>
      </c>
      <c r="E72" s="15" t="s">
        <v>166</v>
      </c>
      <c r="F72" s="15" t="s">
        <v>6</v>
      </c>
      <c r="G72" s="15">
        <f t="shared" si="6"/>
        <v>0</v>
      </c>
      <c r="H72" s="17" t="str">
        <f t="shared" si="7"/>
        <v/>
      </c>
    </row>
    <row r="73" spans="2:8" x14ac:dyDescent="0.2">
      <c r="B73" s="14" t="s">
        <v>56</v>
      </c>
      <c r="C73" s="84">
        <f t="shared" si="5"/>
        <v>0</v>
      </c>
      <c r="D73" s="15">
        <v>0</v>
      </c>
      <c r="E73" s="15" t="s">
        <v>166</v>
      </c>
      <c r="F73" s="15" t="s">
        <v>6</v>
      </c>
      <c r="G73" s="15">
        <f t="shared" si="6"/>
        <v>0</v>
      </c>
      <c r="H73" s="17" t="str">
        <f t="shared" si="7"/>
        <v/>
      </c>
    </row>
    <row r="74" spans="2:8" x14ac:dyDescent="0.2">
      <c r="B74" s="14" t="s">
        <v>57</v>
      </c>
      <c r="C74" s="84">
        <v>500</v>
      </c>
      <c r="D74" s="15">
        <v>750</v>
      </c>
      <c r="E74" s="15" t="s">
        <v>166</v>
      </c>
      <c r="F74" s="15" t="s">
        <v>6</v>
      </c>
      <c r="G74" s="15">
        <f t="shared" si="6"/>
        <v>1250</v>
      </c>
      <c r="H74" s="17" t="str">
        <f t="shared" si="7"/>
        <v/>
      </c>
    </row>
    <row r="75" spans="2:8" x14ac:dyDescent="0.2">
      <c r="B75" s="14" t="s">
        <v>58</v>
      </c>
      <c r="C75" s="84">
        <f t="shared" si="5"/>
        <v>0</v>
      </c>
      <c r="D75" s="15">
        <v>0</v>
      </c>
      <c r="E75" s="15" t="s">
        <v>166</v>
      </c>
      <c r="F75" s="15" t="s">
        <v>6</v>
      </c>
      <c r="G75" s="15">
        <f t="shared" si="6"/>
        <v>0</v>
      </c>
      <c r="H75" s="17" t="str">
        <f t="shared" si="7"/>
        <v/>
      </c>
    </row>
    <row r="76" spans="2:8" x14ac:dyDescent="0.2">
      <c r="B76" s="14" t="s">
        <v>59</v>
      </c>
      <c r="C76" s="84">
        <f t="shared" si="5"/>
        <v>0</v>
      </c>
      <c r="D76" s="15">
        <v>0</v>
      </c>
      <c r="E76" s="15" t="s">
        <v>166</v>
      </c>
      <c r="F76" s="15" t="s">
        <v>6</v>
      </c>
      <c r="G76" s="15">
        <f t="shared" si="6"/>
        <v>0</v>
      </c>
      <c r="H76" s="17" t="str">
        <f t="shared" si="7"/>
        <v/>
      </c>
    </row>
    <row r="77" spans="2:8" x14ac:dyDescent="0.2">
      <c r="B77" s="14" t="s">
        <v>60</v>
      </c>
      <c r="C77" s="84">
        <f t="shared" si="5"/>
        <v>0</v>
      </c>
      <c r="D77" s="15">
        <v>0</v>
      </c>
      <c r="E77" s="15" t="s">
        <v>166</v>
      </c>
      <c r="F77" s="15" t="s">
        <v>6</v>
      </c>
      <c r="G77" s="15">
        <f t="shared" si="6"/>
        <v>0</v>
      </c>
      <c r="H77" s="17" t="str">
        <f t="shared" si="7"/>
        <v/>
      </c>
    </row>
    <row r="78" spans="2:8" x14ac:dyDescent="0.2">
      <c r="B78" s="14" t="s">
        <v>61</v>
      </c>
      <c r="C78" s="84">
        <f t="shared" si="5"/>
        <v>0</v>
      </c>
      <c r="D78" s="15">
        <v>0</v>
      </c>
      <c r="E78" s="15" t="s">
        <v>166</v>
      </c>
      <c r="F78" s="15" t="s">
        <v>6</v>
      </c>
      <c r="G78" s="15">
        <f t="shared" si="6"/>
        <v>0</v>
      </c>
      <c r="H78" s="17" t="str">
        <f t="shared" si="7"/>
        <v/>
      </c>
    </row>
    <row r="79" spans="2:8" x14ac:dyDescent="0.2">
      <c r="B79" s="14" t="s">
        <v>62</v>
      </c>
      <c r="C79" s="84">
        <f t="shared" si="5"/>
        <v>0</v>
      </c>
      <c r="D79" s="15">
        <v>0</v>
      </c>
      <c r="E79" s="15" t="s">
        <v>166</v>
      </c>
      <c r="F79" s="15" t="s">
        <v>6</v>
      </c>
      <c r="G79" s="15">
        <f t="shared" si="6"/>
        <v>0</v>
      </c>
      <c r="H79" s="17" t="str">
        <f t="shared" si="7"/>
        <v/>
      </c>
    </row>
    <row r="80" spans="2:8" x14ac:dyDescent="0.2">
      <c r="B80" s="14" t="s">
        <v>63</v>
      </c>
      <c r="C80" s="84">
        <f t="shared" si="5"/>
        <v>0</v>
      </c>
      <c r="D80" s="15">
        <v>0</v>
      </c>
      <c r="E80" s="15" t="s">
        <v>166</v>
      </c>
      <c r="F80" s="15" t="s">
        <v>6</v>
      </c>
      <c r="G80" s="15">
        <f t="shared" si="6"/>
        <v>0</v>
      </c>
      <c r="H80" s="17" t="str">
        <f t="shared" si="7"/>
        <v/>
      </c>
    </row>
    <row r="81" spans="2:8" x14ac:dyDescent="0.2">
      <c r="B81" s="14" t="s">
        <v>64</v>
      </c>
      <c r="C81" s="84">
        <f t="shared" si="5"/>
        <v>0</v>
      </c>
      <c r="D81" s="15">
        <v>0</v>
      </c>
      <c r="E81" s="15" t="s">
        <v>166</v>
      </c>
      <c r="F81" s="15" t="s">
        <v>6</v>
      </c>
      <c r="G81" s="15">
        <f t="shared" si="6"/>
        <v>0</v>
      </c>
      <c r="H81" s="17" t="str">
        <f t="shared" si="7"/>
        <v/>
      </c>
    </row>
    <row r="82" spans="2:8" x14ac:dyDescent="0.2">
      <c r="B82" s="14" t="s">
        <v>65</v>
      </c>
      <c r="C82" s="84">
        <f t="shared" si="5"/>
        <v>0</v>
      </c>
      <c r="D82" s="15">
        <v>0</v>
      </c>
      <c r="E82" s="15" t="s">
        <v>166</v>
      </c>
      <c r="F82" s="15" t="s">
        <v>6</v>
      </c>
      <c r="G82" s="15">
        <f t="shared" si="6"/>
        <v>0</v>
      </c>
      <c r="H82" s="17" t="str">
        <f t="shared" si="7"/>
        <v/>
      </c>
    </row>
    <row r="83" spans="2:8" x14ac:dyDescent="0.2">
      <c r="B83" s="27" t="s">
        <v>66</v>
      </c>
      <c r="C83" s="84">
        <f t="shared" si="5"/>
        <v>0</v>
      </c>
      <c r="D83" s="14">
        <v>0</v>
      </c>
      <c r="E83" s="15" t="s">
        <v>166</v>
      </c>
      <c r="F83" s="15" t="s">
        <v>6</v>
      </c>
      <c r="G83" s="15">
        <f t="shared" si="6"/>
        <v>0</v>
      </c>
      <c r="H83" s="17" t="str">
        <f t="shared" si="7"/>
        <v/>
      </c>
    </row>
    <row r="84" spans="2:8" x14ac:dyDescent="0.2">
      <c r="B84" s="14" t="s">
        <v>67</v>
      </c>
      <c r="C84" s="84">
        <f t="shared" si="5"/>
        <v>0</v>
      </c>
      <c r="D84" s="15">
        <v>0</v>
      </c>
      <c r="E84" s="15" t="s">
        <v>166</v>
      </c>
      <c r="F84" s="15" t="s">
        <v>6</v>
      </c>
      <c r="G84" s="15">
        <f t="shared" si="6"/>
        <v>0</v>
      </c>
      <c r="H84" s="17" t="str">
        <f t="shared" si="7"/>
        <v/>
      </c>
    </row>
    <row r="85" spans="2:8" x14ac:dyDescent="0.2">
      <c r="B85" s="14" t="s">
        <v>68</v>
      </c>
      <c r="C85" s="84">
        <f t="shared" si="5"/>
        <v>0</v>
      </c>
      <c r="D85" s="15">
        <v>0</v>
      </c>
      <c r="E85" s="15" t="s">
        <v>166</v>
      </c>
      <c r="F85" s="15" t="s">
        <v>6</v>
      </c>
      <c r="G85" s="15">
        <f t="shared" si="6"/>
        <v>0</v>
      </c>
      <c r="H85" s="17" t="str">
        <f t="shared" si="7"/>
        <v/>
      </c>
    </row>
    <row r="86" spans="2:8" x14ac:dyDescent="0.2">
      <c r="B86" s="14" t="s">
        <v>69</v>
      </c>
      <c r="C86" s="84">
        <f t="shared" si="5"/>
        <v>0</v>
      </c>
      <c r="D86" s="15">
        <v>0</v>
      </c>
      <c r="E86" s="15" t="s">
        <v>166</v>
      </c>
      <c r="F86" s="15" t="s">
        <v>6</v>
      </c>
      <c r="G86" s="15">
        <f t="shared" si="6"/>
        <v>0</v>
      </c>
      <c r="H86" s="17" t="str">
        <f t="shared" si="7"/>
        <v/>
      </c>
    </row>
    <row r="87" spans="2:8" x14ac:dyDescent="0.2">
      <c r="B87" s="14" t="s">
        <v>70</v>
      </c>
      <c r="C87" s="84">
        <v>600</v>
      </c>
      <c r="D87" s="15">
        <v>1400</v>
      </c>
      <c r="E87" s="15" t="s">
        <v>166</v>
      </c>
      <c r="F87" s="15" t="s">
        <v>6</v>
      </c>
      <c r="G87" s="15">
        <f t="shared" si="6"/>
        <v>2000</v>
      </c>
      <c r="H87" s="17" t="str">
        <f t="shared" si="7"/>
        <v/>
      </c>
    </row>
    <row r="88" spans="2:8" x14ac:dyDescent="0.2">
      <c r="B88" s="14" t="s">
        <v>71</v>
      </c>
      <c r="C88" s="84">
        <f t="shared" si="5"/>
        <v>0</v>
      </c>
      <c r="D88" s="15">
        <v>0</v>
      </c>
      <c r="E88" s="15" t="s">
        <v>166</v>
      </c>
      <c r="F88" s="15" t="s">
        <v>6</v>
      </c>
      <c r="G88" s="15">
        <f t="shared" si="6"/>
        <v>0</v>
      </c>
      <c r="H88" s="17" t="str">
        <f t="shared" si="7"/>
        <v/>
      </c>
    </row>
    <row r="89" spans="2:8" x14ac:dyDescent="0.2">
      <c r="B89" s="14" t="s">
        <v>72</v>
      </c>
      <c r="C89" s="84">
        <f t="shared" si="5"/>
        <v>0</v>
      </c>
      <c r="D89" s="15">
        <v>0</v>
      </c>
      <c r="E89" s="15" t="s">
        <v>166</v>
      </c>
      <c r="F89" s="15" t="s">
        <v>6</v>
      </c>
      <c r="G89" s="15">
        <f t="shared" si="6"/>
        <v>0</v>
      </c>
      <c r="H89" s="17" t="str">
        <f t="shared" si="7"/>
        <v/>
      </c>
    </row>
    <row r="90" spans="2:8" x14ac:dyDescent="0.2">
      <c r="B90" s="14" t="s">
        <v>73</v>
      </c>
      <c r="C90" s="84">
        <f t="shared" si="5"/>
        <v>0</v>
      </c>
      <c r="D90" s="15">
        <v>0</v>
      </c>
      <c r="E90" s="15" t="s">
        <v>166</v>
      </c>
      <c r="F90" s="15" t="s">
        <v>6</v>
      </c>
      <c r="G90" s="15">
        <f t="shared" si="6"/>
        <v>0</v>
      </c>
      <c r="H90" s="17" t="str">
        <f t="shared" si="7"/>
        <v/>
      </c>
    </row>
    <row r="91" spans="2:8" x14ac:dyDescent="0.2">
      <c r="B91" s="14" t="s">
        <v>74</v>
      </c>
      <c r="C91" s="84">
        <f t="shared" si="5"/>
        <v>0</v>
      </c>
      <c r="D91" s="15">
        <v>0</v>
      </c>
      <c r="E91" s="15" t="s">
        <v>166</v>
      </c>
      <c r="F91" s="15" t="s">
        <v>6</v>
      </c>
      <c r="G91" s="15">
        <f t="shared" si="6"/>
        <v>0</v>
      </c>
      <c r="H91" s="17" t="str">
        <f t="shared" si="7"/>
        <v/>
      </c>
    </row>
    <row r="92" spans="2:8" x14ac:dyDescent="0.2">
      <c r="B92" s="14" t="s">
        <v>75</v>
      </c>
      <c r="C92" s="84">
        <f t="shared" si="5"/>
        <v>0</v>
      </c>
      <c r="D92" s="15">
        <v>0</v>
      </c>
      <c r="E92" s="15" t="s">
        <v>166</v>
      </c>
      <c r="F92" s="15" t="s">
        <v>6</v>
      </c>
      <c r="G92" s="15">
        <f t="shared" si="6"/>
        <v>0</v>
      </c>
      <c r="H92" s="17" t="str">
        <f t="shared" si="7"/>
        <v/>
      </c>
    </row>
    <row r="93" spans="2:8" x14ac:dyDescent="0.2">
      <c r="B93" s="14" t="s">
        <v>76</v>
      </c>
      <c r="C93" s="84">
        <f t="shared" si="5"/>
        <v>0</v>
      </c>
      <c r="D93" s="15">
        <v>0</v>
      </c>
      <c r="E93" s="15" t="s">
        <v>166</v>
      </c>
      <c r="F93" s="15" t="s">
        <v>6</v>
      </c>
      <c r="G93" s="15">
        <f t="shared" si="6"/>
        <v>0</v>
      </c>
      <c r="H93" s="17" t="str">
        <f t="shared" si="7"/>
        <v/>
      </c>
    </row>
    <row r="94" spans="2:8" x14ac:dyDescent="0.2">
      <c r="B94" s="14" t="s">
        <v>77</v>
      </c>
      <c r="C94" s="84">
        <f t="shared" si="5"/>
        <v>0</v>
      </c>
      <c r="D94" s="15">
        <v>0</v>
      </c>
      <c r="E94" s="15" t="s">
        <v>166</v>
      </c>
      <c r="F94" s="15" t="s">
        <v>6</v>
      </c>
      <c r="G94" s="15">
        <f t="shared" si="6"/>
        <v>0</v>
      </c>
      <c r="H94" s="17" t="str">
        <f t="shared" si="7"/>
        <v/>
      </c>
    </row>
    <row r="95" spans="2:8" x14ac:dyDescent="0.2">
      <c r="B95" s="14" t="s">
        <v>78</v>
      </c>
      <c r="C95" s="84">
        <f t="shared" si="5"/>
        <v>0</v>
      </c>
      <c r="D95" s="15">
        <v>0</v>
      </c>
      <c r="E95" s="15" t="s">
        <v>166</v>
      </c>
      <c r="F95" s="15" t="s">
        <v>6</v>
      </c>
      <c r="G95" s="15">
        <f t="shared" si="6"/>
        <v>0</v>
      </c>
      <c r="H95" s="17" t="str">
        <f t="shared" si="7"/>
        <v/>
      </c>
    </row>
    <row r="96" spans="2:8" x14ac:dyDescent="0.2">
      <c r="B96" s="14" t="s">
        <v>79</v>
      </c>
      <c r="C96" s="84">
        <f t="shared" si="5"/>
        <v>0</v>
      </c>
      <c r="D96" s="15">
        <v>0</v>
      </c>
      <c r="E96" s="15" t="s">
        <v>166</v>
      </c>
      <c r="F96" s="15" t="s">
        <v>6</v>
      </c>
      <c r="G96" s="15">
        <f t="shared" si="6"/>
        <v>0</v>
      </c>
      <c r="H96" s="17" t="str">
        <f t="shared" si="7"/>
        <v/>
      </c>
    </row>
    <row r="97" spans="2:8" x14ac:dyDescent="0.2">
      <c r="B97" s="14" t="s">
        <v>80</v>
      </c>
      <c r="C97" s="84">
        <f t="shared" si="5"/>
        <v>0</v>
      </c>
      <c r="D97" s="15">
        <v>0</v>
      </c>
      <c r="E97" s="15" t="s">
        <v>166</v>
      </c>
      <c r="F97" s="15" t="s">
        <v>6</v>
      </c>
      <c r="G97" s="15">
        <f t="shared" si="6"/>
        <v>0</v>
      </c>
      <c r="H97" s="17" t="str">
        <f t="shared" si="7"/>
        <v/>
      </c>
    </row>
    <row r="98" spans="2:8" x14ac:dyDescent="0.2">
      <c r="B98" s="14" t="s">
        <v>81</v>
      </c>
      <c r="C98" s="84">
        <f t="shared" si="5"/>
        <v>0</v>
      </c>
      <c r="D98" s="15">
        <v>0</v>
      </c>
      <c r="E98" s="15" t="s">
        <v>166</v>
      </c>
      <c r="F98" s="15" t="s">
        <v>6</v>
      </c>
      <c r="G98" s="15">
        <f t="shared" si="6"/>
        <v>0</v>
      </c>
      <c r="H98" s="17" t="str">
        <f t="shared" si="7"/>
        <v/>
      </c>
    </row>
    <row r="99" spans="2:8" x14ac:dyDescent="0.2">
      <c r="B99" s="14" t="s">
        <v>82</v>
      </c>
      <c r="C99" s="84">
        <f t="shared" si="5"/>
        <v>0</v>
      </c>
      <c r="D99" s="15">
        <v>0</v>
      </c>
      <c r="E99" s="15" t="s">
        <v>166</v>
      </c>
      <c r="F99" s="15" t="s">
        <v>6</v>
      </c>
      <c r="G99" s="15">
        <f t="shared" si="6"/>
        <v>0</v>
      </c>
      <c r="H99" s="17" t="str">
        <f t="shared" si="7"/>
        <v/>
      </c>
    </row>
    <row r="100" spans="2:8" x14ac:dyDescent="0.2">
      <c r="B100" s="14" t="s">
        <v>83</v>
      </c>
      <c r="C100" s="84">
        <f t="shared" si="5"/>
        <v>0</v>
      </c>
      <c r="D100" s="15">
        <v>0</v>
      </c>
      <c r="E100" s="15" t="s">
        <v>166</v>
      </c>
      <c r="F100" s="15" t="s">
        <v>6</v>
      </c>
      <c r="G100" s="15">
        <f t="shared" ref="G100:G106" si="8">$D100+$C100</f>
        <v>0</v>
      </c>
      <c r="H100" s="17" t="str">
        <f t="shared" ref="H100:H106" si="9">IF(AND($D100=0, $G100&gt;0),"new", IF(AND($D100&gt;0, $G100=0),"sold",""))</f>
        <v/>
      </c>
    </row>
    <row r="101" spans="2:8" x14ac:dyDescent="0.2">
      <c r="B101" s="14" t="s">
        <v>84</v>
      </c>
      <c r="C101" s="84">
        <f t="shared" si="5"/>
        <v>0</v>
      </c>
      <c r="D101" s="15">
        <v>0</v>
      </c>
      <c r="E101" s="15" t="s">
        <v>166</v>
      </c>
      <c r="F101" s="15" t="s">
        <v>6</v>
      </c>
      <c r="G101" s="15">
        <f t="shared" si="8"/>
        <v>0</v>
      </c>
      <c r="H101" s="17" t="str">
        <f t="shared" si="9"/>
        <v/>
      </c>
    </row>
    <row r="102" spans="2:8" x14ac:dyDescent="0.2">
      <c r="B102" s="14" t="s">
        <v>85</v>
      </c>
      <c r="C102" s="84">
        <f t="shared" si="5"/>
        <v>0</v>
      </c>
      <c r="D102" s="15">
        <v>0</v>
      </c>
      <c r="E102" s="15" t="s">
        <v>166</v>
      </c>
      <c r="F102" s="15" t="s">
        <v>6</v>
      </c>
      <c r="G102" s="15">
        <f t="shared" si="8"/>
        <v>0</v>
      </c>
      <c r="H102" s="17" t="str">
        <f t="shared" si="9"/>
        <v/>
      </c>
    </row>
    <row r="103" spans="2:8" x14ac:dyDescent="0.2">
      <c r="B103" s="14" t="s">
        <v>86</v>
      </c>
      <c r="C103" s="84">
        <f t="shared" si="5"/>
        <v>0</v>
      </c>
      <c r="D103" s="15">
        <v>0</v>
      </c>
      <c r="E103" s="15" t="s">
        <v>166</v>
      </c>
      <c r="F103" s="15" t="s">
        <v>6</v>
      </c>
      <c r="G103" s="15">
        <f t="shared" si="8"/>
        <v>0</v>
      </c>
      <c r="H103" s="17" t="str">
        <f t="shared" si="9"/>
        <v/>
      </c>
    </row>
    <row r="104" spans="2:8" x14ac:dyDescent="0.2">
      <c r="B104" s="14" t="s">
        <v>87</v>
      </c>
      <c r="C104" s="84">
        <f t="shared" si="5"/>
        <v>0</v>
      </c>
      <c r="D104" s="15">
        <v>0</v>
      </c>
      <c r="E104" s="15" t="s">
        <v>166</v>
      </c>
      <c r="F104" s="15" t="s">
        <v>6</v>
      </c>
      <c r="G104" s="15">
        <f t="shared" si="8"/>
        <v>0</v>
      </c>
      <c r="H104" s="17" t="str">
        <f t="shared" si="9"/>
        <v/>
      </c>
    </row>
    <row r="105" spans="2:8" x14ac:dyDescent="0.2">
      <c r="B105" s="14" t="s">
        <v>88</v>
      </c>
      <c r="C105" s="84">
        <f t="shared" si="5"/>
        <v>0</v>
      </c>
      <c r="D105" s="15">
        <v>0</v>
      </c>
      <c r="E105" s="15" t="s">
        <v>166</v>
      </c>
      <c r="F105" s="15" t="s">
        <v>6</v>
      </c>
      <c r="G105" s="15">
        <f t="shared" si="8"/>
        <v>0</v>
      </c>
      <c r="H105" s="17" t="str">
        <f t="shared" si="9"/>
        <v/>
      </c>
    </row>
    <row r="106" spans="2:8" x14ac:dyDescent="0.2">
      <c r="B106" s="18" t="s">
        <v>89</v>
      </c>
      <c r="C106" s="84">
        <f t="shared" si="5"/>
        <v>0</v>
      </c>
      <c r="D106" s="19">
        <v>0</v>
      </c>
      <c r="E106" s="19" t="s">
        <v>166</v>
      </c>
      <c r="F106" s="19" t="s">
        <v>6</v>
      </c>
      <c r="G106" s="19">
        <f t="shared" si="8"/>
        <v>0</v>
      </c>
      <c r="H106" s="20" t="str">
        <f t="shared" si="9"/>
        <v/>
      </c>
    </row>
    <row r="107" spans="2:8" x14ac:dyDescent="0.2">
      <c r="B107" s="12"/>
      <c r="C107" s="12"/>
      <c r="D107" s="12">
        <f>COUNTIF($D$36:$D$106,"&gt;0")</f>
        <v>4</v>
      </c>
      <c r="E107" s="12" t="s">
        <v>90</v>
      </c>
      <c r="F107" s="12"/>
      <c r="G107" s="12">
        <f>COUNTIF(G36:G106,"&gt;0")</f>
        <v>4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>
      <selection activeCell="P15" sqref="P15"/>
    </sheetView>
  </sheetViews>
  <sheetFormatPr defaultColWidth="8.85546875"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8.8554687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0</v>
      </c>
      <c r="D6" s="86">
        <f>2118.002 * 0.6</f>
        <v>1270.8011999999999</v>
      </c>
      <c r="E6" s="86">
        <f t="shared" ref="E6:N6" si="0">2118.002 * 0.6</f>
        <v>1270.8011999999999</v>
      </c>
      <c r="F6" s="86">
        <f t="shared" si="0"/>
        <v>1270.8011999999999</v>
      </c>
      <c r="G6" s="86">
        <f t="shared" si="0"/>
        <v>1270.8011999999999</v>
      </c>
      <c r="H6" s="86">
        <f t="shared" si="0"/>
        <v>1270.8011999999999</v>
      </c>
      <c r="I6" s="86">
        <f t="shared" si="0"/>
        <v>1270.8011999999999</v>
      </c>
      <c r="J6" s="86">
        <f t="shared" si="0"/>
        <v>1270.8011999999999</v>
      </c>
      <c r="K6" s="86">
        <f t="shared" si="0"/>
        <v>1270.8011999999999</v>
      </c>
      <c r="L6" s="86">
        <f t="shared" si="0"/>
        <v>1270.8011999999999</v>
      </c>
      <c r="M6" s="86">
        <f t="shared" si="0"/>
        <v>1270.8011999999999</v>
      </c>
      <c r="N6" s="86">
        <f t="shared" si="0"/>
        <v>1270.8011999999999</v>
      </c>
    </row>
    <row r="7" spans="2:14" x14ac:dyDescent="0.2">
      <c r="B7" s="36" t="s">
        <v>105</v>
      </c>
      <c r="C7" s="87">
        <v>0</v>
      </c>
      <c r="D7" s="87">
        <f t="shared" ref="D7:N7" si="1">401.6506*0.95</f>
        <v>381.56806999999998</v>
      </c>
      <c r="E7" s="87">
        <f t="shared" si="1"/>
        <v>381.56806999999998</v>
      </c>
      <c r="F7" s="87">
        <f t="shared" si="1"/>
        <v>381.56806999999998</v>
      </c>
      <c r="G7" s="87">
        <f t="shared" si="1"/>
        <v>381.56806999999998</v>
      </c>
      <c r="H7" s="87">
        <f t="shared" si="1"/>
        <v>381.56806999999998</v>
      </c>
      <c r="I7" s="87">
        <f t="shared" si="1"/>
        <v>381.56806999999998</v>
      </c>
      <c r="J7" s="87">
        <f t="shared" si="1"/>
        <v>381.56806999999998</v>
      </c>
      <c r="K7" s="87">
        <f t="shared" si="1"/>
        <v>381.56806999999998</v>
      </c>
      <c r="L7" s="87">
        <f t="shared" si="1"/>
        <v>381.56806999999998</v>
      </c>
      <c r="M7" s="87">
        <f t="shared" si="1"/>
        <v>381.56806999999998</v>
      </c>
      <c r="N7" s="87">
        <f t="shared" si="1"/>
        <v>381.56806999999998</v>
      </c>
    </row>
    <row r="8" spans="2:14" x14ac:dyDescent="0.2">
      <c r="B8" s="36" t="s">
        <v>106</v>
      </c>
      <c r="C8" s="87">
        <v>0</v>
      </c>
      <c r="D8" s="87">
        <f xml:space="preserve"> 362.2765</f>
        <v>362.2765</v>
      </c>
      <c r="E8" s="87">
        <f t="shared" ref="E8:N8" si="2" xml:space="preserve"> 362.2765 * 0.8</f>
        <v>289.82120000000003</v>
      </c>
      <c r="F8" s="87">
        <f t="shared" si="2"/>
        <v>289.82120000000003</v>
      </c>
      <c r="G8" s="87">
        <f t="shared" si="2"/>
        <v>289.82120000000003</v>
      </c>
      <c r="H8" s="87">
        <f t="shared" si="2"/>
        <v>289.82120000000003</v>
      </c>
      <c r="I8" s="87">
        <f t="shared" si="2"/>
        <v>289.82120000000003</v>
      </c>
      <c r="J8" s="87">
        <f t="shared" si="2"/>
        <v>289.82120000000003</v>
      </c>
      <c r="K8" s="87">
        <f t="shared" si="2"/>
        <v>289.82120000000003</v>
      </c>
      <c r="L8" s="87">
        <f t="shared" si="2"/>
        <v>289.82120000000003</v>
      </c>
      <c r="M8" s="87">
        <f t="shared" si="2"/>
        <v>289.82120000000003</v>
      </c>
      <c r="N8" s="87">
        <f t="shared" si="2"/>
        <v>289.82120000000003</v>
      </c>
    </row>
    <row r="9" spans="2:14" x14ac:dyDescent="0.2">
      <c r="B9" s="36" t="s">
        <v>107</v>
      </c>
      <c r="C9" s="87">
        <v>0</v>
      </c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</row>
    <row r="10" spans="2:14" x14ac:dyDescent="0.2">
      <c r="B10" s="36" t="s">
        <v>108</v>
      </c>
      <c r="C10" s="87">
        <v>0</v>
      </c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</row>
    <row r="11" spans="2:14" x14ac:dyDescent="0.2">
      <c r="B11" s="37" t="s">
        <v>109</v>
      </c>
      <c r="C11" s="87">
        <v>0</v>
      </c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7"/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89">
        <v>1</v>
      </c>
      <c r="D17" s="89">
        <v>0.6</v>
      </c>
      <c r="E17" s="89">
        <v>1</v>
      </c>
      <c r="F17" s="89">
        <v>1.5</v>
      </c>
      <c r="G17" s="89">
        <v>0</v>
      </c>
      <c r="H17" s="89">
        <v>1000000</v>
      </c>
      <c r="I17" s="29" t="s">
        <v>110</v>
      </c>
    </row>
    <row r="18" spans="2:33" x14ac:dyDescent="0.2">
      <c r="B18" s="36" t="s">
        <v>105</v>
      </c>
      <c r="C18" s="90">
        <v>1</v>
      </c>
      <c r="D18" s="90">
        <v>0.65</v>
      </c>
      <c r="E18" s="90">
        <v>1</v>
      </c>
      <c r="F18" s="89">
        <v>1.5</v>
      </c>
      <c r="G18" s="90">
        <v>0</v>
      </c>
      <c r="H18" s="90">
        <v>1000000</v>
      </c>
      <c r="I18" s="29" t="s">
        <v>110</v>
      </c>
    </row>
    <row r="19" spans="2:33" x14ac:dyDescent="0.2">
      <c r="B19" s="36" t="s">
        <v>106</v>
      </c>
      <c r="C19" s="90">
        <v>1</v>
      </c>
      <c r="D19" s="90">
        <v>0.72</v>
      </c>
      <c r="E19" s="90">
        <v>1</v>
      </c>
      <c r="F19" s="89">
        <v>1.5</v>
      </c>
      <c r="G19" s="90">
        <v>0</v>
      </c>
      <c r="H19" s="90">
        <v>1000000</v>
      </c>
      <c r="I19" s="29" t="s">
        <v>110</v>
      </c>
    </row>
    <row r="20" spans="2:33" x14ac:dyDescent="0.2">
      <c r="B20" s="36" t="s">
        <v>107</v>
      </c>
      <c r="C20" s="90">
        <v>1</v>
      </c>
      <c r="D20" s="90">
        <v>1000000</v>
      </c>
      <c r="E20" s="90">
        <v>1</v>
      </c>
      <c r="F20" s="90">
        <v>1000000</v>
      </c>
      <c r="G20" s="90">
        <v>1</v>
      </c>
      <c r="H20" s="90">
        <v>1000000</v>
      </c>
    </row>
    <row r="21" spans="2:33" x14ac:dyDescent="0.2">
      <c r="B21" s="36" t="s">
        <v>108</v>
      </c>
      <c r="C21" s="90">
        <v>1</v>
      </c>
      <c r="D21" s="90">
        <v>1000000</v>
      </c>
      <c r="E21" s="90">
        <v>1</v>
      </c>
      <c r="F21" s="90">
        <v>1000000</v>
      </c>
      <c r="G21" s="90">
        <v>1</v>
      </c>
      <c r="H21" s="90">
        <v>1000000</v>
      </c>
    </row>
    <row r="22" spans="2:33" x14ac:dyDescent="0.2">
      <c r="B22" s="37" t="s">
        <v>109</v>
      </c>
      <c r="C22" s="90">
        <v>1</v>
      </c>
      <c r="D22" s="90">
        <v>1000000</v>
      </c>
      <c r="E22" s="90">
        <v>1</v>
      </c>
      <c r="F22" s="90">
        <v>1000000</v>
      </c>
      <c r="G22" s="90">
        <v>1</v>
      </c>
      <c r="H22" s="90">
        <v>1000000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2013</v>
      </c>
      <c r="E28" s="49"/>
      <c r="F28" s="45">
        <f>basic_info!$D$5-4</f>
        <v>2014</v>
      </c>
      <c r="G28" s="49"/>
      <c r="H28" s="45">
        <f>basic_info!$D$5-3</f>
        <v>2015</v>
      </c>
      <c r="I28" s="49"/>
      <c r="J28" s="45">
        <f>basic_info!$D$5-2</f>
        <v>2016</v>
      </c>
      <c r="K28" s="49"/>
      <c r="L28" s="45">
        <f>basic_info!$D$5-1</f>
        <v>2017</v>
      </c>
      <c r="N28" s="45">
        <f>basic_info!$D$5</f>
        <v>2018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2018</v>
      </c>
      <c r="D30" s="44">
        <v>0.68616087553988669</v>
      </c>
      <c r="E30" s="35">
        <v>0</v>
      </c>
      <c r="F30" s="47">
        <v>0.64171751702829749</v>
      </c>
      <c r="G30" s="46">
        <v>0</v>
      </c>
      <c r="H30" s="47">
        <v>0.8295043288750632</v>
      </c>
      <c r="I30" s="46">
        <v>0</v>
      </c>
      <c r="J30" s="47">
        <v>0.85195298768145433</v>
      </c>
      <c r="K30" s="46"/>
      <c r="L30" s="47">
        <v>0.87181858933515421</v>
      </c>
      <c r="M30" s="46"/>
      <c r="N30" s="60"/>
      <c r="O30" s="71" t="s">
        <v>162</v>
      </c>
      <c r="P30" s="41">
        <f>M30+K30+I30+E30+G30</f>
        <v>0</v>
      </c>
      <c r="Q30" s="70"/>
    </row>
    <row r="31" spans="2:33" x14ac:dyDescent="0.2">
      <c r="B31" s="36"/>
      <c r="C31" s="47">
        <f>basic_info!$D$5+1</f>
        <v>2019</v>
      </c>
      <c r="D31" s="76"/>
      <c r="E31" s="75"/>
      <c r="F31" s="69">
        <v>0.65376248745918275</v>
      </c>
      <c r="G31" s="79">
        <v>0</v>
      </c>
      <c r="H31" s="61">
        <v>0.84540928358710421</v>
      </c>
      <c r="I31" s="62">
        <v>0</v>
      </c>
      <c r="J31" s="61">
        <v>0.79341974686465555</v>
      </c>
      <c r="K31" s="62"/>
      <c r="L31" s="61">
        <v>0.87729954875381289</v>
      </c>
      <c r="M31" s="62"/>
      <c r="N31" s="63">
        <v>0.8336267728479646</v>
      </c>
      <c r="O31" s="88"/>
      <c r="P31" s="63">
        <f>O31+M31+K31+I31+G31</f>
        <v>0</v>
      </c>
    </row>
    <row r="32" spans="2:33" x14ac:dyDescent="0.2">
      <c r="B32" s="36"/>
      <c r="C32" s="47">
        <f>basic_info!$D$5+2</f>
        <v>2020</v>
      </c>
      <c r="D32" s="76"/>
      <c r="E32" s="75"/>
      <c r="F32" s="75"/>
      <c r="G32" s="75"/>
      <c r="H32" s="69">
        <v>0.76962524616122252</v>
      </c>
      <c r="I32" s="79">
        <v>0</v>
      </c>
      <c r="J32" s="61">
        <v>0.75112057603575599</v>
      </c>
      <c r="K32" s="62"/>
      <c r="L32" s="61">
        <v>0.80188642998529402</v>
      </c>
      <c r="M32" s="62"/>
      <c r="N32" s="63">
        <v>0.81985520450982041</v>
      </c>
      <c r="O32" s="88"/>
      <c r="P32" s="63">
        <f>O32+M32+K32+I32</f>
        <v>0</v>
      </c>
    </row>
    <row r="33" spans="2:17" x14ac:dyDescent="0.2">
      <c r="B33" s="36"/>
      <c r="C33" s="47">
        <f>basic_info!$D$5+3</f>
        <v>2021</v>
      </c>
      <c r="D33" s="76"/>
      <c r="E33" s="75"/>
      <c r="F33" s="75"/>
      <c r="G33" s="75"/>
      <c r="H33" s="75"/>
      <c r="I33" s="75"/>
      <c r="J33" s="69">
        <v>0.73914561780691146</v>
      </c>
      <c r="K33" s="79"/>
      <c r="L33" s="61">
        <v>0.73716643524096881</v>
      </c>
      <c r="M33" s="62"/>
      <c r="N33" s="63">
        <v>0.7922499396770869</v>
      </c>
      <c r="O33" s="88"/>
      <c r="P33" s="63">
        <f>O33+M33+K33</f>
        <v>0</v>
      </c>
    </row>
    <row r="34" spans="2:17" x14ac:dyDescent="0.2">
      <c r="B34" s="36"/>
      <c r="C34" s="47">
        <f>basic_info!$D$5+4</f>
        <v>2022</v>
      </c>
      <c r="D34" s="76"/>
      <c r="E34" s="75"/>
      <c r="F34" s="75"/>
      <c r="G34" s="75"/>
      <c r="H34" s="75"/>
      <c r="I34" s="75"/>
      <c r="J34" s="75"/>
      <c r="K34" s="75"/>
      <c r="L34" s="69">
        <v>0.67792213259339329</v>
      </c>
      <c r="M34" s="79"/>
      <c r="N34" s="63">
        <v>0.74099510470754837</v>
      </c>
      <c r="O34" s="88"/>
      <c r="P34" s="63">
        <f>O34+M34</f>
        <v>0</v>
      </c>
    </row>
    <row r="35" spans="2:17" x14ac:dyDescent="0.2">
      <c r="B35" s="37"/>
      <c r="C35" s="72">
        <f>basic_info!$D$5+5</f>
        <v>2023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0.68592924540042888</v>
      </c>
      <c r="O35" s="88"/>
      <c r="P35" s="65">
        <f>O35</f>
        <v>0</v>
      </c>
    </row>
    <row r="36" spans="2:17" x14ac:dyDescent="0.2">
      <c r="B36" s="41" t="s">
        <v>113</v>
      </c>
      <c r="C36" s="36">
        <f>basic_info!$D$5</f>
        <v>2018</v>
      </c>
      <c r="D36" s="44">
        <v>1.0288140534879155</v>
      </c>
      <c r="E36" s="35">
        <v>0</v>
      </c>
      <c r="F36" s="73">
        <v>1.0108999284690923</v>
      </c>
      <c r="G36" s="74">
        <v>0</v>
      </c>
      <c r="H36" s="73">
        <v>1.0032828986441651</v>
      </c>
      <c r="I36" s="74">
        <v>136000</v>
      </c>
      <c r="J36" s="73">
        <v>1.0357981248188022</v>
      </c>
      <c r="K36" s="74"/>
      <c r="L36" s="66">
        <v>0.97406708065219405</v>
      </c>
      <c r="M36" s="67"/>
      <c r="N36" s="68"/>
      <c r="O36" s="71" t="s">
        <v>162</v>
      </c>
      <c r="P36" s="41">
        <f>M36+K36+I36+E36+G36</f>
        <v>136000</v>
      </c>
      <c r="Q36" s="70"/>
    </row>
    <row r="37" spans="2:17" x14ac:dyDescent="0.2">
      <c r="B37" s="36"/>
      <c r="C37" s="47">
        <f>basic_info!$D$5+1</f>
        <v>2019</v>
      </c>
      <c r="D37" s="76"/>
      <c r="E37" s="75"/>
      <c r="F37" s="69">
        <v>0.98955166281759732</v>
      </c>
      <c r="G37" s="79">
        <v>0</v>
      </c>
      <c r="H37" s="61">
        <v>0.95103433990902408</v>
      </c>
      <c r="I37" s="62">
        <v>136000</v>
      </c>
      <c r="J37" s="61">
        <v>0.9919351074281193</v>
      </c>
      <c r="K37" s="62"/>
      <c r="L37" s="61">
        <v>0.94692158975803442</v>
      </c>
      <c r="M37" s="62"/>
      <c r="N37" s="61">
        <v>1.3519645777200024</v>
      </c>
      <c r="O37" s="88"/>
      <c r="P37" s="63">
        <f>O37+M37+K37+I37+G37</f>
        <v>136000</v>
      </c>
    </row>
    <row r="38" spans="2:17" x14ac:dyDescent="0.2">
      <c r="B38" s="36"/>
      <c r="C38" s="47">
        <f>basic_info!$D$5+2</f>
        <v>2020</v>
      </c>
      <c r="D38" s="76"/>
      <c r="E38" s="75"/>
      <c r="F38" s="75"/>
      <c r="G38" s="75"/>
      <c r="H38" s="69">
        <v>0.9180320969671012</v>
      </c>
      <c r="I38" s="79">
        <v>136000</v>
      </c>
      <c r="J38" s="61">
        <v>0.95493263137485418</v>
      </c>
      <c r="K38" s="62"/>
      <c r="L38" s="61">
        <v>0.93709078332824058</v>
      </c>
      <c r="M38" s="62"/>
      <c r="N38" s="61">
        <v>1.2538421609133918</v>
      </c>
      <c r="O38" s="88"/>
      <c r="P38" s="63">
        <f>O38+M38+K38+I38</f>
        <v>136000</v>
      </c>
    </row>
    <row r="39" spans="2:17" x14ac:dyDescent="0.2">
      <c r="B39" s="36"/>
      <c r="C39" s="47">
        <f>basic_info!$D$5+3</f>
        <v>2021</v>
      </c>
      <c r="D39" s="76"/>
      <c r="E39" s="75"/>
      <c r="F39" s="75"/>
      <c r="G39" s="75"/>
      <c r="H39" s="75"/>
      <c r="I39" s="75"/>
      <c r="J39" s="69">
        <v>0.9100411573201419</v>
      </c>
      <c r="K39" s="79">
        <v>89461</v>
      </c>
      <c r="L39" s="61">
        <v>0.92721692835977987</v>
      </c>
      <c r="M39" s="62"/>
      <c r="N39" s="61">
        <v>1.1631721092862846</v>
      </c>
      <c r="O39" s="88"/>
      <c r="P39" s="63">
        <f>O39+M39+K39</f>
        <v>89461</v>
      </c>
    </row>
    <row r="40" spans="2:17" x14ac:dyDescent="0.2">
      <c r="B40" s="36"/>
      <c r="C40" s="47">
        <f>basic_info!$D$5+4</f>
        <v>2022</v>
      </c>
      <c r="D40" s="76"/>
      <c r="E40" s="75"/>
      <c r="F40" s="75"/>
      <c r="G40" s="75"/>
      <c r="H40" s="75"/>
      <c r="I40" s="75"/>
      <c r="J40" s="75"/>
      <c r="K40" s="75"/>
      <c r="L40" s="69">
        <v>0.89172850017249583</v>
      </c>
      <c r="M40" s="79">
        <v>89461</v>
      </c>
      <c r="N40" s="61">
        <v>1.1067776852666162</v>
      </c>
      <c r="O40" s="88"/>
      <c r="P40" s="63">
        <f>O40+M40</f>
        <v>89461</v>
      </c>
    </row>
    <row r="41" spans="2:17" x14ac:dyDescent="0.2">
      <c r="B41" s="37"/>
      <c r="C41" s="72">
        <f>basic_info!$D$5+5</f>
        <v>2023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1.0097698285728693</v>
      </c>
      <c r="O41" s="88">
        <v>107018.3</v>
      </c>
      <c r="P41" s="64">
        <f>O41</f>
        <v>107018.3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1">
        <f>100/12</f>
        <v>8.3333333333333339</v>
      </c>
      <c r="D47" s="91">
        <f t="shared" ref="D47:N47" si="3">100/12</f>
        <v>8.3333333333333339</v>
      </c>
      <c r="E47" s="91">
        <f t="shared" si="3"/>
        <v>8.3333333333333339</v>
      </c>
      <c r="F47" s="91">
        <f t="shared" si="3"/>
        <v>8.3333333333333339</v>
      </c>
      <c r="G47" s="91">
        <f t="shared" si="3"/>
        <v>8.3333333333333339</v>
      </c>
      <c r="H47" s="91">
        <f t="shared" si="3"/>
        <v>8.3333333333333339</v>
      </c>
      <c r="I47" s="91">
        <f t="shared" si="3"/>
        <v>8.3333333333333339</v>
      </c>
      <c r="J47" s="91">
        <f t="shared" si="3"/>
        <v>8.3333333333333339</v>
      </c>
      <c r="K47" s="91">
        <f t="shared" si="3"/>
        <v>8.3333333333333339</v>
      </c>
      <c r="L47" s="91">
        <f t="shared" si="3"/>
        <v>8.3333333333333339</v>
      </c>
      <c r="M47" s="91">
        <f t="shared" si="3"/>
        <v>8.3333333333333339</v>
      </c>
      <c r="N47" s="91">
        <f t="shared" si="3"/>
        <v>8.3333333333333339</v>
      </c>
      <c r="O47" s="33">
        <f>SUM(C47:N47)</f>
        <v>99.999999999999986</v>
      </c>
    </row>
    <row r="48" spans="2:17" x14ac:dyDescent="0.2">
      <c r="B48" s="37" t="s">
        <v>113</v>
      </c>
      <c r="C48" s="91">
        <v>0</v>
      </c>
      <c r="D48" s="91">
        <f>100/11</f>
        <v>9.0909090909090917</v>
      </c>
      <c r="E48" s="91">
        <f t="shared" ref="E48:N48" si="4">100/11</f>
        <v>9.0909090909090917</v>
      </c>
      <c r="F48" s="91">
        <f t="shared" si="4"/>
        <v>9.0909090909090917</v>
      </c>
      <c r="G48" s="91">
        <f t="shared" si="4"/>
        <v>9.0909090909090917</v>
      </c>
      <c r="H48" s="91">
        <f t="shared" si="4"/>
        <v>9.0909090909090917</v>
      </c>
      <c r="I48" s="91">
        <f t="shared" si="4"/>
        <v>9.0909090909090917</v>
      </c>
      <c r="J48" s="91">
        <f t="shared" si="4"/>
        <v>9.0909090909090917</v>
      </c>
      <c r="K48" s="91">
        <f t="shared" si="4"/>
        <v>9.0909090909090917</v>
      </c>
      <c r="L48" s="91">
        <f t="shared" si="4"/>
        <v>9.0909090909090917</v>
      </c>
      <c r="M48" s="91">
        <f t="shared" si="4"/>
        <v>9.0909090909090917</v>
      </c>
      <c r="N48" s="91">
        <f t="shared" si="4"/>
        <v>9.0909090909090917</v>
      </c>
      <c r="O48" s="33">
        <f>SUM(C48:N48)</f>
        <v>100.00000000000001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xWindow="205" yWindow="357"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7"/>
  <sheetViews>
    <sheetView showGridLines="0" topLeftCell="A12" workbookViewId="0">
      <selection activeCell="B36" sqref="B36"/>
    </sheetView>
  </sheetViews>
  <sheetFormatPr defaultColWidth="8.85546875" defaultRowHeight="12.75" x14ac:dyDescent="0.2"/>
  <cols>
    <col min="1" max="1" width="4.7109375" style="29" customWidth="1"/>
    <col min="2" max="2" width="17.28515625" style="29" customWidth="1"/>
    <col min="3" max="16384" width="8.85546875" style="29"/>
  </cols>
  <sheetData>
    <row r="2" spans="2:20" x14ac:dyDescent="0.2">
      <c r="B2" s="28" t="s">
        <v>114</v>
      </c>
    </row>
    <row r="3" spans="2:20" x14ac:dyDescent="0.2">
      <c r="B3" s="30" t="s">
        <v>144</v>
      </c>
    </row>
    <row r="4" spans="2:20" x14ac:dyDescent="0.2">
      <c r="B4" s="48"/>
      <c r="C4" s="48"/>
      <c r="D4" s="48"/>
      <c r="E4" s="48"/>
      <c r="F4" s="48"/>
      <c r="G4" s="48"/>
      <c r="H4" s="48"/>
      <c r="I4" s="48"/>
      <c r="J4" s="48"/>
      <c r="K4" s="48"/>
      <c r="L4" s="49"/>
      <c r="M4" s="49"/>
      <c r="N4" s="49"/>
      <c r="O4" s="49"/>
      <c r="P4" s="49"/>
      <c r="Q4" s="49"/>
    </row>
    <row r="5" spans="2:20" x14ac:dyDescent="0.2">
      <c r="B5" s="45" t="s">
        <v>115</v>
      </c>
      <c r="C5" s="45" t="s">
        <v>7</v>
      </c>
      <c r="D5" s="45" t="s">
        <v>8</v>
      </c>
      <c r="E5" s="45" t="s">
        <v>10</v>
      </c>
      <c r="F5" s="45" t="s">
        <v>14</v>
      </c>
      <c r="G5" s="45" t="s">
        <v>34</v>
      </c>
      <c r="H5" s="45" t="s">
        <v>49</v>
      </c>
      <c r="I5" s="45" t="s">
        <v>57</v>
      </c>
      <c r="J5" s="45" t="s">
        <v>70</v>
      </c>
      <c r="K5" s="45" t="s">
        <v>150</v>
      </c>
      <c r="L5" s="50"/>
      <c r="M5" s="50"/>
      <c r="N5" s="50"/>
      <c r="O5" s="50"/>
      <c r="P5" s="50"/>
      <c r="Q5" s="50"/>
      <c r="R5" s="50"/>
      <c r="S5" s="50"/>
      <c r="T5" s="50"/>
    </row>
    <row r="6" spans="2:20" x14ac:dyDescent="0.2">
      <c r="B6" s="45" t="s">
        <v>163</v>
      </c>
      <c r="C6" s="92">
        <v>0</v>
      </c>
      <c r="D6" s="92">
        <v>27.379700273797003</v>
      </c>
      <c r="E6" s="92">
        <v>0</v>
      </c>
      <c r="F6" s="92">
        <v>8.1375690813756911</v>
      </c>
      <c r="G6" s="92">
        <v>0</v>
      </c>
      <c r="H6" s="92">
        <v>46.742890467428907</v>
      </c>
      <c r="I6" s="92">
        <v>0</v>
      </c>
      <c r="J6" s="92">
        <v>17.739840177398406</v>
      </c>
      <c r="K6" s="96">
        <f>SUM($C$6:$J$6)</f>
        <v>100</v>
      </c>
      <c r="L6" s="55" t="s">
        <v>340</v>
      </c>
      <c r="M6" s="49"/>
      <c r="N6" s="49"/>
      <c r="O6" s="49"/>
      <c r="P6" s="49"/>
      <c r="Q6" s="49"/>
      <c r="R6" s="50"/>
      <c r="S6" s="50"/>
      <c r="T6" s="50"/>
    </row>
    <row r="7" spans="2:20" x14ac:dyDescent="0.2">
      <c r="B7" s="45" t="s">
        <v>105</v>
      </c>
      <c r="C7" s="92"/>
      <c r="D7" s="92"/>
      <c r="E7" s="92">
        <f>0.42008*100</f>
        <v>42.008000000000003</v>
      </c>
      <c r="F7" s="92"/>
      <c r="G7" s="92"/>
      <c r="H7" s="92"/>
      <c r="I7" s="92">
        <f>0.57992*100</f>
        <v>57.991999999999997</v>
      </c>
      <c r="J7" s="92">
        <v>0</v>
      </c>
      <c r="K7" s="96">
        <f>SUM($C$7:$J$7)</f>
        <v>100</v>
      </c>
      <c r="L7" s="49"/>
      <c r="M7" s="49"/>
      <c r="N7" s="49"/>
      <c r="O7" s="49"/>
      <c r="P7" s="49"/>
      <c r="Q7" s="49"/>
      <c r="R7" s="50"/>
      <c r="S7" s="50"/>
      <c r="T7" s="50"/>
    </row>
    <row r="8" spans="2:20" x14ac:dyDescent="0.2">
      <c r="B8" s="45" t="s">
        <v>106</v>
      </c>
      <c r="C8" s="92">
        <f>0.4678839*100</f>
        <v>46.78839</v>
      </c>
      <c r="D8" s="92"/>
      <c r="E8" s="92"/>
      <c r="F8" s="92"/>
      <c r="G8" s="92">
        <f>0.5321161*100</f>
        <v>53.21161</v>
      </c>
      <c r="H8" s="92"/>
      <c r="I8" s="92"/>
      <c r="J8" s="92">
        <v>0</v>
      </c>
      <c r="K8" s="96">
        <f>SUM($C$8:$J$8)</f>
        <v>100</v>
      </c>
      <c r="L8" s="49"/>
      <c r="M8" s="49"/>
      <c r="N8" s="49"/>
      <c r="O8" s="49"/>
      <c r="P8" s="49"/>
      <c r="Q8" s="49"/>
      <c r="R8" s="50"/>
      <c r="S8" s="50"/>
      <c r="T8" s="50"/>
    </row>
    <row r="9" spans="2:20" x14ac:dyDescent="0.2">
      <c r="B9" s="45" t="s">
        <v>107</v>
      </c>
      <c r="C9" s="92">
        <v>100</v>
      </c>
      <c r="D9" s="92"/>
      <c r="E9" s="92"/>
      <c r="F9" s="92"/>
      <c r="G9" s="92"/>
      <c r="H9" s="92"/>
      <c r="I9" s="92"/>
      <c r="J9" s="92">
        <v>0</v>
      </c>
      <c r="K9" s="96">
        <f>SUM($C$9:$J$9)</f>
        <v>100</v>
      </c>
      <c r="L9" s="49"/>
      <c r="M9" s="49"/>
      <c r="N9" s="49"/>
      <c r="O9" s="49"/>
      <c r="P9" s="49"/>
      <c r="Q9" s="49"/>
      <c r="R9" s="50"/>
      <c r="S9" s="50"/>
      <c r="T9" s="50"/>
    </row>
    <row r="10" spans="2:20" x14ac:dyDescent="0.2">
      <c r="B10" s="45" t="s">
        <v>108</v>
      </c>
      <c r="C10" s="92">
        <v>100</v>
      </c>
      <c r="D10" s="92"/>
      <c r="E10" s="92"/>
      <c r="F10" s="92"/>
      <c r="G10" s="92"/>
      <c r="H10" s="92"/>
      <c r="I10" s="92"/>
      <c r="J10" s="92">
        <v>0</v>
      </c>
      <c r="K10" s="96">
        <f>SUM($C$10:$J$10)</f>
        <v>100</v>
      </c>
      <c r="L10" s="49"/>
      <c r="M10" s="49"/>
      <c r="N10" s="49"/>
      <c r="O10" s="49"/>
      <c r="P10" s="49"/>
      <c r="Q10" s="49"/>
      <c r="R10" s="50"/>
      <c r="S10" s="50"/>
      <c r="T10" s="50"/>
    </row>
    <row r="11" spans="2:20" x14ac:dyDescent="0.2">
      <c r="B11" s="45" t="s">
        <v>109</v>
      </c>
      <c r="C11" s="93">
        <v>100</v>
      </c>
      <c r="D11" s="93"/>
      <c r="E11" s="93"/>
      <c r="F11" s="93"/>
      <c r="G11" s="93"/>
      <c r="H11" s="93"/>
      <c r="I11" s="93"/>
      <c r="J11" s="92">
        <v>0</v>
      </c>
      <c r="K11" s="95">
        <f>SUM($C$11:$J$11)</f>
        <v>100</v>
      </c>
      <c r="L11" s="49"/>
      <c r="M11" s="49"/>
      <c r="N11" s="49"/>
      <c r="O11" s="49"/>
      <c r="P11" s="49"/>
      <c r="Q11" s="49"/>
      <c r="R11" s="50"/>
      <c r="S11" s="50"/>
      <c r="T11" s="50"/>
    </row>
    <row r="12" spans="2:20" x14ac:dyDescent="0.2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49"/>
      <c r="M12" s="49"/>
      <c r="N12" s="49"/>
      <c r="O12" s="49"/>
      <c r="P12" s="49"/>
      <c r="Q12" s="49"/>
      <c r="R12" s="50"/>
      <c r="S12" s="50"/>
      <c r="T12" s="50"/>
    </row>
    <row r="13" spans="2:20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20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20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20" x14ac:dyDescent="0.2">
      <c r="B16" s="31"/>
      <c r="C16" s="31"/>
      <c r="D16" s="31"/>
      <c r="E16" s="31"/>
      <c r="F16" s="31"/>
      <c r="G16" s="31"/>
      <c r="H16" s="31"/>
      <c r="I16" s="31"/>
      <c r="J16" s="31"/>
      <c r="K16" s="50"/>
      <c r="L16" s="50"/>
      <c r="M16" s="50"/>
      <c r="N16" s="50"/>
      <c r="Q16" s="50"/>
      <c r="R16" s="50"/>
      <c r="S16" s="50"/>
    </row>
    <row r="17" spans="2:20" x14ac:dyDescent="0.2">
      <c r="B17" s="45" t="s">
        <v>118</v>
      </c>
      <c r="C17" s="45" t="s">
        <v>7</v>
      </c>
      <c r="D17" s="45"/>
      <c r="E17" s="45" t="s">
        <v>8</v>
      </c>
      <c r="F17" s="45"/>
      <c r="G17" s="45" t="s">
        <v>10</v>
      </c>
      <c r="H17" s="45"/>
      <c r="I17" s="45" t="s">
        <v>14</v>
      </c>
      <c r="J17" s="45"/>
      <c r="K17" s="50"/>
      <c r="L17" s="50"/>
      <c r="M17" s="50"/>
      <c r="N17" s="50"/>
      <c r="Q17" s="50"/>
      <c r="R17" s="50"/>
      <c r="S17" s="50"/>
    </row>
    <row r="18" spans="2:20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45" t="s">
        <v>133</v>
      </c>
      <c r="J18" s="45" t="s">
        <v>123</v>
      </c>
      <c r="K18" s="50"/>
      <c r="L18" s="50"/>
      <c r="M18" s="50"/>
      <c r="N18" s="50"/>
      <c r="O18" s="50"/>
      <c r="Q18" s="50"/>
      <c r="R18" s="50"/>
      <c r="S18" s="50"/>
    </row>
    <row r="19" spans="2:20" x14ac:dyDescent="0.2">
      <c r="B19" s="45" t="s">
        <v>120</v>
      </c>
      <c r="C19" s="93">
        <f>0.7273768*100</f>
        <v>72.737680000000012</v>
      </c>
      <c r="D19" s="44">
        <f>100-$C$19</f>
        <v>27.262319999999988</v>
      </c>
      <c r="E19" s="93">
        <f>0.5806958*100</f>
        <v>58.069580000000002</v>
      </c>
      <c r="F19" s="44">
        <f>100-$E$19</f>
        <v>41.930419999999998</v>
      </c>
      <c r="G19" s="93">
        <f>0.5135476*100</f>
        <v>51.354759999999999</v>
      </c>
      <c r="H19" s="44">
        <f>100-$G$19</f>
        <v>48.645240000000001</v>
      </c>
      <c r="I19" s="93">
        <f>0.5466106*100</f>
        <v>54.661059999999992</v>
      </c>
      <c r="J19" s="33">
        <f>100-$I$19</f>
        <v>45.338940000000008</v>
      </c>
      <c r="Q19" s="50"/>
      <c r="R19" s="50"/>
      <c r="S19" s="50"/>
    </row>
    <row r="20" spans="2:20" x14ac:dyDescent="0.2">
      <c r="B20" s="54"/>
      <c r="C20" s="54"/>
      <c r="D20" s="54"/>
      <c r="E20" s="54"/>
      <c r="F20" s="54"/>
      <c r="G20" s="54"/>
      <c r="H20" s="54"/>
      <c r="I20" s="54"/>
      <c r="J20" s="54"/>
      <c r="K20" s="50"/>
      <c r="L20" s="50"/>
      <c r="M20" s="50"/>
      <c r="N20" s="50"/>
      <c r="Q20" s="50"/>
      <c r="R20" s="50"/>
      <c r="S20" s="50"/>
    </row>
    <row r="21" spans="2:20" x14ac:dyDescent="0.2">
      <c r="I21" s="50"/>
      <c r="J21" s="50"/>
      <c r="K21" s="50"/>
    </row>
    <row r="22" spans="2:20" x14ac:dyDescent="0.2">
      <c r="B22" s="52" t="s">
        <v>114</v>
      </c>
      <c r="I22" s="50"/>
      <c r="J22" s="50"/>
      <c r="K22" s="50"/>
    </row>
    <row r="23" spans="2:20" x14ac:dyDescent="0.2">
      <c r="B23" s="55" t="s">
        <v>145</v>
      </c>
      <c r="I23" s="50"/>
      <c r="J23" s="50"/>
      <c r="K23" s="50"/>
    </row>
    <row r="24" spans="2:20" x14ac:dyDescent="0.2">
      <c r="B24" s="31"/>
      <c r="C24" s="31"/>
      <c r="D24" s="31"/>
      <c r="E24" s="31"/>
      <c r="F24" s="31"/>
      <c r="G24" s="31"/>
      <c r="H24" s="31"/>
      <c r="I24" s="31"/>
      <c r="J24" s="31"/>
      <c r="K24" s="31"/>
      <c r="R24" s="50"/>
      <c r="S24" s="50"/>
      <c r="T24" s="50"/>
    </row>
    <row r="25" spans="2:20" x14ac:dyDescent="0.2">
      <c r="B25" s="45" t="s">
        <v>121</v>
      </c>
      <c r="C25" s="45" t="s">
        <v>122</v>
      </c>
      <c r="D25" s="45" t="s">
        <v>7</v>
      </c>
      <c r="E25" s="45"/>
      <c r="F25" s="45" t="s">
        <v>8</v>
      </c>
      <c r="G25" s="45"/>
      <c r="H25" s="45" t="s">
        <v>10</v>
      </c>
      <c r="I25" s="45"/>
      <c r="J25" s="45" t="s">
        <v>14</v>
      </c>
      <c r="K25" s="45"/>
      <c r="R25" s="50"/>
      <c r="S25" s="50"/>
      <c r="T25" s="50"/>
    </row>
    <row r="26" spans="2:20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J26" s="45" t="s">
        <v>133</v>
      </c>
      <c r="K26" s="45" t="s">
        <v>123</v>
      </c>
      <c r="R26" s="50"/>
      <c r="S26" s="50"/>
      <c r="T26" s="50"/>
    </row>
    <row r="27" spans="2:20" x14ac:dyDescent="0.2">
      <c r="B27" s="45" t="s">
        <v>34</v>
      </c>
      <c r="C27" s="92">
        <f>0.1413504*100</f>
        <v>14.135039999999998</v>
      </c>
      <c r="D27" s="92">
        <v>100</v>
      </c>
      <c r="E27" s="92">
        <v>100</v>
      </c>
      <c r="F27" s="92">
        <v>0</v>
      </c>
      <c r="G27" s="92">
        <v>0</v>
      </c>
      <c r="H27" s="92">
        <v>0</v>
      </c>
      <c r="I27" s="92">
        <v>0</v>
      </c>
      <c r="J27" s="92">
        <v>0</v>
      </c>
      <c r="K27" s="94">
        <v>0</v>
      </c>
      <c r="R27" s="50"/>
      <c r="S27" s="50"/>
      <c r="T27" s="50"/>
    </row>
    <row r="28" spans="2:20" x14ac:dyDescent="0.2">
      <c r="B28" s="45" t="s">
        <v>49</v>
      </c>
      <c r="C28" s="92">
        <f>0.5845724*100</f>
        <v>58.457239999999999</v>
      </c>
      <c r="D28" s="92">
        <v>0</v>
      </c>
      <c r="E28" s="92">
        <v>0</v>
      </c>
      <c r="F28" s="92">
        <v>100</v>
      </c>
      <c r="G28" s="92">
        <v>100</v>
      </c>
      <c r="H28" s="92">
        <v>0</v>
      </c>
      <c r="I28" s="92">
        <v>0</v>
      </c>
      <c r="J28" s="92">
        <v>0</v>
      </c>
      <c r="K28" s="94">
        <v>0</v>
      </c>
      <c r="R28" s="50"/>
      <c r="S28" s="50"/>
      <c r="T28" s="50"/>
    </row>
    <row r="29" spans="2:20" x14ac:dyDescent="0.2">
      <c r="B29" s="45" t="s">
        <v>57</v>
      </c>
      <c r="C29" s="92">
        <f>0.09320679*100-2</f>
        <v>7.3206790000000002</v>
      </c>
      <c r="D29" s="92">
        <v>0</v>
      </c>
      <c r="E29" s="92">
        <v>0</v>
      </c>
      <c r="F29" s="92">
        <v>0</v>
      </c>
      <c r="G29" s="92">
        <v>0</v>
      </c>
      <c r="H29" s="92">
        <v>100</v>
      </c>
      <c r="I29" s="92">
        <v>100</v>
      </c>
      <c r="J29" s="92">
        <v>0</v>
      </c>
      <c r="K29" s="94">
        <v>0</v>
      </c>
      <c r="R29" s="50"/>
      <c r="S29" s="50"/>
      <c r="T29" s="50"/>
    </row>
    <row r="30" spans="2:20" x14ac:dyDescent="0.2">
      <c r="B30" s="45" t="s">
        <v>70</v>
      </c>
      <c r="C30" s="92">
        <f>0.1808704*100+2</f>
        <v>20.087039999999998</v>
      </c>
      <c r="D30" s="92">
        <v>0</v>
      </c>
      <c r="E30" s="92">
        <v>0</v>
      </c>
      <c r="F30" s="92">
        <v>0</v>
      </c>
      <c r="G30" s="92">
        <v>0</v>
      </c>
      <c r="H30" s="92">
        <v>0</v>
      </c>
      <c r="I30" s="92">
        <v>0</v>
      </c>
      <c r="J30" s="92">
        <v>100</v>
      </c>
      <c r="K30" s="94">
        <v>100</v>
      </c>
      <c r="R30" s="50"/>
      <c r="S30" s="50"/>
      <c r="T30" s="50"/>
    </row>
    <row r="31" spans="2:20" x14ac:dyDescent="0.2">
      <c r="B31" s="45" t="s">
        <v>150</v>
      </c>
      <c r="C31" s="97">
        <f>SUM($C$27:$C$30)</f>
        <v>99.999999000000003</v>
      </c>
      <c r="D31" s="97">
        <f>SUM($D$27:$D$30)</f>
        <v>100</v>
      </c>
      <c r="E31" s="97">
        <f>SUM($E$27:$E$30)</f>
        <v>100</v>
      </c>
      <c r="F31" s="97">
        <f>SUM($F$27:$F$30)</f>
        <v>100</v>
      </c>
      <c r="G31" s="97">
        <f>SUM($G$27:$G$30)</f>
        <v>100</v>
      </c>
      <c r="H31" s="97">
        <f>SUM($H$27:$H$30)</f>
        <v>100</v>
      </c>
      <c r="I31" s="97">
        <f>SUM($I$27:$I$30)</f>
        <v>100</v>
      </c>
      <c r="J31" s="97">
        <f>SUM($J$27:$J$30)</f>
        <v>100</v>
      </c>
      <c r="K31" s="95">
        <f>SUM($K$27:$K$30)</f>
        <v>100</v>
      </c>
      <c r="R31" s="50"/>
      <c r="S31" s="50"/>
      <c r="T31" s="50"/>
    </row>
    <row r="32" spans="2:20" x14ac:dyDescent="0.2">
      <c r="B32" s="54"/>
      <c r="C32" s="54"/>
      <c r="D32" s="54"/>
      <c r="E32" s="54"/>
      <c r="F32" s="54"/>
      <c r="G32" s="54"/>
      <c r="H32" s="54"/>
      <c r="I32" s="54"/>
      <c r="J32" s="54"/>
      <c r="K32" s="54"/>
      <c r="R32" s="50"/>
      <c r="S32" s="50"/>
      <c r="T32" s="50"/>
    </row>
    <row r="33" spans="2:14" x14ac:dyDescent="0.2">
      <c r="I33" s="50"/>
      <c r="J33" s="50"/>
      <c r="K33" s="50"/>
    </row>
    <row r="34" spans="2:14" x14ac:dyDescent="0.2">
      <c r="B34" s="52" t="s">
        <v>124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2">
      <c r="B35" s="53" t="s">
        <v>143</v>
      </c>
      <c r="C35" s="50"/>
      <c r="D35" s="50"/>
      <c r="E35" s="50"/>
      <c r="F35" s="50"/>
      <c r="G35" s="50"/>
      <c r="H35" s="50"/>
      <c r="I35" s="50"/>
      <c r="J35" s="50"/>
      <c r="K35" s="50"/>
    </row>
    <row r="36" spans="2:14" x14ac:dyDescent="0.2"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</row>
    <row r="37" spans="2:14" x14ac:dyDescent="0.2">
      <c r="B37" s="45" t="s">
        <v>147</v>
      </c>
      <c r="C37" s="45" t="s">
        <v>92</v>
      </c>
      <c r="D37" s="45" t="s">
        <v>93</v>
      </c>
      <c r="E37" s="45" t="s">
        <v>94</v>
      </c>
      <c r="F37" s="45" t="s">
        <v>95</v>
      </c>
      <c r="G37" s="45" t="s">
        <v>96</v>
      </c>
      <c r="H37" s="45" t="s">
        <v>97</v>
      </c>
      <c r="I37" s="45" t="s">
        <v>98</v>
      </c>
      <c r="J37" s="45" t="s">
        <v>99</v>
      </c>
      <c r="K37" s="45" t="s">
        <v>100</v>
      </c>
      <c r="L37" s="45" t="s">
        <v>101</v>
      </c>
      <c r="M37" s="45" t="s">
        <v>102</v>
      </c>
      <c r="N37" s="45" t="s">
        <v>103</v>
      </c>
    </row>
    <row r="38" spans="2:14" x14ac:dyDescent="0.2">
      <c r="B38" s="45" t="s">
        <v>34</v>
      </c>
      <c r="C38" s="92">
        <v>0</v>
      </c>
      <c r="D38" s="92">
        <f t="shared" ref="D38:N38" si="0">0.09663408*100</f>
        <v>9.6634080000000004</v>
      </c>
      <c r="E38" s="92">
        <f t="shared" si="0"/>
        <v>9.6634080000000004</v>
      </c>
      <c r="F38" s="92">
        <f t="shared" si="0"/>
        <v>9.6634080000000004</v>
      </c>
      <c r="G38" s="92">
        <f t="shared" si="0"/>
        <v>9.6634080000000004</v>
      </c>
      <c r="H38" s="92">
        <f t="shared" si="0"/>
        <v>9.6634080000000004</v>
      </c>
      <c r="I38" s="92">
        <f t="shared" si="0"/>
        <v>9.6634080000000004</v>
      </c>
      <c r="J38" s="92">
        <f t="shared" si="0"/>
        <v>9.6634080000000004</v>
      </c>
      <c r="K38" s="92">
        <f t="shared" si="0"/>
        <v>9.6634080000000004</v>
      </c>
      <c r="L38" s="92">
        <f t="shared" si="0"/>
        <v>9.6634080000000004</v>
      </c>
      <c r="M38" s="92">
        <f t="shared" si="0"/>
        <v>9.6634080000000004</v>
      </c>
      <c r="N38" s="92">
        <f t="shared" si="0"/>
        <v>9.6634080000000004</v>
      </c>
    </row>
    <row r="39" spans="2:14" x14ac:dyDescent="0.2">
      <c r="B39" s="45" t="s">
        <v>49</v>
      </c>
      <c r="C39" s="92">
        <v>0</v>
      </c>
      <c r="D39" s="92">
        <f t="shared" ref="D39:N39" si="1">0.1197983*100</f>
        <v>11.97983</v>
      </c>
      <c r="E39" s="92">
        <f t="shared" si="1"/>
        <v>11.97983</v>
      </c>
      <c r="F39" s="92">
        <f t="shared" si="1"/>
        <v>11.97983</v>
      </c>
      <c r="G39" s="92">
        <f t="shared" si="1"/>
        <v>11.97983</v>
      </c>
      <c r="H39" s="92">
        <f t="shared" si="1"/>
        <v>11.97983</v>
      </c>
      <c r="I39" s="92">
        <f t="shared" si="1"/>
        <v>11.97983</v>
      </c>
      <c r="J39" s="92">
        <f t="shared" si="1"/>
        <v>11.97983</v>
      </c>
      <c r="K39" s="92">
        <f t="shared" si="1"/>
        <v>11.97983</v>
      </c>
      <c r="L39" s="92">
        <f t="shared" si="1"/>
        <v>11.97983</v>
      </c>
      <c r="M39" s="92">
        <f t="shared" si="1"/>
        <v>11.97983</v>
      </c>
      <c r="N39" s="92">
        <f t="shared" si="1"/>
        <v>11.97983</v>
      </c>
    </row>
    <row r="40" spans="2:14" x14ac:dyDescent="0.2">
      <c r="B40" s="45" t="s">
        <v>57</v>
      </c>
      <c r="C40" s="92">
        <v>0</v>
      </c>
      <c r="D40" s="92">
        <f t="shared" ref="D40:N40" si="2">0.2236837*100</f>
        <v>22.368370000000002</v>
      </c>
      <c r="E40" s="92">
        <f t="shared" si="2"/>
        <v>22.368370000000002</v>
      </c>
      <c r="F40" s="92">
        <f t="shared" si="2"/>
        <v>22.368370000000002</v>
      </c>
      <c r="G40" s="92">
        <f t="shared" si="2"/>
        <v>22.368370000000002</v>
      </c>
      <c r="H40" s="92">
        <f t="shared" si="2"/>
        <v>22.368370000000002</v>
      </c>
      <c r="I40" s="92">
        <f t="shared" si="2"/>
        <v>22.368370000000002</v>
      </c>
      <c r="J40" s="92">
        <f t="shared" si="2"/>
        <v>22.368370000000002</v>
      </c>
      <c r="K40" s="92">
        <f t="shared" si="2"/>
        <v>22.368370000000002</v>
      </c>
      <c r="L40" s="92">
        <f t="shared" si="2"/>
        <v>22.368370000000002</v>
      </c>
      <c r="M40" s="92">
        <f t="shared" si="2"/>
        <v>22.368370000000002</v>
      </c>
      <c r="N40" s="92">
        <f t="shared" si="2"/>
        <v>22.368370000000002</v>
      </c>
    </row>
    <row r="41" spans="2:14" x14ac:dyDescent="0.2">
      <c r="B41" s="45" t="s">
        <v>70</v>
      </c>
      <c r="C41" s="93">
        <v>0</v>
      </c>
      <c r="D41" s="93">
        <f t="shared" ref="D41:N41" si="3">0.1238574*100</f>
        <v>12.38574</v>
      </c>
      <c r="E41" s="93">
        <f t="shared" si="3"/>
        <v>12.38574</v>
      </c>
      <c r="F41" s="93">
        <f t="shared" si="3"/>
        <v>12.38574</v>
      </c>
      <c r="G41" s="93">
        <f t="shared" si="3"/>
        <v>12.38574</v>
      </c>
      <c r="H41" s="93">
        <f t="shared" si="3"/>
        <v>12.38574</v>
      </c>
      <c r="I41" s="93">
        <f t="shared" si="3"/>
        <v>12.38574</v>
      </c>
      <c r="J41" s="93">
        <f t="shared" si="3"/>
        <v>12.38574</v>
      </c>
      <c r="K41" s="93">
        <f t="shared" si="3"/>
        <v>12.38574</v>
      </c>
      <c r="L41" s="93">
        <f t="shared" si="3"/>
        <v>12.38574</v>
      </c>
      <c r="M41" s="93">
        <f t="shared" si="3"/>
        <v>12.38574</v>
      </c>
      <c r="N41" s="93">
        <f t="shared" si="3"/>
        <v>12.38574</v>
      </c>
    </row>
    <row r="42" spans="2:14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</row>
    <row r="43" spans="2:14" x14ac:dyDescent="0.2">
      <c r="I43" s="50"/>
      <c r="J43" s="50"/>
      <c r="K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6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2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2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0" spans="2:24" x14ac:dyDescent="0.2"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</row>
    <row r="51" spans="2:24" x14ac:dyDescent="0.2"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</row>
    <row r="53" spans="2:24" x14ac:dyDescent="0.2">
      <c r="P53" s="50"/>
      <c r="Q53" s="50"/>
      <c r="R53" s="50"/>
      <c r="S53" s="50"/>
      <c r="T53" s="50"/>
      <c r="U53" s="50"/>
      <c r="V53" s="50"/>
      <c r="W53" s="50"/>
      <c r="X53" s="50"/>
    </row>
    <row r="65" spans="9:10" x14ac:dyDescent="0.2">
      <c r="I65" s="50"/>
      <c r="J65" s="50"/>
    </row>
    <row r="66" spans="9:10" x14ac:dyDescent="0.2">
      <c r="I66" s="50"/>
      <c r="J66" s="50"/>
    </row>
    <row r="67" spans="9:10" x14ac:dyDescent="0.2">
      <c r="I67" s="50"/>
      <c r="J67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J11 C19 E19 G19 I19 C27:K30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8:N41">
      <formula1>0</formula1>
      <formula2>100</formula2>
    </dataValidation>
  </dataValidations>
  <pageMargins left="0.75" right="0.75" top="1" bottom="1" header="0.5" footer="0.5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Formulas="1" showGridLines="0" zoomScaleNormal="125" zoomScalePageLayoutView="125" workbookViewId="0">
      <selection activeCell="D8" sqref="D8"/>
    </sheetView>
  </sheetViews>
  <sheetFormatPr defaultColWidth="8.85546875"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8.8554687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8">
        <v>3.2</v>
      </c>
      <c r="E6" s="88">
        <v>1.9</v>
      </c>
      <c r="F6" s="88">
        <v>1.9</v>
      </c>
      <c r="G6" s="88">
        <v>1.9</v>
      </c>
      <c r="H6" s="88">
        <v>1.9</v>
      </c>
      <c r="I6" s="88">
        <v>1.9</v>
      </c>
      <c r="J6" s="88">
        <v>1.9</v>
      </c>
      <c r="K6" s="88">
        <v>1.9</v>
      </c>
      <c r="L6" s="88">
        <v>1.9</v>
      </c>
      <c r="M6" s="88">
        <v>1.9</v>
      </c>
      <c r="N6" s="88">
        <v>1.9</v>
      </c>
      <c r="O6" s="88">
        <v>1.9</v>
      </c>
    </row>
    <row r="7" spans="2:15" x14ac:dyDescent="0.2">
      <c r="C7" s="36" t="s">
        <v>127</v>
      </c>
      <c r="D7" s="88">
        <v>2.8</v>
      </c>
      <c r="E7" s="88">
        <v>2.2999999999999998</v>
      </c>
      <c r="F7" s="88">
        <v>2.2999999999999998</v>
      </c>
      <c r="G7" s="88">
        <v>2.2999999999999998</v>
      </c>
      <c r="H7" s="88">
        <v>2.2999999999999998</v>
      </c>
      <c r="I7" s="88">
        <v>2.2999999999999998</v>
      </c>
      <c r="J7" s="88">
        <v>2.2999999999999998</v>
      </c>
      <c r="K7" s="88">
        <v>2.2999999999999998</v>
      </c>
      <c r="L7" s="88">
        <v>2.2999999999999998</v>
      </c>
      <c r="M7" s="88">
        <v>2.2999999999999998</v>
      </c>
      <c r="N7" s="88">
        <v>2.2999999999999998</v>
      </c>
      <c r="O7" s="88">
        <v>2.2999999999999998</v>
      </c>
    </row>
    <row r="8" spans="2:15" x14ac:dyDescent="0.2">
      <c r="C8" s="36" t="s">
        <v>128</v>
      </c>
      <c r="D8" s="88">
        <v>2.8</v>
      </c>
      <c r="E8" s="88">
        <v>2.4</v>
      </c>
      <c r="F8" s="88">
        <v>2.4</v>
      </c>
      <c r="G8" s="88">
        <v>2.4</v>
      </c>
      <c r="H8" s="88">
        <v>2.4</v>
      </c>
      <c r="I8" s="88">
        <v>2.4</v>
      </c>
      <c r="J8" s="88">
        <v>2.4</v>
      </c>
      <c r="K8" s="88">
        <v>2.4</v>
      </c>
      <c r="L8" s="88">
        <v>2.4</v>
      </c>
      <c r="M8" s="88">
        <v>2.4</v>
      </c>
      <c r="N8" s="88">
        <v>2.4</v>
      </c>
      <c r="O8" s="88">
        <v>2.4</v>
      </c>
    </row>
    <row r="9" spans="2:15" x14ac:dyDescent="0.2">
      <c r="C9" s="36" t="s">
        <v>129</v>
      </c>
      <c r="D9" s="88">
        <v>3.1</v>
      </c>
      <c r="E9" s="88">
        <v>2.2000000000000002</v>
      </c>
      <c r="F9" s="88">
        <v>2.2000000000000002</v>
      </c>
      <c r="G9" s="88">
        <v>2.2000000000000002</v>
      </c>
      <c r="H9" s="88">
        <v>2.2000000000000002</v>
      </c>
      <c r="I9" s="88">
        <v>2.2000000000000002</v>
      </c>
      <c r="J9" s="88">
        <v>2.2000000000000002</v>
      </c>
      <c r="K9" s="88">
        <v>2.2000000000000002</v>
      </c>
      <c r="L9" s="88">
        <v>2.2000000000000002</v>
      </c>
      <c r="M9" s="88">
        <v>2.2000000000000002</v>
      </c>
      <c r="N9" s="88">
        <v>2.2000000000000002</v>
      </c>
      <c r="O9" s="88">
        <v>2.2000000000000002</v>
      </c>
    </row>
    <row r="10" spans="2:15" x14ac:dyDescent="0.2">
      <c r="C10" s="36" t="s">
        <v>130</v>
      </c>
      <c r="D10" s="88">
        <v>3.1</v>
      </c>
      <c r="E10" s="88">
        <v>2.5499999999999998</v>
      </c>
      <c r="F10" s="88">
        <v>2.5499999999999998</v>
      </c>
      <c r="G10" s="88">
        <v>2.5499999999999998</v>
      </c>
      <c r="H10" s="88">
        <v>2.5499999999999998</v>
      </c>
      <c r="I10" s="88">
        <v>2.5499999999999998</v>
      </c>
      <c r="J10" s="88">
        <v>2.5499999999999998</v>
      </c>
      <c r="K10" s="88">
        <v>2.5499999999999998</v>
      </c>
      <c r="L10" s="88">
        <v>2.5499999999999998</v>
      </c>
      <c r="M10" s="88">
        <v>2.5499999999999998</v>
      </c>
      <c r="N10" s="88">
        <v>2.5499999999999998</v>
      </c>
      <c r="O10" s="88">
        <v>2.5499999999999998</v>
      </c>
    </row>
    <row r="11" spans="2:15" x14ac:dyDescent="0.2">
      <c r="C11" s="36" t="s">
        <v>131</v>
      </c>
      <c r="D11" s="88">
        <v>4</v>
      </c>
      <c r="E11" s="88">
        <v>1.91</v>
      </c>
      <c r="F11" s="88">
        <v>1.91</v>
      </c>
      <c r="G11" s="88">
        <v>1.91</v>
      </c>
      <c r="H11" s="88">
        <v>1.91</v>
      </c>
      <c r="I11" s="88">
        <v>1.91</v>
      </c>
      <c r="J11" s="88">
        <v>1.91</v>
      </c>
      <c r="K11" s="88">
        <v>1.91</v>
      </c>
      <c r="L11" s="88">
        <v>1.91</v>
      </c>
      <c r="M11" s="88">
        <v>1.91</v>
      </c>
      <c r="N11" s="88">
        <v>1.91</v>
      </c>
      <c r="O11" s="88">
        <v>1.91</v>
      </c>
    </row>
    <row r="12" spans="2:15" x14ac:dyDescent="0.2">
      <c r="C12" s="37" t="s">
        <v>132</v>
      </c>
      <c r="D12" s="88">
        <v>4</v>
      </c>
      <c r="E12" s="88">
        <v>1.78</v>
      </c>
      <c r="F12" s="88">
        <v>1.78</v>
      </c>
      <c r="G12" s="88">
        <v>1.78</v>
      </c>
      <c r="H12" s="88">
        <v>1.78</v>
      </c>
      <c r="I12" s="88">
        <v>1.78</v>
      </c>
      <c r="J12" s="88">
        <v>1.78</v>
      </c>
      <c r="K12" s="88">
        <v>1.78</v>
      </c>
      <c r="L12" s="88">
        <v>1.78</v>
      </c>
      <c r="M12" s="88">
        <v>1.78</v>
      </c>
      <c r="N12" s="88">
        <v>1.78</v>
      </c>
      <c r="O12" s="88">
        <v>1.78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8">
        <v>4</v>
      </c>
      <c r="E15" s="88">
        <v>3.36</v>
      </c>
      <c r="F15" s="88">
        <v>3.36</v>
      </c>
      <c r="G15" s="88">
        <v>3.36</v>
      </c>
      <c r="H15" s="88">
        <v>3.36</v>
      </c>
      <c r="I15" s="88">
        <v>3.36</v>
      </c>
      <c r="J15" s="88">
        <v>3.36</v>
      </c>
      <c r="K15" s="88">
        <v>3.36</v>
      </c>
      <c r="L15" s="88">
        <v>3.36</v>
      </c>
      <c r="M15" s="88">
        <v>3.36</v>
      </c>
      <c r="N15" s="88">
        <v>3.36</v>
      </c>
      <c r="O15" s="88">
        <v>3.36</v>
      </c>
    </row>
    <row r="16" spans="2:15" x14ac:dyDescent="0.2">
      <c r="C16" s="36" t="s">
        <v>127</v>
      </c>
      <c r="D16" s="88">
        <v>4</v>
      </c>
      <c r="E16" s="88">
        <v>3.64</v>
      </c>
      <c r="F16" s="88">
        <v>3.64</v>
      </c>
      <c r="G16" s="88">
        <v>3.64</v>
      </c>
      <c r="H16" s="88">
        <v>3.64</v>
      </c>
      <c r="I16" s="88">
        <v>3.64</v>
      </c>
      <c r="J16" s="88">
        <v>3.64</v>
      </c>
      <c r="K16" s="88">
        <v>3.64</v>
      </c>
      <c r="L16" s="88">
        <v>3.64</v>
      </c>
      <c r="M16" s="88">
        <v>3.64</v>
      </c>
      <c r="N16" s="88">
        <v>3.64</v>
      </c>
      <c r="O16" s="88">
        <v>3.64</v>
      </c>
    </row>
    <row r="17" spans="2:15" x14ac:dyDescent="0.2">
      <c r="C17" s="36" t="s">
        <v>128</v>
      </c>
      <c r="D17" s="88">
        <v>4</v>
      </c>
      <c r="E17" s="88">
        <v>3.38</v>
      </c>
      <c r="F17" s="88">
        <v>3.38</v>
      </c>
      <c r="G17" s="88">
        <v>3.38</v>
      </c>
      <c r="H17" s="88">
        <v>3.38</v>
      </c>
      <c r="I17" s="88">
        <v>3.38</v>
      </c>
      <c r="J17" s="88">
        <v>3.38</v>
      </c>
      <c r="K17" s="88">
        <v>3.38</v>
      </c>
      <c r="L17" s="88">
        <v>3.38</v>
      </c>
      <c r="M17" s="88">
        <v>3.38</v>
      </c>
      <c r="N17" s="88">
        <v>3.38</v>
      </c>
      <c r="O17" s="88">
        <v>3.38</v>
      </c>
    </row>
    <row r="18" spans="2:15" x14ac:dyDescent="0.2">
      <c r="C18" s="36" t="s">
        <v>129</v>
      </c>
      <c r="D18" s="88">
        <v>4</v>
      </c>
      <c r="E18" s="88">
        <v>3.83</v>
      </c>
      <c r="F18" s="88">
        <v>3.83</v>
      </c>
      <c r="G18" s="88">
        <v>3.83</v>
      </c>
      <c r="H18" s="88">
        <v>3.83</v>
      </c>
      <c r="I18" s="88">
        <v>3.83</v>
      </c>
      <c r="J18" s="88">
        <v>3.83</v>
      </c>
      <c r="K18" s="88">
        <v>3.83</v>
      </c>
      <c r="L18" s="88">
        <v>3.83</v>
      </c>
      <c r="M18" s="88">
        <v>3.83</v>
      </c>
      <c r="N18" s="88">
        <v>3.83</v>
      </c>
      <c r="O18" s="88">
        <v>3.83</v>
      </c>
    </row>
    <row r="19" spans="2:15" x14ac:dyDescent="0.2">
      <c r="C19" s="36" t="s">
        <v>130</v>
      </c>
      <c r="D19" s="88">
        <v>4</v>
      </c>
      <c r="E19" s="88">
        <v>3.4</v>
      </c>
      <c r="F19" s="88">
        <v>3.4</v>
      </c>
      <c r="G19" s="88">
        <v>3.4</v>
      </c>
      <c r="H19" s="88">
        <v>3.4</v>
      </c>
      <c r="I19" s="88">
        <v>3.4</v>
      </c>
      <c r="J19" s="88">
        <v>3.4</v>
      </c>
      <c r="K19" s="88">
        <v>3.4</v>
      </c>
      <c r="L19" s="88">
        <v>3.4</v>
      </c>
      <c r="M19" s="88">
        <v>3.4</v>
      </c>
      <c r="N19" s="88">
        <v>3.4</v>
      </c>
      <c r="O19" s="88">
        <v>3.4</v>
      </c>
    </row>
    <row r="20" spans="2:15" x14ac:dyDescent="0.2">
      <c r="C20" s="36" t="s">
        <v>131</v>
      </c>
      <c r="D20" s="88">
        <v>4</v>
      </c>
      <c r="E20" s="88">
        <v>2.86</v>
      </c>
      <c r="F20" s="88">
        <v>2.86</v>
      </c>
      <c r="G20" s="88">
        <v>2.86</v>
      </c>
      <c r="H20" s="88">
        <v>2.86</v>
      </c>
      <c r="I20" s="88">
        <v>2.86</v>
      </c>
      <c r="J20" s="88">
        <v>2.86</v>
      </c>
      <c r="K20" s="88">
        <v>2.86</v>
      </c>
      <c r="L20" s="88">
        <v>2.86</v>
      </c>
      <c r="M20" s="88">
        <v>2.86</v>
      </c>
      <c r="N20" s="88">
        <v>2.86</v>
      </c>
      <c r="O20" s="88">
        <v>2.86</v>
      </c>
    </row>
    <row r="21" spans="2:15" x14ac:dyDescent="0.2">
      <c r="C21" s="37" t="s">
        <v>132</v>
      </c>
      <c r="D21" s="88">
        <v>4</v>
      </c>
      <c r="E21" s="88">
        <v>2.86</v>
      </c>
      <c r="F21" s="88">
        <v>2.86</v>
      </c>
      <c r="G21" s="88">
        <v>2.86</v>
      </c>
      <c r="H21" s="88">
        <v>2.86</v>
      </c>
      <c r="I21" s="88">
        <v>2.86</v>
      </c>
      <c r="J21" s="88">
        <v>2.86</v>
      </c>
      <c r="K21" s="88">
        <v>2.86</v>
      </c>
      <c r="L21" s="88">
        <v>2.86</v>
      </c>
      <c r="M21" s="88">
        <v>2.86</v>
      </c>
      <c r="N21" s="88">
        <v>2.86</v>
      </c>
      <c r="O21" s="88">
        <v>2.86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8">
        <v>4</v>
      </c>
      <c r="E24" s="88">
        <v>3.52</v>
      </c>
      <c r="F24" s="88">
        <v>3.52</v>
      </c>
      <c r="G24" s="88">
        <v>3.52</v>
      </c>
      <c r="H24" s="88">
        <v>3.52</v>
      </c>
      <c r="I24" s="88">
        <v>3.52</v>
      </c>
      <c r="J24" s="88">
        <v>3.52</v>
      </c>
      <c r="K24" s="88">
        <v>3.52</v>
      </c>
      <c r="L24" s="88">
        <v>3.52</v>
      </c>
      <c r="M24" s="88">
        <v>3.52</v>
      </c>
      <c r="N24" s="88">
        <v>3.52</v>
      </c>
      <c r="O24" s="88">
        <v>3.52</v>
      </c>
    </row>
    <row r="25" spans="2:15" x14ac:dyDescent="0.2">
      <c r="C25" s="36" t="s">
        <v>127</v>
      </c>
      <c r="D25" s="88">
        <v>4</v>
      </c>
      <c r="E25" s="88">
        <v>3.25</v>
      </c>
      <c r="F25" s="88">
        <v>3.25</v>
      </c>
      <c r="G25" s="88">
        <v>3.25</v>
      </c>
      <c r="H25" s="88">
        <v>3.25</v>
      </c>
      <c r="I25" s="88">
        <v>3.25</v>
      </c>
      <c r="J25" s="88">
        <v>3.25</v>
      </c>
      <c r="K25" s="88">
        <v>3.25</v>
      </c>
      <c r="L25" s="88">
        <v>3.25</v>
      </c>
      <c r="M25" s="88">
        <v>3.25</v>
      </c>
      <c r="N25" s="88">
        <v>3.25</v>
      </c>
      <c r="O25" s="88">
        <v>3.25</v>
      </c>
    </row>
    <row r="26" spans="2:15" x14ac:dyDescent="0.2">
      <c r="C26" s="36" t="s">
        <v>128</v>
      </c>
      <c r="D26" s="88">
        <v>4</v>
      </c>
      <c r="E26" s="88">
        <v>3.67</v>
      </c>
      <c r="F26" s="88">
        <v>3.67</v>
      </c>
      <c r="G26" s="88">
        <v>3.67</v>
      </c>
      <c r="H26" s="88">
        <v>3.67</v>
      </c>
      <c r="I26" s="88">
        <v>3.67</v>
      </c>
      <c r="J26" s="88">
        <v>3.67</v>
      </c>
      <c r="K26" s="88">
        <v>3.67</v>
      </c>
      <c r="L26" s="88">
        <v>3.67</v>
      </c>
      <c r="M26" s="88">
        <v>3.67</v>
      </c>
      <c r="N26" s="88">
        <v>3.67</v>
      </c>
      <c r="O26" s="88">
        <v>3.67</v>
      </c>
    </row>
    <row r="27" spans="2:15" x14ac:dyDescent="0.2">
      <c r="C27" s="36" t="s">
        <v>129</v>
      </c>
      <c r="D27" s="88">
        <v>4</v>
      </c>
      <c r="E27" s="88">
        <v>2.93</v>
      </c>
      <c r="F27" s="88">
        <v>2.93</v>
      </c>
      <c r="G27" s="88">
        <v>2.93</v>
      </c>
      <c r="H27" s="88">
        <v>2.93</v>
      </c>
      <c r="I27" s="88">
        <v>2.93</v>
      </c>
      <c r="J27" s="88">
        <v>2.93</v>
      </c>
      <c r="K27" s="88">
        <v>2.93</v>
      </c>
      <c r="L27" s="88">
        <v>2.93</v>
      </c>
      <c r="M27" s="88">
        <v>2.93</v>
      </c>
      <c r="N27" s="88">
        <v>2.93</v>
      </c>
      <c r="O27" s="88">
        <v>2.93</v>
      </c>
    </row>
    <row r="28" spans="2:15" x14ac:dyDescent="0.2">
      <c r="C28" s="36" t="s">
        <v>130</v>
      </c>
      <c r="D28" s="88">
        <v>4</v>
      </c>
      <c r="E28" s="88">
        <v>3.95</v>
      </c>
      <c r="F28" s="88">
        <v>3.95</v>
      </c>
      <c r="G28" s="88">
        <v>3.95</v>
      </c>
      <c r="H28" s="88">
        <v>3.95</v>
      </c>
      <c r="I28" s="88">
        <v>3.95</v>
      </c>
      <c r="J28" s="88">
        <v>3.95</v>
      </c>
      <c r="K28" s="88">
        <v>3.95</v>
      </c>
      <c r="L28" s="88">
        <v>3.95</v>
      </c>
      <c r="M28" s="88">
        <v>3.95</v>
      </c>
      <c r="N28" s="88">
        <v>3.95</v>
      </c>
      <c r="O28" s="88">
        <v>3.95</v>
      </c>
    </row>
    <row r="29" spans="2:15" x14ac:dyDescent="0.2">
      <c r="C29" s="36" t="s">
        <v>131</v>
      </c>
      <c r="D29" s="88">
        <v>4</v>
      </c>
      <c r="E29" s="88">
        <v>2.86</v>
      </c>
      <c r="F29" s="88">
        <v>2.86</v>
      </c>
      <c r="G29" s="88">
        <v>2.86</v>
      </c>
      <c r="H29" s="88">
        <v>2.86</v>
      </c>
      <c r="I29" s="88">
        <v>2.86</v>
      </c>
      <c r="J29" s="88">
        <v>2.86</v>
      </c>
      <c r="K29" s="88">
        <v>2.86</v>
      </c>
      <c r="L29" s="88">
        <v>2.86</v>
      </c>
      <c r="M29" s="88">
        <v>2.86</v>
      </c>
      <c r="N29" s="88">
        <v>2.86</v>
      </c>
      <c r="O29" s="88">
        <v>2.86</v>
      </c>
    </row>
    <row r="30" spans="2:15" x14ac:dyDescent="0.2">
      <c r="C30" s="37" t="s">
        <v>132</v>
      </c>
      <c r="D30" s="88">
        <v>3.6</v>
      </c>
      <c r="E30" s="88">
        <v>2.86</v>
      </c>
      <c r="F30" s="88">
        <v>2.86</v>
      </c>
      <c r="G30" s="88">
        <v>2.86</v>
      </c>
      <c r="H30" s="88">
        <v>2.86</v>
      </c>
      <c r="I30" s="88">
        <v>2.86</v>
      </c>
      <c r="J30" s="88">
        <v>2.86</v>
      </c>
      <c r="K30" s="88">
        <v>2.86</v>
      </c>
      <c r="L30" s="88">
        <v>2.86</v>
      </c>
      <c r="M30" s="88">
        <v>2.86</v>
      </c>
      <c r="N30" s="88">
        <v>2.86</v>
      </c>
      <c r="O30" s="88">
        <v>2.86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8">
        <v>2.8</v>
      </c>
      <c r="E33" s="88">
        <v>1.34</v>
      </c>
      <c r="F33" s="88">
        <v>1.34</v>
      </c>
      <c r="G33" s="88">
        <v>1.34</v>
      </c>
      <c r="H33" s="88">
        <v>1.34</v>
      </c>
      <c r="I33" s="88">
        <v>1.34</v>
      </c>
      <c r="J33" s="88">
        <v>1.34</v>
      </c>
      <c r="K33" s="88">
        <v>1.34</v>
      </c>
      <c r="L33" s="88">
        <v>1.34</v>
      </c>
      <c r="M33" s="88">
        <v>1.34</v>
      </c>
      <c r="N33" s="88">
        <v>1.34</v>
      </c>
      <c r="O33" s="88">
        <v>1.34</v>
      </c>
    </row>
    <row r="34" spans="3:15" x14ac:dyDescent="0.2">
      <c r="C34" s="36" t="s">
        <v>127</v>
      </c>
      <c r="D34" s="88">
        <v>2.6</v>
      </c>
      <c r="E34" s="88">
        <v>1.28</v>
      </c>
      <c r="F34" s="88">
        <v>1.28</v>
      </c>
      <c r="G34" s="88">
        <v>1.28</v>
      </c>
      <c r="H34" s="88">
        <v>1.28</v>
      </c>
      <c r="I34" s="88">
        <v>1.28</v>
      </c>
      <c r="J34" s="88">
        <v>1.28</v>
      </c>
      <c r="K34" s="88">
        <v>1.28</v>
      </c>
      <c r="L34" s="88">
        <v>1.28</v>
      </c>
      <c r="M34" s="88">
        <v>1.28</v>
      </c>
      <c r="N34" s="88">
        <v>1.28</v>
      </c>
      <c r="O34" s="88">
        <v>1.28</v>
      </c>
    </row>
    <row r="35" spans="3:15" x14ac:dyDescent="0.2">
      <c r="C35" s="36" t="s">
        <v>128</v>
      </c>
      <c r="D35" s="88">
        <v>2.5</v>
      </c>
      <c r="E35" s="88">
        <v>1.55</v>
      </c>
      <c r="F35" s="88">
        <v>1.55</v>
      </c>
      <c r="G35" s="88">
        <v>1.55</v>
      </c>
      <c r="H35" s="88">
        <v>1.55</v>
      </c>
      <c r="I35" s="88">
        <v>1.55</v>
      </c>
      <c r="J35" s="88">
        <v>1.55</v>
      </c>
      <c r="K35" s="88">
        <v>1.55</v>
      </c>
      <c r="L35" s="88">
        <v>1.55</v>
      </c>
      <c r="M35" s="88">
        <v>1.55</v>
      </c>
      <c r="N35" s="88">
        <v>1.55</v>
      </c>
      <c r="O35" s="88">
        <v>1.55</v>
      </c>
    </row>
    <row r="36" spans="3:15" x14ac:dyDescent="0.2">
      <c r="C36" s="36" t="s">
        <v>129</v>
      </c>
      <c r="D36" s="88">
        <v>4</v>
      </c>
      <c r="E36" s="88">
        <v>1.59</v>
      </c>
      <c r="F36" s="88">
        <v>1.59</v>
      </c>
      <c r="G36" s="88">
        <v>1.59</v>
      </c>
      <c r="H36" s="88">
        <v>1.59</v>
      </c>
      <c r="I36" s="88">
        <v>1.59</v>
      </c>
      <c r="J36" s="88">
        <v>1.59</v>
      </c>
      <c r="K36" s="88">
        <v>1.59</v>
      </c>
      <c r="L36" s="88">
        <v>1.59</v>
      </c>
      <c r="M36" s="88">
        <v>1.59</v>
      </c>
      <c r="N36" s="88">
        <v>1.59</v>
      </c>
      <c r="O36" s="88">
        <v>1.59</v>
      </c>
    </row>
    <row r="37" spans="3:15" x14ac:dyDescent="0.2">
      <c r="C37" s="36" t="s">
        <v>130</v>
      </c>
      <c r="D37" s="88">
        <v>2.4</v>
      </c>
      <c r="E37" s="88">
        <v>1.64</v>
      </c>
      <c r="F37" s="88">
        <v>1.64</v>
      </c>
      <c r="G37" s="88">
        <v>1.64</v>
      </c>
      <c r="H37" s="88">
        <v>1.64</v>
      </c>
      <c r="I37" s="88">
        <v>1.64</v>
      </c>
      <c r="J37" s="88">
        <v>1.64</v>
      </c>
      <c r="K37" s="88">
        <v>1.64</v>
      </c>
      <c r="L37" s="88">
        <v>1.64</v>
      </c>
      <c r="M37" s="88">
        <v>1.64</v>
      </c>
      <c r="N37" s="88">
        <v>1.64</v>
      </c>
      <c r="O37" s="88">
        <v>1.64</v>
      </c>
    </row>
    <row r="38" spans="3:15" x14ac:dyDescent="0.2">
      <c r="C38" s="36" t="s">
        <v>131</v>
      </c>
      <c r="D38" s="88">
        <v>4</v>
      </c>
      <c r="E38" s="88">
        <v>1.43</v>
      </c>
      <c r="F38" s="88">
        <v>1.43</v>
      </c>
      <c r="G38" s="88">
        <v>1.43</v>
      </c>
      <c r="H38" s="88">
        <v>1.43</v>
      </c>
      <c r="I38" s="88">
        <v>1.43</v>
      </c>
      <c r="J38" s="88">
        <v>1.43</v>
      </c>
      <c r="K38" s="88">
        <v>1.43</v>
      </c>
      <c r="L38" s="88">
        <v>1.43</v>
      </c>
      <c r="M38" s="88">
        <v>1.43</v>
      </c>
      <c r="N38" s="88">
        <v>1.43</v>
      </c>
      <c r="O38" s="88">
        <v>1.43</v>
      </c>
    </row>
    <row r="39" spans="3:15" x14ac:dyDescent="0.2">
      <c r="C39" s="37" t="s">
        <v>132</v>
      </c>
      <c r="D39" s="88">
        <v>4</v>
      </c>
      <c r="E39" s="88">
        <v>2.84</v>
      </c>
      <c r="F39" s="88">
        <v>2.84</v>
      </c>
      <c r="G39" s="88">
        <v>2.84</v>
      </c>
      <c r="H39" s="88">
        <v>2.84</v>
      </c>
      <c r="I39" s="88">
        <v>2.84</v>
      </c>
      <c r="J39" s="88">
        <v>2.84</v>
      </c>
      <c r="K39" s="88">
        <v>2.84</v>
      </c>
      <c r="L39" s="88">
        <v>2.84</v>
      </c>
      <c r="M39" s="88">
        <v>2.84</v>
      </c>
      <c r="N39" s="88">
        <v>2.84</v>
      </c>
      <c r="O39" s="88">
        <v>2.84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style="105" customWidth="1"/>
    <col min="2" max="6" width="9.140625" style="105"/>
    <col min="7" max="7" width="2.7109375" style="105" customWidth="1"/>
    <col min="8" max="8" width="11.140625" style="105" customWidth="1"/>
    <col min="9" max="10" width="9.140625" style="105"/>
    <col min="11" max="12" width="4.7109375" style="105" customWidth="1"/>
    <col min="13" max="17" width="9.140625" style="105"/>
    <col min="18" max="18" width="2.7109375" style="105" customWidth="1"/>
    <col min="19" max="19" width="14.7109375" style="105" customWidth="1"/>
    <col min="20" max="20" width="16.7109375" style="105" customWidth="1"/>
    <col min="21" max="21" width="4.7109375" style="105" customWidth="1"/>
    <col min="22" max="16384" width="9.140625" style="105"/>
  </cols>
  <sheetData>
    <row r="1" spans="1:20" x14ac:dyDescent="0.2">
      <c r="A1" s="184"/>
    </row>
    <row r="2" spans="1:20" ht="15.75" x14ac:dyDescent="0.25">
      <c r="C2" s="185" t="s">
        <v>165</v>
      </c>
      <c r="D2" s="185"/>
      <c r="E2" s="185"/>
      <c r="F2" s="185"/>
      <c r="G2" s="185"/>
      <c r="H2" s="185"/>
    </row>
    <row r="3" spans="1:20" ht="18.75" x14ac:dyDescent="0.25">
      <c r="C3" s="186" t="s">
        <v>414</v>
      </c>
      <c r="D3" s="186"/>
      <c r="E3" s="186"/>
      <c r="F3" s="186"/>
      <c r="G3" s="186"/>
    </row>
    <row r="5" spans="1:20" ht="15.75" x14ac:dyDescent="0.25">
      <c r="A5" s="187" t="s">
        <v>353</v>
      </c>
      <c r="B5" s="188"/>
      <c r="G5" s="189"/>
      <c r="L5" s="187" t="s">
        <v>354</v>
      </c>
      <c r="M5" s="188"/>
      <c r="R5" s="189"/>
    </row>
    <row r="6" spans="1:20" x14ac:dyDescent="0.2">
      <c r="A6" s="190" t="s">
        <v>355</v>
      </c>
      <c r="B6" s="188"/>
      <c r="G6" s="191"/>
      <c r="H6" s="115"/>
      <c r="L6" s="190" t="s">
        <v>356</v>
      </c>
      <c r="M6" s="188"/>
      <c r="S6" s="130"/>
    </row>
    <row r="7" spans="1:20" x14ac:dyDescent="0.2">
      <c r="A7" s="188"/>
      <c r="B7" s="188" t="s">
        <v>357</v>
      </c>
      <c r="G7" s="191"/>
      <c r="H7" s="192">
        <f>SUM(ORA!$D$116:$O$116)</f>
        <v>51117.248748919301</v>
      </c>
      <c r="L7" s="188"/>
      <c r="M7" s="188" t="s">
        <v>357</v>
      </c>
      <c r="S7" s="193">
        <f>SUM(ORA!$D$127:$O$127)</f>
        <v>218364141.05976531</v>
      </c>
    </row>
    <row r="8" spans="1:20" x14ac:dyDescent="0.2">
      <c r="A8" s="188"/>
      <c r="B8" s="188" t="s">
        <v>358</v>
      </c>
      <c r="G8" s="191"/>
      <c r="H8" s="194">
        <f>SUM(POJ!$D$116:$O$116)</f>
        <v>19975.761784067727</v>
      </c>
      <c r="L8" s="188"/>
      <c r="M8" s="188" t="s">
        <v>358</v>
      </c>
      <c r="S8" s="195">
        <f>SUM(POJ!$D$127:$O$127)</f>
        <v>137368350.25041133</v>
      </c>
    </row>
    <row r="9" spans="1:20" x14ac:dyDescent="0.2">
      <c r="A9" s="188"/>
      <c r="B9" s="188" t="s">
        <v>359</v>
      </c>
      <c r="G9" s="191"/>
      <c r="H9" s="194">
        <f>SUM(ROJ!$D$116:$O$116)</f>
        <v>20382.016683082493</v>
      </c>
      <c r="L9" s="188"/>
      <c r="M9" s="188" t="s">
        <v>359</v>
      </c>
      <c r="S9" s="195">
        <f>SUM(ROJ!$D$127:$O$127)</f>
        <v>133818050.8645636</v>
      </c>
    </row>
    <row r="10" spans="1:20" x14ac:dyDescent="0.2">
      <c r="A10" s="188"/>
      <c r="B10" s="188" t="s">
        <v>360</v>
      </c>
      <c r="G10" s="191"/>
      <c r="H10" s="196">
        <f>SUM(FCOJ!$D$116:$O$116)</f>
        <v>130193.94636600102</v>
      </c>
      <c r="L10" s="188"/>
      <c r="M10" s="188" t="s">
        <v>360</v>
      </c>
      <c r="S10" s="197">
        <f>SUM(FCOJ!$D$127:$O$127)</f>
        <v>390699090.07712317</v>
      </c>
    </row>
    <row r="11" spans="1:20" x14ac:dyDescent="0.2">
      <c r="A11" s="188"/>
      <c r="B11" s="188"/>
      <c r="G11" s="191"/>
      <c r="M11" s="188" t="s">
        <v>361</v>
      </c>
      <c r="T11" s="198">
        <f>SUM($S$7:$S$10)</f>
        <v>880249632.25186336</v>
      </c>
    </row>
    <row r="12" spans="1:20" x14ac:dyDescent="0.2">
      <c r="A12" s="190" t="s">
        <v>362</v>
      </c>
      <c r="B12" s="188"/>
      <c r="G12" s="191"/>
    </row>
    <row r="13" spans="1:20" x14ac:dyDescent="0.2">
      <c r="A13" s="188"/>
      <c r="B13" s="188" t="s">
        <v>363</v>
      </c>
      <c r="G13" s="191"/>
      <c r="H13" s="199">
        <f>SUM(grove!$C$48:$AX$53)</f>
        <v>85746.201880000226</v>
      </c>
      <c r="L13" s="190" t="s">
        <v>364</v>
      </c>
      <c r="M13" s="188"/>
    </row>
    <row r="14" spans="1:20" x14ac:dyDescent="0.2">
      <c r="A14" s="188"/>
      <c r="B14" s="188" t="s">
        <v>365</v>
      </c>
      <c r="G14" s="191"/>
      <c r="H14" s="192">
        <f>raw_materials!$P$30</f>
        <v>0</v>
      </c>
      <c r="L14" s="188"/>
      <c r="M14" s="188" t="s">
        <v>366</v>
      </c>
      <c r="S14" s="193">
        <f>SUM(grove!$C$58:$AX$63)</f>
        <v>114038252.57907681</v>
      </c>
    </row>
    <row r="15" spans="1:20" x14ac:dyDescent="0.2">
      <c r="A15" s="188"/>
      <c r="B15" s="188" t="s">
        <v>367</v>
      </c>
      <c r="G15" s="191"/>
      <c r="H15" s="196">
        <f>raw_materials!$P$36</f>
        <v>136000</v>
      </c>
      <c r="L15" s="188"/>
      <c r="M15" s="188" t="s">
        <v>368</v>
      </c>
      <c r="S15" s="195">
        <f>(raw_materials!D30*raw_materials!E30+raw_materials!F30*raw_materials!G30+raw_materials!H30*raw_materials!I30+raw_materials!J30*raw_materials!K30+raw_materials!L30*raw_materials!M30)*2000</f>
        <v>0</v>
      </c>
    </row>
    <row r="16" spans="1:20" x14ac:dyDescent="0.2">
      <c r="A16" s="188"/>
      <c r="B16" s="188" t="s">
        <v>369</v>
      </c>
      <c r="G16" s="191"/>
      <c r="H16" s="200">
        <v>19624.026358309391</v>
      </c>
      <c r="L16" s="188"/>
      <c r="M16" s="188" t="s">
        <v>370</v>
      </c>
      <c r="S16" s="195">
        <f>(raw_materials!D36*raw_materials!E36+raw_materials!F36*raw_materials!G36+raw_materials!H36*raw_materials!I36+raw_materials!J36*raw_materials!K36+raw_materials!L36*raw_materials!M36)*2000</f>
        <v>272892948.4312129</v>
      </c>
    </row>
    <row r="17" spans="1:21" x14ac:dyDescent="0.2">
      <c r="A17" s="188"/>
      <c r="B17" s="188" t="s">
        <v>371</v>
      </c>
      <c r="G17" s="191"/>
      <c r="H17" s="201">
        <v>13685.674649372095</v>
      </c>
      <c r="L17" s="188"/>
      <c r="M17" s="188" t="s">
        <v>372</v>
      </c>
      <c r="S17" s="195">
        <v>14740448.60977114</v>
      </c>
    </row>
    <row r="18" spans="1:21" x14ac:dyDescent="0.2">
      <c r="A18" s="188"/>
      <c r="B18" s="188" t="s">
        <v>373</v>
      </c>
      <c r="G18" s="191"/>
      <c r="H18" s="202">
        <v>19264.775134821612</v>
      </c>
      <c r="L18" s="188"/>
      <c r="M18" s="188" t="s">
        <v>374</v>
      </c>
      <c r="S18" s="197">
        <v>38670451.454676814</v>
      </c>
    </row>
    <row r="19" spans="1:21" x14ac:dyDescent="0.2">
      <c r="A19" s="188"/>
      <c r="B19" s="188" t="s">
        <v>375</v>
      </c>
      <c r="G19" s="191"/>
      <c r="H19" s="201">
        <v>1869.4808649229149</v>
      </c>
      <c r="L19" s="188"/>
      <c r="M19" s="188" t="s">
        <v>376</v>
      </c>
      <c r="S19" s="203" t="s">
        <v>377</v>
      </c>
      <c r="T19" s="204">
        <f>SUM($S$14:$S$18)</f>
        <v>440342101.07473767</v>
      </c>
      <c r="U19" s="105" t="s">
        <v>378</v>
      </c>
    </row>
    <row r="20" spans="1:21" x14ac:dyDescent="0.2">
      <c r="A20" s="188"/>
      <c r="B20" s="188" t="s">
        <v>379</v>
      </c>
      <c r="G20" s="191"/>
      <c r="H20" s="196">
        <v>0</v>
      </c>
      <c r="L20" s="188"/>
      <c r="M20" s="188"/>
    </row>
    <row r="21" spans="1:21" x14ac:dyDescent="0.2">
      <c r="A21" s="188"/>
      <c r="B21" s="188"/>
      <c r="G21" s="191"/>
      <c r="L21" s="190" t="s">
        <v>380</v>
      </c>
      <c r="M21" s="188"/>
      <c r="S21" s="130"/>
    </row>
    <row r="22" spans="1:21" x14ac:dyDescent="0.2">
      <c r="A22" s="190" t="s">
        <v>381</v>
      </c>
      <c r="B22" s="188"/>
      <c r="G22" s="191"/>
      <c r="L22" s="188"/>
      <c r="M22" s="188" t="s">
        <v>382</v>
      </c>
      <c r="S22" s="195">
        <v>39248052.716618814</v>
      </c>
    </row>
    <row r="23" spans="1:21" x14ac:dyDescent="0.2">
      <c r="A23" s="188"/>
      <c r="B23" s="188" t="s">
        <v>383</v>
      </c>
      <c r="G23" s="191"/>
      <c r="H23" s="192">
        <f>SUM(raw_materials!$O$31:$O$35)</f>
        <v>0</v>
      </c>
      <c r="L23" s="188"/>
      <c r="M23" s="188" t="s">
        <v>384</v>
      </c>
      <c r="S23" s="195">
        <v>13685674.649372105</v>
      </c>
    </row>
    <row r="24" spans="1:21" x14ac:dyDescent="0.2">
      <c r="A24" s="188"/>
      <c r="B24" s="188" t="s">
        <v>385</v>
      </c>
      <c r="G24" s="191"/>
      <c r="H24" s="196">
        <f>SUM(raw_materials!$O$37:$O$41)</f>
        <v>107018.3</v>
      </c>
      <c r="L24" s="188"/>
      <c r="M24" s="188" t="s">
        <v>386</v>
      </c>
      <c r="S24" s="197">
        <v>12522103.837634049</v>
      </c>
    </row>
    <row r="25" spans="1:21" x14ac:dyDescent="0.2">
      <c r="A25" s="188"/>
      <c r="B25" s="188"/>
      <c r="G25" s="191"/>
      <c r="L25" s="188"/>
      <c r="M25" s="188" t="s">
        <v>387</v>
      </c>
      <c r="S25" s="203" t="s">
        <v>377</v>
      </c>
      <c r="T25" s="204">
        <f>SUM($S$22:$S$24)</f>
        <v>65455831.203624971</v>
      </c>
      <c r="U25" s="105" t="s">
        <v>378</v>
      </c>
    </row>
    <row r="26" spans="1:21" x14ac:dyDescent="0.2">
      <c r="A26" s="190" t="s">
        <v>388</v>
      </c>
      <c r="B26" s="188"/>
      <c r="G26" s="191"/>
      <c r="L26" s="188"/>
      <c r="M26" s="188"/>
    </row>
    <row r="27" spans="1:21" x14ac:dyDescent="0.2">
      <c r="A27" s="188"/>
      <c r="B27" s="188" t="s">
        <v>389</v>
      </c>
      <c r="G27" s="191"/>
      <c r="H27" s="192">
        <f>SUMIF(facilities!$C$6:$C$15,"&gt;0",facilities!$C$6:$C$15)</f>
        <v>0</v>
      </c>
      <c r="L27" s="190" t="s">
        <v>390</v>
      </c>
      <c r="M27" s="188"/>
    </row>
    <row r="28" spans="1:21" x14ac:dyDescent="0.2">
      <c r="A28" s="188"/>
      <c r="B28" s="188" t="s">
        <v>391</v>
      </c>
      <c r="G28" s="191"/>
      <c r="H28" s="194">
        <f>SUMIF(facilities!$C$36:$C$106,"&gt;0",facilities!$C$36:$C$106)</f>
        <v>2600</v>
      </c>
      <c r="L28" s="188"/>
      <c r="M28" s="188" t="s">
        <v>392</v>
      </c>
      <c r="S28" s="193">
        <v>11546352</v>
      </c>
    </row>
    <row r="29" spans="1:21" x14ac:dyDescent="0.2">
      <c r="A29" s="188"/>
      <c r="B29" s="188" t="s">
        <v>393</v>
      </c>
      <c r="G29" s="191"/>
      <c r="H29" s="194">
        <f>SUMIF(facilities!$C$6:$C$15,"&lt;0",facilities!$C$6:$C$15)</f>
        <v>0</v>
      </c>
      <c r="L29" s="188"/>
      <c r="M29" s="188" t="s">
        <v>394</v>
      </c>
      <c r="S29" s="195">
        <v>0</v>
      </c>
    </row>
    <row r="30" spans="1:21" x14ac:dyDescent="0.2">
      <c r="A30" s="188"/>
      <c r="B30" s="188" t="s">
        <v>395</v>
      </c>
      <c r="G30" s="191"/>
      <c r="H30" s="196">
        <f>SUMIF(facilities!$C$36:$C$106,"&lt;0",facilities!$C$36:$C$106)</f>
        <v>0</v>
      </c>
      <c r="L30" s="188"/>
      <c r="M30" s="188" t="s">
        <v>396</v>
      </c>
      <c r="S30" s="195">
        <v>424168.11756547092</v>
      </c>
    </row>
    <row r="31" spans="1:21" x14ac:dyDescent="0.2">
      <c r="L31" s="188"/>
      <c r="M31" s="188" t="s">
        <v>397</v>
      </c>
      <c r="S31" s="197">
        <f>SUM(ORA!D138:O138)+SUM(POJ!D138:O138)+SUM(ROJ!D138:O138)+SUM(FCOJ!D138:O138)</f>
        <v>116585546.62114304</v>
      </c>
    </row>
    <row r="32" spans="1:21" x14ac:dyDescent="0.2">
      <c r="A32" s="190" t="s">
        <v>398</v>
      </c>
      <c r="B32" s="188"/>
      <c r="G32" s="191"/>
      <c r="L32" s="188"/>
      <c r="M32" s="188" t="s">
        <v>399</v>
      </c>
      <c r="S32" s="118" t="s">
        <v>377</v>
      </c>
      <c r="T32" s="204">
        <f>SUM($S$28:$S$31)</f>
        <v>128556066.73870851</v>
      </c>
      <c r="U32" s="105" t="s">
        <v>378</v>
      </c>
    </row>
    <row r="33" spans="1:21" x14ac:dyDescent="0.2">
      <c r="A33" s="188"/>
      <c r="B33" s="188" t="s">
        <v>400</v>
      </c>
      <c r="G33" s="191"/>
      <c r="H33" s="192">
        <f>COUNTIF(facilities!$H$6:$H$15,"=new")</f>
        <v>0</v>
      </c>
      <c r="M33" s="188"/>
    </row>
    <row r="34" spans="1:21" x14ac:dyDescent="0.2">
      <c r="A34" s="188"/>
      <c r="B34" s="188" t="s">
        <v>401</v>
      </c>
      <c r="G34" s="191"/>
      <c r="H34" s="194">
        <f>COUNTIF(facilities!$H$36:$H$106,"=new")</f>
        <v>0</v>
      </c>
      <c r="L34" s="190" t="s">
        <v>402</v>
      </c>
      <c r="M34" s="188"/>
    </row>
    <row r="35" spans="1:21" x14ac:dyDescent="0.2">
      <c r="B35" s="188" t="s">
        <v>18</v>
      </c>
      <c r="H35" s="196">
        <f>SUMIF(facilities!$C$21:$C$30,"&gt;0",facilities!$C$21:$C$30)</f>
        <v>0</v>
      </c>
      <c r="L35" s="188"/>
      <c r="M35" s="188" t="s">
        <v>403</v>
      </c>
      <c r="S35" s="193">
        <v>35750000</v>
      </c>
    </row>
    <row r="36" spans="1:21" x14ac:dyDescent="0.2">
      <c r="L36" s="188"/>
      <c r="M36" s="188" t="s">
        <v>404</v>
      </c>
      <c r="S36" s="195">
        <f>H33*12000000-H38*70/100*12000000</f>
        <v>0</v>
      </c>
    </row>
    <row r="37" spans="1:21" x14ac:dyDescent="0.2">
      <c r="A37" s="190" t="s">
        <v>405</v>
      </c>
      <c r="L37" s="188"/>
      <c r="M37" s="188" t="s">
        <v>406</v>
      </c>
      <c r="S37" s="195">
        <f>H27*8000+H29*70/100*8000</f>
        <v>0</v>
      </c>
    </row>
    <row r="38" spans="1:21" x14ac:dyDescent="0.2">
      <c r="B38" s="188" t="s">
        <v>400</v>
      </c>
      <c r="H38" s="192">
        <f>COUNTIF(facilities!$H$6:$H$15,"=sold")</f>
        <v>0</v>
      </c>
      <c r="L38" s="188"/>
      <c r="M38" s="188" t="s">
        <v>407</v>
      </c>
      <c r="S38" s="195">
        <v>33997500</v>
      </c>
    </row>
    <row r="39" spans="1:21" x14ac:dyDescent="0.2">
      <c r="B39" s="188" t="s">
        <v>401</v>
      </c>
      <c r="H39" s="194">
        <f>COUNTIF(facilities!$H$36:$H$106,"=sold")</f>
        <v>0</v>
      </c>
      <c r="L39" s="188"/>
      <c r="M39" s="188" t="s">
        <v>408</v>
      </c>
      <c r="S39" s="195">
        <f>H34*9000000-H39*80/100*9000000</f>
        <v>0</v>
      </c>
    </row>
    <row r="40" spans="1:21" x14ac:dyDescent="0.2">
      <c r="B40" s="188" t="s">
        <v>18</v>
      </c>
      <c r="H40" s="196">
        <f>-SUMIF(facilities!$C$21:$C$30,"&lt;0",facilities!$C$21:$C$30)</f>
        <v>0</v>
      </c>
      <c r="L40" s="188"/>
      <c r="M40" s="188" t="s">
        <v>409</v>
      </c>
      <c r="S40" s="195">
        <f>H28*6000+H30*80/100*6000</f>
        <v>15600000</v>
      </c>
    </row>
    <row r="41" spans="1:21" x14ac:dyDescent="0.2">
      <c r="L41" s="188"/>
      <c r="M41" s="188" t="s">
        <v>410</v>
      </c>
      <c r="S41" s="195">
        <v>36310</v>
      </c>
    </row>
    <row r="42" spans="1:21" x14ac:dyDescent="0.2">
      <c r="L42" s="188"/>
      <c r="M42" s="188" t="s">
        <v>411</v>
      </c>
      <c r="S42" s="197">
        <f>H35*100000-H40*60/100*100000</f>
        <v>0</v>
      </c>
    </row>
    <row r="43" spans="1:21" x14ac:dyDescent="0.2">
      <c r="L43" s="188"/>
      <c r="M43" s="188" t="s">
        <v>412</v>
      </c>
      <c r="S43" s="182" t="s">
        <v>377</v>
      </c>
      <c r="T43" s="204">
        <f>SUM($S$35:$S$42)</f>
        <v>85383810</v>
      </c>
      <c r="U43" s="105" t="s">
        <v>378</v>
      </c>
    </row>
    <row r="44" spans="1:21" x14ac:dyDescent="0.2">
      <c r="L44" s="188"/>
      <c r="S44" s="115"/>
    </row>
    <row r="45" spans="1:21" ht="14.25" thickBot="1" x14ac:dyDescent="0.3">
      <c r="L45" s="205" t="s">
        <v>413</v>
      </c>
      <c r="M45" s="188"/>
      <c r="T45" s="206">
        <f>$T$11-$T$19-$T$25-$T$32-$T$43</f>
        <v>160511823.23479223</v>
      </c>
    </row>
    <row r="46" spans="1:21" ht="13.5" thickTop="1" x14ac:dyDescent="0.2">
      <c r="M46" s="188"/>
    </row>
    <row r="316" spans="1:1" x14ac:dyDescent="0.2">
      <c r="A316" s="184"/>
    </row>
    <row r="317" spans="1:1" x14ac:dyDescent="0.2">
      <c r="A317" s="184"/>
    </row>
    <row r="318" spans="1:1" x14ac:dyDescent="0.2">
      <c r="A318" s="184"/>
    </row>
    <row r="319" spans="1:1" x14ac:dyDescent="0.2">
      <c r="A319" s="184"/>
    </row>
    <row r="320" spans="1:1" x14ac:dyDescent="0.2">
      <c r="A320" s="184"/>
    </row>
    <row r="321" spans="1:1" x14ac:dyDescent="0.2">
      <c r="A321" s="184"/>
    </row>
    <row r="322" spans="1:1" x14ac:dyDescent="0.2">
      <c r="A322" s="184"/>
    </row>
    <row r="323" spans="1:1" x14ac:dyDescent="0.2">
      <c r="A323" s="184"/>
    </row>
    <row r="325" spans="1:1" x14ac:dyDescent="0.2">
      <c r="A325" s="184"/>
    </row>
    <row r="326" spans="1:1" x14ac:dyDescent="0.2">
      <c r="A326" s="184"/>
    </row>
    <row r="327" spans="1:1" x14ac:dyDescent="0.2">
      <c r="A327" s="184"/>
    </row>
    <row r="328" spans="1:1" x14ac:dyDescent="0.2">
      <c r="A328" s="184"/>
    </row>
    <row r="329" spans="1:1" x14ac:dyDescent="0.2">
      <c r="A329" s="184"/>
    </row>
    <row r="330" spans="1:1" x14ac:dyDescent="0.2">
      <c r="A330" s="184"/>
    </row>
    <row r="331" spans="1:1" x14ac:dyDescent="0.2">
      <c r="A331" s="184"/>
    </row>
    <row r="332" spans="1:1" x14ac:dyDescent="0.2">
      <c r="A332" s="184"/>
    </row>
    <row r="334" spans="1:1" x14ac:dyDescent="0.2">
      <c r="A334" s="184"/>
    </row>
    <row r="335" spans="1:1" x14ac:dyDescent="0.2">
      <c r="A335" s="184"/>
    </row>
    <row r="336" spans="1:1" x14ac:dyDescent="0.2">
      <c r="A336" s="184"/>
    </row>
    <row r="337" spans="1:1" x14ac:dyDescent="0.2">
      <c r="A337" s="184"/>
    </row>
    <row r="338" spans="1:1" x14ac:dyDescent="0.2">
      <c r="A338" s="184"/>
    </row>
    <row r="339" spans="1:1" x14ac:dyDescent="0.2">
      <c r="A339" s="184"/>
    </row>
    <row r="340" spans="1:1" x14ac:dyDescent="0.2">
      <c r="A340" s="184"/>
    </row>
    <row r="341" spans="1:1" x14ac:dyDescent="0.2">
      <c r="A341" s="184"/>
    </row>
    <row r="343" spans="1:1" x14ac:dyDescent="0.2">
      <c r="A343" s="184"/>
    </row>
    <row r="344" spans="1:1" x14ac:dyDescent="0.2">
      <c r="A344" s="184"/>
    </row>
    <row r="345" spans="1:1" x14ac:dyDescent="0.2">
      <c r="A345" s="184"/>
    </row>
    <row r="346" spans="1:1" x14ac:dyDescent="0.2">
      <c r="A346" s="184"/>
    </row>
    <row r="347" spans="1:1" x14ac:dyDescent="0.2">
      <c r="A347" s="184"/>
    </row>
    <row r="348" spans="1:1" x14ac:dyDescent="0.2">
      <c r="A348" s="184"/>
    </row>
    <row r="349" spans="1:1" x14ac:dyDescent="0.2">
      <c r="A349" s="184"/>
    </row>
    <row r="350" spans="1:1" x14ac:dyDescent="0.2">
      <c r="A350" s="184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51"/>
  <sheetViews>
    <sheetView topLeftCell="A26" workbookViewId="0">
      <selection activeCell="C38" sqref="C38:AX43"/>
    </sheetView>
  </sheetViews>
  <sheetFormatPr defaultRowHeight="12.75" x14ac:dyDescent="0.2"/>
  <cols>
    <col min="1" max="1" width="4.7109375" style="105" customWidth="1"/>
    <col min="2" max="2" width="15.7109375" style="105" customWidth="1"/>
    <col min="3" max="16384" width="9.140625" style="105"/>
  </cols>
  <sheetData>
    <row r="2" spans="2:14" x14ac:dyDescent="0.2">
      <c r="B2" s="107" t="s">
        <v>314</v>
      </c>
    </row>
    <row r="3" spans="2:14" x14ac:dyDescent="0.2">
      <c r="B3" s="108" t="s">
        <v>315</v>
      </c>
    </row>
    <row r="4" spans="2:14" x14ac:dyDescent="0.2">
      <c r="B4" s="175" t="s">
        <v>91</v>
      </c>
      <c r="C4" s="175" t="s">
        <v>92</v>
      </c>
      <c r="D4" s="175" t="s">
        <v>93</v>
      </c>
      <c r="E4" s="175" t="s">
        <v>94</v>
      </c>
      <c r="F4" s="175" t="s">
        <v>95</v>
      </c>
      <c r="G4" s="175" t="s">
        <v>96</v>
      </c>
      <c r="H4" s="175" t="s">
        <v>97</v>
      </c>
      <c r="I4" s="175" t="s">
        <v>98</v>
      </c>
      <c r="J4" s="175" t="s">
        <v>99</v>
      </c>
      <c r="K4" s="175" t="s">
        <v>100</v>
      </c>
      <c r="L4" s="175" t="s">
        <v>101</v>
      </c>
      <c r="M4" s="175" t="s">
        <v>102</v>
      </c>
      <c r="N4" s="175" t="s">
        <v>103</v>
      </c>
    </row>
    <row r="5" spans="2:14" x14ac:dyDescent="0.2">
      <c r="B5" s="176" t="s">
        <v>104</v>
      </c>
      <c r="C5" s="105">
        <v>0.71060368199849466</v>
      </c>
      <c r="D5" s="105">
        <v>0.58788585725100873</v>
      </c>
      <c r="E5" s="105">
        <v>0.56972918737271883</v>
      </c>
      <c r="F5" s="105">
        <v>0.54439693343325901</v>
      </c>
      <c r="G5" s="105">
        <v>0.72952909970364899</v>
      </c>
      <c r="H5" s="105">
        <v>0.66734159529960757</v>
      </c>
      <c r="I5" s="105">
        <v>0.59601210318062392</v>
      </c>
      <c r="J5" s="105">
        <v>0.55686480400063498</v>
      </c>
      <c r="K5" s="105">
        <v>0.6828572057235911</v>
      </c>
      <c r="L5" s="105">
        <v>0.57962181539365787</v>
      </c>
      <c r="M5" s="105">
        <v>0.66863733209554477</v>
      </c>
      <c r="N5" s="105">
        <v>0.76460769362210668</v>
      </c>
    </row>
    <row r="6" spans="2:14" x14ac:dyDescent="0.2">
      <c r="B6" s="176" t="s">
        <v>105</v>
      </c>
      <c r="C6" s="105">
        <v>0.74516661105013149</v>
      </c>
      <c r="D6" s="105">
        <v>0.64840027890040319</v>
      </c>
      <c r="E6" s="105">
        <v>0.73347716953420583</v>
      </c>
      <c r="F6" s="105">
        <v>0.77530446017151322</v>
      </c>
      <c r="G6" s="105">
        <v>0.68101589595086631</v>
      </c>
      <c r="H6" s="105">
        <v>0.76700135002224845</v>
      </c>
      <c r="I6" s="105">
        <v>0.71439045873997331</v>
      </c>
      <c r="J6" s="105">
        <v>0.69672427996854092</v>
      </c>
      <c r="K6" s="105">
        <v>0.63121317495090612</v>
      </c>
      <c r="L6" s="105">
        <v>0.69694938832868958</v>
      </c>
      <c r="M6" s="105">
        <v>0.67746068919379565</v>
      </c>
      <c r="N6" s="105">
        <v>0.66236035613227018</v>
      </c>
    </row>
    <row r="7" spans="2:14" x14ac:dyDescent="0.2">
      <c r="B7" s="176" t="s">
        <v>106</v>
      </c>
      <c r="C7" s="105">
        <v>0.87273469991017194</v>
      </c>
      <c r="D7" s="105">
        <v>0.77471746999108404</v>
      </c>
      <c r="E7" s="105">
        <v>0.69752383796736972</v>
      </c>
      <c r="F7" s="105">
        <v>0.68285566087062366</v>
      </c>
      <c r="G7" s="105">
        <v>0.68768523567204232</v>
      </c>
      <c r="H7" s="105">
        <v>0.75349095786910036</v>
      </c>
      <c r="I7" s="105">
        <v>0.71597746515357652</v>
      </c>
      <c r="J7" s="105">
        <v>0.80950264012737994</v>
      </c>
      <c r="K7" s="105">
        <v>0.85208113510673755</v>
      </c>
      <c r="L7" s="105">
        <v>0.723093245697081</v>
      </c>
      <c r="M7" s="105">
        <v>0.88336123391544863</v>
      </c>
      <c r="N7" s="105">
        <v>0.83074553577707555</v>
      </c>
    </row>
    <row r="8" spans="2:14" x14ac:dyDescent="0.2">
      <c r="B8" s="176" t="s">
        <v>107</v>
      </c>
      <c r="C8" s="105">
        <v>0.66885449134733188</v>
      </c>
      <c r="D8" s="105">
        <v>0.64653164962386378</v>
      </c>
      <c r="E8" s="105">
        <v>0.66162964612504449</v>
      </c>
      <c r="F8" s="105">
        <v>0.73412941964238376</v>
      </c>
      <c r="G8" s="105">
        <v>0.68068229118744406</v>
      </c>
      <c r="H8" s="105">
        <v>0.63295064599448048</v>
      </c>
      <c r="I8" s="105">
        <v>0.67107293456153139</v>
      </c>
      <c r="J8" s="105">
        <v>1.0657739830332196</v>
      </c>
      <c r="K8" s="105">
        <v>0.67410662940990196</v>
      </c>
      <c r="L8" s="105">
        <v>0.74518884784105643</v>
      </c>
      <c r="M8" s="105">
        <v>0.96612941829591992</v>
      </c>
      <c r="N8" s="105">
        <v>0.74517792647017023</v>
      </c>
    </row>
    <row r="9" spans="2:14" x14ac:dyDescent="0.2">
      <c r="B9" s="176" t="s">
        <v>108</v>
      </c>
      <c r="C9" s="105">
        <v>2.0346241569519044</v>
      </c>
      <c r="D9" s="105">
        <v>2.0636158740520476</v>
      </c>
      <c r="E9" s="105">
        <v>2.0609363770484923</v>
      </c>
      <c r="F9" s="105">
        <v>2.0348379051685335</v>
      </c>
      <c r="G9" s="105">
        <v>2.0592942094802855</v>
      </c>
      <c r="H9" s="105">
        <v>2.0161926305294036</v>
      </c>
      <c r="I9" s="105">
        <v>2.0484453654289245</v>
      </c>
      <c r="J9" s="105">
        <v>2.0615931665897369</v>
      </c>
      <c r="K9" s="105">
        <v>2.0361817455291749</v>
      </c>
      <c r="L9" s="105">
        <v>2.0390700614452362</v>
      </c>
      <c r="M9" s="105">
        <v>2.0441929554939269</v>
      </c>
      <c r="N9" s="105">
        <v>2.1062107479572298</v>
      </c>
    </row>
    <row r="10" spans="2:14" x14ac:dyDescent="0.2">
      <c r="B10" s="176" t="s">
        <v>109</v>
      </c>
      <c r="C10" s="105">
        <v>0.62174794673919676</v>
      </c>
      <c r="D10" s="105">
        <v>0.67911462187767035</v>
      </c>
      <c r="E10" s="105">
        <v>0.69882978200912482</v>
      </c>
      <c r="F10" s="105">
        <v>0.68298874497413642</v>
      </c>
      <c r="G10" s="105">
        <v>0.64434852600097658</v>
      </c>
      <c r="H10" s="105">
        <v>0.68750917315483095</v>
      </c>
      <c r="I10" s="105">
        <v>0.67005726099014284</v>
      </c>
      <c r="J10" s="105">
        <v>0.60507290959358218</v>
      </c>
      <c r="K10" s="105">
        <v>0.69579622745513914</v>
      </c>
      <c r="L10" s="105">
        <v>0.60506548285484318</v>
      </c>
      <c r="M10" s="105">
        <v>0.6266900897026062</v>
      </c>
      <c r="N10" s="105">
        <v>0.63226915001869199</v>
      </c>
    </row>
    <row r="11" spans="2:14" x14ac:dyDescent="0.2">
      <c r="B11" s="177"/>
      <c r="C11" s="106"/>
      <c r="D11" s="106"/>
      <c r="E11" s="106"/>
      <c r="F11" s="106"/>
      <c r="G11" s="106"/>
    </row>
    <row r="12" spans="2:14" x14ac:dyDescent="0.2">
      <c r="B12" s="109" t="s">
        <v>316</v>
      </c>
      <c r="C12" s="106"/>
      <c r="D12" s="106"/>
      <c r="E12" s="106"/>
      <c r="F12" s="106"/>
      <c r="G12" s="106"/>
    </row>
    <row r="13" spans="2:14" x14ac:dyDescent="0.2">
      <c r="B13" s="176" t="s">
        <v>317</v>
      </c>
      <c r="C13" s="176" t="s">
        <v>92</v>
      </c>
      <c r="D13" s="176" t="s">
        <v>93</v>
      </c>
      <c r="E13" s="175" t="s">
        <v>94</v>
      </c>
      <c r="F13" s="175" t="s">
        <v>95</v>
      </c>
      <c r="G13" s="175" t="s">
        <v>96</v>
      </c>
      <c r="H13" s="175" t="s">
        <v>97</v>
      </c>
      <c r="I13" s="175" t="s">
        <v>98</v>
      </c>
      <c r="J13" s="175" t="s">
        <v>99</v>
      </c>
      <c r="K13" s="175" t="s">
        <v>100</v>
      </c>
      <c r="L13" s="175" t="s">
        <v>101</v>
      </c>
      <c r="M13" s="175" t="s">
        <v>102</v>
      </c>
      <c r="N13" s="175" t="s">
        <v>103</v>
      </c>
    </row>
    <row r="14" spans="2:14" x14ac:dyDescent="0.2">
      <c r="B14" s="175" t="s">
        <v>318</v>
      </c>
      <c r="C14" s="106">
        <v>0.31771439095431936</v>
      </c>
      <c r="D14" s="106">
        <v>0.31889370661536615</v>
      </c>
      <c r="E14" s="106">
        <v>0.32006970389762912</v>
      </c>
      <c r="F14" s="106">
        <v>0.32123907375963617</v>
      </c>
      <c r="G14" s="106">
        <v>0.3223985258082645</v>
      </c>
      <c r="H14" s="105">
        <v>0.32354479755730625</v>
      </c>
      <c r="I14" s="105">
        <v>0.32467466360750824</v>
      </c>
      <c r="J14" s="105">
        <v>0.325784944722256</v>
      </c>
      <c r="K14" s="105">
        <v>0.32687251677336499</v>
      </c>
      <c r="L14" s="105">
        <v>0.32793431953180618</v>
      </c>
      <c r="M14" s="105">
        <v>0.32896736527863163</v>
      </c>
      <c r="N14" s="105">
        <v>0.32996874721186953</v>
      </c>
    </row>
    <row r="15" spans="2:14" x14ac:dyDescent="0.2">
      <c r="B15" s="175" t="s">
        <v>319</v>
      </c>
      <c r="C15" s="105">
        <v>1.1743297908781802</v>
      </c>
      <c r="D15" s="105">
        <v>1.1774433364152281</v>
      </c>
      <c r="E15" s="105">
        <v>1.1805481210040469</v>
      </c>
      <c r="F15" s="105">
        <v>1.1836354083481142</v>
      </c>
      <c r="G15" s="105">
        <v>1.1866965113849581</v>
      </c>
      <c r="H15" s="105">
        <v>1.1897228167299625</v>
      </c>
      <c r="I15" s="105">
        <v>1.1927058089128579</v>
      </c>
      <c r="J15" s="105">
        <v>1.195637094338698</v>
      </c>
      <c r="K15" s="105">
        <v>1.1985084249059039</v>
      </c>
      <c r="L15" s="105">
        <v>1.201311721214914</v>
      </c>
      <c r="M15" s="105">
        <v>1.2040390953021365</v>
      </c>
      <c r="N15" s="105">
        <v>1.2066828728352406</v>
      </c>
    </row>
    <row r="16" spans="2:14" x14ac:dyDescent="0.2">
      <c r="B16" s="106"/>
    </row>
    <row r="17" spans="2:14" x14ac:dyDescent="0.2">
      <c r="B17" s="108" t="s">
        <v>320</v>
      </c>
    </row>
    <row r="18" spans="2:14" x14ac:dyDescent="0.2">
      <c r="B18" s="104" t="s">
        <v>91</v>
      </c>
      <c r="C18" s="104" t="s">
        <v>92</v>
      </c>
      <c r="D18" s="104" t="s">
        <v>93</v>
      </c>
      <c r="E18" s="104" t="s">
        <v>94</v>
      </c>
      <c r="F18" s="104" t="s">
        <v>95</v>
      </c>
      <c r="G18" s="104" t="s">
        <v>96</v>
      </c>
      <c r="H18" s="104" t="s">
        <v>97</v>
      </c>
      <c r="I18" s="104" t="s">
        <v>98</v>
      </c>
      <c r="J18" s="104" t="s">
        <v>99</v>
      </c>
      <c r="K18" s="104" t="s">
        <v>100</v>
      </c>
      <c r="L18" s="104" t="s">
        <v>101</v>
      </c>
      <c r="M18" s="104" t="s">
        <v>102</v>
      </c>
      <c r="N18" s="104" t="s">
        <v>103</v>
      </c>
    </row>
    <row r="19" spans="2:14" x14ac:dyDescent="0.2">
      <c r="B19" s="178" t="s">
        <v>104</v>
      </c>
      <c r="C19" s="105">
        <f>C5</f>
        <v>0.71060368199849466</v>
      </c>
      <c r="D19" s="105">
        <f t="shared" ref="D19:N20" si="0">D5</f>
        <v>0.58788585725100873</v>
      </c>
      <c r="E19" s="105">
        <f t="shared" si="0"/>
        <v>0.56972918737271883</v>
      </c>
      <c r="F19" s="105">
        <f t="shared" si="0"/>
        <v>0.54439693343325901</v>
      </c>
      <c r="G19" s="105">
        <f t="shared" si="0"/>
        <v>0.72952909970364899</v>
      </c>
      <c r="H19" s="105">
        <f t="shared" si="0"/>
        <v>0.66734159529960757</v>
      </c>
      <c r="I19" s="105">
        <f t="shared" si="0"/>
        <v>0.59601210318062392</v>
      </c>
      <c r="J19" s="105">
        <f t="shared" si="0"/>
        <v>0.55686480400063498</v>
      </c>
      <c r="K19" s="105">
        <f t="shared" si="0"/>
        <v>0.6828572057235911</v>
      </c>
      <c r="L19" s="105">
        <f t="shared" si="0"/>
        <v>0.57962181539365787</v>
      </c>
      <c r="M19" s="105">
        <f t="shared" si="0"/>
        <v>0.66863733209554477</v>
      </c>
      <c r="N19" s="105">
        <f t="shared" si="0"/>
        <v>0.76460769362210668</v>
      </c>
    </row>
    <row r="20" spans="2:14" x14ac:dyDescent="0.2">
      <c r="B20" s="178" t="s">
        <v>105</v>
      </c>
      <c r="C20" s="105">
        <f>C6</f>
        <v>0.74516661105013149</v>
      </c>
      <c r="D20" s="105">
        <f t="shared" si="0"/>
        <v>0.64840027890040319</v>
      </c>
      <c r="E20" s="105">
        <f t="shared" si="0"/>
        <v>0.73347716953420583</v>
      </c>
      <c r="F20" s="105">
        <f t="shared" si="0"/>
        <v>0.77530446017151322</v>
      </c>
      <c r="G20" s="105">
        <f t="shared" si="0"/>
        <v>0.68101589595086631</v>
      </c>
      <c r="H20" s="105">
        <f t="shared" si="0"/>
        <v>0.76700135002224845</v>
      </c>
      <c r="I20" s="105">
        <f t="shared" si="0"/>
        <v>0.71439045873997331</v>
      </c>
      <c r="J20" s="105">
        <f t="shared" si="0"/>
        <v>0.69672427996854092</v>
      </c>
      <c r="K20" s="105">
        <f t="shared" si="0"/>
        <v>0.63121317495090612</v>
      </c>
      <c r="L20" s="105">
        <f t="shared" si="0"/>
        <v>0.69694938832868958</v>
      </c>
      <c r="M20" s="105">
        <f t="shared" si="0"/>
        <v>0.67746068919379565</v>
      </c>
      <c r="N20" s="105">
        <f t="shared" si="0"/>
        <v>0.66236035613227018</v>
      </c>
    </row>
    <row r="21" spans="2:14" x14ac:dyDescent="0.2">
      <c r="B21" s="178" t="s">
        <v>106</v>
      </c>
      <c r="C21" s="105">
        <f t="shared" ref="C21:N22" si="1">C7</f>
        <v>0.87273469991017194</v>
      </c>
      <c r="D21" s="105">
        <f t="shared" si="1"/>
        <v>0.77471746999108404</v>
      </c>
      <c r="E21" s="105">
        <f t="shared" si="1"/>
        <v>0.69752383796736972</v>
      </c>
      <c r="F21" s="105">
        <f t="shared" si="1"/>
        <v>0.68285566087062366</v>
      </c>
      <c r="G21" s="105">
        <f t="shared" si="1"/>
        <v>0.68768523567204232</v>
      </c>
      <c r="H21" s="105">
        <f t="shared" si="1"/>
        <v>0.75349095786910036</v>
      </c>
      <c r="I21" s="105">
        <f t="shared" si="1"/>
        <v>0.71597746515357652</v>
      </c>
      <c r="J21" s="105">
        <f t="shared" si="1"/>
        <v>0.80950264012737994</v>
      </c>
      <c r="K21" s="105">
        <f t="shared" si="1"/>
        <v>0.85208113510673755</v>
      </c>
      <c r="L21" s="105">
        <f t="shared" si="1"/>
        <v>0.723093245697081</v>
      </c>
      <c r="M21" s="105">
        <f t="shared" si="1"/>
        <v>0.88336123391544863</v>
      </c>
      <c r="N21" s="105">
        <f t="shared" si="1"/>
        <v>0.83074553577707555</v>
      </c>
    </row>
    <row r="22" spans="2:14" x14ac:dyDescent="0.2">
      <c r="B22" s="178" t="s">
        <v>107</v>
      </c>
      <c r="C22" s="105">
        <f t="shared" si="1"/>
        <v>0.66885449134733188</v>
      </c>
      <c r="D22" s="105">
        <f t="shared" si="1"/>
        <v>0.64653164962386378</v>
      </c>
      <c r="E22" s="105">
        <f t="shared" si="1"/>
        <v>0.66162964612504449</v>
      </c>
      <c r="F22" s="105">
        <f t="shared" si="1"/>
        <v>0.73412941964238376</v>
      </c>
      <c r="G22" s="105">
        <f t="shared" si="1"/>
        <v>0.68068229118744406</v>
      </c>
      <c r="H22" s="105">
        <f t="shared" si="1"/>
        <v>0.63295064599448048</v>
      </c>
      <c r="I22" s="105">
        <f t="shared" si="1"/>
        <v>0.67107293456153139</v>
      </c>
      <c r="J22" s="105">
        <f t="shared" si="1"/>
        <v>1.0657739830332196</v>
      </c>
      <c r="K22" s="105">
        <f t="shared" si="1"/>
        <v>0.67410662940990196</v>
      </c>
      <c r="L22" s="105">
        <f t="shared" si="1"/>
        <v>0.74518884784105643</v>
      </c>
      <c r="M22" s="105">
        <f t="shared" si="1"/>
        <v>0.96612941829591992</v>
      </c>
      <c r="N22" s="105">
        <f t="shared" si="1"/>
        <v>0.74517792647017023</v>
      </c>
    </row>
    <row r="23" spans="2:14" x14ac:dyDescent="0.2">
      <c r="B23" s="178" t="s">
        <v>108</v>
      </c>
      <c r="C23" s="105">
        <f>C9*C14</f>
        <v>0.64642937484691976</v>
      </c>
      <c r="D23" s="105">
        <f t="shared" ref="D23:N24" si="2">D9*D14</f>
        <v>0.65807411510676606</v>
      </c>
      <c r="E23" s="105">
        <f t="shared" si="2"/>
        <v>0.65964329595376348</v>
      </c>
      <c r="F23" s="105">
        <f t="shared" si="2"/>
        <v>0.65366944390733805</v>
      </c>
      <c r="G23" s="105">
        <f t="shared" si="2"/>
        <v>0.66391341734193943</v>
      </c>
      <c r="H23" s="105">
        <f t="shared" si="2"/>
        <v>0.65232863648116868</v>
      </c>
      <c r="I23" s="105">
        <f t="shared" si="2"/>
        <v>0.66507830993899542</v>
      </c>
      <c r="J23" s="105">
        <f t="shared" si="2"/>
        <v>0.6716360158172181</v>
      </c>
      <c r="K23" s="105">
        <f t="shared" si="2"/>
        <v>0.66557185176910483</v>
      </c>
      <c r="L23" s="105">
        <f t="shared" si="2"/>
        <v>0.66868105307772174</v>
      </c>
      <c r="M23" s="105">
        <f t="shared" si="2"/>
        <v>0.67247277068997624</v>
      </c>
      <c r="N23" s="105">
        <f t="shared" si="2"/>
        <v>0.69498372186762181</v>
      </c>
    </row>
    <row r="24" spans="2:14" x14ac:dyDescent="0.2">
      <c r="B24" s="178" t="s">
        <v>109</v>
      </c>
      <c r="C24" s="105">
        <f>C10*C15</f>
        <v>0.73013713627317889</v>
      </c>
      <c r="D24" s="105">
        <f t="shared" si="2"/>
        <v>0.79961898619201022</v>
      </c>
      <c r="E24" s="105">
        <f t="shared" si="2"/>
        <v>0.82500218605254005</v>
      </c>
      <c r="F24" s="105">
        <f t="shared" si="2"/>
        <v>0.80840966205462794</v>
      </c>
      <c r="G24" s="105">
        <f t="shared" si="2"/>
        <v>0.76464614792139884</v>
      </c>
      <c r="H24" s="105">
        <f t="shared" si="2"/>
        <v>0.81794535001345303</v>
      </c>
      <c r="I24" s="105">
        <f t="shared" si="2"/>
        <v>0.79918118748718225</v>
      </c>
      <c r="J24" s="105">
        <f t="shared" si="2"/>
        <v>0.72344761548953229</v>
      </c>
      <c r="K24" s="105">
        <f t="shared" si="2"/>
        <v>0.83391764062272888</v>
      </c>
      <c r="L24" s="105">
        <f t="shared" si="2"/>
        <v>0.72687225665608468</v>
      </c>
      <c r="M24" s="105">
        <f t="shared" si="2"/>
        <v>0.75455936864034068</v>
      </c>
      <c r="N24" s="105">
        <f t="shared" si="2"/>
        <v>0.76294835434965091</v>
      </c>
    </row>
    <row r="25" spans="2:14" x14ac:dyDescent="0.2">
      <c r="B25" s="177"/>
    </row>
    <row r="26" spans="2:14" x14ac:dyDescent="0.2">
      <c r="B26" s="109" t="s">
        <v>321</v>
      </c>
    </row>
    <row r="27" spans="2:14" x14ac:dyDescent="0.2">
      <c r="B27" s="104" t="s">
        <v>322</v>
      </c>
      <c r="C27" s="104" t="s">
        <v>92</v>
      </c>
      <c r="D27" s="104" t="s">
        <v>93</v>
      </c>
      <c r="E27" s="104" t="s">
        <v>94</v>
      </c>
      <c r="F27" s="104" t="s">
        <v>95</v>
      </c>
      <c r="G27" s="104" t="s">
        <v>96</v>
      </c>
      <c r="H27" s="104" t="s">
        <v>97</v>
      </c>
      <c r="I27" s="104" t="s">
        <v>98</v>
      </c>
      <c r="J27" s="104" t="s">
        <v>99</v>
      </c>
      <c r="K27" s="104" t="s">
        <v>100</v>
      </c>
      <c r="L27" s="104" t="s">
        <v>101</v>
      </c>
      <c r="M27" s="104" t="s">
        <v>102</v>
      </c>
      <c r="N27" s="104" t="s">
        <v>103</v>
      </c>
    </row>
    <row r="28" spans="2:14" x14ac:dyDescent="0.2">
      <c r="B28" s="104" t="s">
        <v>104</v>
      </c>
      <c r="C28" s="105">
        <f>IF(C19&lt;=raw_materials!$D17,raw_materials!$C17,IF(C19&lt;=raw_materials!$F17,raw_materials!$E17,IF(C19&lt;=raw_materials!$H17,raw_materials!$G17,0)))</f>
        <v>1</v>
      </c>
      <c r="D28" s="105">
        <f>IF(D19&lt;=raw_materials!$D17,raw_materials!$C17,IF(D19&lt;=raw_materials!$F17,raw_materials!$E17,IF(D19&lt;=raw_materials!$H17,raw_materials!$G17,0)))</f>
        <v>1</v>
      </c>
      <c r="E28" s="105">
        <f>IF(E19&lt;=raw_materials!$D17,raw_materials!$C17,IF(E19&lt;=raw_materials!$F17,raw_materials!$E17,IF(E19&lt;=raw_materials!$H17,raw_materials!$G17,0)))</f>
        <v>1</v>
      </c>
      <c r="F28" s="105">
        <f>IF(F19&lt;=raw_materials!$D17,raw_materials!$C17,IF(F19&lt;=raw_materials!$F17,raw_materials!$E17,IF(F19&lt;=raw_materials!$H17,raw_materials!$G17,0)))</f>
        <v>1</v>
      </c>
      <c r="G28" s="105">
        <f>IF(G19&lt;=raw_materials!$D17,raw_materials!$C17,IF(G19&lt;=raw_materials!$F17,raw_materials!$E17,IF(G19&lt;=raw_materials!$H17,raw_materials!$G17,0)))</f>
        <v>1</v>
      </c>
      <c r="H28" s="105">
        <f>IF(H19&lt;=raw_materials!$D17,raw_materials!$C17,IF(H19&lt;=raw_materials!$F17,raw_materials!$E17,IF(H19&lt;=raw_materials!$H17,raw_materials!$G17,0)))</f>
        <v>1</v>
      </c>
      <c r="I28" s="105">
        <f>IF(I19&lt;=raw_materials!$D17,raw_materials!$C17,IF(I19&lt;=raw_materials!$F17,raw_materials!$E17,IF(I19&lt;=raw_materials!$H17,raw_materials!$G17,0)))</f>
        <v>1</v>
      </c>
      <c r="J28" s="105">
        <f>IF(J19&lt;=raw_materials!$D17,raw_materials!$C17,IF(J19&lt;=raw_materials!$F17,raw_materials!$E17,IF(J19&lt;=raw_materials!$H17,raw_materials!$G17,0)))</f>
        <v>1</v>
      </c>
      <c r="K28" s="105">
        <f>IF(K19&lt;=raw_materials!$D17,raw_materials!$C17,IF(K19&lt;=raw_materials!$F17,raw_materials!$E17,IF(K19&lt;=raw_materials!$H17,raw_materials!$G17,0)))</f>
        <v>1</v>
      </c>
      <c r="L28" s="105">
        <f>IF(L19&lt;=raw_materials!$D17,raw_materials!$C17,IF(L19&lt;=raw_materials!$F17,raw_materials!$E17,IF(L19&lt;=raw_materials!$H17,raw_materials!$G17,0)))</f>
        <v>1</v>
      </c>
      <c r="M28" s="105">
        <f>IF(M19&lt;=raw_materials!$D17,raw_materials!$C17,IF(M19&lt;=raw_materials!$F17,raw_materials!$E17,IF(M19&lt;=raw_materials!$H17,raw_materials!$G17,0)))</f>
        <v>1</v>
      </c>
      <c r="N28" s="105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04" t="s">
        <v>105</v>
      </c>
      <c r="C29" s="105">
        <f>IF(C20&lt;=raw_materials!$D18,raw_materials!$C18,IF(C20&lt;=raw_materials!$F18,raw_materials!$E18,IF(C20&lt;=raw_materials!$H18,raw_materials!$G18,0)))</f>
        <v>1</v>
      </c>
      <c r="D29" s="105">
        <f>IF(D20&lt;=raw_materials!$D18,raw_materials!$C18,IF(D20&lt;=raw_materials!$F18,raw_materials!$E18,IF(D20&lt;=raw_materials!$H18,raw_materials!$G18,0)))</f>
        <v>1</v>
      </c>
      <c r="E29" s="105">
        <f>IF(E20&lt;=raw_materials!$D18,raw_materials!$C18,IF(E20&lt;=raw_materials!$F18,raw_materials!$E18,IF(E20&lt;=raw_materials!$H18,raw_materials!$G18,0)))</f>
        <v>1</v>
      </c>
      <c r="F29" s="105">
        <f>IF(F20&lt;=raw_materials!$D18,raw_materials!$C18,IF(F20&lt;=raw_materials!$F18,raw_materials!$E18,IF(F20&lt;=raw_materials!$H18,raw_materials!$G18,0)))</f>
        <v>1</v>
      </c>
      <c r="G29" s="105">
        <f>IF(G20&lt;=raw_materials!$D18,raw_materials!$C18,IF(G20&lt;=raw_materials!$F18,raw_materials!$E18,IF(G20&lt;=raw_materials!$H18,raw_materials!$G18,0)))</f>
        <v>1</v>
      </c>
      <c r="H29" s="105">
        <f>IF(H20&lt;=raw_materials!$D18,raw_materials!$C18,IF(H20&lt;=raw_materials!$F18,raw_materials!$E18,IF(H20&lt;=raw_materials!$H18,raw_materials!$G18,0)))</f>
        <v>1</v>
      </c>
      <c r="I29" s="105">
        <f>IF(I20&lt;=raw_materials!$D18,raw_materials!$C18,IF(I20&lt;=raw_materials!$F18,raw_materials!$E18,IF(I20&lt;=raw_materials!$H18,raw_materials!$G18,0)))</f>
        <v>1</v>
      </c>
      <c r="J29" s="105">
        <f>IF(J20&lt;=raw_materials!$D18,raw_materials!$C18,IF(J20&lt;=raw_materials!$F18,raw_materials!$E18,IF(J20&lt;=raw_materials!$H18,raw_materials!$G18,0)))</f>
        <v>1</v>
      </c>
      <c r="K29" s="105">
        <f>IF(K20&lt;=raw_materials!$D18,raw_materials!$C18,IF(K20&lt;=raw_materials!$F18,raw_materials!$E18,IF(K20&lt;=raw_materials!$H18,raw_materials!$G18,0)))</f>
        <v>1</v>
      </c>
      <c r="L29" s="105">
        <f>IF(L20&lt;=raw_materials!$D18,raw_materials!$C18,IF(L20&lt;=raw_materials!$F18,raw_materials!$E18,IF(L20&lt;=raw_materials!$H18,raw_materials!$G18,0)))</f>
        <v>1</v>
      </c>
      <c r="M29" s="105">
        <f>IF(M20&lt;=raw_materials!$D18,raw_materials!$C18,IF(M20&lt;=raw_materials!$F18,raw_materials!$E18,IF(M20&lt;=raw_materials!$H18,raw_materials!$G18,0)))</f>
        <v>1</v>
      </c>
      <c r="N29" s="105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4" t="s">
        <v>106</v>
      </c>
      <c r="C30" s="105">
        <f>IF(C21&lt;=raw_materials!$D19,raw_materials!$C19,IF(C21&lt;=raw_materials!$F19,raw_materials!$E19,IF(C21&lt;=raw_materials!$H19,raw_materials!$G19,0)))</f>
        <v>1</v>
      </c>
      <c r="D30" s="105">
        <f>IF(D21&lt;=raw_materials!$D19,raw_materials!$C19,IF(D21&lt;=raw_materials!$F19,raw_materials!$E19,IF(D21&lt;=raw_materials!$H19,raw_materials!$G19,0)))</f>
        <v>1</v>
      </c>
      <c r="E30" s="105">
        <f>IF(E21&lt;=raw_materials!$D19,raw_materials!$C19,IF(E21&lt;=raw_materials!$F19,raw_materials!$E19,IF(E21&lt;=raw_materials!$H19,raw_materials!$G19,0)))</f>
        <v>1</v>
      </c>
      <c r="F30" s="105">
        <f>IF(F21&lt;=raw_materials!$D19,raw_materials!$C19,IF(F21&lt;=raw_materials!$F19,raw_materials!$E19,IF(F21&lt;=raw_materials!$H19,raw_materials!$G19,0)))</f>
        <v>1</v>
      </c>
      <c r="G30" s="105">
        <f>IF(G21&lt;=raw_materials!$D19,raw_materials!$C19,IF(G21&lt;=raw_materials!$F19,raw_materials!$E19,IF(G21&lt;=raw_materials!$H19,raw_materials!$G19,0)))</f>
        <v>1</v>
      </c>
      <c r="H30" s="105">
        <f>IF(H21&lt;=raw_materials!$D19,raw_materials!$C19,IF(H21&lt;=raw_materials!$F19,raw_materials!$E19,IF(H21&lt;=raw_materials!$H19,raw_materials!$G19,0)))</f>
        <v>1</v>
      </c>
      <c r="I30" s="105">
        <f>IF(I21&lt;=raw_materials!$D19,raw_materials!$C19,IF(I21&lt;=raw_materials!$F19,raw_materials!$E19,IF(I21&lt;=raw_materials!$H19,raw_materials!$G19,0)))</f>
        <v>1</v>
      </c>
      <c r="J30" s="105">
        <f>IF(J21&lt;=raw_materials!$D19,raw_materials!$C19,IF(J21&lt;=raw_materials!$F19,raw_materials!$E19,IF(J21&lt;=raw_materials!$H19,raw_materials!$G19,0)))</f>
        <v>1</v>
      </c>
      <c r="K30" s="105">
        <f>IF(K21&lt;=raw_materials!$D19,raw_materials!$C19,IF(K21&lt;=raw_materials!$F19,raw_materials!$E19,IF(K21&lt;=raw_materials!$H19,raw_materials!$G19,0)))</f>
        <v>1</v>
      </c>
      <c r="L30" s="105">
        <f>IF(L21&lt;=raw_materials!$D19,raw_materials!$C19,IF(L21&lt;=raw_materials!$F19,raw_materials!$E19,IF(L21&lt;=raw_materials!$H19,raw_materials!$G19,0)))</f>
        <v>1</v>
      </c>
      <c r="M30" s="105">
        <f>IF(M21&lt;=raw_materials!$D19,raw_materials!$C19,IF(M21&lt;=raw_materials!$F19,raw_materials!$E19,IF(M21&lt;=raw_materials!$H19,raw_materials!$G19,0)))</f>
        <v>1</v>
      </c>
      <c r="N30" s="105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4" t="s">
        <v>107</v>
      </c>
      <c r="C31" s="105">
        <f>IF(C22&lt;=raw_materials!$D20,raw_materials!$C20,IF(C22&lt;=raw_materials!$F20,raw_materials!$E20,IF(C22&lt;=raw_materials!$H20,raw_materials!$G20,0)))</f>
        <v>1</v>
      </c>
      <c r="D31" s="105">
        <f>IF(D22&lt;=raw_materials!$D20,raw_materials!$C20,IF(D22&lt;=raw_materials!$F20,raw_materials!$E20,IF(D22&lt;=raw_materials!$H20,raw_materials!$G20,0)))</f>
        <v>1</v>
      </c>
      <c r="E31" s="105">
        <f>IF(E22&lt;=raw_materials!$D20,raw_materials!$C20,IF(E22&lt;=raw_materials!$F20,raw_materials!$E20,IF(E22&lt;=raw_materials!$H20,raw_materials!$G20,0)))</f>
        <v>1</v>
      </c>
      <c r="F31" s="105">
        <f>IF(F22&lt;=raw_materials!$D20,raw_materials!$C20,IF(F22&lt;=raw_materials!$F20,raw_materials!$E20,IF(F22&lt;=raw_materials!$H20,raw_materials!$G20,0)))</f>
        <v>1</v>
      </c>
      <c r="G31" s="105">
        <f>IF(G22&lt;=raw_materials!$D20,raw_materials!$C20,IF(G22&lt;=raw_materials!$F20,raw_materials!$E20,IF(G22&lt;=raw_materials!$H20,raw_materials!$G20,0)))</f>
        <v>1</v>
      </c>
      <c r="H31" s="105">
        <f>IF(H22&lt;=raw_materials!$D20,raw_materials!$C20,IF(H22&lt;=raw_materials!$F20,raw_materials!$E20,IF(H22&lt;=raw_materials!$H20,raw_materials!$G20,0)))</f>
        <v>1</v>
      </c>
      <c r="I31" s="105">
        <f>IF(I22&lt;=raw_materials!$D20,raw_materials!$C20,IF(I22&lt;=raw_materials!$F20,raw_materials!$E20,IF(I22&lt;=raw_materials!$H20,raw_materials!$G20,0)))</f>
        <v>1</v>
      </c>
      <c r="J31" s="105">
        <f>IF(J22&lt;=raw_materials!$D20,raw_materials!$C20,IF(J22&lt;=raw_materials!$F20,raw_materials!$E20,IF(J22&lt;=raw_materials!$H20,raw_materials!$G20,0)))</f>
        <v>1</v>
      </c>
      <c r="K31" s="105">
        <f>IF(K22&lt;=raw_materials!$D20,raw_materials!$C20,IF(K22&lt;=raw_materials!$F20,raw_materials!$E20,IF(K22&lt;=raw_materials!$H20,raw_materials!$G20,0)))</f>
        <v>1</v>
      </c>
      <c r="L31" s="105">
        <f>IF(L22&lt;=raw_materials!$D20,raw_materials!$C20,IF(L22&lt;=raw_materials!$F20,raw_materials!$E20,IF(L22&lt;=raw_materials!$H20,raw_materials!$G20,0)))</f>
        <v>1</v>
      </c>
      <c r="M31" s="105">
        <f>IF(M22&lt;=raw_materials!$D20,raw_materials!$C20,IF(M22&lt;=raw_materials!$F20,raw_materials!$E20,IF(M22&lt;=raw_materials!$H20,raw_materials!$G20,0)))</f>
        <v>1</v>
      </c>
      <c r="N31" s="105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4" t="s">
        <v>108</v>
      </c>
      <c r="C32" s="105">
        <f>IF(C23&lt;=raw_materials!$D21,raw_materials!$C21,IF(C23&lt;=raw_materials!$F21,raw_materials!$E21,IF(C23&lt;=raw_materials!$H21,raw_materials!$G21,0)))</f>
        <v>1</v>
      </c>
      <c r="D32" s="105">
        <f>IF(D23&lt;=raw_materials!$D21,raw_materials!$C21,IF(D23&lt;=raw_materials!$F21,raw_materials!$E21,IF(D23&lt;=raw_materials!$H21,raw_materials!$G21,0)))</f>
        <v>1</v>
      </c>
      <c r="E32" s="105">
        <f>IF(E23&lt;=raw_materials!$D21,raw_materials!$C21,IF(E23&lt;=raw_materials!$F21,raw_materials!$E21,IF(E23&lt;=raw_materials!$H21,raw_materials!$G21,0)))</f>
        <v>1</v>
      </c>
      <c r="F32" s="105">
        <f>IF(F23&lt;=raw_materials!$D21,raw_materials!$C21,IF(F23&lt;=raw_materials!$F21,raw_materials!$E21,IF(F23&lt;=raw_materials!$H21,raw_materials!$G21,0)))</f>
        <v>1</v>
      </c>
      <c r="G32" s="105">
        <f>IF(G23&lt;=raw_materials!$D21,raw_materials!$C21,IF(G23&lt;=raw_materials!$F21,raw_materials!$E21,IF(G23&lt;=raw_materials!$H21,raw_materials!$G21,0)))</f>
        <v>1</v>
      </c>
      <c r="H32" s="105">
        <f>IF(H23&lt;=raw_materials!$D21,raw_materials!$C21,IF(H23&lt;=raw_materials!$F21,raw_materials!$E21,IF(H23&lt;=raw_materials!$H21,raw_materials!$G21,0)))</f>
        <v>1</v>
      </c>
      <c r="I32" s="105">
        <f>IF(I23&lt;=raw_materials!$D21,raw_materials!$C21,IF(I23&lt;=raw_materials!$F21,raw_materials!$E21,IF(I23&lt;=raw_materials!$H21,raw_materials!$G21,0)))</f>
        <v>1</v>
      </c>
      <c r="J32" s="105">
        <f>IF(J23&lt;=raw_materials!$D21,raw_materials!$C21,IF(J23&lt;=raw_materials!$F21,raw_materials!$E21,IF(J23&lt;=raw_materials!$H21,raw_materials!$G21,0)))</f>
        <v>1</v>
      </c>
      <c r="K32" s="105">
        <f>IF(K23&lt;=raw_materials!$D21,raw_materials!$C21,IF(K23&lt;=raw_materials!$F21,raw_materials!$E21,IF(K23&lt;=raw_materials!$H21,raw_materials!$G21,0)))</f>
        <v>1</v>
      </c>
      <c r="L32" s="105">
        <f>IF(L23&lt;=raw_materials!$D21,raw_materials!$C21,IF(L23&lt;=raw_materials!$F21,raw_materials!$E21,IF(L23&lt;=raw_materials!$H21,raw_materials!$G21,0)))</f>
        <v>1</v>
      </c>
      <c r="M32" s="105">
        <f>IF(M23&lt;=raw_materials!$D21,raw_materials!$C21,IF(M23&lt;=raw_materials!$F21,raw_materials!$E21,IF(M23&lt;=raw_materials!$H21,raw_materials!$G21,0)))</f>
        <v>1</v>
      </c>
      <c r="N32" s="105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4" t="s">
        <v>109</v>
      </c>
      <c r="C33" s="105">
        <f>IF(C24&lt;=raw_materials!$D22,raw_materials!$C22,IF(C24&lt;=raw_materials!$F22,raw_materials!$E22,IF(C24&lt;=raw_materials!$H22,raw_materials!$G22,0)))</f>
        <v>1</v>
      </c>
      <c r="D33" s="105">
        <f>IF(D24&lt;=raw_materials!$D22,raw_materials!$C22,IF(D24&lt;=raw_materials!$F22,raw_materials!$E22,IF(D24&lt;=raw_materials!$H22,raw_materials!$G22,0)))</f>
        <v>1</v>
      </c>
      <c r="E33" s="105">
        <f>IF(E24&lt;=raw_materials!$D22,raw_materials!$C22,IF(E24&lt;=raw_materials!$F22,raw_materials!$E22,IF(E24&lt;=raw_materials!$H22,raw_materials!$G22,0)))</f>
        <v>1</v>
      </c>
      <c r="F33" s="105">
        <f>IF(F24&lt;=raw_materials!$D22,raw_materials!$C22,IF(F24&lt;=raw_materials!$F22,raw_materials!$E22,IF(F24&lt;=raw_materials!$H22,raw_materials!$G22,0)))</f>
        <v>1</v>
      </c>
      <c r="G33" s="105">
        <f>IF(G24&lt;=raw_materials!$D22,raw_materials!$C22,IF(G24&lt;=raw_materials!$F22,raw_materials!$E22,IF(G24&lt;=raw_materials!$H22,raw_materials!$G22,0)))</f>
        <v>1</v>
      </c>
      <c r="H33" s="105">
        <f>IF(H24&lt;=raw_materials!$D22,raw_materials!$C22,IF(H24&lt;=raw_materials!$F22,raw_materials!$E22,IF(H24&lt;=raw_materials!$H22,raw_materials!$G22,0)))</f>
        <v>1</v>
      </c>
      <c r="I33" s="105">
        <f>IF(I24&lt;=raw_materials!$D22,raw_materials!$C22,IF(I24&lt;=raw_materials!$F22,raw_materials!$E22,IF(I24&lt;=raw_materials!$H22,raw_materials!$G22,0)))</f>
        <v>1</v>
      </c>
      <c r="J33" s="105">
        <f>IF(J24&lt;=raw_materials!$D22,raw_materials!$C22,IF(J24&lt;=raw_materials!$F22,raw_materials!$E22,IF(J24&lt;=raw_materials!$H22,raw_materials!$G22,0)))</f>
        <v>1</v>
      </c>
      <c r="K33" s="105">
        <f>IF(K24&lt;=raw_materials!$D22,raw_materials!$C22,IF(K24&lt;=raw_materials!$F22,raw_materials!$E22,IF(K24&lt;=raw_materials!$H22,raw_materials!$G22,0)))</f>
        <v>1</v>
      </c>
      <c r="L33" s="105">
        <f>IF(L24&lt;=raw_materials!$D22,raw_materials!$C22,IF(L24&lt;=raw_materials!$F22,raw_materials!$E22,IF(L24&lt;=raw_materials!$H22,raw_materials!$G22,0)))</f>
        <v>1</v>
      </c>
      <c r="M33" s="105">
        <f>IF(M24&lt;=raw_materials!$D22,raw_materials!$C22,IF(M24&lt;=raw_materials!$F22,raw_materials!$E22,IF(M24&lt;=raw_materials!$H22,raw_materials!$G22,0)))</f>
        <v>1</v>
      </c>
      <c r="N33" s="105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08" t="s">
        <v>323</v>
      </c>
    </row>
    <row r="36" spans="2:50" x14ac:dyDescent="0.2">
      <c r="B36" s="175" t="s">
        <v>274</v>
      </c>
      <c r="C36" s="175" t="s">
        <v>92</v>
      </c>
      <c r="D36" s="106"/>
      <c r="E36" s="106"/>
      <c r="F36" s="106"/>
      <c r="G36" s="175" t="s">
        <v>93</v>
      </c>
      <c r="H36" s="106"/>
      <c r="I36" s="106"/>
      <c r="J36" s="106"/>
      <c r="K36" s="175" t="s">
        <v>94</v>
      </c>
      <c r="L36" s="106"/>
      <c r="M36" s="106"/>
      <c r="N36" s="106"/>
      <c r="O36" s="175" t="s">
        <v>95</v>
      </c>
      <c r="P36" s="106"/>
      <c r="Q36" s="106"/>
      <c r="R36" s="106"/>
      <c r="S36" s="175" t="s">
        <v>96</v>
      </c>
      <c r="T36" s="106"/>
      <c r="U36" s="106"/>
      <c r="V36" s="106"/>
      <c r="W36" s="175" t="s">
        <v>97</v>
      </c>
      <c r="X36" s="106"/>
      <c r="Y36" s="106"/>
      <c r="Z36" s="106"/>
      <c r="AA36" s="175" t="s">
        <v>98</v>
      </c>
      <c r="AB36" s="106"/>
      <c r="AC36" s="106"/>
      <c r="AD36" s="106"/>
      <c r="AE36" s="175" t="s">
        <v>99</v>
      </c>
      <c r="AF36" s="106"/>
      <c r="AG36" s="106"/>
      <c r="AH36" s="106"/>
      <c r="AI36" s="175" t="s">
        <v>100</v>
      </c>
      <c r="AJ36" s="106"/>
      <c r="AK36" s="106"/>
      <c r="AL36" s="106"/>
      <c r="AM36" s="175" t="s">
        <v>101</v>
      </c>
      <c r="AN36" s="106"/>
      <c r="AO36" s="106"/>
      <c r="AP36" s="106"/>
      <c r="AQ36" s="175" t="s">
        <v>102</v>
      </c>
      <c r="AR36" s="106"/>
      <c r="AS36" s="106"/>
      <c r="AT36" s="106"/>
      <c r="AU36" s="175" t="s">
        <v>103</v>
      </c>
      <c r="AV36" s="106"/>
      <c r="AW36" s="106"/>
      <c r="AX36" s="106"/>
    </row>
    <row r="37" spans="2:50" x14ac:dyDescent="0.2">
      <c r="B37" s="175" t="s">
        <v>324</v>
      </c>
      <c r="C37" s="175">
        <v>1</v>
      </c>
      <c r="D37" s="175">
        <v>2</v>
      </c>
      <c r="E37" s="175">
        <v>3</v>
      </c>
      <c r="F37" s="175">
        <v>4</v>
      </c>
      <c r="G37" s="175">
        <v>1</v>
      </c>
      <c r="H37" s="175">
        <v>2</v>
      </c>
      <c r="I37" s="175">
        <v>3</v>
      </c>
      <c r="J37" s="175">
        <v>4</v>
      </c>
      <c r="K37" s="175">
        <v>1</v>
      </c>
      <c r="L37" s="175">
        <v>2</v>
      </c>
      <c r="M37" s="175">
        <v>3</v>
      </c>
      <c r="N37" s="175">
        <v>4</v>
      </c>
      <c r="O37" s="175">
        <v>1</v>
      </c>
      <c r="P37" s="175">
        <v>2</v>
      </c>
      <c r="Q37" s="175">
        <v>3</v>
      </c>
      <c r="R37" s="175">
        <v>4</v>
      </c>
      <c r="S37" s="175">
        <v>1</v>
      </c>
      <c r="T37" s="175">
        <v>2</v>
      </c>
      <c r="U37" s="175">
        <v>3</v>
      </c>
      <c r="V37" s="175">
        <v>4</v>
      </c>
      <c r="W37" s="175">
        <v>1</v>
      </c>
      <c r="X37" s="175">
        <v>2</v>
      </c>
      <c r="Y37" s="175">
        <v>3</v>
      </c>
      <c r="Z37" s="175">
        <v>4</v>
      </c>
      <c r="AA37" s="175">
        <v>1</v>
      </c>
      <c r="AB37" s="175">
        <v>2</v>
      </c>
      <c r="AC37" s="175">
        <v>3</v>
      </c>
      <c r="AD37" s="175">
        <v>4</v>
      </c>
      <c r="AE37" s="175">
        <v>1</v>
      </c>
      <c r="AF37" s="175">
        <v>2</v>
      </c>
      <c r="AG37" s="175">
        <v>3</v>
      </c>
      <c r="AH37" s="175">
        <v>4</v>
      </c>
      <c r="AI37" s="175">
        <v>1</v>
      </c>
      <c r="AJ37" s="175">
        <v>2</v>
      </c>
      <c r="AK37" s="175">
        <v>3</v>
      </c>
      <c r="AL37" s="175">
        <v>4</v>
      </c>
      <c r="AM37" s="175">
        <v>1</v>
      </c>
      <c r="AN37" s="175">
        <v>2</v>
      </c>
      <c r="AO37" s="175">
        <v>3</v>
      </c>
      <c r="AP37" s="175">
        <v>4</v>
      </c>
      <c r="AQ37" s="175">
        <v>1</v>
      </c>
      <c r="AR37" s="175">
        <v>2</v>
      </c>
      <c r="AS37" s="175">
        <v>3</v>
      </c>
      <c r="AT37" s="175">
        <v>4</v>
      </c>
      <c r="AU37" s="175">
        <v>1</v>
      </c>
      <c r="AV37" s="175">
        <v>2</v>
      </c>
      <c r="AW37" s="175">
        <v>3</v>
      </c>
      <c r="AX37" s="175">
        <v>4</v>
      </c>
    </row>
    <row r="38" spans="2:50" x14ac:dyDescent="0.2">
      <c r="B38" s="175" t="s">
        <v>104</v>
      </c>
      <c r="C38" s="105">
        <v>25054.902514011505</v>
      </c>
      <c r="D38" s="105">
        <v>25109.81675262624</v>
      </c>
      <c r="E38" s="105">
        <v>17615.313738968809</v>
      </c>
      <c r="F38" s="105">
        <v>25219.64518704552</v>
      </c>
      <c r="G38" s="105">
        <v>25274.541764850626</v>
      </c>
      <c r="H38" s="105">
        <v>25329.41483434946</v>
      </c>
      <c r="I38" s="105">
        <v>25384.255583806131</v>
      </c>
      <c r="J38" s="105">
        <v>25439.055203174696</v>
      </c>
      <c r="K38" s="105">
        <v>25493.804885647136</v>
      </c>
      <c r="L38" s="105">
        <v>25548.495829201689</v>
      </c>
      <c r="M38" s="105">
        <v>25603.119238151201</v>
      </c>
      <c r="N38" s="105">
        <v>25657.666324691218</v>
      </c>
      <c r="O38" s="105">
        <v>25712.128310447646</v>
      </c>
      <c r="P38" s="105">
        <v>25766.496428023554</v>
      </c>
      <c r="Q38" s="105">
        <v>25820.761922544945</v>
      </c>
      <c r="R38" s="105">
        <v>25874.916053205223</v>
      </c>
      <c r="S38" s="105">
        <v>25928.950094808049</v>
      </c>
      <c r="T38" s="105">
        <v>25982.855339308269</v>
      </c>
      <c r="U38" s="105">
        <v>18225.636168145524</v>
      </c>
      <c r="V38" s="105">
        <v>26090.24469980675</v>
      </c>
      <c r="W38" s="105">
        <v>26143.711499307632</v>
      </c>
      <c r="X38" s="105">
        <v>26197.014871775551</v>
      </c>
      <c r="Y38" s="105">
        <v>26250.146217950878</v>
      </c>
      <c r="Z38" s="105">
        <v>26303.096964916222</v>
      </c>
      <c r="AA38" s="105">
        <v>26355.858567616488</v>
      </c>
      <c r="AB38" s="105">
        <v>26408.422510375025</v>
      </c>
      <c r="AC38" s="105">
        <v>26460.780308405316</v>
      </c>
      <c r="AD38" s="105">
        <v>26512.923509318131</v>
      </c>
      <c r="AE38" s="105">
        <v>26564.8436946238</v>
      </c>
      <c r="AF38" s="105">
        <v>26616.532481229282</v>
      </c>
      <c r="AG38" s="105">
        <v>26667.981522929855</v>
      </c>
      <c r="AH38" s="105">
        <v>26719.182511895149</v>
      </c>
      <c r="AI38" s="105">
        <v>26770.127180149142</v>
      </c>
      <c r="AJ38" s="105">
        <v>26820.807301044035</v>
      </c>
      <c r="AK38" s="105">
        <v>26871.21469072756</v>
      </c>
      <c r="AL38" s="105">
        <v>26921.341209603564</v>
      </c>
      <c r="AM38" s="105">
        <v>26971.178763785614</v>
      </c>
      <c r="AN38" s="105">
        <v>27020.719306543244</v>
      </c>
      <c r="AO38" s="105">
        <v>27069.954839740756</v>
      </c>
      <c r="AP38" s="105">
        <v>27118.877415268147</v>
      </c>
      <c r="AQ38" s="105">
        <v>19017.235395524818</v>
      </c>
      <c r="AR38" s="105">
        <v>27215.752159530173</v>
      </c>
      <c r="AS38" s="105">
        <v>27263.688694937566</v>
      </c>
      <c r="AT38" s="105">
        <v>19117.896706176456</v>
      </c>
      <c r="AU38" s="105">
        <v>10943.408569751928</v>
      </c>
      <c r="AV38" s="105">
        <v>19183.781626262014</v>
      </c>
      <c r="AW38" s="105">
        <v>19216.341302764056</v>
      </c>
      <c r="AX38" s="105">
        <v>10999.222159076764</v>
      </c>
    </row>
    <row r="39" spans="2:50" x14ac:dyDescent="0.2">
      <c r="B39" s="175" t="s">
        <v>105</v>
      </c>
      <c r="C39" s="105">
        <v>10523.059055884833</v>
      </c>
      <c r="D39" s="105">
        <v>15065.890051575743</v>
      </c>
      <c r="E39" s="105">
        <v>15098.84034768755</v>
      </c>
      <c r="F39" s="105">
        <v>10592.250978559117</v>
      </c>
      <c r="G39" s="105">
        <v>15164.725058910377</v>
      </c>
      <c r="H39" s="105">
        <v>15197.648900609674</v>
      </c>
      <c r="I39" s="105">
        <v>15230.553350283679</v>
      </c>
      <c r="J39" s="105">
        <v>15263.433121904818</v>
      </c>
      <c r="K39" s="105">
        <v>15296.282931388283</v>
      </c>
      <c r="L39" s="105">
        <v>15329.097497521014</v>
      </c>
      <c r="M39" s="105">
        <v>15361.87154289072</v>
      </c>
      <c r="N39" s="105">
        <v>15394.599794814729</v>
      </c>
      <c r="O39" s="105">
        <v>15427.276986268587</v>
      </c>
      <c r="P39" s="105">
        <v>15459.897856814132</v>
      </c>
      <c r="Q39" s="105">
        <v>6196.9828614107873</v>
      </c>
      <c r="R39" s="105">
        <v>15524.949631923135</v>
      </c>
      <c r="S39" s="105">
        <v>15557.370056884829</v>
      </c>
      <c r="T39" s="105">
        <v>15589.713203584963</v>
      </c>
      <c r="U39" s="105">
        <v>15621.973858410449</v>
      </c>
      <c r="V39" s="105">
        <v>10957.902773918835</v>
      </c>
      <c r="W39" s="105">
        <v>15686.226899584581</v>
      </c>
      <c r="X39" s="105">
        <v>11002.746246145731</v>
      </c>
      <c r="Y39" s="105">
        <v>15750.087730770527</v>
      </c>
      <c r="Z39" s="105">
        <v>11047.300725264813</v>
      </c>
      <c r="AA39" s="105">
        <v>15813.515140569893</v>
      </c>
      <c r="AB39" s="105">
        <v>15845.053506225015</v>
      </c>
      <c r="AC39" s="105">
        <v>15876.468185043188</v>
      </c>
      <c r="AD39" s="105">
        <v>11135.427873913615</v>
      </c>
      <c r="AE39" s="105">
        <v>15938.90621677428</v>
      </c>
      <c r="AF39" s="105">
        <v>15969.919488737569</v>
      </c>
      <c r="AG39" s="105">
        <v>16000.788913757913</v>
      </c>
      <c r="AH39" s="105">
        <v>16031.509507137089</v>
      </c>
      <c r="AI39" s="105">
        <v>16062.076308089485</v>
      </c>
      <c r="AJ39" s="105">
        <v>16092.48438062642</v>
      </c>
      <c r="AK39" s="105">
        <v>16122.728814436536</v>
      </c>
      <c r="AL39" s="105">
        <v>16152.80472576214</v>
      </c>
      <c r="AM39" s="105">
        <v>16182.707258271368</v>
      </c>
      <c r="AN39" s="105">
        <v>16212.431583925947</v>
      </c>
      <c r="AO39" s="105">
        <v>11369.381032691117</v>
      </c>
      <c r="AP39" s="105">
        <v>16271.326449160888</v>
      </c>
      <c r="AQ39" s="105">
        <v>16300.487481878417</v>
      </c>
      <c r="AR39" s="105">
        <v>16329.451295718105</v>
      </c>
      <c r="AS39" s="105">
        <v>16358.213216962538</v>
      </c>
      <c r="AT39" s="105">
        <v>16386.768605294106</v>
      </c>
      <c r="AU39" s="105">
        <v>16415.112854627889</v>
      </c>
      <c r="AV39" s="105">
        <v>16443.241393938872</v>
      </c>
      <c r="AW39" s="105">
        <v>16471.149688083475</v>
      </c>
      <c r="AX39" s="105">
        <v>16498.833238615145</v>
      </c>
    </row>
    <row r="40" spans="2:50" x14ac:dyDescent="0.2">
      <c r="B40" s="175" t="s">
        <v>106</v>
      </c>
      <c r="C40" s="105">
        <v>2004.3922011209206</v>
      </c>
      <c r="D40" s="105">
        <v>2008.7853402100993</v>
      </c>
      <c r="E40" s="105">
        <v>5032.946782562517</v>
      </c>
      <c r="F40" s="105">
        <v>5043.9290374091042</v>
      </c>
      <c r="G40" s="105">
        <v>505.49083529701255</v>
      </c>
      <c r="H40" s="105">
        <v>5065.8829668698918</v>
      </c>
      <c r="I40" s="105">
        <v>5076.851116761226</v>
      </c>
      <c r="J40" s="105">
        <v>5087.8110406349388</v>
      </c>
      <c r="K40" s="105">
        <v>3569.1326839905992</v>
      </c>
      <c r="L40" s="105">
        <v>5109.6991658403376</v>
      </c>
      <c r="M40" s="105">
        <v>5120.6238476302397</v>
      </c>
      <c r="N40" s="105">
        <v>5131.5332649382435</v>
      </c>
      <c r="O40" s="105">
        <v>5142.4256620895294</v>
      </c>
      <c r="P40" s="105">
        <v>5153.2992856047113</v>
      </c>
      <c r="Q40" s="105">
        <v>5164.1523845089887</v>
      </c>
      <c r="R40" s="105">
        <v>5174.9832106410449</v>
      </c>
      <c r="S40" s="105">
        <v>5185.7900189616103</v>
      </c>
      <c r="T40" s="105">
        <v>5196.5710678616542</v>
      </c>
      <c r="U40" s="105">
        <v>5207.3246194701496</v>
      </c>
      <c r="V40" s="105">
        <v>5218.0489399613498</v>
      </c>
      <c r="W40" s="105">
        <v>5228.7422998615266</v>
      </c>
      <c r="X40" s="105">
        <v>5239.40297435511</v>
      </c>
      <c r="Y40" s="105">
        <v>3675.0204705131227</v>
      </c>
      <c r="Z40" s="105">
        <v>5260.6193929832443</v>
      </c>
      <c r="AA40" s="105">
        <v>5271.1717135232975</v>
      </c>
      <c r="AB40" s="105">
        <v>5281.6845020750052</v>
      </c>
      <c r="AC40" s="105">
        <v>5292.156061681063</v>
      </c>
      <c r="AD40" s="105">
        <v>5302.5847018636268</v>
      </c>
      <c r="AE40" s="105">
        <v>3719.0781172473316</v>
      </c>
      <c r="AF40" s="105">
        <v>3726.3145473720992</v>
      </c>
      <c r="AG40" s="105">
        <v>3733.5174132101797</v>
      </c>
      <c r="AH40" s="105">
        <v>5343.8365023790293</v>
      </c>
      <c r="AI40" s="105">
        <v>2141.6101744119314</v>
      </c>
      <c r="AJ40" s="105">
        <v>2145.6645840835231</v>
      </c>
      <c r="AK40" s="105">
        <v>5374.2429381455113</v>
      </c>
      <c r="AL40" s="105">
        <v>5384.2682419207131</v>
      </c>
      <c r="AM40" s="105">
        <v>5394.2357527571221</v>
      </c>
      <c r="AN40" s="105">
        <v>5404.1438613086484</v>
      </c>
      <c r="AO40" s="105">
        <v>5413.9909679481507</v>
      </c>
      <c r="AP40" s="105">
        <v>3796.6428381375404</v>
      </c>
      <c r="AQ40" s="105">
        <v>2173.3983309171226</v>
      </c>
      <c r="AR40" s="105">
        <v>5443.150431906035</v>
      </c>
      <c r="AS40" s="105">
        <v>545.2737738987513</v>
      </c>
      <c r="AT40" s="105">
        <v>5462.2562017647024</v>
      </c>
      <c r="AU40" s="105">
        <v>2188.6817139503855</v>
      </c>
      <c r="AV40" s="105">
        <v>2192.4321858585163</v>
      </c>
      <c r="AW40" s="105">
        <v>5490.3832293611586</v>
      </c>
      <c r="AX40" s="105">
        <v>5499.611079538382</v>
      </c>
    </row>
    <row r="41" spans="2:50" x14ac:dyDescent="0.2">
      <c r="B41" s="175" t="s">
        <v>107</v>
      </c>
      <c r="C41" s="105">
        <v>3006.5883016813805</v>
      </c>
      <c r="D41" s="105">
        <v>3013.1780103151486</v>
      </c>
      <c r="E41" s="105">
        <v>3019.7680695375102</v>
      </c>
      <c r="F41" s="105">
        <v>3026.3574224454624</v>
      </c>
      <c r="G41" s="105">
        <v>3032.9450117820752</v>
      </c>
      <c r="H41" s="105">
        <v>3039.5297801219349</v>
      </c>
      <c r="I41" s="105">
        <v>3046.1106700567357</v>
      </c>
      <c r="J41" s="105">
        <v>3052.6866243809636</v>
      </c>
      <c r="K41" s="105">
        <v>3059.2565862776564</v>
      </c>
      <c r="L41" s="105">
        <v>3065.8194995042027</v>
      </c>
      <c r="M41" s="105">
        <v>3072.3743085781439</v>
      </c>
      <c r="N41" s="105">
        <v>3078.9199589629461</v>
      </c>
      <c r="O41" s="105">
        <v>3085.4553972537178</v>
      </c>
      <c r="P41" s="105">
        <v>2164.3856999539785</v>
      </c>
      <c r="Q41" s="105">
        <v>3098.4914307053937</v>
      </c>
      <c r="R41" s="105">
        <v>2173.4929484692389</v>
      </c>
      <c r="S41" s="105">
        <v>3111.4740113769658</v>
      </c>
      <c r="T41" s="105">
        <v>3117.9426407169926</v>
      </c>
      <c r="U41" s="105">
        <v>3124.3947716820899</v>
      </c>
      <c r="V41" s="105">
        <v>2191.5805547837667</v>
      </c>
      <c r="W41" s="105">
        <v>3137.2453799169161</v>
      </c>
      <c r="X41" s="105">
        <v>3143.6417846130662</v>
      </c>
      <c r="Y41" s="105">
        <v>3150.0175461541053</v>
      </c>
      <c r="Z41" s="105">
        <v>3156.3716357899466</v>
      </c>
      <c r="AA41" s="105">
        <v>3162.7030281139782</v>
      </c>
      <c r="AB41" s="105">
        <v>3169.010701245003</v>
      </c>
      <c r="AC41" s="105">
        <v>3175.2936370086377</v>
      </c>
      <c r="AD41" s="105">
        <v>2227.0855747827231</v>
      </c>
      <c r="AE41" s="105">
        <v>1275.1124973419426</v>
      </c>
      <c r="AF41" s="105">
        <v>1277.5935590990057</v>
      </c>
      <c r="AG41" s="105">
        <v>1280.0631131006332</v>
      </c>
      <c r="AH41" s="105">
        <v>1282.5207605709672</v>
      </c>
      <c r="AI41" s="105">
        <v>2248.6906831325277</v>
      </c>
      <c r="AJ41" s="105">
        <v>2252.9478132876989</v>
      </c>
      <c r="AK41" s="105">
        <v>3224.5457628873069</v>
      </c>
      <c r="AL41" s="105">
        <v>3230.5609451524278</v>
      </c>
      <c r="AM41" s="105">
        <v>3236.5414516542737</v>
      </c>
      <c r="AN41" s="105">
        <v>2269.7404217496323</v>
      </c>
      <c r="AO41" s="105">
        <v>1299.3578323075562</v>
      </c>
      <c r="AP41" s="105">
        <v>3254.2652898321776</v>
      </c>
      <c r="AQ41" s="105">
        <v>3260.0974963756835</v>
      </c>
      <c r="AR41" s="105">
        <v>1306.3561036574483</v>
      </c>
      <c r="AS41" s="105">
        <v>1308.6570573570032</v>
      </c>
      <c r="AT41" s="105">
        <v>327.73537210588216</v>
      </c>
      <c r="AU41" s="105">
        <v>328.30225709255785</v>
      </c>
      <c r="AV41" s="105">
        <v>3288.648278787774</v>
      </c>
      <c r="AW41" s="105">
        <v>3294.2299376166952</v>
      </c>
      <c r="AX41" s="105">
        <v>3299.7666477230291</v>
      </c>
    </row>
    <row r="42" spans="2:50" x14ac:dyDescent="0.2">
      <c r="B42" s="175" t="s">
        <v>108</v>
      </c>
      <c r="C42" s="105">
        <v>10000000</v>
      </c>
      <c r="D42" s="105">
        <v>10000000</v>
      </c>
      <c r="E42" s="105">
        <v>10000000</v>
      </c>
      <c r="F42" s="105">
        <v>10000000</v>
      </c>
      <c r="G42" s="105">
        <v>10000000</v>
      </c>
      <c r="H42" s="105">
        <v>10000000</v>
      </c>
      <c r="I42" s="105">
        <v>10000000</v>
      </c>
      <c r="J42" s="105">
        <v>10000000</v>
      </c>
      <c r="K42" s="105">
        <v>10000000</v>
      </c>
      <c r="L42" s="105">
        <v>10000000</v>
      </c>
      <c r="M42" s="105">
        <v>10000000</v>
      </c>
      <c r="N42" s="105">
        <v>10000000</v>
      </c>
      <c r="O42" s="105">
        <v>10000000</v>
      </c>
      <c r="P42" s="105">
        <v>10000000</v>
      </c>
      <c r="Q42" s="105">
        <v>10000000</v>
      </c>
      <c r="R42" s="105">
        <v>10000000</v>
      </c>
      <c r="S42" s="105">
        <v>10000000</v>
      </c>
      <c r="T42" s="105">
        <v>10000000</v>
      </c>
      <c r="U42" s="105">
        <v>10000000</v>
      </c>
      <c r="V42" s="105">
        <v>10000000</v>
      </c>
      <c r="W42" s="105">
        <v>10000000</v>
      </c>
      <c r="X42" s="105">
        <v>10000000</v>
      </c>
      <c r="Y42" s="105">
        <v>10000000</v>
      </c>
      <c r="Z42" s="105">
        <v>10000000</v>
      </c>
      <c r="AA42" s="105">
        <v>10000000</v>
      </c>
      <c r="AB42" s="105">
        <v>10000000</v>
      </c>
      <c r="AC42" s="105">
        <v>10000000</v>
      </c>
      <c r="AD42" s="105">
        <v>10000000</v>
      </c>
      <c r="AE42" s="105">
        <v>10000000</v>
      </c>
      <c r="AF42" s="105">
        <v>10000000</v>
      </c>
      <c r="AG42" s="105">
        <v>10000000</v>
      </c>
      <c r="AH42" s="105">
        <v>10000000</v>
      </c>
      <c r="AI42" s="105">
        <v>10000000</v>
      </c>
      <c r="AJ42" s="105">
        <v>10000000</v>
      </c>
      <c r="AK42" s="105">
        <v>10000000</v>
      </c>
      <c r="AL42" s="105">
        <v>10000000</v>
      </c>
      <c r="AM42" s="105">
        <v>10000000</v>
      </c>
      <c r="AN42" s="105">
        <v>10000000</v>
      </c>
      <c r="AO42" s="105">
        <v>10000000</v>
      </c>
      <c r="AP42" s="105">
        <v>10000000</v>
      </c>
      <c r="AQ42" s="105">
        <v>10000000</v>
      </c>
      <c r="AR42" s="105">
        <v>10000000</v>
      </c>
      <c r="AS42" s="105">
        <v>10000000</v>
      </c>
      <c r="AT42" s="105">
        <v>10000000</v>
      </c>
      <c r="AU42" s="105">
        <v>10000000</v>
      </c>
      <c r="AV42" s="105">
        <v>10000000</v>
      </c>
      <c r="AW42" s="105">
        <v>10000000</v>
      </c>
      <c r="AX42" s="105">
        <v>10000000</v>
      </c>
    </row>
    <row r="43" spans="2:50" x14ac:dyDescent="0.2">
      <c r="B43" s="175" t="s">
        <v>109</v>
      </c>
      <c r="C43" s="105">
        <v>10000000</v>
      </c>
      <c r="D43" s="105">
        <v>10000000</v>
      </c>
      <c r="E43" s="105">
        <v>10000000</v>
      </c>
      <c r="F43" s="105">
        <v>10000000</v>
      </c>
      <c r="G43" s="105">
        <v>10000000</v>
      </c>
      <c r="H43" s="105">
        <v>10000000</v>
      </c>
      <c r="I43" s="105">
        <v>10000000</v>
      </c>
      <c r="J43" s="105">
        <v>10000000</v>
      </c>
      <c r="K43" s="105">
        <v>10000000</v>
      </c>
      <c r="L43" s="105">
        <v>10000000</v>
      </c>
      <c r="M43" s="105">
        <v>10000000</v>
      </c>
      <c r="N43" s="105">
        <v>10000000</v>
      </c>
      <c r="O43" s="105">
        <v>10000000</v>
      </c>
      <c r="P43" s="105">
        <v>10000000</v>
      </c>
      <c r="Q43" s="105">
        <v>10000000</v>
      </c>
      <c r="R43" s="105">
        <v>10000000</v>
      </c>
      <c r="S43" s="105">
        <v>10000000</v>
      </c>
      <c r="T43" s="105">
        <v>10000000</v>
      </c>
      <c r="U43" s="105">
        <v>10000000</v>
      </c>
      <c r="V43" s="105">
        <v>10000000</v>
      </c>
      <c r="W43" s="105">
        <v>10000000</v>
      </c>
      <c r="X43" s="105">
        <v>10000000</v>
      </c>
      <c r="Y43" s="105">
        <v>10000000</v>
      </c>
      <c r="Z43" s="105">
        <v>10000000</v>
      </c>
      <c r="AA43" s="105">
        <v>10000000</v>
      </c>
      <c r="AB43" s="105">
        <v>10000000</v>
      </c>
      <c r="AC43" s="105">
        <v>10000000</v>
      </c>
      <c r="AD43" s="105">
        <v>10000000</v>
      </c>
      <c r="AE43" s="105">
        <v>10000000</v>
      </c>
      <c r="AF43" s="105">
        <v>10000000</v>
      </c>
      <c r="AG43" s="105">
        <v>10000000</v>
      </c>
      <c r="AH43" s="105">
        <v>10000000</v>
      </c>
      <c r="AI43" s="105">
        <v>10000000</v>
      </c>
      <c r="AJ43" s="105">
        <v>10000000</v>
      </c>
      <c r="AK43" s="105">
        <v>10000000</v>
      </c>
      <c r="AL43" s="105">
        <v>10000000</v>
      </c>
      <c r="AM43" s="105">
        <v>10000000</v>
      </c>
      <c r="AN43" s="105">
        <v>10000000</v>
      </c>
      <c r="AO43" s="105">
        <v>10000000</v>
      </c>
      <c r="AP43" s="105">
        <v>10000000</v>
      </c>
      <c r="AQ43" s="105">
        <v>10000000</v>
      </c>
      <c r="AR43" s="105">
        <v>10000000</v>
      </c>
      <c r="AS43" s="105">
        <v>10000000</v>
      </c>
      <c r="AT43" s="105">
        <v>10000000</v>
      </c>
      <c r="AU43" s="105">
        <v>10000000</v>
      </c>
      <c r="AV43" s="105">
        <v>10000000</v>
      </c>
      <c r="AW43" s="105">
        <v>10000000</v>
      </c>
      <c r="AX43" s="105">
        <v>10000000</v>
      </c>
    </row>
    <row r="45" spans="2:50" x14ac:dyDescent="0.2">
      <c r="B45" s="108" t="s">
        <v>325</v>
      </c>
    </row>
    <row r="46" spans="2:50" x14ac:dyDescent="0.2">
      <c r="B46" s="104" t="s">
        <v>274</v>
      </c>
      <c r="C46" s="104" t="s">
        <v>92</v>
      </c>
      <c r="D46" s="106"/>
      <c r="E46" s="106"/>
      <c r="F46" s="106"/>
      <c r="G46" s="104" t="s">
        <v>93</v>
      </c>
      <c r="H46" s="106"/>
      <c r="I46" s="106"/>
      <c r="J46" s="106"/>
      <c r="K46" s="104" t="s">
        <v>94</v>
      </c>
      <c r="L46" s="106"/>
      <c r="M46" s="106"/>
      <c r="N46" s="106"/>
      <c r="O46" s="104" t="s">
        <v>95</v>
      </c>
      <c r="P46" s="106"/>
      <c r="Q46" s="106"/>
      <c r="R46" s="106"/>
      <c r="S46" s="104" t="s">
        <v>96</v>
      </c>
      <c r="T46" s="106"/>
      <c r="U46" s="106"/>
      <c r="V46" s="106"/>
      <c r="W46" s="104" t="s">
        <v>97</v>
      </c>
      <c r="X46" s="106"/>
      <c r="Y46" s="106"/>
      <c r="Z46" s="106"/>
      <c r="AA46" s="104" t="s">
        <v>98</v>
      </c>
      <c r="AB46" s="106"/>
      <c r="AC46" s="106"/>
      <c r="AD46" s="106"/>
      <c r="AE46" s="104" t="s">
        <v>99</v>
      </c>
      <c r="AF46" s="106"/>
      <c r="AG46" s="106"/>
      <c r="AH46" s="106"/>
      <c r="AI46" s="104" t="s">
        <v>100</v>
      </c>
      <c r="AJ46" s="106"/>
      <c r="AK46" s="106"/>
      <c r="AL46" s="106"/>
      <c r="AM46" s="104" t="s">
        <v>101</v>
      </c>
      <c r="AN46" s="106"/>
      <c r="AO46" s="106"/>
      <c r="AP46" s="106"/>
      <c r="AQ46" s="104" t="s">
        <v>102</v>
      </c>
      <c r="AR46" s="106"/>
      <c r="AS46" s="106"/>
      <c r="AT46" s="106"/>
      <c r="AU46" s="104" t="s">
        <v>103</v>
      </c>
      <c r="AV46" s="106"/>
      <c r="AW46" s="106"/>
    </row>
    <row r="47" spans="2:50" x14ac:dyDescent="0.2">
      <c r="B47" s="104" t="s">
        <v>326</v>
      </c>
      <c r="C47" s="104">
        <v>1</v>
      </c>
      <c r="D47" s="104">
        <v>2</v>
      </c>
      <c r="E47" s="104">
        <v>3</v>
      </c>
      <c r="F47" s="104">
        <v>4</v>
      </c>
      <c r="G47" s="104">
        <v>1</v>
      </c>
      <c r="H47" s="104">
        <v>2</v>
      </c>
      <c r="I47" s="104">
        <v>3</v>
      </c>
      <c r="J47" s="104">
        <v>4</v>
      </c>
      <c r="K47" s="104">
        <v>1</v>
      </c>
      <c r="L47" s="104">
        <v>2</v>
      </c>
      <c r="M47" s="104">
        <v>3</v>
      </c>
      <c r="N47" s="104">
        <v>4</v>
      </c>
      <c r="O47" s="104">
        <v>1</v>
      </c>
      <c r="P47" s="104">
        <v>2</v>
      </c>
      <c r="Q47" s="104">
        <v>3</v>
      </c>
      <c r="R47" s="104">
        <v>4</v>
      </c>
      <c r="S47" s="104">
        <v>1</v>
      </c>
      <c r="T47" s="104">
        <v>2</v>
      </c>
      <c r="U47" s="104">
        <v>3</v>
      </c>
      <c r="V47" s="104">
        <v>4</v>
      </c>
      <c r="W47" s="104">
        <v>1</v>
      </c>
      <c r="X47" s="104">
        <v>2</v>
      </c>
      <c r="Y47" s="104">
        <v>3</v>
      </c>
      <c r="Z47" s="104">
        <v>4</v>
      </c>
      <c r="AA47" s="104">
        <v>1</v>
      </c>
      <c r="AB47" s="104">
        <v>2</v>
      </c>
      <c r="AC47" s="104">
        <v>3</v>
      </c>
      <c r="AD47" s="104">
        <v>4</v>
      </c>
      <c r="AE47" s="104">
        <v>1</v>
      </c>
      <c r="AF47" s="104">
        <v>2</v>
      </c>
      <c r="AG47" s="104">
        <v>3</v>
      </c>
      <c r="AH47" s="104">
        <v>4</v>
      </c>
      <c r="AI47" s="104">
        <v>1</v>
      </c>
      <c r="AJ47" s="104">
        <v>2</v>
      </c>
      <c r="AK47" s="104">
        <v>3</v>
      </c>
      <c r="AL47" s="104">
        <v>4</v>
      </c>
      <c r="AM47" s="104">
        <v>1</v>
      </c>
      <c r="AN47" s="104">
        <v>2</v>
      </c>
      <c r="AO47" s="104">
        <v>3</v>
      </c>
      <c r="AP47" s="104">
        <v>4</v>
      </c>
      <c r="AQ47" s="104">
        <v>1</v>
      </c>
      <c r="AR47" s="104">
        <v>2</v>
      </c>
      <c r="AS47" s="104">
        <v>3</v>
      </c>
      <c r="AT47" s="104">
        <v>4</v>
      </c>
      <c r="AU47" s="104">
        <v>1</v>
      </c>
      <c r="AV47" s="104">
        <v>2</v>
      </c>
      <c r="AW47" s="104">
        <v>3</v>
      </c>
      <c r="AX47" s="104">
        <v>4</v>
      </c>
    </row>
    <row r="48" spans="2:50" x14ac:dyDescent="0.2">
      <c r="B48" s="104" t="s">
        <v>104</v>
      </c>
      <c r="C48" s="105">
        <v>0</v>
      </c>
      <c r="D48" s="105">
        <v>0</v>
      </c>
      <c r="E48" s="105">
        <v>0</v>
      </c>
      <c r="F48" s="105">
        <v>0</v>
      </c>
      <c r="G48" s="105">
        <v>1270.8011999999999</v>
      </c>
      <c r="H48" s="105">
        <v>1270.8011999999999</v>
      </c>
      <c r="I48" s="105">
        <v>1270.8011999999999</v>
      </c>
      <c r="J48" s="105">
        <v>1270.8011999999999</v>
      </c>
      <c r="K48" s="105">
        <v>1270.8011999999999</v>
      </c>
      <c r="L48" s="105">
        <v>1270.8011999999999</v>
      </c>
      <c r="M48" s="105">
        <v>1270.8011999999999</v>
      </c>
      <c r="N48" s="105">
        <v>1270.8011999999999</v>
      </c>
      <c r="O48" s="105">
        <v>1270.8011999999999</v>
      </c>
      <c r="P48" s="105">
        <v>1270.8011999999999</v>
      </c>
      <c r="Q48" s="105">
        <v>1270.8011999999999</v>
      </c>
      <c r="R48" s="105">
        <v>1270.8011999999999</v>
      </c>
      <c r="S48" s="105">
        <v>1270.8011999999999</v>
      </c>
      <c r="T48" s="105">
        <v>1270.8011999999999</v>
      </c>
      <c r="U48" s="105">
        <v>1270.8011999999999</v>
      </c>
      <c r="V48" s="105">
        <v>1270.8011999999999</v>
      </c>
      <c r="W48" s="105">
        <v>1270.8011999999999</v>
      </c>
      <c r="X48" s="105">
        <v>1270.8011999999999</v>
      </c>
      <c r="Y48" s="105">
        <v>1270.8011999999999</v>
      </c>
      <c r="Z48" s="105">
        <v>1270.8011999999999</v>
      </c>
      <c r="AA48" s="105">
        <v>1270.8011999999999</v>
      </c>
      <c r="AB48" s="105">
        <v>1270.8011999999999</v>
      </c>
      <c r="AC48" s="105">
        <v>1270.8011999999999</v>
      </c>
      <c r="AD48" s="105">
        <v>1270.8011999999999</v>
      </c>
      <c r="AE48" s="105">
        <v>1270.8011999999999</v>
      </c>
      <c r="AF48" s="105">
        <v>1270.8011999999999</v>
      </c>
      <c r="AG48" s="105">
        <v>1270.8011999999999</v>
      </c>
      <c r="AH48" s="105">
        <v>1270.8011999999999</v>
      </c>
      <c r="AI48" s="105">
        <v>1270.8011999999999</v>
      </c>
      <c r="AJ48" s="105">
        <v>1270.8011999999999</v>
      </c>
      <c r="AK48" s="105">
        <v>1270.8011999999999</v>
      </c>
      <c r="AL48" s="105">
        <v>1270.8011999999999</v>
      </c>
      <c r="AM48" s="105">
        <v>1270.8011999999999</v>
      </c>
      <c r="AN48" s="105">
        <v>1270.8011999999999</v>
      </c>
      <c r="AO48" s="105">
        <v>1270.8011999999999</v>
      </c>
      <c r="AP48" s="105">
        <v>1270.8011999999999</v>
      </c>
      <c r="AQ48" s="105">
        <v>1270.8011999999999</v>
      </c>
      <c r="AR48" s="105">
        <v>1270.8011999999999</v>
      </c>
      <c r="AS48" s="105">
        <v>1270.8011999999999</v>
      </c>
      <c r="AT48" s="105">
        <v>1270.8011999999999</v>
      </c>
      <c r="AU48" s="105">
        <v>1270.8011999999999</v>
      </c>
      <c r="AV48" s="105">
        <v>1270.8011999999999</v>
      </c>
      <c r="AW48" s="105">
        <v>1270.8011999999999</v>
      </c>
      <c r="AX48" s="105">
        <v>1270.8011999999999</v>
      </c>
    </row>
    <row r="49" spans="2:51" x14ac:dyDescent="0.2">
      <c r="B49" s="104" t="s">
        <v>105</v>
      </c>
      <c r="C49" s="105">
        <v>0</v>
      </c>
      <c r="D49" s="105">
        <v>0</v>
      </c>
      <c r="E49" s="105">
        <v>0</v>
      </c>
      <c r="F49" s="105">
        <v>0</v>
      </c>
      <c r="G49" s="105">
        <v>381.56806999999998</v>
      </c>
      <c r="H49" s="105">
        <v>381.56806999999998</v>
      </c>
      <c r="I49" s="105">
        <v>381.56806999999998</v>
      </c>
      <c r="J49" s="105">
        <v>381.56806999999998</v>
      </c>
      <c r="K49" s="105">
        <v>381.56806999999998</v>
      </c>
      <c r="L49" s="105">
        <v>381.56806999999998</v>
      </c>
      <c r="M49" s="105">
        <v>381.56806999999998</v>
      </c>
      <c r="N49" s="105">
        <v>381.56806999999998</v>
      </c>
      <c r="O49" s="105">
        <v>381.56806999999998</v>
      </c>
      <c r="P49" s="105">
        <v>381.56806999999998</v>
      </c>
      <c r="Q49" s="105">
        <v>381.56806999999998</v>
      </c>
      <c r="R49" s="105">
        <v>381.56806999999998</v>
      </c>
      <c r="S49" s="105">
        <v>381.56806999999998</v>
      </c>
      <c r="T49" s="105">
        <v>381.56806999999998</v>
      </c>
      <c r="U49" s="105">
        <v>381.56806999999998</v>
      </c>
      <c r="V49" s="105">
        <v>381.56806999999998</v>
      </c>
      <c r="W49" s="105">
        <v>381.56806999999998</v>
      </c>
      <c r="X49" s="105">
        <v>381.56806999999998</v>
      </c>
      <c r="Y49" s="105">
        <v>381.56806999999998</v>
      </c>
      <c r="Z49" s="105">
        <v>381.56806999999998</v>
      </c>
      <c r="AA49" s="105">
        <v>381.56806999999998</v>
      </c>
      <c r="AB49" s="105">
        <v>381.56806999999998</v>
      </c>
      <c r="AC49" s="105">
        <v>381.56806999999998</v>
      </c>
      <c r="AD49" s="105">
        <v>381.56806999999998</v>
      </c>
      <c r="AE49" s="105">
        <v>381.56806999999998</v>
      </c>
      <c r="AF49" s="105">
        <v>381.56806999999998</v>
      </c>
      <c r="AG49" s="105">
        <v>381.56806999999998</v>
      </c>
      <c r="AH49" s="105">
        <v>381.56806999999998</v>
      </c>
      <c r="AI49" s="105">
        <v>381.56806999999998</v>
      </c>
      <c r="AJ49" s="105">
        <v>381.56806999999998</v>
      </c>
      <c r="AK49" s="105">
        <v>381.56806999999998</v>
      </c>
      <c r="AL49" s="105">
        <v>381.56806999999998</v>
      </c>
      <c r="AM49" s="105">
        <v>381.56806999999998</v>
      </c>
      <c r="AN49" s="105">
        <v>381.56806999999998</v>
      </c>
      <c r="AO49" s="105">
        <v>381.56806999999998</v>
      </c>
      <c r="AP49" s="105">
        <v>381.56806999999998</v>
      </c>
      <c r="AQ49" s="105">
        <v>381.56806999999998</v>
      </c>
      <c r="AR49" s="105">
        <v>381.56806999999998</v>
      </c>
      <c r="AS49" s="105">
        <v>381.56806999999998</v>
      </c>
      <c r="AT49" s="105">
        <v>381.56806999999998</v>
      </c>
      <c r="AU49" s="105">
        <v>381.56806999999998</v>
      </c>
      <c r="AV49" s="105">
        <v>381.56806999999998</v>
      </c>
      <c r="AW49" s="105">
        <v>381.56806999999998</v>
      </c>
      <c r="AX49" s="105">
        <v>381.56806999999998</v>
      </c>
    </row>
    <row r="50" spans="2:51" x14ac:dyDescent="0.2">
      <c r="B50" s="104" t="s">
        <v>106</v>
      </c>
      <c r="C50" s="105">
        <v>0</v>
      </c>
      <c r="D50" s="105">
        <v>0</v>
      </c>
      <c r="E50" s="105">
        <v>0</v>
      </c>
      <c r="F50" s="105">
        <v>0</v>
      </c>
      <c r="G50" s="105">
        <v>362.2765</v>
      </c>
      <c r="H50" s="105">
        <v>362.2765</v>
      </c>
      <c r="I50" s="105">
        <v>362.2765</v>
      </c>
      <c r="J50" s="105">
        <v>362.2765</v>
      </c>
      <c r="K50" s="105">
        <v>289.82120000000003</v>
      </c>
      <c r="L50" s="105">
        <v>289.82120000000003</v>
      </c>
      <c r="M50" s="105">
        <v>289.82120000000003</v>
      </c>
      <c r="N50" s="105">
        <v>289.82120000000003</v>
      </c>
      <c r="O50" s="105">
        <v>289.82120000000003</v>
      </c>
      <c r="P50" s="105">
        <v>289.82120000000003</v>
      </c>
      <c r="Q50" s="105">
        <v>289.82120000000003</v>
      </c>
      <c r="R50" s="105">
        <v>289.82120000000003</v>
      </c>
      <c r="S50" s="105">
        <v>289.82120000000003</v>
      </c>
      <c r="T50" s="105">
        <v>289.82120000000003</v>
      </c>
      <c r="U50" s="105">
        <v>289.82120000000003</v>
      </c>
      <c r="V50" s="105">
        <v>289.82120000000003</v>
      </c>
      <c r="W50" s="105">
        <v>289.82120000000003</v>
      </c>
      <c r="X50" s="105">
        <v>289.82120000000003</v>
      </c>
      <c r="Y50" s="105">
        <v>289.82120000000003</v>
      </c>
      <c r="Z50" s="105">
        <v>289.82120000000003</v>
      </c>
      <c r="AA50" s="105">
        <v>289.82120000000003</v>
      </c>
      <c r="AB50" s="105">
        <v>289.82120000000003</v>
      </c>
      <c r="AC50" s="105">
        <v>289.82120000000003</v>
      </c>
      <c r="AD50" s="105">
        <v>289.82120000000003</v>
      </c>
      <c r="AE50" s="105">
        <v>289.82120000000003</v>
      </c>
      <c r="AF50" s="105">
        <v>289.82120000000003</v>
      </c>
      <c r="AG50" s="105">
        <v>289.82120000000003</v>
      </c>
      <c r="AH50" s="105">
        <v>289.82120000000003</v>
      </c>
      <c r="AI50" s="105">
        <v>289.82120000000003</v>
      </c>
      <c r="AJ50" s="105">
        <v>289.82120000000003</v>
      </c>
      <c r="AK50" s="105">
        <v>289.82120000000003</v>
      </c>
      <c r="AL50" s="105">
        <v>289.82120000000003</v>
      </c>
      <c r="AM50" s="105">
        <v>289.82120000000003</v>
      </c>
      <c r="AN50" s="105">
        <v>289.82120000000003</v>
      </c>
      <c r="AO50" s="105">
        <v>289.82120000000003</v>
      </c>
      <c r="AP50" s="105">
        <v>289.82120000000003</v>
      </c>
      <c r="AQ50" s="105">
        <v>289.82120000000003</v>
      </c>
      <c r="AR50" s="105">
        <v>289.82120000000003</v>
      </c>
      <c r="AS50" s="105">
        <v>289.82120000000003</v>
      </c>
      <c r="AT50" s="105">
        <v>289.82120000000003</v>
      </c>
      <c r="AU50" s="105">
        <v>289.82120000000003</v>
      </c>
      <c r="AV50" s="105">
        <v>289.82120000000003</v>
      </c>
      <c r="AW50" s="105">
        <v>289.82120000000003</v>
      </c>
      <c r="AX50" s="105">
        <v>289.82120000000003</v>
      </c>
      <c r="AY50" s="117"/>
    </row>
    <row r="51" spans="2:51" x14ac:dyDescent="0.2">
      <c r="B51" s="104" t="s">
        <v>107</v>
      </c>
      <c r="C51" s="105">
        <v>0</v>
      </c>
      <c r="D51" s="105">
        <v>0</v>
      </c>
      <c r="E51" s="105">
        <v>0</v>
      </c>
      <c r="F51" s="105">
        <v>0</v>
      </c>
      <c r="G51" s="105">
        <v>0</v>
      </c>
      <c r="H51" s="105">
        <v>0</v>
      </c>
      <c r="I51" s="105">
        <v>0</v>
      </c>
      <c r="J51" s="105">
        <v>0</v>
      </c>
      <c r="K51" s="105">
        <v>0</v>
      </c>
      <c r="L51" s="105">
        <v>0</v>
      </c>
      <c r="M51" s="105">
        <v>0</v>
      </c>
      <c r="N51" s="105">
        <v>0</v>
      </c>
      <c r="O51" s="105">
        <v>0</v>
      </c>
      <c r="P51" s="105">
        <v>0</v>
      </c>
      <c r="Q51" s="105">
        <v>0</v>
      </c>
      <c r="R51" s="105">
        <v>0</v>
      </c>
      <c r="S51" s="105">
        <v>0</v>
      </c>
      <c r="T51" s="105">
        <v>0</v>
      </c>
      <c r="U51" s="105">
        <v>0</v>
      </c>
      <c r="V51" s="105">
        <v>0</v>
      </c>
      <c r="W51" s="105">
        <v>0</v>
      </c>
      <c r="X51" s="105">
        <v>0</v>
      </c>
      <c r="Y51" s="105">
        <v>0</v>
      </c>
      <c r="Z51" s="105">
        <v>0</v>
      </c>
      <c r="AA51" s="105">
        <v>0</v>
      </c>
      <c r="AB51" s="105">
        <v>0</v>
      </c>
      <c r="AC51" s="105">
        <v>0</v>
      </c>
      <c r="AD51" s="105">
        <v>0</v>
      </c>
      <c r="AE51" s="105">
        <v>0</v>
      </c>
      <c r="AF51" s="105">
        <v>0</v>
      </c>
      <c r="AG51" s="105">
        <v>0</v>
      </c>
      <c r="AH51" s="105">
        <v>0</v>
      </c>
      <c r="AI51" s="105">
        <v>0</v>
      </c>
      <c r="AJ51" s="105">
        <v>0</v>
      </c>
      <c r="AK51" s="105">
        <v>0</v>
      </c>
      <c r="AL51" s="105">
        <v>0</v>
      </c>
      <c r="AM51" s="105">
        <v>0</v>
      </c>
      <c r="AN51" s="105">
        <v>0</v>
      </c>
      <c r="AO51" s="105">
        <v>0</v>
      </c>
      <c r="AP51" s="105">
        <v>0</v>
      </c>
      <c r="AQ51" s="105">
        <v>0</v>
      </c>
      <c r="AR51" s="105">
        <v>0</v>
      </c>
      <c r="AS51" s="105">
        <v>0</v>
      </c>
      <c r="AT51" s="105">
        <v>0</v>
      </c>
      <c r="AU51" s="105">
        <v>0</v>
      </c>
      <c r="AV51" s="105">
        <v>0</v>
      </c>
      <c r="AW51" s="105">
        <v>0</v>
      </c>
      <c r="AX51" s="105">
        <v>0</v>
      </c>
      <c r="AY51" s="116"/>
    </row>
    <row r="52" spans="2:51" x14ac:dyDescent="0.2">
      <c r="B52" s="104" t="s">
        <v>108</v>
      </c>
      <c r="C52" s="105">
        <v>0</v>
      </c>
      <c r="D52" s="105">
        <v>0</v>
      </c>
      <c r="E52" s="105">
        <v>0</v>
      </c>
      <c r="F52" s="105">
        <v>0</v>
      </c>
      <c r="G52" s="105">
        <v>0</v>
      </c>
      <c r="H52" s="105">
        <v>0</v>
      </c>
      <c r="I52" s="105">
        <v>0</v>
      </c>
      <c r="J52" s="105">
        <v>0</v>
      </c>
      <c r="K52" s="105">
        <v>0</v>
      </c>
      <c r="L52" s="105">
        <v>0</v>
      </c>
      <c r="M52" s="105">
        <v>0</v>
      </c>
      <c r="N52" s="105">
        <v>0</v>
      </c>
      <c r="O52" s="105">
        <v>0</v>
      </c>
      <c r="P52" s="105">
        <v>0</v>
      </c>
      <c r="Q52" s="105">
        <v>0</v>
      </c>
      <c r="R52" s="105">
        <v>0</v>
      </c>
      <c r="S52" s="105">
        <v>0</v>
      </c>
      <c r="T52" s="105">
        <v>0</v>
      </c>
      <c r="U52" s="105">
        <v>0</v>
      </c>
      <c r="V52" s="105">
        <v>0</v>
      </c>
      <c r="W52" s="105">
        <v>0</v>
      </c>
      <c r="X52" s="105">
        <v>0</v>
      </c>
      <c r="Y52" s="105">
        <v>0</v>
      </c>
      <c r="Z52" s="105">
        <v>0</v>
      </c>
      <c r="AA52" s="105">
        <v>0</v>
      </c>
      <c r="AB52" s="105">
        <v>0</v>
      </c>
      <c r="AC52" s="105">
        <v>0</v>
      </c>
      <c r="AD52" s="105">
        <v>0</v>
      </c>
      <c r="AE52" s="105">
        <v>0</v>
      </c>
      <c r="AF52" s="105">
        <v>0</v>
      </c>
      <c r="AG52" s="105">
        <v>0</v>
      </c>
      <c r="AH52" s="105">
        <v>0</v>
      </c>
      <c r="AI52" s="105">
        <v>0</v>
      </c>
      <c r="AJ52" s="105">
        <v>0</v>
      </c>
      <c r="AK52" s="105">
        <v>0</v>
      </c>
      <c r="AL52" s="105">
        <v>0</v>
      </c>
      <c r="AM52" s="105">
        <v>0</v>
      </c>
      <c r="AN52" s="105">
        <v>0</v>
      </c>
      <c r="AO52" s="105">
        <v>0</v>
      </c>
      <c r="AP52" s="105">
        <v>0</v>
      </c>
      <c r="AQ52" s="105">
        <v>0</v>
      </c>
      <c r="AR52" s="105">
        <v>0</v>
      </c>
      <c r="AS52" s="105">
        <v>0</v>
      </c>
      <c r="AT52" s="105">
        <v>0</v>
      </c>
      <c r="AU52" s="105">
        <v>0</v>
      </c>
      <c r="AV52" s="105">
        <v>0</v>
      </c>
      <c r="AW52" s="105">
        <v>0</v>
      </c>
      <c r="AX52" s="105">
        <v>0</v>
      </c>
    </row>
    <row r="53" spans="2:51" x14ac:dyDescent="0.2">
      <c r="B53" s="104" t="s">
        <v>109</v>
      </c>
      <c r="C53" s="105">
        <v>0</v>
      </c>
      <c r="D53" s="105">
        <v>0</v>
      </c>
      <c r="E53" s="105">
        <v>0</v>
      </c>
      <c r="F53" s="105">
        <v>0</v>
      </c>
      <c r="G53" s="105">
        <v>0</v>
      </c>
      <c r="H53" s="105">
        <v>0</v>
      </c>
      <c r="I53" s="105">
        <v>0</v>
      </c>
      <c r="J53" s="105">
        <v>0</v>
      </c>
      <c r="K53" s="105">
        <v>0</v>
      </c>
      <c r="L53" s="105">
        <v>0</v>
      </c>
      <c r="M53" s="105">
        <v>0</v>
      </c>
      <c r="N53" s="105">
        <v>0</v>
      </c>
      <c r="O53" s="105">
        <v>0</v>
      </c>
      <c r="P53" s="105">
        <v>0</v>
      </c>
      <c r="Q53" s="105">
        <v>0</v>
      </c>
      <c r="R53" s="105">
        <v>0</v>
      </c>
      <c r="S53" s="105">
        <v>0</v>
      </c>
      <c r="T53" s="105">
        <v>0</v>
      </c>
      <c r="U53" s="105">
        <v>0</v>
      </c>
      <c r="V53" s="105">
        <v>0</v>
      </c>
      <c r="W53" s="105">
        <v>0</v>
      </c>
      <c r="X53" s="105">
        <v>0</v>
      </c>
      <c r="Y53" s="105">
        <v>0</v>
      </c>
      <c r="Z53" s="105">
        <v>0</v>
      </c>
      <c r="AA53" s="105">
        <v>0</v>
      </c>
      <c r="AB53" s="105">
        <v>0</v>
      </c>
      <c r="AC53" s="105">
        <v>0</v>
      </c>
      <c r="AD53" s="105">
        <v>0</v>
      </c>
      <c r="AE53" s="105">
        <v>0</v>
      </c>
      <c r="AF53" s="105">
        <v>0</v>
      </c>
      <c r="AG53" s="105">
        <v>0</v>
      </c>
      <c r="AH53" s="105">
        <v>0</v>
      </c>
      <c r="AI53" s="105">
        <v>0</v>
      </c>
      <c r="AJ53" s="105">
        <v>0</v>
      </c>
      <c r="AK53" s="105">
        <v>0</v>
      </c>
      <c r="AL53" s="105">
        <v>0</v>
      </c>
      <c r="AM53" s="105">
        <v>0</v>
      </c>
      <c r="AN53" s="105">
        <v>0</v>
      </c>
      <c r="AO53" s="105">
        <v>0</v>
      </c>
      <c r="AP53" s="105">
        <v>0</v>
      </c>
      <c r="AQ53" s="105">
        <v>0</v>
      </c>
      <c r="AR53" s="105">
        <v>0</v>
      </c>
      <c r="AS53" s="105">
        <v>0</v>
      </c>
      <c r="AT53" s="105">
        <v>0</v>
      </c>
      <c r="AU53" s="105">
        <v>0</v>
      </c>
      <c r="AV53" s="105">
        <v>0</v>
      </c>
      <c r="AW53" s="105">
        <v>0</v>
      </c>
      <c r="AX53" s="105">
        <v>0</v>
      </c>
    </row>
    <row r="55" spans="2:51" x14ac:dyDescent="0.2">
      <c r="B55" s="179" t="s">
        <v>327</v>
      </c>
      <c r="C55" s="180"/>
      <c r="D55" s="180"/>
      <c r="E55" s="180"/>
      <c r="F55" s="180"/>
      <c r="G55" s="180"/>
      <c r="H55" s="180"/>
      <c r="I55" s="180"/>
      <c r="J55" s="180"/>
      <c r="K55" s="180"/>
      <c r="L55" s="180"/>
      <c r="M55" s="180"/>
      <c r="N55" s="180"/>
      <c r="O55" s="180"/>
      <c r="P55" s="180"/>
      <c r="Q55" s="180"/>
      <c r="R55" s="180"/>
      <c r="S55" s="180"/>
      <c r="T55" s="180"/>
      <c r="U55" s="180"/>
      <c r="V55" s="180"/>
      <c r="W55" s="180"/>
      <c r="X55" s="180"/>
      <c r="Y55" s="180"/>
      <c r="Z55" s="180"/>
      <c r="AA55" s="180"/>
      <c r="AB55" s="180"/>
      <c r="AC55" s="180"/>
      <c r="AD55" s="180"/>
      <c r="AE55" s="180"/>
      <c r="AF55" s="180"/>
      <c r="AG55" s="180"/>
      <c r="AH55" s="180"/>
      <c r="AI55" s="180"/>
      <c r="AJ55" s="180"/>
      <c r="AK55" s="180"/>
      <c r="AL55" s="180"/>
      <c r="AM55" s="180"/>
      <c r="AN55" s="180"/>
      <c r="AO55" s="180"/>
      <c r="AP55" s="180"/>
      <c r="AQ55" s="180"/>
      <c r="AR55" s="180"/>
      <c r="AS55" s="180"/>
      <c r="AT55" s="180"/>
      <c r="AU55" s="180"/>
      <c r="AV55" s="180"/>
      <c r="AW55" s="180"/>
      <c r="AX55" s="180"/>
    </row>
    <row r="56" spans="2:51" x14ac:dyDescent="0.2">
      <c r="B56" s="110" t="s">
        <v>274</v>
      </c>
      <c r="C56" s="110" t="s">
        <v>92</v>
      </c>
      <c r="D56" s="106"/>
      <c r="E56" s="106"/>
      <c r="F56" s="106"/>
      <c r="G56" s="110" t="s">
        <v>93</v>
      </c>
      <c r="H56" s="106"/>
      <c r="I56" s="106"/>
      <c r="J56" s="106"/>
      <c r="K56" s="110" t="s">
        <v>94</v>
      </c>
      <c r="L56" s="106"/>
      <c r="M56" s="106"/>
      <c r="N56" s="106"/>
      <c r="O56" s="110" t="s">
        <v>95</v>
      </c>
      <c r="P56" s="106"/>
      <c r="Q56" s="106"/>
      <c r="R56" s="106"/>
      <c r="S56" s="110" t="s">
        <v>96</v>
      </c>
      <c r="T56" s="106"/>
      <c r="U56" s="106"/>
      <c r="V56" s="106"/>
      <c r="W56" s="110" t="s">
        <v>97</v>
      </c>
      <c r="X56" s="106"/>
      <c r="Y56" s="106"/>
      <c r="Z56" s="106"/>
      <c r="AA56" s="110" t="s">
        <v>98</v>
      </c>
      <c r="AB56" s="106"/>
      <c r="AC56" s="106"/>
      <c r="AD56" s="106"/>
      <c r="AE56" s="110" t="s">
        <v>99</v>
      </c>
      <c r="AF56" s="106"/>
      <c r="AG56" s="106"/>
      <c r="AH56" s="106"/>
      <c r="AI56" s="110" t="s">
        <v>100</v>
      </c>
      <c r="AJ56" s="106"/>
      <c r="AK56" s="106"/>
      <c r="AL56" s="106"/>
      <c r="AM56" s="110" t="s">
        <v>101</v>
      </c>
      <c r="AN56" s="106"/>
      <c r="AO56" s="106"/>
      <c r="AP56" s="106"/>
      <c r="AQ56" s="110" t="s">
        <v>102</v>
      </c>
      <c r="AR56" s="106"/>
      <c r="AS56" s="106"/>
      <c r="AT56" s="106"/>
      <c r="AU56" s="110" t="s">
        <v>103</v>
      </c>
      <c r="AV56" s="106"/>
      <c r="AW56" s="106"/>
    </row>
    <row r="57" spans="2:51" x14ac:dyDescent="0.2">
      <c r="B57" s="110" t="s">
        <v>326</v>
      </c>
      <c r="C57" s="110">
        <v>1</v>
      </c>
      <c r="D57" s="110">
        <v>2</v>
      </c>
      <c r="E57" s="110">
        <v>3</v>
      </c>
      <c r="F57" s="110">
        <v>4</v>
      </c>
      <c r="G57" s="110">
        <v>1</v>
      </c>
      <c r="H57" s="110">
        <v>2</v>
      </c>
      <c r="I57" s="110">
        <v>3</v>
      </c>
      <c r="J57" s="110">
        <v>4</v>
      </c>
      <c r="K57" s="110">
        <v>1</v>
      </c>
      <c r="L57" s="110">
        <v>2</v>
      </c>
      <c r="M57" s="110">
        <v>3</v>
      </c>
      <c r="N57" s="110">
        <v>4</v>
      </c>
      <c r="O57" s="110">
        <v>1</v>
      </c>
      <c r="P57" s="110">
        <v>2</v>
      </c>
      <c r="Q57" s="110">
        <v>3</v>
      </c>
      <c r="R57" s="110">
        <v>4</v>
      </c>
      <c r="S57" s="110">
        <v>1</v>
      </c>
      <c r="T57" s="110">
        <v>2</v>
      </c>
      <c r="U57" s="110">
        <v>3</v>
      </c>
      <c r="V57" s="110">
        <v>4</v>
      </c>
      <c r="W57" s="110">
        <v>1</v>
      </c>
      <c r="X57" s="110">
        <v>2</v>
      </c>
      <c r="Y57" s="110">
        <v>3</v>
      </c>
      <c r="Z57" s="110">
        <v>4</v>
      </c>
      <c r="AA57" s="110">
        <v>1</v>
      </c>
      <c r="AB57" s="110">
        <v>2</v>
      </c>
      <c r="AC57" s="110">
        <v>3</v>
      </c>
      <c r="AD57" s="110">
        <v>4</v>
      </c>
      <c r="AE57" s="110">
        <v>1</v>
      </c>
      <c r="AF57" s="110">
        <v>2</v>
      </c>
      <c r="AG57" s="110">
        <v>3</v>
      </c>
      <c r="AH57" s="110">
        <v>4</v>
      </c>
      <c r="AI57" s="110">
        <v>1</v>
      </c>
      <c r="AJ57" s="110">
        <v>2</v>
      </c>
      <c r="AK57" s="110">
        <v>3</v>
      </c>
      <c r="AL57" s="110">
        <v>4</v>
      </c>
      <c r="AM57" s="110">
        <v>1</v>
      </c>
      <c r="AN57" s="110">
        <v>2</v>
      </c>
      <c r="AO57" s="110">
        <v>3</v>
      </c>
      <c r="AP57" s="110">
        <v>4</v>
      </c>
      <c r="AQ57" s="110">
        <v>1</v>
      </c>
      <c r="AR57" s="110">
        <v>2</v>
      </c>
      <c r="AS57" s="110">
        <v>3</v>
      </c>
      <c r="AT57" s="110">
        <v>4</v>
      </c>
      <c r="AU57" s="110">
        <v>1</v>
      </c>
      <c r="AV57" s="110">
        <v>2</v>
      </c>
      <c r="AW57" s="110">
        <v>3</v>
      </c>
      <c r="AX57" s="110">
        <v>4</v>
      </c>
    </row>
    <row r="58" spans="2:51" x14ac:dyDescent="0.2">
      <c r="B58" s="110" t="s">
        <v>104</v>
      </c>
      <c r="C58" s="105">
        <v>0</v>
      </c>
      <c r="D58" s="105">
        <v>0</v>
      </c>
      <c r="E58" s="105">
        <v>0</v>
      </c>
      <c r="F58" s="105">
        <v>0</v>
      </c>
      <c r="G58" s="105">
        <v>1494172.105715221</v>
      </c>
      <c r="H58" s="105">
        <v>1494172.105715221</v>
      </c>
      <c r="I58" s="105">
        <v>1494172.105715221</v>
      </c>
      <c r="J58" s="105">
        <v>1494172.105715221</v>
      </c>
      <c r="K58" s="105">
        <v>1448025.0699765517</v>
      </c>
      <c r="L58" s="105">
        <v>1448025.0699765517</v>
      </c>
      <c r="M58" s="105">
        <v>1448025.0699765517</v>
      </c>
      <c r="N58" s="105">
        <v>1448025.0699765517</v>
      </c>
      <c r="O58" s="105">
        <v>1383640.5525666112</v>
      </c>
      <c r="P58" s="105">
        <v>1383640.5525666112</v>
      </c>
      <c r="Q58" s="105">
        <v>1383640.5525666112</v>
      </c>
      <c r="R58" s="105">
        <v>1383640.5525666112</v>
      </c>
      <c r="S58" s="105">
        <v>1854172.9106766335</v>
      </c>
      <c r="T58" s="105">
        <v>1854172.9106766335</v>
      </c>
      <c r="U58" s="105">
        <v>1854172.9106766335</v>
      </c>
      <c r="V58" s="105">
        <v>1854172.9106766335</v>
      </c>
      <c r="W58" s="105">
        <v>1696117.0002333112</v>
      </c>
      <c r="X58" s="105">
        <v>1696117.0002333112</v>
      </c>
      <c r="Y58" s="105">
        <v>1696117.0002333112</v>
      </c>
      <c r="Z58" s="105">
        <v>1696117.0002333112</v>
      </c>
      <c r="AA58" s="105">
        <v>1514825.7918729212</v>
      </c>
      <c r="AB58" s="105">
        <v>1514825.7918729212</v>
      </c>
      <c r="AC58" s="105">
        <v>1514825.7918729212</v>
      </c>
      <c r="AD58" s="105">
        <v>1514825.7918729212</v>
      </c>
      <c r="AE58" s="105">
        <v>1415328.9223235433</v>
      </c>
      <c r="AF58" s="105">
        <v>1415328.9223235433</v>
      </c>
      <c r="AG58" s="105">
        <v>1415328.9223235433</v>
      </c>
      <c r="AH58" s="105">
        <v>1415328.9223235433</v>
      </c>
      <c r="AI58" s="105">
        <v>1735551.5129243727</v>
      </c>
      <c r="AJ58" s="105">
        <v>1735551.5129243727</v>
      </c>
      <c r="AK58" s="105">
        <v>1735551.5129243727</v>
      </c>
      <c r="AL58" s="105">
        <v>1735551.5129243727</v>
      </c>
      <c r="AM58" s="105">
        <v>1473168.1970968777</v>
      </c>
      <c r="AN58" s="105">
        <v>1473168.1970968777</v>
      </c>
      <c r="AO58" s="105">
        <v>1473168.1970968777</v>
      </c>
      <c r="AP58" s="105">
        <v>1473168.1970968777</v>
      </c>
      <c r="AQ58" s="105">
        <v>1699410.2479836335</v>
      </c>
      <c r="AR58" s="105">
        <v>1699410.2479836335</v>
      </c>
      <c r="AS58" s="105">
        <v>1699410.2479836335</v>
      </c>
      <c r="AT58" s="105">
        <v>1699410.2479836335</v>
      </c>
      <c r="AU58" s="105">
        <v>1943328.7491684109</v>
      </c>
      <c r="AV58" s="105">
        <v>1943328.7491684109</v>
      </c>
      <c r="AW58" s="105">
        <v>1943328.7491684109</v>
      </c>
      <c r="AX58" s="105">
        <v>1943328.7491684109</v>
      </c>
    </row>
    <row r="59" spans="2:51" x14ac:dyDescent="0.2">
      <c r="B59" s="110" t="s">
        <v>105</v>
      </c>
      <c r="C59" s="105">
        <v>0</v>
      </c>
      <c r="D59" s="105">
        <v>0</v>
      </c>
      <c r="E59" s="105">
        <v>0</v>
      </c>
      <c r="F59" s="105">
        <v>0</v>
      </c>
      <c r="G59" s="105">
        <v>494817.68601497711</v>
      </c>
      <c r="H59" s="105">
        <v>494817.68601497711</v>
      </c>
      <c r="I59" s="105">
        <v>494817.68601497711</v>
      </c>
      <c r="J59" s="105">
        <v>494817.68601497711</v>
      </c>
      <c r="K59" s="105">
        <v>559742.93593645934</v>
      </c>
      <c r="L59" s="105">
        <v>559742.93593645934</v>
      </c>
      <c r="M59" s="105">
        <v>559742.93593645934</v>
      </c>
      <c r="N59" s="105">
        <v>559742.93593645934</v>
      </c>
      <c r="O59" s="105">
        <v>591662.85306007229</v>
      </c>
      <c r="P59" s="105">
        <v>591662.85306007229</v>
      </c>
      <c r="Q59" s="105">
        <v>591662.85306007229</v>
      </c>
      <c r="R59" s="105">
        <v>591662.85306007229</v>
      </c>
      <c r="S59" s="105">
        <v>519707.84211458568</v>
      </c>
      <c r="T59" s="105">
        <v>519707.84211458568</v>
      </c>
      <c r="U59" s="105">
        <v>519707.84211458568</v>
      </c>
      <c r="V59" s="105">
        <v>519707.84211458568</v>
      </c>
      <c r="W59" s="105">
        <v>585326.44963076757</v>
      </c>
      <c r="X59" s="105">
        <v>585326.44963076757</v>
      </c>
      <c r="Y59" s="105">
        <v>585326.44963076757</v>
      </c>
      <c r="Z59" s="105">
        <v>585326.44963076757</v>
      </c>
      <c r="AA59" s="105">
        <v>545177.1771356524</v>
      </c>
      <c r="AB59" s="105">
        <v>545177.1771356524</v>
      </c>
      <c r="AC59" s="105">
        <v>545177.1771356524</v>
      </c>
      <c r="AD59" s="105">
        <v>545177.1771356524</v>
      </c>
      <c r="AE59" s="105">
        <v>531695.47765947168</v>
      </c>
      <c r="AF59" s="105">
        <v>531695.47765947168</v>
      </c>
      <c r="AG59" s="105">
        <v>531695.47765947168</v>
      </c>
      <c r="AH59" s="105">
        <v>531695.47765947168</v>
      </c>
      <c r="AI59" s="105">
        <v>481701.58584917913</v>
      </c>
      <c r="AJ59" s="105">
        <v>481701.58584917913</v>
      </c>
      <c r="AK59" s="105">
        <v>481701.58584917913</v>
      </c>
      <c r="AL59" s="105">
        <v>481701.58584917913</v>
      </c>
      <c r="AM59" s="105">
        <v>531867.26598451717</v>
      </c>
      <c r="AN59" s="105">
        <v>531867.26598451717</v>
      </c>
      <c r="AO59" s="105">
        <v>531867.26598451717</v>
      </c>
      <c r="AP59" s="105">
        <v>531867.26598451717</v>
      </c>
      <c r="AQ59" s="105">
        <v>516994.7353530929</v>
      </c>
      <c r="AR59" s="105">
        <v>516994.7353530929</v>
      </c>
      <c r="AS59" s="105">
        <v>516994.7353530929</v>
      </c>
      <c r="AT59" s="105">
        <v>516994.7353530929</v>
      </c>
      <c r="AU59" s="105">
        <v>505471.12546780595</v>
      </c>
      <c r="AV59" s="105">
        <v>505471.12546780595</v>
      </c>
      <c r="AW59" s="105">
        <v>505471.12546780595</v>
      </c>
      <c r="AX59" s="105">
        <v>505471.12546780595</v>
      </c>
    </row>
    <row r="60" spans="2:51" x14ac:dyDescent="0.2">
      <c r="B60" s="110" t="s">
        <v>106</v>
      </c>
      <c r="C60" s="105">
        <v>0</v>
      </c>
      <c r="D60" s="105">
        <v>0</v>
      </c>
      <c r="E60" s="105">
        <v>0</v>
      </c>
      <c r="F60" s="105">
        <v>0</v>
      </c>
      <c r="G60" s="105">
        <v>561323.86703444994</v>
      </c>
      <c r="H60" s="105">
        <v>561323.86703444994</v>
      </c>
      <c r="I60" s="105">
        <v>561323.86703444994</v>
      </c>
      <c r="J60" s="105">
        <v>561323.86703444994</v>
      </c>
      <c r="K60" s="105">
        <v>404314.39149661735</v>
      </c>
      <c r="L60" s="105">
        <v>404314.39149661735</v>
      </c>
      <c r="M60" s="105">
        <v>404314.39149661735</v>
      </c>
      <c r="N60" s="105">
        <v>404314.39149661735</v>
      </c>
      <c r="O60" s="105">
        <v>395812.09412063443</v>
      </c>
      <c r="P60" s="105">
        <v>395812.09412063443</v>
      </c>
      <c r="Q60" s="105">
        <v>395812.09412063443</v>
      </c>
      <c r="R60" s="105">
        <v>395812.09412063443</v>
      </c>
      <c r="S60" s="105">
        <v>398611.52044950827</v>
      </c>
      <c r="T60" s="105">
        <v>398611.52044950827</v>
      </c>
      <c r="U60" s="105">
        <v>398611.52044950827</v>
      </c>
      <c r="V60" s="105">
        <v>398611.52044950827</v>
      </c>
      <c r="W60" s="105">
        <v>436755.30719754426</v>
      </c>
      <c r="X60" s="105">
        <v>436755.30719754426</v>
      </c>
      <c r="Y60" s="105">
        <v>436755.30719754426</v>
      </c>
      <c r="Z60" s="105">
        <v>436755.30719754426</v>
      </c>
      <c r="AA60" s="105">
        <v>415010.89624753554</v>
      </c>
      <c r="AB60" s="105">
        <v>415010.89624753554</v>
      </c>
      <c r="AC60" s="105">
        <v>415010.89624753554</v>
      </c>
      <c r="AD60" s="105">
        <v>415010.89624753554</v>
      </c>
      <c r="AE60" s="105">
        <v>469222.05312977085</v>
      </c>
      <c r="AF60" s="105">
        <v>469222.05312977085</v>
      </c>
      <c r="AG60" s="105">
        <v>469222.05312977085</v>
      </c>
      <c r="AH60" s="105">
        <v>469222.05312977085</v>
      </c>
      <c r="AI60" s="105">
        <v>493902.35414799367</v>
      </c>
      <c r="AJ60" s="105">
        <v>493902.35414799367</v>
      </c>
      <c r="AK60" s="105">
        <v>493902.35414799367</v>
      </c>
      <c r="AL60" s="105">
        <v>493902.35414799367</v>
      </c>
      <c r="AM60" s="105">
        <v>419135.50435964577</v>
      </c>
      <c r="AN60" s="105">
        <v>419135.50435964577</v>
      </c>
      <c r="AO60" s="105">
        <v>419135.50435964577</v>
      </c>
      <c r="AP60" s="105">
        <v>419135.50435964577</v>
      </c>
      <c r="AQ60" s="105">
        <v>512033.62569371209</v>
      </c>
      <c r="AR60" s="105">
        <v>512033.62569371209</v>
      </c>
      <c r="AS60" s="105">
        <v>512033.62569371209</v>
      </c>
      <c r="AT60" s="105">
        <v>512033.62569371209</v>
      </c>
      <c r="AU60" s="105">
        <v>481535.33614710998</v>
      </c>
      <c r="AV60" s="105">
        <v>481535.33614710998</v>
      </c>
      <c r="AW60" s="105">
        <v>481535.33614710998</v>
      </c>
      <c r="AX60" s="105">
        <v>481535.33614710998</v>
      </c>
    </row>
    <row r="61" spans="2:51" x14ac:dyDescent="0.2">
      <c r="B61" s="110" t="s">
        <v>107</v>
      </c>
      <c r="C61" s="105">
        <v>0</v>
      </c>
      <c r="D61" s="105">
        <v>0</v>
      </c>
      <c r="E61" s="105">
        <v>0</v>
      </c>
      <c r="F61" s="105">
        <v>0</v>
      </c>
      <c r="G61" s="105">
        <v>0</v>
      </c>
      <c r="H61" s="105">
        <v>0</v>
      </c>
      <c r="I61" s="105">
        <v>0</v>
      </c>
      <c r="J61" s="105">
        <v>0</v>
      </c>
      <c r="K61" s="105">
        <v>0</v>
      </c>
      <c r="L61" s="105">
        <v>0</v>
      </c>
      <c r="M61" s="105">
        <v>0</v>
      </c>
      <c r="N61" s="105">
        <v>0</v>
      </c>
      <c r="O61" s="105">
        <v>0</v>
      </c>
      <c r="P61" s="105">
        <v>0</v>
      </c>
      <c r="Q61" s="105">
        <v>0</v>
      </c>
      <c r="R61" s="105">
        <v>0</v>
      </c>
      <c r="S61" s="105">
        <v>0</v>
      </c>
      <c r="T61" s="105">
        <v>0</v>
      </c>
      <c r="U61" s="105">
        <v>0</v>
      </c>
      <c r="V61" s="105">
        <v>0</v>
      </c>
      <c r="W61" s="105">
        <v>0</v>
      </c>
      <c r="X61" s="105">
        <v>0</v>
      </c>
      <c r="Y61" s="105">
        <v>0</v>
      </c>
      <c r="Z61" s="105">
        <v>0</v>
      </c>
      <c r="AA61" s="105">
        <v>0</v>
      </c>
      <c r="AB61" s="105">
        <v>0</v>
      </c>
      <c r="AC61" s="105">
        <v>0</v>
      </c>
      <c r="AD61" s="105">
        <v>0</v>
      </c>
      <c r="AE61" s="105">
        <v>0</v>
      </c>
      <c r="AF61" s="105">
        <v>0</v>
      </c>
      <c r="AG61" s="105">
        <v>0</v>
      </c>
      <c r="AH61" s="105">
        <v>0</v>
      </c>
      <c r="AI61" s="105">
        <v>0</v>
      </c>
      <c r="AJ61" s="105">
        <v>0</v>
      </c>
      <c r="AK61" s="105">
        <v>0</v>
      </c>
      <c r="AL61" s="105">
        <v>0</v>
      </c>
      <c r="AM61" s="105">
        <v>0</v>
      </c>
      <c r="AN61" s="105">
        <v>0</v>
      </c>
      <c r="AO61" s="105">
        <v>0</v>
      </c>
      <c r="AP61" s="105">
        <v>0</v>
      </c>
      <c r="AQ61" s="105">
        <v>0</v>
      </c>
      <c r="AR61" s="105">
        <v>0</v>
      </c>
      <c r="AS61" s="105">
        <v>0</v>
      </c>
      <c r="AT61" s="105">
        <v>0</v>
      </c>
      <c r="AU61" s="105">
        <v>0</v>
      </c>
      <c r="AV61" s="105">
        <v>0</v>
      </c>
      <c r="AW61" s="105">
        <v>0</v>
      </c>
      <c r="AX61" s="105">
        <v>0</v>
      </c>
    </row>
    <row r="62" spans="2:51" x14ac:dyDescent="0.2">
      <c r="B62" s="110" t="s">
        <v>108</v>
      </c>
      <c r="C62" s="105">
        <v>0</v>
      </c>
      <c r="D62" s="105">
        <v>0</v>
      </c>
      <c r="E62" s="105">
        <v>0</v>
      </c>
      <c r="F62" s="105">
        <v>0</v>
      </c>
      <c r="G62" s="105">
        <v>0</v>
      </c>
      <c r="H62" s="105">
        <v>0</v>
      </c>
      <c r="I62" s="105">
        <v>0</v>
      </c>
      <c r="J62" s="105">
        <v>0</v>
      </c>
      <c r="K62" s="105">
        <v>0</v>
      </c>
      <c r="L62" s="105">
        <v>0</v>
      </c>
      <c r="M62" s="105">
        <v>0</v>
      </c>
      <c r="N62" s="105">
        <v>0</v>
      </c>
      <c r="O62" s="105">
        <v>0</v>
      </c>
      <c r="P62" s="105">
        <v>0</v>
      </c>
      <c r="Q62" s="105">
        <v>0</v>
      </c>
      <c r="R62" s="105">
        <v>0</v>
      </c>
      <c r="S62" s="105">
        <v>0</v>
      </c>
      <c r="T62" s="105">
        <v>0</v>
      </c>
      <c r="U62" s="105">
        <v>0</v>
      </c>
      <c r="V62" s="105">
        <v>0</v>
      </c>
      <c r="W62" s="105">
        <v>0</v>
      </c>
      <c r="X62" s="105">
        <v>0</v>
      </c>
      <c r="Y62" s="105">
        <v>0</v>
      </c>
      <c r="Z62" s="105">
        <v>0</v>
      </c>
      <c r="AA62" s="105">
        <v>0</v>
      </c>
      <c r="AB62" s="105">
        <v>0</v>
      </c>
      <c r="AC62" s="105">
        <v>0</v>
      </c>
      <c r="AD62" s="105">
        <v>0</v>
      </c>
      <c r="AE62" s="105">
        <v>0</v>
      </c>
      <c r="AF62" s="105">
        <v>0</v>
      </c>
      <c r="AG62" s="105">
        <v>0</v>
      </c>
      <c r="AH62" s="105">
        <v>0</v>
      </c>
      <c r="AI62" s="105">
        <v>0</v>
      </c>
      <c r="AJ62" s="105">
        <v>0</v>
      </c>
      <c r="AK62" s="105">
        <v>0</v>
      </c>
      <c r="AL62" s="105">
        <v>0</v>
      </c>
      <c r="AM62" s="105">
        <v>0</v>
      </c>
      <c r="AN62" s="105">
        <v>0</v>
      </c>
      <c r="AO62" s="105">
        <v>0</v>
      </c>
      <c r="AP62" s="105">
        <v>0</v>
      </c>
      <c r="AQ62" s="105">
        <v>0</v>
      </c>
      <c r="AR62" s="105">
        <v>0</v>
      </c>
      <c r="AS62" s="105">
        <v>0</v>
      </c>
      <c r="AT62" s="105">
        <v>0</v>
      </c>
      <c r="AU62" s="105">
        <v>0</v>
      </c>
      <c r="AV62" s="105">
        <v>0</v>
      </c>
      <c r="AW62" s="105">
        <v>0</v>
      </c>
      <c r="AX62" s="105">
        <v>0</v>
      </c>
    </row>
    <row r="63" spans="2:51" x14ac:dyDescent="0.2">
      <c r="B63" s="110" t="s">
        <v>109</v>
      </c>
      <c r="C63" s="105">
        <v>0</v>
      </c>
      <c r="D63" s="105">
        <v>0</v>
      </c>
      <c r="E63" s="105">
        <v>0</v>
      </c>
      <c r="F63" s="105">
        <v>0</v>
      </c>
      <c r="G63" s="105">
        <v>0</v>
      </c>
      <c r="H63" s="105">
        <v>0</v>
      </c>
      <c r="I63" s="105">
        <v>0</v>
      </c>
      <c r="J63" s="105">
        <v>0</v>
      </c>
      <c r="K63" s="105">
        <v>0</v>
      </c>
      <c r="L63" s="105">
        <v>0</v>
      </c>
      <c r="M63" s="105">
        <v>0</v>
      </c>
      <c r="N63" s="105">
        <v>0</v>
      </c>
      <c r="O63" s="105">
        <v>0</v>
      </c>
      <c r="P63" s="105">
        <v>0</v>
      </c>
      <c r="Q63" s="105">
        <v>0</v>
      </c>
      <c r="R63" s="105">
        <v>0</v>
      </c>
      <c r="S63" s="105">
        <v>0</v>
      </c>
      <c r="T63" s="105">
        <v>0</v>
      </c>
      <c r="U63" s="105">
        <v>0</v>
      </c>
      <c r="V63" s="105">
        <v>0</v>
      </c>
      <c r="W63" s="105">
        <v>0</v>
      </c>
      <c r="X63" s="105">
        <v>0</v>
      </c>
      <c r="Y63" s="105">
        <v>0</v>
      </c>
      <c r="Z63" s="105">
        <v>0</v>
      </c>
      <c r="AA63" s="105">
        <v>0</v>
      </c>
      <c r="AB63" s="105">
        <v>0</v>
      </c>
      <c r="AC63" s="105">
        <v>0</v>
      </c>
      <c r="AD63" s="105">
        <v>0</v>
      </c>
      <c r="AE63" s="105">
        <v>0</v>
      </c>
      <c r="AF63" s="105">
        <v>0</v>
      </c>
      <c r="AG63" s="105">
        <v>0</v>
      </c>
      <c r="AH63" s="105">
        <v>0</v>
      </c>
      <c r="AI63" s="105">
        <v>0</v>
      </c>
      <c r="AJ63" s="105">
        <v>0</v>
      </c>
      <c r="AK63" s="105">
        <v>0</v>
      </c>
      <c r="AL63" s="105">
        <v>0</v>
      </c>
      <c r="AM63" s="105">
        <v>0</v>
      </c>
      <c r="AN63" s="105">
        <v>0</v>
      </c>
      <c r="AO63" s="105">
        <v>0</v>
      </c>
      <c r="AP63" s="105">
        <v>0</v>
      </c>
      <c r="AQ63" s="105">
        <v>0</v>
      </c>
      <c r="AR63" s="105">
        <v>0</v>
      </c>
      <c r="AS63" s="105">
        <v>0</v>
      </c>
      <c r="AT63" s="105">
        <v>0</v>
      </c>
      <c r="AU63" s="105">
        <v>0</v>
      </c>
      <c r="AV63" s="105">
        <v>0</v>
      </c>
      <c r="AW63" s="105">
        <v>0</v>
      </c>
      <c r="AX63" s="105">
        <v>0</v>
      </c>
    </row>
    <row r="64" spans="2:51" x14ac:dyDescent="0.2">
      <c r="B64" s="106"/>
    </row>
    <row r="65" spans="1:14" x14ac:dyDescent="0.2">
      <c r="B65" s="109" t="s">
        <v>328</v>
      </c>
    </row>
    <row r="66" spans="1:14" x14ac:dyDescent="0.2">
      <c r="B66" s="104" t="s">
        <v>329</v>
      </c>
      <c r="C66" s="104" t="s">
        <v>92</v>
      </c>
      <c r="D66" s="104" t="s">
        <v>93</v>
      </c>
      <c r="E66" s="104" t="s">
        <v>94</v>
      </c>
      <c r="F66" s="104" t="s">
        <v>95</v>
      </c>
      <c r="G66" s="104" t="s">
        <v>96</v>
      </c>
      <c r="H66" s="104" t="s">
        <v>97</v>
      </c>
      <c r="I66" s="104" t="s">
        <v>98</v>
      </c>
      <c r="J66" s="104" t="s">
        <v>99</v>
      </c>
      <c r="K66" s="104" t="s">
        <v>100</v>
      </c>
      <c r="L66" s="104" t="s">
        <v>101</v>
      </c>
      <c r="M66" s="104" t="s">
        <v>102</v>
      </c>
      <c r="N66" s="104" t="s">
        <v>103</v>
      </c>
    </row>
    <row r="67" spans="1:14" x14ac:dyDescent="0.2">
      <c r="B67" s="104" t="s">
        <v>330</v>
      </c>
      <c r="C67" s="105">
        <v>0</v>
      </c>
      <c r="D67" s="105">
        <v>0</v>
      </c>
      <c r="E67" s="105">
        <v>0</v>
      </c>
      <c r="F67" s="105">
        <v>0</v>
      </c>
      <c r="G67" s="105">
        <v>0</v>
      </c>
      <c r="H67" s="105">
        <v>0</v>
      </c>
      <c r="I67" s="105">
        <v>0</v>
      </c>
      <c r="J67" s="105">
        <v>0</v>
      </c>
      <c r="K67" s="105">
        <v>0</v>
      </c>
      <c r="L67" s="105">
        <v>0</v>
      </c>
      <c r="M67" s="105">
        <v>0</v>
      </c>
      <c r="N67" s="105">
        <v>0</v>
      </c>
    </row>
    <row r="68" spans="1:14" x14ac:dyDescent="0.2">
      <c r="B68" s="104" t="s">
        <v>331</v>
      </c>
      <c r="C68" s="105">
        <v>0</v>
      </c>
      <c r="D68" s="105">
        <v>12363.636363636364</v>
      </c>
      <c r="E68" s="105">
        <v>12363.636363636364</v>
      </c>
      <c r="F68" s="105">
        <v>12363.636363636364</v>
      </c>
      <c r="G68" s="105">
        <v>12363.636363636364</v>
      </c>
      <c r="H68" s="105">
        <v>12363.636363636364</v>
      </c>
      <c r="I68" s="105">
        <v>12363.636363636364</v>
      </c>
      <c r="J68" s="105">
        <v>12363.636363636364</v>
      </c>
      <c r="K68" s="105">
        <v>12363.636363636364</v>
      </c>
      <c r="L68" s="105">
        <v>12363.636363636364</v>
      </c>
      <c r="M68" s="105">
        <v>12363.636363636364</v>
      </c>
      <c r="N68" s="105">
        <v>12363.636363636364</v>
      </c>
    </row>
    <row r="70" spans="1:14" x14ac:dyDescent="0.2">
      <c r="B70" s="109" t="s">
        <v>332</v>
      </c>
    </row>
    <row r="71" spans="1:14" x14ac:dyDescent="0.2">
      <c r="A71" s="110" t="s">
        <v>121</v>
      </c>
      <c r="B71" s="110" t="s">
        <v>333</v>
      </c>
      <c r="C71" s="110" t="s">
        <v>34</v>
      </c>
      <c r="D71" s="110" t="s">
        <v>49</v>
      </c>
      <c r="E71" s="110" t="s">
        <v>57</v>
      </c>
      <c r="F71" s="110" t="s">
        <v>70</v>
      </c>
    </row>
    <row r="72" spans="1:14" x14ac:dyDescent="0.2">
      <c r="A72" s="110" t="s">
        <v>104</v>
      </c>
      <c r="B72" s="110" t="s">
        <v>92</v>
      </c>
      <c r="C72" s="105">
        <v>0</v>
      </c>
      <c r="D72" s="105">
        <v>0</v>
      </c>
      <c r="E72" s="105">
        <v>0</v>
      </c>
      <c r="F72" s="105">
        <v>0</v>
      </c>
    </row>
    <row r="73" spans="1:14" x14ac:dyDescent="0.2">
      <c r="B73" s="110" t="s">
        <v>93</v>
      </c>
      <c r="C73" s="105">
        <v>585168.0399359999</v>
      </c>
      <c r="D73" s="105">
        <v>1537565.7093760001</v>
      </c>
      <c r="E73" s="105">
        <v>589601.63011680008</v>
      </c>
      <c r="F73" s="105">
        <v>803160.20735999988</v>
      </c>
    </row>
    <row r="74" spans="1:14" x14ac:dyDescent="0.2">
      <c r="B74" s="110" t="s">
        <v>94</v>
      </c>
      <c r="C74" s="105">
        <v>585168.0399359999</v>
      </c>
      <c r="D74" s="105">
        <v>1537565.7093760001</v>
      </c>
      <c r="E74" s="105">
        <v>589601.63011680008</v>
      </c>
      <c r="F74" s="105">
        <v>803160.20735999988</v>
      </c>
    </row>
    <row r="75" spans="1:14" x14ac:dyDescent="0.2">
      <c r="B75" s="110" t="s">
        <v>95</v>
      </c>
      <c r="C75" s="105">
        <v>585168.0399359999</v>
      </c>
      <c r="D75" s="105">
        <v>1537565.7093760001</v>
      </c>
      <c r="E75" s="105">
        <v>589601.63011680008</v>
      </c>
      <c r="F75" s="105">
        <v>803160.20735999988</v>
      </c>
    </row>
    <row r="76" spans="1:14" x14ac:dyDescent="0.2">
      <c r="B76" s="110" t="s">
        <v>96</v>
      </c>
      <c r="C76" s="105">
        <v>585168.0399359999</v>
      </c>
      <c r="D76" s="105">
        <v>1537565.7093760001</v>
      </c>
      <c r="E76" s="105">
        <v>589601.63011680008</v>
      </c>
      <c r="F76" s="105">
        <v>803160.20735999988</v>
      </c>
    </row>
    <row r="77" spans="1:14" x14ac:dyDescent="0.2">
      <c r="B77" s="110" t="s">
        <v>97</v>
      </c>
      <c r="C77" s="105">
        <v>585168.0399359999</v>
      </c>
      <c r="D77" s="105">
        <v>1537565.7093760001</v>
      </c>
      <c r="E77" s="105">
        <v>589601.63011680008</v>
      </c>
      <c r="F77" s="105">
        <v>803160.20735999988</v>
      </c>
    </row>
    <row r="78" spans="1:14" x14ac:dyDescent="0.2">
      <c r="B78" s="110" t="s">
        <v>98</v>
      </c>
      <c r="C78" s="105">
        <v>585168.0399359999</v>
      </c>
      <c r="D78" s="105">
        <v>1537565.7093760001</v>
      </c>
      <c r="E78" s="105">
        <v>589601.63011680008</v>
      </c>
      <c r="F78" s="105">
        <v>803160.20735999988</v>
      </c>
    </row>
    <row r="79" spans="1:14" x14ac:dyDescent="0.2">
      <c r="B79" s="110" t="s">
        <v>99</v>
      </c>
      <c r="C79" s="105">
        <v>585168.0399359999</v>
      </c>
      <c r="D79" s="105">
        <v>1537565.7093760001</v>
      </c>
      <c r="E79" s="105">
        <v>589601.63011680008</v>
      </c>
      <c r="F79" s="105">
        <v>803160.20735999988</v>
      </c>
    </row>
    <row r="80" spans="1:14" x14ac:dyDescent="0.2">
      <c r="B80" s="110" t="s">
        <v>100</v>
      </c>
      <c r="C80" s="105">
        <v>585168.0399359999</v>
      </c>
      <c r="D80" s="105">
        <v>1537565.7093760001</v>
      </c>
      <c r="E80" s="105">
        <v>589601.63011680008</v>
      </c>
      <c r="F80" s="105">
        <v>803160.20735999988</v>
      </c>
    </row>
    <row r="81" spans="2:50" x14ac:dyDescent="0.2">
      <c r="B81" s="110" t="s">
        <v>101</v>
      </c>
      <c r="C81" s="105">
        <v>585168.0399359999</v>
      </c>
      <c r="D81" s="105">
        <v>1537565.7093760001</v>
      </c>
      <c r="E81" s="105">
        <v>589601.63011680008</v>
      </c>
      <c r="F81" s="105">
        <v>803160.20735999988</v>
      </c>
    </row>
    <row r="82" spans="2:50" x14ac:dyDescent="0.2">
      <c r="B82" s="110" t="s">
        <v>102</v>
      </c>
      <c r="C82" s="105">
        <v>585168.0399359999</v>
      </c>
      <c r="D82" s="105">
        <v>1537565.7093760001</v>
      </c>
      <c r="E82" s="105">
        <v>589601.63011680008</v>
      </c>
      <c r="F82" s="105">
        <v>803160.20735999988</v>
      </c>
    </row>
    <row r="83" spans="2:50" x14ac:dyDescent="0.2">
      <c r="B83" s="110" t="s">
        <v>103</v>
      </c>
      <c r="C83" s="105">
        <v>585168.0399359999</v>
      </c>
      <c r="D83" s="105">
        <v>1537565.7093760001</v>
      </c>
      <c r="E83" s="105">
        <v>589601.63011680008</v>
      </c>
      <c r="F83" s="105">
        <v>803160.20735999988</v>
      </c>
    </row>
    <row r="85" spans="2:50" x14ac:dyDescent="0.2">
      <c r="B85" s="108" t="s">
        <v>334</v>
      </c>
    </row>
    <row r="86" spans="2:50" x14ac:dyDescent="0.2">
      <c r="B86" s="104" t="s">
        <v>274</v>
      </c>
      <c r="C86" s="104" t="s">
        <v>92</v>
      </c>
      <c r="D86" s="106"/>
      <c r="E86" s="106"/>
      <c r="F86" s="106"/>
      <c r="G86" s="104" t="s">
        <v>93</v>
      </c>
      <c r="H86" s="106"/>
      <c r="I86" s="106"/>
      <c r="J86" s="106"/>
      <c r="K86" s="104" t="s">
        <v>94</v>
      </c>
      <c r="L86" s="106"/>
      <c r="M86" s="106"/>
      <c r="N86" s="106"/>
      <c r="O86" s="104" t="s">
        <v>95</v>
      </c>
      <c r="P86" s="106"/>
      <c r="Q86" s="106"/>
      <c r="R86" s="106"/>
      <c r="S86" s="104" t="s">
        <v>96</v>
      </c>
      <c r="T86" s="106"/>
      <c r="U86" s="106"/>
      <c r="V86" s="106"/>
      <c r="W86" s="104" t="s">
        <v>97</v>
      </c>
      <c r="X86" s="106"/>
      <c r="Y86" s="106"/>
      <c r="Z86" s="106"/>
      <c r="AA86" s="104" t="s">
        <v>98</v>
      </c>
      <c r="AB86" s="106"/>
      <c r="AC86" s="106"/>
      <c r="AD86" s="106"/>
      <c r="AE86" s="104" t="s">
        <v>99</v>
      </c>
      <c r="AF86" s="106"/>
      <c r="AG86" s="106"/>
      <c r="AH86" s="106"/>
      <c r="AI86" s="104" t="s">
        <v>100</v>
      </c>
      <c r="AJ86" s="106"/>
      <c r="AK86" s="106"/>
      <c r="AL86" s="106"/>
      <c r="AM86" s="104" t="s">
        <v>101</v>
      </c>
      <c r="AN86" s="106"/>
      <c r="AO86" s="106"/>
      <c r="AP86" s="106"/>
      <c r="AQ86" s="104" t="s">
        <v>102</v>
      </c>
      <c r="AR86" s="106"/>
      <c r="AS86" s="106"/>
      <c r="AT86" s="106"/>
      <c r="AU86" s="104" t="s">
        <v>103</v>
      </c>
      <c r="AV86" s="106"/>
      <c r="AW86" s="106"/>
    </row>
    <row r="87" spans="2:50" x14ac:dyDescent="0.2">
      <c r="B87" s="104" t="s">
        <v>335</v>
      </c>
      <c r="C87" s="104">
        <v>1</v>
      </c>
      <c r="D87" s="104">
        <v>2</v>
      </c>
      <c r="E87" s="104">
        <v>3</v>
      </c>
      <c r="F87" s="104">
        <v>4</v>
      </c>
      <c r="G87" s="104">
        <v>1</v>
      </c>
      <c r="H87" s="104">
        <v>2</v>
      </c>
      <c r="I87" s="104">
        <v>3</v>
      </c>
      <c r="J87" s="104">
        <v>4</v>
      </c>
      <c r="K87" s="104">
        <v>1</v>
      </c>
      <c r="L87" s="104">
        <v>2</v>
      </c>
      <c r="M87" s="104">
        <v>3</v>
      </c>
      <c r="N87" s="104">
        <v>4</v>
      </c>
      <c r="O87" s="104">
        <v>1</v>
      </c>
      <c r="P87" s="104">
        <v>2</v>
      </c>
      <c r="Q87" s="104">
        <v>3</v>
      </c>
      <c r="R87" s="104">
        <v>4</v>
      </c>
      <c r="S87" s="104">
        <v>1</v>
      </c>
      <c r="T87" s="104">
        <v>2</v>
      </c>
      <c r="U87" s="104">
        <v>3</v>
      </c>
      <c r="V87" s="104">
        <v>4</v>
      </c>
      <c r="W87" s="104">
        <v>1</v>
      </c>
      <c r="X87" s="104">
        <v>2</v>
      </c>
      <c r="Y87" s="104">
        <v>3</v>
      </c>
      <c r="Z87" s="104">
        <v>4</v>
      </c>
      <c r="AA87" s="104">
        <v>1</v>
      </c>
      <c r="AB87" s="104">
        <v>2</v>
      </c>
      <c r="AC87" s="104">
        <v>3</v>
      </c>
      <c r="AD87" s="104">
        <v>4</v>
      </c>
      <c r="AE87" s="104">
        <v>1</v>
      </c>
      <c r="AF87" s="104">
        <v>2</v>
      </c>
      <c r="AG87" s="104">
        <v>3</v>
      </c>
      <c r="AH87" s="104">
        <v>4</v>
      </c>
      <c r="AI87" s="104">
        <v>1</v>
      </c>
      <c r="AJ87" s="104">
        <v>2</v>
      </c>
      <c r="AK87" s="104">
        <v>3</v>
      </c>
      <c r="AL87" s="104">
        <v>4</v>
      </c>
      <c r="AM87" s="104">
        <v>1</v>
      </c>
      <c r="AN87" s="104">
        <v>2</v>
      </c>
      <c r="AO87" s="104">
        <v>3</v>
      </c>
      <c r="AP87" s="104">
        <v>4</v>
      </c>
      <c r="AQ87" s="104">
        <v>1</v>
      </c>
      <c r="AR87" s="104">
        <v>2</v>
      </c>
      <c r="AS87" s="104">
        <v>3</v>
      </c>
      <c r="AT87" s="104">
        <v>4</v>
      </c>
      <c r="AU87" s="104">
        <v>1</v>
      </c>
      <c r="AV87" s="104">
        <v>2</v>
      </c>
      <c r="AW87" s="104">
        <v>3</v>
      </c>
      <c r="AX87" s="104">
        <v>4</v>
      </c>
    </row>
    <row r="88" spans="2:50" x14ac:dyDescent="0.2">
      <c r="B88" s="104" t="s">
        <v>104</v>
      </c>
      <c r="C88" s="105">
        <f>C48+$C$67/4</f>
        <v>0</v>
      </c>
      <c r="D88" s="105">
        <f>D48+$C$67/4</f>
        <v>0</v>
      </c>
      <c r="E88" s="105">
        <f>E48+$C$67/4</f>
        <v>0</v>
      </c>
      <c r="F88" s="105">
        <f>F48+$C$67/4</f>
        <v>0</v>
      </c>
      <c r="G88" s="105">
        <f>G48+$D$67/4</f>
        <v>1270.8011999999999</v>
      </c>
      <c r="H88" s="105">
        <f>H48+$D$67/4</f>
        <v>1270.8011999999999</v>
      </c>
      <c r="I88" s="105">
        <f>I48+$D$67/4</f>
        <v>1270.8011999999999</v>
      </c>
      <c r="J88" s="105">
        <f>J48+$D$67/4</f>
        <v>1270.8011999999999</v>
      </c>
      <c r="K88" s="105">
        <f>K48+$E$67/4</f>
        <v>1270.8011999999999</v>
      </c>
      <c r="L88" s="105">
        <f>L48+$E$67/4</f>
        <v>1270.8011999999999</v>
      </c>
      <c r="M88" s="105">
        <f>M48+$E$67/4</f>
        <v>1270.8011999999999</v>
      </c>
      <c r="N88" s="105">
        <f>N48+$E$67/4</f>
        <v>1270.8011999999999</v>
      </c>
      <c r="O88" s="105">
        <f>O48+$F$67/4</f>
        <v>1270.8011999999999</v>
      </c>
      <c r="P88" s="105">
        <f>P48+$F$67/4</f>
        <v>1270.8011999999999</v>
      </c>
      <c r="Q88" s="105">
        <f>Q48+$F$67/4</f>
        <v>1270.8011999999999</v>
      </c>
      <c r="R88" s="105">
        <f>R48+$F$67/4</f>
        <v>1270.8011999999999</v>
      </c>
      <c r="S88" s="105">
        <f>S48+$G$67/4</f>
        <v>1270.8011999999999</v>
      </c>
      <c r="T88" s="105">
        <f>T48+$G$67/4</f>
        <v>1270.8011999999999</v>
      </c>
      <c r="U88" s="105">
        <f>U48+$G$67/4</f>
        <v>1270.8011999999999</v>
      </c>
      <c r="V88" s="105">
        <f>V48+$G$67/4</f>
        <v>1270.8011999999999</v>
      </c>
      <c r="W88" s="105">
        <f>W48+$H$67/4</f>
        <v>1270.8011999999999</v>
      </c>
      <c r="X88" s="105">
        <f>X48+$H$67/4</f>
        <v>1270.8011999999999</v>
      </c>
      <c r="Y88" s="105">
        <f>Y48+$H$67/4</f>
        <v>1270.8011999999999</v>
      </c>
      <c r="Z88" s="105">
        <f>Z48+$H$67/4</f>
        <v>1270.8011999999999</v>
      </c>
      <c r="AA88" s="105">
        <f>AA48+$I$67/4</f>
        <v>1270.8011999999999</v>
      </c>
      <c r="AB88" s="105">
        <f>AB48+$I$67/4</f>
        <v>1270.8011999999999</v>
      </c>
      <c r="AC88" s="105">
        <f>AC48+$I$67/4</f>
        <v>1270.8011999999999</v>
      </c>
      <c r="AD88" s="105">
        <f>AD48+$I$67/4</f>
        <v>1270.8011999999999</v>
      </c>
      <c r="AE88" s="105">
        <f>AE48+$J$67/4</f>
        <v>1270.8011999999999</v>
      </c>
      <c r="AF88" s="105">
        <f>AF48+$J$67/4</f>
        <v>1270.8011999999999</v>
      </c>
      <c r="AG88" s="105">
        <f>AG48+$J$67/4</f>
        <v>1270.8011999999999</v>
      </c>
      <c r="AH88" s="105">
        <f>AH48+$J$67/4</f>
        <v>1270.8011999999999</v>
      </c>
      <c r="AI88" s="105">
        <f>AI48+$K$67/4</f>
        <v>1270.8011999999999</v>
      </c>
      <c r="AJ88" s="105">
        <f>AJ48+$K$67/4</f>
        <v>1270.8011999999999</v>
      </c>
      <c r="AK88" s="105">
        <f>AK48+$K$67/4</f>
        <v>1270.8011999999999</v>
      </c>
      <c r="AL88" s="105">
        <f>AL48+$K$67/4</f>
        <v>1270.8011999999999</v>
      </c>
      <c r="AM88" s="105">
        <f>AM48+$L$67/4</f>
        <v>1270.8011999999999</v>
      </c>
      <c r="AN88" s="105">
        <f>AN48+$L$67/4</f>
        <v>1270.8011999999999</v>
      </c>
      <c r="AO88" s="105">
        <f>AO48+$L$67/4</f>
        <v>1270.8011999999999</v>
      </c>
      <c r="AP88" s="105">
        <f>AP48+$L$67/4</f>
        <v>1270.8011999999999</v>
      </c>
      <c r="AQ88" s="105">
        <f>AQ48+$M$67/4</f>
        <v>1270.8011999999999</v>
      </c>
      <c r="AR88" s="105">
        <f>AR48+$M$67/4</f>
        <v>1270.8011999999999</v>
      </c>
      <c r="AS88" s="105">
        <f>AS48+$M$67/4</f>
        <v>1270.8011999999999</v>
      </c>
      <c r="AT88" s="105">
        <f>AT48+$M$67/4</f>
        <v>1270.8011999999999</v>
      </c>
      <c r="AU88" s="105">
        <f>AU48+$N$67/4</f>
        <v>1270.8011999999999</v>
      </c>
      <c r="AV88" s="105">
        <f>AV48+$N$67/4</f>
        <v>1270.8011999999999</v>
      </c>
      <c r="AW88" s="105">
        <f>AW48+$N$67/4</f>
        <v>1270.8011999999999</v>
      </c>
      <c r="AX88" s="105">
        <f>AX48+$N$67/4</f>
        <v>1270.8011999999999</v>
      </c>
    </row>
    <row r="89" spans="2:50" x14ac:dyDescent="0.2">
      <c r="B89" s="104" t="s">
        <v>105</v>
      </c>
      <c r="C89" s="105">
        <f>C49</f>
        <v>0</v>
      </c>
      <c r="D89" s="105">
        <f t="shared" ref="D89:AX93" si="3">D49</f>
        <v>0</v>
      </c>
      <c r="E89" s="105">
        <f t="shared" si="3"/>
        <v>0</v>
      </c>
      <c r="F89" s="105">
        <f t="shared" si="3"/>
        <v>0</v>
      </c>
      <c r="G89" s="105">
        <f t="shared" si="3"/>
        <v>381.56806999999998</v>
      </c>
      <c r="H89" s="105">
        <f t="shared" si="3"/>
        <v>381.56806999999998</v>
      </c>
      <c r="I89" s="105">
        <f t="shared" si="3"/>
        <v>381.56806999999998</v>
      </c>
      <c r="J89" s="105">
        <f t="shared" si="3"/>
        <v>381.56806999999998</v>
      </c>
      <c r="K89" s="105">
        <f t="shared" si="3"/>
        <v>381.56806999999998</v>
      </c>
      <c r="L89" s="105">
        <f t="shared" si="3"/>
        <v>381.56806999999998</v>
      </c>
      <c r="M89" s="105">
        <f t="shared" si="3"/>
        <v>381.56806999999998</v>
      </c>
      <c r="N89" s="105">
        <f t="shared" si="3"/>
        <v>381.56806999999998</v>
      </c>
      <c r="O89" s="105">
        <f t="shared" si="3"/>
        <v>381.56806999999998</v>
      </c>
      <c r="P89" s="105">
        <f t="shared" si="3"/>
        <v>381.56806999999998</v>
      </c>
      <c r="Q89" s="105">
        <f t="shared" si="3"/>
        <v>381.56806999999998</v>
      </c>
      <c r="R89" s="105">
        <f t="shared" si="3"/>
        <v>381.56806999999998</v>
      </c>
      <c r="S89" s="105">
        <f t="shared" si="3"/>
        <v>381.56806999999998</v>
      </c>
      <c r="T89" s="105">
        <f t="shared" si="3"/>
        <v>381.56806999999998</v>
      </c>
      <c r="U89" s="105">
        <f t="shared" si="3"/>
        <v>381.56806999999998</v>
      </c>
      <c r="V89" s="105">
        <f t="shared" si="3"/>
        <v>381.56806999999998</v>
      </c>
      <c r="W89" s="105">
        <f t="shared" si="3"/>
        <v>381.56806999999998</v>
      </c>
      <c r="X89" s="105">
        <f t="shared" si="3"/>
        <v>381.56806999999998</v>
      </c>
      <c r="Y89" s="105">
        <f t="shared" si="3"/>
        <v>381.56806999999998</v>
      </c>
      <c r="Z89" s="105">
        <f t="shared" si="3"/>
        <v>381.56806999999998</v>
      </c>
      <c r="AA89" s="105">
        <f t="shared" si="3"/>
        <v>381.56806999999998</v>
      </c>
      <c r="AB89" s="105">
        <f t="shared" si="3"/>
        <v>381.56806999999998</v>
      </c>
      <c r="AC89" s="105">
        <f t="shared" si="3"/>
        <v>381.56806999999998</v>
      </c>
      <c r="AD89" s="105">
        <f t="shared" si="3"/>
        <v>381.56806999999998</v>
      </c>
      <c r="AE89" s="105">
        <f t="shared" si="3"/>
        <v>381.56806999999998</v>
      </c>
      <c r="AF89" s="105">
        <f t="shared" si="3"/>
        <v>381.56806999999998</v>
      </c>
      <c r="AG89" s="105">
        <f t="shared" si="3"/>
        <v>381.56806999999998</v>
      </c>
      <c r="AH89" s="105">
        <f t="shared" si="3"/>
        <v>381.56806999999998</v>
      </c>
      <c r="AI89" s="105">
        <f t="shared" si="3"/>
        <v>381.56806999999998</v>
      </c>
      <c r="AJ89" s="105">
        <f t="shared" si="3"/>
        <v>381.56806999999998</v>
      </c>
      <c r="AK89" s="105">
        <f t="shared" si="3"/>
        <v>381.56806999999998</v>
      </c>
      <c r="AL89" s="105">
        <f t="shared" si="3"/>
        <v>381.56806999999998</v>
      </c>
      <c r="AM89" s="105">
        <f t="shared" si="3"/>
        <v>381.56806999999998</v>
      </c>
      <c r="AN89" s="105">
        <f t="shared" si="3"/>
        <v>381.56806999999998</v>
      </c>
      <c r="AO89" s="105">
        <f t="shared" si="3"/>
        <v>381.56806999999998</v>
      </c>
      <c r="AP89" s="105">
        <f t="shared" si="3"/>
        <v>381.56806999999998</v>
      </c>
      <c r="AQ89" s="105">
        <f t="shared" si="3"/>
        <v>381.56806999999998</v>
      </c>
      <c r="AR89" s="105">
        <f t="shared" si="3"/>
        <v>381.56806999999998</v>
      </c>
      <c r="AS89" s="105">
        <f t="shared" si="3"/>
        <v>381.56806999999998</v>
      </c>
      <c r="AT89" s="105">
        <f t="shared" si="3"/>
        <v>381.56806999999998</v>
      </c>
      <c r="AU89" s="105">
        <f t="shared" si="3"/>
        <v>381.56806999999998</v>
      </c>
      <c r="AV89" s="105">
        <f t="shared" si="3"/>
        <v>381.56806999999998</v>
      </c>
      <c r="AW89" s="105">
        <f t="shared" si="3"/>
        <v>381.56806999999998</v>
      </c>
      <c r="AX89" s="105">
        <f t="shared" si="3"/>
        <v>381.56806999999998</v>
      </c>
    </row>
    <row r="90" spans="2:50" x14ac:dyDescent="0.2">
      <c r="B90" s="104" t="s">
        <v>106</v>
      </c>
      <c r="C90" s="105">
        <f t="shared" ref="C90:R93" si="4">C50</f>
        <v>0</v>
      </c>
      <c r="D90" s="105">
        <f t="shared" si="4"/>
        <v>0</v>
      </c>
      <c r="E90" s="105">
        <f t="shared" si="4"/>
        <v>0</v>
      </c>
      <c r="F90" s="105">
        <f t="shared" si="4"/>
        <v>0</v>
      </c>
      <c r="G90" s="105">
        <f t="shared" si="4"/>
        <v>362.2765</v>
      </c>
      <c r="H90" s="105">
        <f t="shared" si="4"/>
        <v>362.2765</v>
      </c>
      <c r="I90" s="105">
        <f t="shared" si="4"/>
        <v>362.2765</v>
      </c>
      <c r="J90" s="105">
        <f t="shared" si="4"/>
        <v>362.2765</v>
      </c>
      <c r="K90" s="105">
        <f t="shared" si="4"/>
        <v>289.82120000000003</v>
      </c>
      <c r="L90" s="105">
        <f t="shared" si="4"/>
        <v>289.82120000000003</v>
      </c>
      <c r="M90" s="105">
        <f t="shared" si="4"/>
        <v>289.82120000000003</v>
      </c>
      <c r="N90" s="105">
        <f t="shared" si="4"/>
        <v>289.82120000000003</v>
      </c>
      <c r="O90" s="105">
        <f t="shared" si="4"/>
        <v>289.82120000000003</v>
      </c>
      <c r="P90" s="105">
        <f t="shared" si="4"/>
        <v>289.82120000000003</v>
      </c>
      <c r="Q90" s="105">
        <f t="shared" si="4"/>
        <v>289.82120000000003</v>
      </c>
      <c r="R90" s="105">
        <f t="shared" si="4"/>
        <v>289.82120000000003</v>
      </c>
      <c r="S90" s="105">
        <f t="shared" si="3"/>
        <v>289.82120000000003</v>
      </c>
      <c r="T90" s="105">
        <f t="shared" si="3"/>
        <v>289.82120000000003</v>
      </c>
      <c r="U90" s="105">
        <f t="shared" si="3"/>
        <v>289.82120000000003</v>
      </c>
      <c r="V90" s="105">
        <f t="shared" si="3"/>
        <v>289.82120000000003</v>
      </c>
      <c r="W90" s="105">
        <f t="shared" si="3"/>
        <v>289.82120000000003</v>
      </c>
      <c r="X90" s="105">
        <f t="shared" si="3"/>
        <v>289.82120000000003</v>
      </c>
      <c r="Y90" s="105">
        <f t="shared" si="3"/>
        <v>289.82120000000003</v>
      </c>
      <c r="Z90" s="105">
        <f t="shared" si="3"/>
        <v>289.82120000000003</v>
      </c>
      <c r="AA90" s="105">
        <f t="shared" si="3"/>
        <v>289.82120000000003</v>
      </c>
      <c r="AB90" s="105">
        <f t="shared" si="3"/>
        <v>289.82120000000003</v>
      </c>
      <c r="AC90" s="105">
        <f t="shared" si="3"/>
        <v>289.82120000000003</v>
      </c>
      <c r="AD90" s="105">
        <f t="shared" si="3"/>
        <v>289.82120000000003</v>
      </c>
      <c r="AE90" s="105">
        <f t="shared" si="3"/>
        <v>289.82120000000003</v>
      </c>
      <c r="AF90" s="105">
        <f t="shared" si="3"/>
        <v>289.82120000000003</v>
      </c>
      <c r="AG90" s="105">
        <f t="shared" si="3"/>
        <v>289.82120000000003</v>
      </c>
      <c r="AH90" s="105">
        <f t="shared" si="3"/>
        <v>289.82120000000003</v>
      </c>
      <c r="AI90" s="105">
        <f t="shared" si="3"/>
        <v>289.82120000000003</v>
      </c>
      <c r="AJ90" s="105">
        <f t="shared" si="3"/>
        <v>289.82120000000003</v>
      </c>
      <c r="AK90" s="105">
        <f t="shared" si="3"/>
        <v>289.82120000000003</v>
      </c>
      <c r="AL90" s="105">
        <f t="shared" si="3"/>
        <v>289.82120000000003</v>
      </c>
      <c r="AM90" s="105">
        <f t="shared" si="3"/>
        <v>289.82120000000003</v>
      </c>
      <c r="AN90" s="105">
        <f t="shared" si="3"/>
        <v>289.82120000000003</v>
      </c>
      <c r="AO90" s="105">
        <f t="shared" si="3"/>
        <v>289.82120000000003</v>
      </c>
      <c r="AP90" s="105">
        <f t="shared" si="3"/>
        <v>289.82120000000003</v>
      </c>
      <c r="AQ90" s="105">
        <f t="shared" si="3"/>
        <v>289.82120000000003</v>
      </c>
      <c r="AR90" s="105">
        <f t="shared" si="3"/>
        <v>289.82120000000003</v>
      </c>
      <c r="AS90" s="105">
        <f t="shared" si="3"/>
        <v>289.82120000000003</v>
      </c>
      <c r="AT90" s="105">
        <f t="shared" si="3"/>
        <v>289.82120000000003</v>
      </c>
      <c r="AU90" s="105">
        <f t="shared" si="3"/>
        <v>289.82120000000003</v>
      </c>
      <c r="AV90" s="105">
        <f t="shared" si="3"/>
        <v>289.82120000000003</v>
      </c>
      <c r="AW90" s="105">
        <f t="shared" si="3"/>
        <v>289.82120000000003</v>
      </c>
      <c r="AX90" s="105">
        <f t="shared" si="3"/>
        <v>289.82120000000003</v>
      </c>
    </row>
    <row r="91" spans="2:50" x14ac:dyDescent="0.2">
      <c r="B91" s="104" t="s">
        <v>107</v>
      </c>
      <c r="C91" s="105">
        <f t="shared" si="4"/>
        <v>0</v>
      </c>
      <c r="D91" s="105">
        <f t="shared" si="3"/>
        <v>0</v>
      </c>
      <c r="E91" s="105">
        <f t="shared" si="3"/>
        <v>0</v>
      </c>
      <c r="F91" s="105">
        <f t="shared" si="3"/>
        <v>0</v>
      </c>
      <c r="G91" s="105">
        <f t="shared" si="3"/>
        <v>0</v>
      </c>
      <c r="H91" s="105">
        <f t="shared" si="3"/>
        <v>0</v>
      </c>
      <c r="I91" s="105">
        <f t="shared" si="3"/>
        <v>0</v>
      </c>
      <c r="J91" s="105">
        <f t="shared" si="3"/>
        <v>0</v>
      </c>
      <c r="K91" s="105">
        <f t="shared" si="3"/>
        <v>0</v>
      </c>
      <c r="L91" s="105">
        <f t="shared" si="3"/>
        <v>0</v>
      </c>
      <c r="M91" s="105">
        <f t="shared" si="3"/>
        <v>0</v>
      </c>
      <c r="N91" s="105">
        <f t="shared" si="3"/>
        <v>0</v>
      </c>
      <c r="O91" s="105">
        <f t="shared" si="3"/>
        <v>0</v>
      </c>
      <c r="P91" s="105">
        <f t="shared" si="3"/>
        <v>0</v>
      </c>
      <c r="Q91" s="105">
        <f t="shared" si="3"/>
        <v>0</v>
      </c>
      <c r="R91" s="105">
        <f t="shared" si="3"/>
        <v>0</v>
      </c>
      <c r="S91" s="105">
        <f t="shared" si="3"/>
        <v>0</v>
      </c>
      <c r="T91" s="105">
        <f t="shared" si="3"/>
        <v>0</v>
      </c>
      <c r="U91" s="105">
        <f t="shared" si="3"/>
        <v>0</v>
      </c>
      <c r="V91" s="105">
        <f t="shared" si="3"/>
        <v>0</v>
      </c>
      <c r="W91" s="105">
        <f t="shared" si="3"/>
        <v>0</v>
      </c>
      <c r="X91" s="105">
        <f t="shared" si="3"/>
        <v>0</v>
      </c>
      <c r="Y91" s="105">
        <f t="shared" si="3"/>
        <v>0</v>
      </c>
      <c r="Z91" s="105">
        <f t="shared" si="3"/>
        <v>0</v>
      </c>
      <c r="AA91" s="105">
        <f t="shared" si="3"/>
        <v>0</v>
      </c>
      <c r="AB91" s="105">
        <f t="shared" si="3"/>
        <v>0</v>
      </c>
      <c r="AC91" s="105">
        <f t="shared" si="3"/>
        <v>0</v>
      </c>
      <c r="AD91" s="105">
        <f t="shared" si="3"/>
        <v>0</v>
      </c>
      <c r="AE91" s="105">
        <f t="shared" si="3"/>
        <v>0</v>
      </c>
      <c r="AF91" s="105">
        <f t="shared" si="3"/>
        <v>0</v>
      </c>
      <c r="AG91" s="105">
        <f t="shared" si="3"/>
        <v>0</v>
      </c>
      <c r="AH91" s="105">
        <f t="shared" si="3"/>
        <v>0</v>
      </c>
      <c r="AI91" s="105">
        <f t="shared" si="3"/>
        <v>0</v>
      </c>
      <c r="AJ91" s="105">
        <f t="shared" si="3"/>
        <v>0</v>
      </c>
      <c r="AK91" s="105">
        <f t="shared" si="3"/>
        <v>0</v>
      </c>
      <c r="AL91" s="105">
        <f t="shared" si="3"/>
        <v>0</v>
      </c>
      <c r="AM91" s="105">
        <f t="shared" si="3"/>
        <v>0</v>
      </c>
      <c r="AN91" s="105">
        <f t="shared" si="3"/>
        <v>0</v>
      </c>
      <c r="AO91" s="105">
        <f t="shared" si="3"/>
        <v>0</v>
      </c>
      <c r="AP91" s="105">
        <f t="shared" si="3"/>
        <v>0</v>
      </c>
      <c r="AQ91" s="105">
        <f t="shared" si="3"/>
        <v>0</v>
      </c>
      <c r="AR91" s="105">
        <f t="shared" si="3"/>
        <v>0</v>
      </c>
      <c r="AS91" s="105">
        <f t="shared" si="3"/>
        <v>0</v>
      </c>
      <c r="AT91" s="105">
        <f t="shared" si="3"/>
        <v>0</v>
      </c>
      <c r="AU91" s="105">
        <f t="shared" si="3"/>
        <v>0</v>
      </c>
      <c r="AV91" s="105">
        <f t="shared" si="3"/>
        <v>0</v>
      </c>
      <c r="AW91" s="105">
        <f t="shared" si="3"/>
        <v>0</v>
      </c>
      <c r="AX91" s="105">
        <f t="shared" si="3"/>
        <v>0</v>
      </c>
    </row>
    <row r="92" spans="2:50" x14ac:dyDescent="0.2">
      <c r="B92" s="104" t="s">
        <v>108</v>
      </c>
      <c r="C92" s="105">
        <f t="shared" si="4"/>
        <v>0</v>
      </c>
      <c r="D92" s="105">
        <f t="shared" si="4"/>
        <v>0</v>
      </c>
      <c r="E92" s="105">
        <f t="shared" si="4"/>
        <v>0</v>
      </c>
      <c r="F92" s="105">
        <f t="shared" si="4"/>
        <v>0</v>
      </c>
      <c r="G92" s="105">
        <f t="shared" si="4"/>
        <v>0</v>
      </c>
      <c r="H92" s="105">
        <f t="shared" si="4"/>
        <v>0</v>
      </c>
      <c r="I92" s="105">
        <f t="shared" si="4"/>
        <v>0</v>
      </c>
      <c r="J92" s="105">
        <f t="shared" si="4"/>
        <v>0</v>
      </c>
      <c r="K92" s="105">
        <f t="shared" si="4"/>
        <v>0</v>
      </c>
      <c r="L92" s="105">
        <f t="shared" si="4"/>
        <v>0</v>
      </c>
      <c r="M92" s="105">
        <f t="shared" si="4"/>
        <v>0</v>
      </c>
      <c r="N92" s="105">
        <f t="shared" si="4"/>
        <v>0</v>
      </c>
      <c r="O92" s="105">
        <f t="shared" si="4"/>
        <v>0</v>
      </c>
      <c r="P92" s="105">
        <f t="shared" si="4"/>
        <v>0</v>
      </c>
      <c r="Q92" s="105">
        <f t="shared" si="4"/>
        <v>0</v>
      </c>
      <c r="R92" s="105">
        <f t="shared" si="4"/>
        <v>0</v>
      </c>
      <c r="S92" s="105">
        <f t="shared" si="3"/>
        <v>0</v>
      </c>
      <c r="T92" s="105">
        <f t="shared" si="3"/>
        <v>0</v>
      </c>
      <c r="U92" s="105">
        <f t="shared" si="3"/>
        <v>0</v>
      </c>
      <c r="V92" s="105">
        <f t="shared" si="3"/>
        <v>0</v>
      </c>
      <c r="W92" s="105">
        <f t="shared" si="3"/>
        <v>0</v>
      </c>
      <c r="X92" s="105">
        <f t="shared" si="3"/>
        <v>0</v>
      </c>
      <c r="Y92" s="105">
        <f t="shared" si="3"/>
        <v>0</v>
      </c>
      <c r="Z92" s="105">
        <f t="shared" si="3"/>
        <v>0</v>
      </c>
      <c r="AA92" s="105">
        <f t="shared" si="3"/>
        <v>0</v>
      </c>
      <c r="AB92" s="105">
        <f t="shared" si="3"/>
        <v>0</v>
      </c>
      <c r="AC92" s="105">
        <f t="shared" si="3"/>
        <v>0</v>
      </c>
      <c r="AD92" s="105">
        <f t="shared" si="3"/>
        <v>0</v>
      </c>
      <c r="AE92" s="105">
        <f t="shared" si="3"/>
        <v>0</v>
      </c>
      <c r="AF92" s="105">
        <f t="shared" si="3"/>
        <v>0</v>
      </c>
      <c r="AG92" s="105">
        <f t="shared" si="3"/>
        <v>0</v>
      </c>
      <c r="AH92" s="105">
        <f t="shared" si="3"/>
        <v>0</v>
      </c>
      <c r="AI92" s="105">
        <f t="shared" si="3"/>
        <v>0</v>
      </c>
      <c r="AJ92" s="105">
        <f t="shared" si="3"/>
        <v>0</v>
      </c>
      <c r="AK92" s="105">
        <f t="shared" si="3"/>
        <v>0</v>
      </c>
      <c r="AL92" s="105">
        <f t="shared" si="3"/>
        <v>0</v>
      </c>
      <c r="AM92" s="105">
        <f t="shared" si="3"/>
        <v>0</v>
      </c>
      <c r="AN92" s="105">
        <f t="shared" si="3"/>
        <v>0</v>
      </c>
      <c r="AO92" s="105">
        <f t="shared" si="3"/>
        <v>0</v>
      </c>
      <c r="AP92" s="105">
        <f t="shared" si="3"/>
        <v>0</v>
      </c>
      <c r="AQ92" s="105">
        <f t="shared" si="3"/>
        <v>0</v>
      </c>
      <c r="AR92" s="105">
        <f t="shared" si="3"/>
        <v>0</v>
      </c>
      <c r="AS92" s="105">
        <f t="shared" si="3"/>
        <v>0</v>
      </c>
      <c r="AT92" s="105">
        <f t="shared" si="3"/>
        <v>0</v>
      </c>
      <c r="AU92" s="105">
        <f t="shared" si="3"/>
        <v>0</v>
      </c>
      <c r="AV92" s="105">
        <f t="shared" si="3"/>
        <v>0</v>
      </c>
      <c r="AW92" s="105">
        <f t="shared" si="3"/>
        <v>0</v>
      </c>
      <c r="AX92" s="105">
        <f t="shared" si="3"/>
        <v>0</v>
      </c>
    </row>
    <row r="93" spans="2:50" x14ac:dyDescent="0.2">
      <c r="B93" s="104" t="s">
        <v>109</v>
      </c>
      <c r="C93" s="105">
        <f t="shared" si="4"/>
        <v>0</v>
      </c>
      <c r="D93" s="105">
        <f t="shared" si="4"/>
        <v>0</v>
      </c>
      <c r="E93" s="105">
        <f t="shared" si="4"/>
        <v>0</v>
      </c>
      <c r="F93" s="105">
        <f t="shared" si="4"/>
        <v>0</v>
      </c>
      <c r="G93" s="105">
        <f t="shared" si="4"/>
        <v>0</v>
      </c>
      <c r="H93" s="105">
        <f t="shared" si="4"/>
        <v>0</v>
      </c>
      <c r="I93" s="105">
        <f t="shared" si="4"/>
        <v>0</v>
      </c>
      <c r="J93" s="105">
        <f t="shared" si="4"/>
        <v>0</v>
      </c>
      <c r="K93" s="105">
        <f t="shared" si="4"/>
        <v>0</v>
      </c>
      <c r="L93" s="105">
        <f t="shared" si="4"/>
        <v>0</v>
      </c>
      <c r="M93" s="105">
        <f t="shared" si="4"/>
        <v>0</v>
      </c>
      <c r="N93" s="105">
        <f t="shared" si="4"/>
        <v>0</v>
      </c>
      <c r="O93" s="105">
        <f t="shared" si="4"/>
        <v>0</v>
      </c>
      <c r="P93" s="105">
        <f t="shared" si="4"/>
        <v>0</v>
      </c>
      <c r="Q93" s="105">
        <f t="shared" si="4"/>
        <v>0</v>
      </c>
      <c r="R93" s="105">
        <f t="shared" si="4"/>
        <v>0</v>
      </c>
      <c r="S93" s="105">
        <f t="shared" si="3"/>
        <v>0</v>
      </c>
      <c r="T93" s="105">
        <f t="shared" si="3"/>
        <v>0</v>
      </c>
      <c r="U93" s="105">
        <f t="shared" si="3"/>
        <v>0</v>
      </c>
      <c r="V93" s="105">
        <f t="shared" si="3"/>
        <v>0</v>
      </c>
      <c r="W93" s="105">
        <f t="shared" si="3"/>
        <v>0</v>
      </c>
      <c r="X93" s="105">
        <f t="shared" si="3"/>
        <v>0</v>
      </c>
      <c r="Y93" s="105">
        <f t="shared" si="3"/>
        <v>0</v>
      </c>
      <c r="Z93" s="105">
        <f t="shared" si="3"/>
        <v>0</v>
      </c>
      <c r="AA93" s="105">
        <f t="shared" si="3"/>
        <v>0</v>
      </c>
      <c r="AB93" s="105">
        <f t="shared" si="3"/>
        <v>0</v>
      </c>
      <c r="AC93" s="105">
        <f t="shared" si="3"/>
        <v>0</v>
      </c>
      <c r="AD93" s="105">
        <f t="shared" si="3"/>
        <v>0</v>
      </c>
      <c r="AE93" s="105">
        <f t="shared" si="3"/>
        <v>0</v>
      </c>
      <c r="AF93" s="105">
        <f t="shared" si="3"/>
        <v>0</v>
      </c>
      <c r="AG93" s="105">
        <f t="shared" si="3"/>
        <v>0</v>
      </c>
      <c r="AH93" s="105">
        <f t="shared" si="3"/>
        <v>0</v>
      </c>
      <c r="AI93" s="105">
        <f t="shared" si="3"/>
        <v>0</v>
      </c>
      <c r="AJ93" s="105">
        <f t="shared" si="3"/>
        <v>0</v>
      </c>
      <c r="AK93" s="105">
        <f t="shared" si="3"/>
        <v>0</v>
      </c>
      <c r="AL93" s="105">
        <f t="shared" si="3"/>
        <v>0</v>
      </c>
      <c r="AM93" s="105">
        <f t="shared" si="3"/>
        <v>0</v>
      </c>
      <c r="AN93" s="105">
        <f t="shared" si="3"/>
        <v>0</v>
      </c>
      <c r="AO93" s="105">
        <f t="shared" si="3"/>
        <v>0</v>
      </c>
      <c r="AP93" s="105">
        <f t="shared" si="3"/>
        <v>0</v>
      </c>
      <c r="AQ93" s="105">
        <f t="shared" si="3"/>
        <v>0</v>
      </c>
      <c r="AR93" s="105">
        <f t="shared" si="3"/>
        <v>0</v>
      </c>
      <c r="AS93" s="105">
        <f t="shared" si="3"/>
        <v>0</v>
      </c>
      <c r="AT93" s="105">
        <f t="shared" si="3"/>
        <v>0</v>
      </c>
      <c r="AU93" s="105">
        <f t="shared" si="3"/>
        <v>0</v>
      </c>
      <c r="AV93" s="105">
        <f t="shared" si="3"/>
        <v>0</v>
      </c>
      <c r="AW93" s="105">
        <f t="shared" si="3"/>
        <v>0</v>
      </c>
      <c r="AX93" s="105">
        <f t="shared" si="3"/>
        <v>0</v>
      </c>
    </row>
    <row r="94" spans="2:50" x14ac:dyDescent="0.2">
      <c r="B94" s="106"/>
    </row>
    <row r="95" spans="2:50" x14ac:dyDescent="0.2">
      <c r="B95" s="179" t="s">
        <v>336</v>
      </c>
    </row>
    <row r="96" spans="2:50" x14ac:dyDescent="0.2">
      <c r="B96" s="180"/>
      <c r="C96" s="110" t="s">
        <v>92</v>
      </c>
      <c r="D96" s="106"/>
      <c r="E96" s="106"/>
      <c r="F96" s="106"/>
      <c r="G96" s="110" t="s">
        <v>93</v>
      </c>
      <c r="H96" s="106"/>
      <c r="I96" s="106"/>
      <c r="J96" s="106"/>
      <c r="K96" s="110" t="s">
        <v>94</v>
      </c>
      <c r="L96" s="106"/>
      <c r="M96" s="106"/>
      <c r="N96" s="106"/>
      <c r="O96" s="110" t="s">
        <v>95</v>
      </c>
      <c r="P96" s="106"/>
      <c r="Q96" s="106"/>
      <c r="R96" s="106"/>
      <c r="S96" s="110" t="s">
        <v>96</v>
      </c>
      <c r="T96" s="106"/>
      <c r="U96" s="106"/>
      <c r="V96" s="106"/>
      <c r="W96" s="110" t="s">
        <v>97</v>
      </c>
      <c r="X96" s="106"/>
      <c r="Y96" s="106"/>
      <c r="Z96" s="106"/>
      <c r="AA96" s="110" t="s">
        <v>98</v>
      </c>
      <c r="AB96" s="106"/>
      <c r="AC96" s="106"/>
      <c r="AD96" s="106"/>
      <c r="AE96" s="110" t="s">
        <v>99</v>
      </c>
      <c r="AF96" s="106"/>
      <c r="AG96" s="106"/>
      <c r="AH96" s="106"/>
      <c r="AI96" s="110" t="s">
        <v>100</v>
      </c>
      <c r="AJ96" s="106"/>
      <c r="AK96" s="106"/>
      <c r="AL96" s="106"/>
      <c r="AM96" s="110" t="s">
        <v>101</v>
      </c>
      <c r="AN96" s="106"/>
      <c r="AO96" s="106"/>
      <c r="AP96" s="106"/>
      <c r="AQ96" s="110" t="s">
        <v>102</v>
      </c>
      <c r="AR96" s="106"/>
      <c r="AS96" s="106"/>
      <c r="AT96" s="106"/>
      <c r="AU96" s="110" t="s">
        <v>103</v>
      </c>
      <c r="AV96" s="106"/>
      <c r="AW96" s="106"/>
    </row>
    <row r="97" spans="1:50" x14ac:dyDescent="0.2">
      <c r="A97" s="181" t="s">
        <v>121</v>
      </c>
      <c r="B97" s="181" t="s">
        <v>337</v>
      </c>
      <c r="C97" s="110">
        <v>1</v>
      </c>
      <c r="D97" s="110">
        <v>2</v>
      </c>
      <c r="E97" s="110">
        <v>3</v>
      </c>
      <c r="F97" s="110">
        <v>4</v>
      </c>
      <c r="G97" s="110">
        <v>1</v>
      </c>
      <c r="H97" s="110">
        <v>2</v>
      </c>
      <c r="I97" s="110">
        <v>3</v>
      </c>
      <c r="J97" s="110">
        <v>4</v>
      </c>
      <c r="K97" s="110">
        <v>1</v>
      </c>
      <c r="L97" s="110">
        <v>2</v>
      </c>
      <c r="M97" s="110">
        <v>3</v>
      </c>
      <c r="N97" s="110">
        <v>4</v>
      </c>
      <c r="O97" s="110">
        <v>1</v>
      </c>
      <c r="P97" s="110">
        <v>2</v>
      </c>
      <c r="Q97" s="110">
        <v>3</v>
      </c>
      <c r="R97" s="110">
        <v>4</v>
      </c>
      <c r="S97" s="110">
        <v>1</v>
      </c>
      <c r="T97" s="110">
        <v>2</v>
      </c>
      <c r="U97" s="110">
        <v>3</v>
      </c>
      <c r="V97" s="110">
        <v>4</v>
      </c>
      <c r="W97" s="110">
        <v>1</v>
      </c>
      <c r="X97" s="110">
        <v>2</v>
      </c>
      <c r="Y97" s="110">
        <v>3</v>
      </c>
      <c r="Z97" s="110">
        <v>4</v>
      </c>
      <c r="AA97" s="110">
        <v>1</v>
      </c>
      <c r="AB97" s="110">
        <v>2</v>
      </c>
      <c r="AC97" s="110">
        <v>3</v>
      </c>
      <c r="AD97" s="110">
        <v>4</v>
      </c>
      <c r="AE97" s="110">
        <v>1</v>
      </c>
      <c r="AF97" s="110">
        <v>2</v>
      </c>
      <c r="AG97" s="110">
        <v>3</v>
      </c>
      <c r="AH97" s="110">
        <v>4</v>
      </c>
      <c r="AI97" s="110">
        <v>1</v>
      </c>
      <c r="AJ97" s="110">
        <v>2</v>
      </c>
      <c r="AK97" s="110">
        <v>3</v>
      </c>
      <c r="AL97" s="110">
        <v>4</v>
      </c>
      <c r="AM97" s="110">
        <v>1</v>
      </c>
      <c r="AN97" s="110">
        <v>2</v>
      </c>
      <c r="AO97" s="110">
        <v>3</v>
      </c>
      <c r="AP97" s="110">
        <v>4</v>
      </c>
      <c r="AQ97" s="110">
        <v>1</v>
      </c>
      <c r="AR97" s="110">
        <v>2</v>
      </c>
      <c r="AS97" s="110">
        <v>3</v>
      </c>
      <c r="AT97" s="110">
        <v>4</v>
      </c>
      <c r="AU97" s="110">
        <v>1</v>
      </c>
      <c r="AV97" s="110">
        <v>2</v>
      </c>
      <c r="AW97" s="110">
        <v>3</v>
      </c>
      <c r="AX97" s="110">
        <v>4</v>
      </c>
    </row>
    <row r="98" spans="1:50" x14ac:dyDescent="0.2">
      <c r="A98" s="110" t="s">
        <v>104</v>
      </c>
      <c r="B98" s="110" t="s">
        <v>7</v>
      </c>
      <c r="C98" s="105">
        <v>0</v>
      </c>
      <c r="D98" s="105">
        <v>0</v>
      </c>
      <c r="E98" s="105">
        <v>0</v>
      </c>
      <c r="F98" s="105">
        <v>0</v>
      </c>
      <c r="G98" s="105">
        <v>0</v>
      </c>
      <c r="H98" s="105">
        <v>0</v>
      </c>
      <c r="I98" s="105">
        <v>0</v>
      </c>
      <c r="J98" s="105">
        <v>0</v>
      </c>
      <c r="K98" s="105">
        <v>0</v>
      </c>
      <c r="L98" s="105">
        <v>0</v>
      </c>
      <c r="M98" s="105">
        <v>0</v>
      </c>
      <c r="N98" s="105">
        <v>0</v>
      </c>
      <c r="O98" s="105">
        <v>0</v>
      </c>
      <c r="P98" s="105">
        <v>0</v>
      </c>
      <c r="Q98" s="105">
        <v>0</v>
      </c>
      <c r="R98" s="105">
        <v>0</v>
      </c>
      <c r="S98" s="105">
        <v>0</v>
      </c>
      <c r="T98" s="105">
        <v>0</v>
      </c>
      <c r="U98" s="105">
        <v>0</v>
      </c>
      <c r="V98" s="105">
        <v>0</v>
      </c>
      <c r="W98" s="105">
        <v>0</v>
      </c>
      <c r="X98" s="105">
        <v>0</v>
      </c>
      <c r="Y98" s="105">
        <v>0</v>
      </c>
      <c r="Z98" s="105">
        <v>0</v>
      </c>
      <c r="AA98" s="105">
        <v>0</v>
      </c>
      <c r="AB98" s="105">
        <v>0</v>
      </c>
      <c r="AC98" s="105">
        <v>0</v>
      </c>
      <c r="AD98" s="105">
        <v>0</v>
      </c>
      <c r="AE98" s="105">
        <v>0</v>
      </c>
      <c r="AF98" s="105">
        <v>0</v>
      </c>
      <c r="AG98" s="105">
        <v>0</v>
      </c>
      <c r="AH98" s="105">
        <v>0</v>
      </c>
      <c r="AI98" s="105">
        <v>0</v>
      </c>
      <c r="AJ98" s="105">
        <v>0</v>
      </c>
      <c r="AK98" s="105">
        <v>0</v>
      </c>
      <c r="AL98" s="105">
        <v>0</v>
      </c>
      <c r="AM98" s="105">
        <v>0</v>
      </c>
      <c r="AN98" s="105">
        <v>0</v>
      </c>
      <c r="AO98" s="105">
        <v>0</v>
      </c>
      <c r="AP98" s="105">
        <v>0</v>
      </c>
      <c r="AQ98" s="105">
        <v>0</v>
      </c>
      <c r="AR98" s="105">
        <v>0</v>
      </c>
      <c r="AS98" s="105">
        <v>0</v>
      </c>
      <c r="AT98" s="105">
        <v>0</v>
      </c>
      <c r="AU98" s="105">
        <v>0</v>
      </c>
      <c r="AV98" s="105">
        <v>0</v>
      </c>
      <c r="AW98" s="105">
        <v>0</v>
      </c>
      <c r="AX98" s="105">
        <v>0</v>
      </c>
    </row>
    <row r="99" spans="1:50" x14ac:dyDescent="0.2">
      <c r="B99" s="110" t="s">
        <v>8</v>
      </c>
      <c r="C99" s="105">
        <v>0</v>
      </c>
      <c r="D99" s="105">
        <v>0</v>
      </c>
      <c r="E99" s="105">
        <v>0</v>
      </c>
      <c r="F99" s="105">
        <v>0</v>
      </c>
      <c r="G99" s="105">
        <v>59170.941631666792</v>
      </c>
      <c r="H99" s="105">
        <v>59170.941631666792</v>
      </c>
      <c r="I99" s="105">
        <v>59170.941631666792</v>
      </c>
      <c r="J99" s="105">
        <v>59170.941631666792</v>
      </c>
      <c r="K99" s="105">
        <v>59170.941631666792</v>
      </c>
      <c r="L99" s="105">
        <v>59170.941631666792</v>
      </c>
      <c r="M99" s="105">
        <v>59170.941631666792</v>
      </c>
      <c r="N99" s="105">
        <v>59170.941631666792</v>
      </c>
      <c r="O99" s="105">
        <v>59170.941631666792</v>
      </c>
      <c r="P99" s="105">
        <v>59170.941631666792</v>
      </c>
      <c r="Q99" s="105">
        <v>59170.941631666792</v>
      </c>
      <c r="R99" s="105">
        <v>59170.941631666792</v>
      </c>
      <c r="S99" s="105">
        <v>59170.941631666792</v>
      </c>
      <c r="T99" s="105">
        <v>59170.941631666792</v>
      </c>
      <c r="U99" s="105">
        <v>59170.941631666792</v>
      </c>
      <c r="V99" s="105">
        <v>59170.941631666792</v>
      </c>
      <c r="W99" s="105">
        <v>59170.941631666792</v>
      </c>
      <c r="X99" s="105">
        <v>59170.941631666792</v>
      </c>
      <c r="Y99" s="105">
        <v>59170.941631666792</v>
      </c>
      <c r="Z99" s="105">
        <v>59170.941631666792</v>
      </c>
      <c r="AA99" s="105">
        <v>59170.941631666792</v>
      </c>
      <c r="AB99" s="105">
        <v>59170.941631666792</v>
      </c>
      <c r="AC99" s="105">
        <v>59170.941631666792</v>
      </c>
      <c r="AD99" s="105">
        <v>59170.941631666792</v>
      </c>
      <c r="AE99" s="105">
        <v>59170.941631666792</v>
      </c>
      <c r="AF99" s="105">
        <v>59170.941631666792</v>
      </c>
      <c r="AG99" s="105">
        <v>59170.941631666792</v>
      </c>
      <c r="AH99" s="105">
        <v>59170.941631666792</v>
      </c>
      <c r="AI99" s="105">
        <v>59170.941631666792</v>
      </c>
      <c r="AJ99" s="105">
        <v>59170.941631666792</v>
      </c>
      <c r="AK99" s="105">
        <v>59170.941631666792</v>
      </c>
      <c r="AL99" s="105">
        <v>59170.941631666792</v>
      </c>
      <c r="AM99" s="105">
        <v>59170.941631666792</v>
      </c>
      <c r="AN99" s="105">
        <v>59170.941631666792</v>
      </c>
      <c r="AO99" s="105">
        <v>59170.941631666792</v>
      </c>
      <c r="AP99" s="105">
        <v>59170.941631666792</v>
      </c>
      <c r="AQ99" s="105">
        <v>59170.941631666792</v>
      </c>
      <c r="AR99" s="105">
        <v>59170.941631666792</v>
      </c>
      <c r="AS99" s="105">
        <v>59170.941631666792</v>
      </c>
      <c r="AT99" s="105">
        <v>59170.941631666792</v>
      </c>
      <c r="AU99" s="105">
        <v>59170.941631666792</v>
      </c>
      <c r="AV99" s="105">
        <v>59170.941631666792</v>
      </c>
      <c r="AW99" s="105">
        <v>59170.941631666792</v>
      </c>
      <c r="AX99" s="105">
        <v>59170.941631666792</v>
      </c>
    </row>
    <row r="100" spans="1:50" x14ac:dyDescent="0.2">
      <c r="B100" s="110" t="s">
        <v>10</v>
      </c>
      <c r="C100" s="105">
        <v>0</v>
      </c>
      <c r="D100" s="105">
        <v>0</v>
      </c>
      <c r="E100" s="105">
        <v>0</v>
      </c>
      <c r="F100" s="105">
        <v>0</v>
      </c>
      <c r="G100" s="105">
        <v>0</v>
      </c>
      <c r="H100" s="105">
        <v>0</v>
      </c>
      <c r="I100" s="105">
        <v>0</v>
      </c>
      <c r="J100" s="105">
        <v>0</v>
      </c>
      <c r="K100" s="105">
        <v>0</v>
      </c>
      <c r="L100" s="105">
        <v>0</v>
      </c>
      <c r="M100" s="105">
        <v>0</v>
      </c>
      <c r="N100" s="105">
        <v>0</v>
      </c>
      <c r="O100" s="105">
        <v>0</v>
      </c>
      <c r="P100" s="105">
        <v>0</v>
      </c>
      <c r="Q100" s="105">
        <v>0</v>
      </c>
      <c r="R100" s="105">
        <v>0</v>
      </c>
      <c r="S100" s="105">
        <v>0</v>
      </c>
      <c r="T100" s="105">
        <v>0</v>
      </c>
      <c r="U100" s="105">
        <v>0</v>
      </c>
      <c r="V100" s="105">
        <v>0</v>
      </c>
      <c r="W100" s="105">
        <v>0</v>
      </c>
      <c r="X100" s="105">
        <v>0</v>
      </c>
      <c r="Y100" s="105">
        <v>0</v>
      </c>
      <c r="Z100" s="105">
        <v>0</v>
      </c>
      <c r="AA100" s="105">
        <v>0</v>
      </c>
      <c r="AB100" s="105">
        <v>0</v>
      </c>
      <c r="AC100" s="105">
        <v>0</v>
      </c>
      <c r="AD100" s="105">
        <v>0</v>
      </c>
      <c r="AE100" s="105">
        <v>0</v>
      </c>
      <c r="AF100" s="105">
        <v>0</v>
      </c>
      <c r="AG100" s="105">
        <v>0</v>
      </c>
      <c r="AH100" s="105">
        <v>0</v>
      </c>
      <c r="AI100" s="105">
        <v>0</v>
      </c>
      <c r="AJ100" s="105">
        <v>0</v>
      </c>
      <c r="AK100" s="105">
        <v>0</v>
      </c>
      <c r="AL100" s="105">
        <v>0</v>
      </c>
      <c r="AM100" s="105">
        <v>0</v>
      </c>
      <c r="AN100" s="105">
        <v>0</v>
      </c>
      <c r="AO100" s="105">
        <v>0</v>
      </c>
      <c r="AP100" s="105">
        <v>0</v>
      </c>
      <c r="AQ100" s="105">
        <v>0</v>
      </c>
      <c r="AR100" s="105">
        <v>0</v>
      </c>
      <c r="AS100" s="105">
        <v>0</v>
      </c>
      <c r="AT100" s="105">
        <v>0</v>
      </c>
      <c r="AU100" s="105">
        <v>0</v>
      </c>
      <c r="AV100" s="105">
        <v>0</v>
      </c>
      <c r="AW100" s="105">
        <v>0</v>
      </c>
      <c r="AX100" s="105">
        <v>0</v>
      </c>
    </row>
    <row r="101" spans="1:50" x14ac:dyDescent="0.2">
      <c r="B101" s="110" t="s">
        <v>14</v>
      </c>
      <c r="C101" s="105">
        <v>0</v>
      </c>
      <c r="D101" s="105">
        <v>0</v>
      </c>
      <c r="E101" s="105">
        <v>0</v>
      </c>
      <c r="F101" s="105">
        <v>0</v>
      </c>
      <c r="G101" s="105">
        <v>34763.087352501527</v>
      </c>
      <c r="H101" s="105">
        <v>34763.087352501527</v>
      </c>
      <c r="I101" s="105">
        <v>34763.087352501527</v>
      </c>
      <c r="J101" s="105">
        <v>34763.087352501527</v>
      </c>
      <c r="K101" s="105">
        <v>34763.087352501527</v>
      </c>
      <c r="L101" s="105">
        <v>34763.087352501527</v>
      </c>
      <c r="M101" s="105">
        <v>34763.087352501527</v>
      </c>
      <c r="N101" s="105">
        <v>34763.087352501527</v>
      </c>
      <c r="O101" s="105">
        <v>34763.087352501527</v>
      </c>
      <c r="P101" s="105">
        <v>34763.087352501527</v>
      </c>
      <c r="Q101" s="105">
        <v>34763.087352501527</v>
      </c>
      <c r="R101" s="105">
        <v>34763.087352501527</v>
      </c>
      <c r="S101" s="105">
        <v>34763.087352501527</v>
      </c>
      <c r="T101" s="105">
        <v>34763.087352501527</v>
      </c>
      <c r="U101" s="105">
        <v>34763.087352501527</v>
      </c>
      <c r="V101" s="105">
        <v>34763.087352501527</v>
      </c>
      <c r="W101" s="105">
        <v>34763.087352501527</v>
      </c>
      <c r="X101" s="105">
        <v>34763.087352501527</v>
      </c>
      <c r="Y101" s="105">
        <v>34763.087352501527</v>
      </c>
      <c r="Z101" s="105">
        <v>34763.087352501527</v>
      </c>
      <c r="AA101" s="105">
        <v>34763.087352501527</v>
      </c>
      <c r="AB101" s="105">
        <v>34763.087352501527</v>
      </c>
      <c r="AC101" s="105">
        <v>34763.087352501527</v>
      </c>
      <c r="AD101" s="105">
        <v>34763.087352501527</v>
      </c>
      <c r="AE101" s="105">
        <v>34763.087352501527</v>
      </c>
      <c r="AF101" s="105">
        <v>34763.087352501527</v>
      </c>
      <c r="AG101" s="105">
        <v>34763.087352501527</v>
      </c>
      <c r="AH101" s="105">
        <v>34763.087352501527</v>
      </c>
      <c r="AI101" s="105">
        <v>34763.087352501527</v>
      </c>
      <c r="AJ101" s="105">
        <v>34763.087352501527</v>
      </c>
      <c r="AK101" s="105">
        <v>34763.087352501527</v>
      </c>
      <c r="AL101" s="105">
        <v>34763.087352501527</v>
      </c>
      <c r="AM101" s="105">
        <v>34763.087352501527</v>
      </c>
      <c r="AN101" s="105">
        <v>34763.087352501527</v>
      </c>
      <c r="AO101" s="105">
        <v>34763.087352501527</v>
      </c>
      <c r="AP101" s="105">
        <v>34763.087352501527</v>
      </c>
      <c r="AQ101" s="105">
        <v>34763.087352501527</v>
      </c>
      <c r="AR101" s="105">
        <v>34763.087352501527</v>
      </c>
      <c r="AS101" s="105">
        <v>34763.087352501527</v>
      </c>
      <c r="AT101" s="105">
        <v>34763.087352501527</v>
      </c>
      <c r="AU101" s="105">
        <v>34763.087352501527</v>
      </c>
      <c r="AV101" s="105">
        <v>34763.087352501527</v>
      </c>
      <c r="AW101" s="105">
        <v>34763.087352501527</v>
      </c>
      <c r="AX101" s="105">
        <v>34763.087352501527</v>
      </c>
    </row>
    <row r="102" spans="1:50" x14ac:dyDescent="0.2">
      <c r="B102" s="110" t="s">
        <v>34</v>
      </c>
      <c r="C102" s="105">
        <v>0</v>
      </c>
      <c r="D102" s="105">
        <v>0</v>
      </c>
      <c r="E102" s="105">
        <v>0</v>
      </c>
      <c r="F102" s="105">
        <v>0</v>
      </c>
      <c r="G102" s="105">
        <v>0</v>
      </c>
      <c r="H102" s="105">
        <v>0</v>
      </c>
      <c r="I102" s="105">
        <v>0</v>
      </c>
      <c r="J102" s="105">
        <v>0</v>
      </c>
      <c r="K102" s="105">
        <v>0</v>
      </c>
      <c r="L102" s="105">
        <v>0</v>
      </c>
      <c r="M102" s="105">
        <v>0</v>
      </c>
      <c r="N102" s="105">
        <v>0</v>
      </c>
      <c r="O102" s="105">
        <v>0</v>
      </c>
      <c r="P102" s="105">
        <v>0</v>
      </c>
      <c r="Q102" s="105">
        <v>0</v>
      </c>
      <c r="R102" s="105">
        <v>0</v>
      </c>
      <c r="S102" s="105">
        <v>0</v>
      </c>
      <c r="T102" s="105">
        <v>0</v>
      </c>
      <c r="U102" s="105">
        <v>0</v>
      </c>
      <c r="V102" s="105">
        <v>0</v>
      </c>
      <c r="W102" s="105">
        <v>0</v>
      </c>
      <c r="X102" s="105">
        <v>0</v>
      </c>
      <c r="Y102" s="105">
        <v>0</v>
      </c>
      <c r="Z102" s="105">
        <v>0</v>
      </c>
      <c r="AA102" s="105">
        <v>0</v>
      </c>
      <c r="AB102" s="105">
        <v>0</v>
      </c>
      <c r="AC102" s="105">
        <v>0</v>
      </c>
      <c r="AD102" s="105">
        <v>0</v>
      </c>
      <c r="AE102" s="105">
        <v>0</v>
      </c>
      <c r="AF102" s="105">
        <v>0</v>
      </c>
      <c r="AG102" s="105">
        <v>0</v>
      </c>
      <c r="AH102" s="105">
        <v>0</v>
      </c>
      <c r="AI102" s="105">
        <v>0</v>
      </c>
      <c r="AJ102" s="105">
        <v>0</v>
      </c>
      <c r="AK102" s="105">
        <v>0</v>
      </c>
      <c r="AL102" s="105">
        <v>0</v>
      </c>
      <c r="AM102" s="105">
        <v>0</v>
      </c>
      <c r="AN102" s="105">
        <v>0</v>
      </c>
      <c r="AO102" s="105">
        <v>0</v>
      </c>
      <c r="AP102" s="105">
        <v>0</v>
      </c>
      <c r="AQ102" s="105">
        <v>0</v>
      </c>
      <c r="AR102" s="105">
        <v>0</v>
      </c>
      <c r="AS102" s="105">
        <v>0</v>
      </c>
      <c r="AT102" s="105">
        <v>0</v>
      </c>
      <c r="AU102" s="105">
        <v>0</v>
      </c>
      <c r="AV102" s="105">
        <v>0</v>
      </c>
      <c r="AW102" s="105">
        <v>0</v>
      </c>
      <c r="AX102" s="105">
        <v>0</v>
      </c>
    </row>
    <row r="103" spans="1:50" x14ac:dyDescent="0.2">
      <c r="B103" s="110" t="s">
        <v>49</v>
      </c>
      <c r="C103" s="105">
        <v>0</v>
      </c>
      <c r="D103" s="105">
        <v>0</v>
      </c>
      <c r="E103" s="105">
        <v>0</v>
      </c>
      <c r="F103" s="105">
        <v>0</v>
      </c>
      <c r="G103" s="105">
        <v>126369.51996825301</v>
      </c>
      <c r="H103" s="105">
        <v>126369.51996825301</v>
      </c>
      <c r="I103" s="105">
        <v>126369.51996825301</v>
      </c>
      <c r="J103" s="105">
        <v>126369.51996825301</v>
      </c>
      <c r="K103" s="105">
        <v>126369.51996825301</v>
      </c>
      <c r="L103" s="105">
        <v>126369.51996825301</v>
      </c>
      <c r="M103" s="105">
        <v>126369.51996825301</v>
      </c>
      <c r="N103" s="105">
        <v>126369.51996825301</v>
      </c>
      <c r="O103" s="105">
        <v>126369.51996825301</v>
      </c>
      <c r="P103" s="105">
        <v>126369.51996825301</v>
      </c>
      <c r="Q103" s="105">
        <v>126369.51996825301</v>
      </c>
      <c r="R103" s="105">
        <v>126369.51996825301</v>
      </c>
      <c r="S103" s="105">
        <v>126369.51996825301</v>
      </c>
      <c r="T103" s="105">
        <v>126369.51996825301</v>
      </c>
      <c r="U103" s="105">
        <v>126369.51996825301</v>
      </c>
      <c r="V103" s="105">
        <v>126369.51996825301</v>
      </c>
      <c r="W103" s="105">
        <v>126369.51996825301</v>
      </c>
      <c r="X103" s="105">
        <v>126369.51996825301</v>
      </c>
      <c r="Y103" s="105">
        <v>126369.51996825301</v>
      </c>
      <c r="Z103" s="105">
        <v>126369.51996825301</v>
      </c>
      <c r="AA103" s="105">
        <v>126369.51996825301</v>
      </c>
      <c r="AB103" s="105">
        <v>126369.51996825301</v>
      </c>
      <c r="AC103" s="105">
        <v>126369.51996825301</v>
      </c>
      <c r="AD103" s="105">
        <v>126369.51996825301</v>
      </c>
      <c r="AE103" s="105">
        <v>126369.51996825301</v>
      </c>
      <c r="AF103" s="105">
        <v>126369.51996825301</v>
      </c>
      <c r="AG103" s="105">
        <v>126369.51996825301</v>
      </c>
      <c r="AH103" s="105">
        <v>126369.51996825301</v>
      </c>
      <c r="AI103" s="105">
        <v>126369.51996825301</v>
      </c>
      <c r="AJ103" s="105">
        <v>126369.51996825301</v>
      </c>
      <c r="AK103" s="105">
        <v>126369.51996825301</v>
      </c>
      <c r="AL103" s="105">
        <v>126369.51996825301</v>
      </c>
      <c r="AM103" s="105">
        <v>126369.51996825301</v>
      </c>
      <c r="AN103" s="105">
        <v>126369.51996825301</v>
      </c>
      <c r="AO103" s="105">
        <v>126369.51996825301</v>
      </c>
      <c r="AP103" s="105">
        <v>126369.51996825301</v>
      </c>
      <c r="AQ103" s="105">
        <v>126369.51996825301</v>
      </c>
      <c r="AR103" s="105">
        <v>126369.51996825301</v>
      </c>
      <c r="AS103" s="105">
        <v>126369.51996825301</v>
      </c>
      <c r="AT103" s="105">
        <v>126369.51996825301</v>
      </c>
      <c r="AU103" s="105">
        <v>126369.51996825301</v>
      </c>
      <c r="AV103" s="105">
        <v>126369.51996825301</v>
      </c>
      <c r="AW103" s="105">
        <v>126369.51996825301</v>
      </c>
      <c r="AX103" s="105">
        <v>126369.51996825301</v>
      </c>
    </row>
    <row r="104" spans="1:50" x14ac:dyDescent="0.2">
      <c r="B104" s="110" t="s">
        <v>57</v>
      </c>
      <c r="C104" s="105">
        <v>0</v>
      </c>
      <c r="D104" s="105">
        <v>0</v>
      </c>
      <c r="E104" s="105">
        <v>0</v>
      </c>
      <c r="F104" s="105">
        <v>0</v>
      </c>
      <c r="G104" s="105">
        <v>0</v>
      </c>
      <c r="H104" s="105">
        <v>0</v>
      </c>
      <c r="I104" s="105">
        <v>0</v>
      </c>
      <c r="J104" s="105">
        <v>0</v>
      </c>
      <c r="K104" s="105">
        <v>0</v>
      </c>
      <c r="L104" s="105">
        <v>0</v>
      </c>
      <c r="M104" s="105">
        <v>0</v>
      </c>
      <c r="N104" s="105">
        <v>0</v>
      </c>
      <c r="O104" s="105">
        <v>0</v>
      </c>
      <c r="P104" s="105">
        <v>0</v>
      </c>
      <c r="Q104" s="105">
        <v>0</v>
      </c>
      <c r="R104" s="105">
        <v>0</v>
      </c>
      <c r="S104" s="105">
        <v>0</v>
      </c>
      <c r="T104" s="105">
        <v>0</v>
      </c>
      <c r="U104" s="105">
        <v>0</v>
      </c>
      <c r="V104" s="105">
        <v>0</v>
      </c>
      <c r="W104" s="105">
        <v>0</v>
      </c>
      <c r="X104" s="105">
        <v>0</v>
      </c>
      <c r="Y104" s="105">
        <v>0</v>
      </c>
      <c r="Z104" s="105">
        <v>0</v>
      </c>
      <c r="AA104" s="105">
        <v>0</v>
      </c>
      <c r="AB104" s="105">
        <v>0</v>
      </c>
      <c r="AC104" s="105">
        <v>0</v>
      </c>
      <c r="AD104" s="105">
        <v>0</v>
      </c>
      <c r="AE104" s="105">
        <v>0</v>
      </c>
      <c r="AF104" s="105">
        <v>0</v>
      </c>
      <c r="AG104" s="105">
        <v>0</v>
      </c>
      <c r="AH104" s="105">
        <v>0</v>
      </c>
      <c r="AI104" s="105">
        <v>0</v>
      </c>
      <c r="AJ104" s="105">
        <v>0</v>
      </c>
      <c r="AK104" s="105">
        <v>0</v>
      </c>
      <c r="AL104" s="105">
        <v>0</v>
      </c>
      <c r="AM104" s="105">
        <v>0</v>
      </c>
      <c r="AN104" s="105">
        <v>0</v>
      </c>
      <c r="AO104" s="105">
        <v>0</v>
      </c>
      <c r="AP104" s="105">
        <v>0</v>
      </c>
      <c r="AQ104" s="105">
        <v>0</v>
      </c>
      <c r="AR104" s="105">
        <v>0</v>
      </c>
      <c r="AS104" s="105">
        <v>0</v>
      </c>
      <c r="AT104" s="105">
        <v>0</v>
      </c>
      <c r="AU104" s="105">
        <v>0</v>
      </c>
      <c r="AV104" s="105">
        <v>0</v>
      </c>
      <c r="AW104" s="105">
        <v>0</v>
      </c>
      <c r="AX104" s="105">
        <v>0</v>
      </c>
    </row>
    <row r="105" spans="1:50" x14ac:dyDescent="0.2">
      <c r="B105" s="110" t="s">
        <v>70</v>
      </c>
      <c r="C105" s="105">
        <v>0</v>
      </c>
      <c r="D105" s="105">
        <v>0</v>
      </c>
      <c r="E105" s="105">
        <v>0</v>
      </c>
      <c r="F105" s="105">
        <v>0</v>
      </c>
      <c r="G105" s="105">
        <v>72906.682139085911</v>
      </c>
      <c r="H105" s="105">
        <v>72906.682139085911</v>
      </c>
      <c r="I105" s="105">
        <v>72906.682139085911</v>
      </c>
      <c r="J105" s="105">
        <v>72906.682139085911</v>
      </c>
      <c r="K105" s="105">
        <v>72906.682139085911</v>
      </c>
      <c r="L105" s="105">
        <v>72906.682139085911</v>
      </c>
      <c r="M105" s="105">
        <v>72906.682139085911</v>
      </c>
      <c r="N105" s="105">
        <v>72906.682139085911</v>
      </c>
      <c r="O105" s="105">
        <v>72906.682139085911</v>
      </c>
      <c r="P105" s="105">
        <v>72906.682139085911</v>
      </c>
      <c r="Q105" s="105">
        <v>72906.682139085911</v>
      </c>
      <c r="R105" s="105">
        <v>72906.682139085911</v>
      </c>
      <c r="S105" s="105">
        <v>72906.682139085911</v>
      </c>
      <c r="T105" s="105">
        <v>72906.682139085911</v>
      </c>
      <c r="U105" s="105">
        <v>72906.682139085911</v>
      </c>
      <c r="V105" s="105">
        <v>72906.682139085911</v>
      </c>
      <c r="W105" s="105">
        <v>72906.682139085911</v>
      </c>
      <c r="X105" s="105">
        <v>72906.682139085911</v>
      </c>
      <c r="Y105" s="105">
        <v>72906.682139085911</v>
      </c>
      <c r="Z105" s="105">
        <v>72906.682139085911</v>
      </c>
      <c r="AA105" s="105">
        <v>72906.682139085911</v>
      </c>
      <c r="AB105" s="105">
        <v>72906.682139085911</v>
      </c>
      <c r="AC105" s="105">
        <v>72906.682139085911</v>
      </c>
      <c r="AD105" s="105">
        <v>72906.682139085911</v>
      </c>
      <c r="AE105" s="105">
        <v>72906.682139085911</v>
      </c>
      <c r="AF105" s="105">
        <v>72906.682139085911</v>
      </c>
      <c r="AG105" s="105">
        <v>72906.682139085911</v>
      </c>
      <c r="AH105" s="105">
        <v>72906.682139085911</v>
      </c>
      <c r="AI105" s="105">
        <v>72906.682139085911</v>
      </c>
      <c r="AJ105" s="105">
        <v>72906.682139085911</v>
      </c>
      <c r="AK105" s="105">
        <v>72906.682139085911</v>
      </c>
      <c r="AL105" s="105">
        <v>72906.682139085911</v>
      </c>
      <c r="AM105" s="105">
        <v>72906.682139085911</v>
      </c>
      <c r="AN105" s="105">
        <v>72906.682139085911</v>
      </c>
      <c r="AO105" s="105">
        <v>72906.682139085911</v>
      </c>
      <c r="AP105" s="105">
        <v>72906.682139085911</v>
      </c>
      <c r="AQ105" s="105">
        <v>72906.682139085911</v>
      </c>
      <c r="AR105" s="105">
        <v>72906.682139085911</v>
      </c>
      <c r="AS105" s="105">
        <v>72906.682139085911</v>
      </c>
      <c r="AT105" s="105">
        <v>72906.682139085911</v>
      </c>
      <c r="AU105" s="105">
        <v>72906.682139085911</v>
      </c>
      <c r="AV105" s="105">
        <v>72906.682139085911</v>
      </c>
      <c r="AW105" s="105">
        <v>72906.682139085911</v>
      </c>
      <c r="AX105" s="105">
        <v>72906.682139085911</v>
      </c>
    </row>
    <row r="106" spans="1:50" x14ac:dyDescent="0.2">
      <c r="B106" s="106" t="s">
        <v>278</v>
      </c>
      <c r="C106" s="110">
        <f>SUM(C$98:C$105)</f>
        <v>0</v>
      </c>
      <c r="D106" s="110">
        <f t="shared" ref="D106:AX106" si="5">SUM(D$98:D$105)</f>
        <v>0</v>
      </c>
      <c r="E106" s="110">
        <f t="shared" si="5"/>
        <v>0</v>
      </c>
      <c r="F106" s="110">
        <f t="shared" si="5"/>
        <v>0</v>
      </c>
      <c r="G106" s="110">
        <f t="shared" si="5"/>
        <v>293210.23109150724</v>
      </c>
      <c r="H106" s="110">
        <f t="shared" si="5"/>
        <v>293210.23109150724</v>
      </c>
      <c r="I106" s="110">
        <f t="shared" si="5"/>
        <v>293210.23109150724</v>
      </c>
      <c r="J106" s="110">
        <f t="shared" si="5"/>
        <v>293210.23109150724</v>
      </c>
      <c r="K106" s="110">
        <f t="shared" si="5"/>
        <v>293210.23109150724</v>
      </c>
      <c r="L106" s="110">
        <f t="shared" si="5"/>
        <v>293210.23109150724</v>
      </c>
      <c r="M106" s="110">
        <f t="shared" si="5"/>
        <v>293210.23109150724</v>
      </c>
      <c r="N106" s="110">
        <f t="shared" si="5"/>
        <v>293210.23109150724</v>
      </c>
      <c r="O106" s="110">
        <f t="shared" si="5"/>
        <v>293210.23109150724</v>
      </c>
      <c r="P106" s="110">
        <f t="shared" si="5"/>
        <v>293210.23109150724</v>
      </c>
      <c r="Q106" s="110">
        <f t="shared" si="5"/>
        <v>293210.23109150724</v>
      </c>
      <c r="R106" s="110">
        <f t="shared" si="5"/>
        <v>293210.23109150724</v>
      </c>
      <c r="S106" s="110">
        <f t="shared" si="5"/>
        <v>293210.23109150724</v>
      </c>
      <c r="T106" s="110">
        <f t="shared" si="5"/>
        <v>293210.23109150724</v>
      </c>
      <c r="U106" s="110">
        <f t="shared" si="5"/>
        <v>293210.23109150724</v>
      </c>
      <c r="V106" s="110">
        <f t="shared" si="5"/>
        <v>293210.23109150724</v>
      </c>
      <c r="W106" s="110">
        <f t="shared" si="5"/>
        <v>293210.23109150724</v>
      </c>
      <c r="X106" s="110">
        <f t="shared" si="5"/>
        <v>293210.23109150724</v>
      </c>
      <c r="Y106" s="110">
        <f t="shared" si="5"/>
        <v>293210.23109150724</v>
      </c>
      <c r="Z106" s="110">
        <f t="shared" si="5"/>
        <v>293210.23109150724</v>
      </c>
      <c r="AA106" s="110">
        <f t="shared" si="5"/>
        <v>293210.23109150724</v>
      </c>
      <c r="AB106" s="110">
        <f t="shared" si="5"/>
        <v>293210.23109150724</v>
      </c>
      <c r="AC106" s="110">
        <f t="shared" si="5"/>
        <v>293210.23109150724</v>
      </c>
      <c r="AD106" s="110">
        <f t="shared" si="5"/>
        <v>293210.23109150724</v>
      </c>
      <c r="AE106" s="110">
        <f t="shared" si="5"/>
        <v>293210.23109150724</v>
      </c>
      <c r="AF106" s="110">
        <f t="shared" si="5"/>
        <v>293210.23109150724</v>
      </c>
      <c r="AG106" s="110">
        <f t="shared" si="5"/>
        <v>293210.23109150724</v>
      </c>
      <c r="AH106" s="110">
        <f t="shared" si="5"/>
        <v>293210.23109150724</v>
      </c>
      <c r="AI106" s="110">
        <f t="shared" si="5"/>
        <v>293210.23109150724</v>
      </c>
      <c r="AJ106" s="110">
        <f t="shared" si="5"/>
        <v>293210.23109150724</v>
      </c>
      <c r="AK106" s="110">
        <f t="shared" si="5"/>
        <v>293210.23109150724</v>
      </c>
      <c r="AL106" s="110">
        <f t="shared" si="5"/>
        <v>293210.23109150724</v>
      </c>
      <c r="AM106" s="110">
        <f t="shared" si="5"/>
        <v>293210.23109150724</v>
      </c>
      <c r="AN106" s="110">
        <f t="shared" si="5"/>
        <v>293210.23109150724</v>
      </c>
      <c r="AO106" s="110">
        <f t="shared" si="5"/>
        <v>293210.23109150724</v>
      </c>
      <c r="AP106" s="110">
        <f t="shared" si="5"/>
        <v>293210.23109150724</v>
      </c>
      <c r="AQ106" s="110">
        <f t="shared" si="5"/>
        <v>293210.23109150724</v>
      </c>
      <c r="AR106" s="110">
        <f t="shared" si="5"/>
        <v>293210.23109150724</v>
      </c>
      <c r="AS106" s="110">
        <f t="shared" si="5"/>
        <v>293210.23109150724</v>
      </c>
      <c r="AT106" s="110">
        <f t="shared" si="5"/>
        <v>293210.23109150724</v>
      </c>
      <c r="AU106" s="110">
        <f t="shared" si="5"/>
        <v>293210.23109150724</v>
      </c>
      <c r="AV106" s="110">
        <f t="shared" si="5"/>
        <v>293210.23109150724</v>
      </c>
      <c r="AW106" s="110">
        <f t="shared" si="5"/>
        <v>293210.23109150724</v>
      </c>
      <c r="AX106" s="110">
        <f t="shared" si="5"/>
        <v>293210.23109150724</v>
      </c>
    </row>
    <row r="107" spans="1:50" x14ac:dyDescent="0.2">
      <c r="A107" s="110" t="s">
        <v>105</v>
      </c>
      <c r="B107" s="110" t="s">
        <v>7</v>
      </c>
      <c r="C107" s="105">
        <v>0</v>
      </c>
      <c r="D107" s="105">
        <v>0</v>
      </c>
      <c r="E107" s="105">
        <v>0</v>
      </c>
      <c r="F107" s="105">
        <v>0</v>
      </c>
      <c r="G107" s="105">
        <v>0</v>
      </c>
      <c r="H107" s="105">
        <v>0</v>
      </c>
      <c r="I107" s="105">
        <v>0</v>
      </c>
      <c r="J107" s="105">
        <v>0</v>
      </c>
      <c r="K107" s="105">
        <v>0</v>
      </c>
      <c r="L107" s="105">
        <v>0</v>
      </c>
      <c r="M107" s="105">
        <v>0</v>
      </c>
      <c r="N107" s="105">
        <v>0</v>
      </c>
      <c r="O107" s="105">
        <v>0</v>
      </c>
      <c r="P107" s="105">
        <v>0</v>
      </c>
      <c r="Q107" s="105">
        <v>0</v>
      </c>
      <c r="R107" s="105">
        <v>0</v>
      </c>
      <c r="S107" s="105">
        <v>0</v>
      </c>
      <c r="T107" s="105">
        <v>0</v>
      </c>
      <c r="U107" s="105">
        <v>0</v>
      </c>
      <c r="V107" s="105">
        <v>0</v>
      </c>
      <c r="W107" s="105">
        <v>0</v>
      </c>
      <c r="X107" s="105">
        <v>0</v>
      </c>
      <c r="Y107" s="105">
        <v>0</v>
      </c>
      <c r="Z107" s="105">
        <v>0</v>
      </c>
      <c r="AA107" s="105">
        <v>0</v>
      </c>
      <c r="AB107" s="105">
        <v>0</v>
      </c>
      <c r="AC107" s="105">
        <v>0</v>
      </c>
      <c r="AD107" s="105">
        <v>0</v>
      </c>
      <c r="AE107" s="105">
        <v>0</v>
      </c>
      <c r="AF107" s="105">
        <v>0</v>
      </c>
      <c r="AG107" s="105">
        <v>0</v>
      </c>
      <c r="AH107" s="105">
        <v>0</v>
      </c>
      <c r="AI107" s="105">
        <v>0</v>
      </c>
      <c r="AJ107" s="105">
        <v>0</v>
      </c>
      <c r="AK107" s="105">
        <v>0</v>
      </c>
      <c r="AL107" s="105">
        <v>0</v>
      </c>
      <c r="AM107" s="105">
        <v>0</v>
      </c>
      <c r="AN107" s="105">
        <v>0</v>
      </c>
      <c r="AO107" s="105">
        <v>0</v>
      </c>
      <c r="AP107" s="105">
        <v>0</v>
      </c>
      <c r="AQ107" s="105">
        <v>0</v>
      </c>
      <c r="AR107" s="105">
        <v>0</v>
      </c>
      <c r="AS107" s="105">
        <v>0</v>
      </c>
      <c r="AT107" s="105">
        <v>0</v>
      </c>
      <c r="AU107" s="105">
        <v>0</v>
      </c>
      <c r="AV107" s="105">
        <v>0</v>
      </c>
      <c r="AW107" s="105">
        <v>0</v>
      </c>
      <c r="AX107" s="105">
        <v>0</v>
      </c>
    </row>
    <row r="108" spans="1:50" x14ac:dyDescent="0.2">
      <c r="B108" s="110" t="s">
        <v>8</v>
      </c>
      <c r="C108" s="105">
        <v>0</v>
      </c>
      <c r="D108" s="105">
        <v>0</v>
      </c>
      <c r="E108" s="105">
        <v>0</v>
      </c>
      <c r="F108" s="105">
        <v>0</v>
      </c>
      <c r="G108" s="105">
        <v>0</v>
      </c>
      <c r="H108" s="105">
        <v>0</v>
      </c>
      <c r="I108" s="105">
        <v>0</v>
      </c>
      <c r="J108" s="105">
        <v>0</v>
      </c>
      <c r="K108" s="105">
        <v>0</v>
      </c>
      <c r="L108" s="105">
        <v>0</v>
      </c>
      <c r="M108" s="105">
        <v>0</v>
      </c>
      <c r="N108" s="105">
        <v>0</v>
      </c>
      <c r="O108" s="105">
        <v>0</v>
      </c>
      <c r="P108" s="105">
        <v>0</v>
      </c>
      <c r="Q108" s="105">
        <v>0</v>
      </c>
      <c r="R108" s="105">
        <v>0</v>
      </c>
      <c r="S108" s="105">
        <v>0</v>
      </c>
      <c r="T108" s="105">
        <v>0</v>
      </c>
      <c r="U108" s="105">
        <v>0</v>
      </c>
      <c r="V108" s="105">
        <v>0</v>
      </c>
      <c r="W108" s="105">
        <v>0</v>
      </c>
      <c r="X108" s="105">
        <v>0</v>
      </c>
      <c r="Y108" s="105">
        <v>0</v>
      </c>
      <c r="Z108" s="105">
        <v>0</v>
      </c>
      <c r="AA108" s="105">
        <v>0</v>
      </c>
      <c r="AB108" s="105">
        <v>0</v>
      </c>
      <c r="AC108" s="105">
        <v>0</v>
      </c>
      <c r="AD108" s="105">
        <v>0</v>
      </c>
      <c r="AE108" s="105">
        <v>0</v>
      </c>
      <c r="AF108" s="105">
        <v>0</v>
      </c>
      <c r="AG108" s="105">
        <v>0</v>
      </c>
      <c r="AH108" s="105">
        <v>0</v>
      </c>
      <c r="AI108" s="105">
        <v>0</v>
      </c>
      <c r="AJ108" s="105">
        <v>0</v>
      </c>
      <c r="AK108" s="105">
        <v>0</v>
      </c>
      <c r="AL108" s="105">
        <v>0</v>
      </c>
      <c r="AM108" s="105">
        <v>0</v>
      </c>
      <c r="AN108" s="105">
        <v>0</v>
      </c>
      <c r="AO108" s="105">
        <v>0</v>
      </c>
      <c r="AP108" s="105">
        <v>0</v>
      </c>
      <c r="AQ108" s="105">
        <v>0</v>
      </c>
      <c r="AR108" s="105">
        <v>0</v>
      </c>
      <c r="AS108" s="105">
        <v>0</v>
      </c>
      <c r="AT108" s="105">
        <v>0</v>
      </c>
      <c r="AU108" s="105">
        <v>0</v>
      </c>
      <c r="AV108" s="105">
        <v>0</v>
      </c>
      <c r="AW108" s="105">
        <v>0</v>
      </c>
      <c r="AX108" s="105">
        <v>0</v>
      </c>
    </row>
    <row r="109" spans="1:50" x14ac:dyDescent="0.2">
      <c r="B109" s="110" t="s">
        <v>10</v>
      </c>
      <c r="C109" s="105">
        <v>0</v>
      </c>
      <c r="D109" s="105">
        <v>0</v>
      </c>
      <c r="E109" s="105">
        <v>0</v>
      </c>
      <c r="F109" s="105">
        <v>0</v>
      </c>
      <c r="G109" s="105">
        <v>12377.525448377231</v>
      </c>
      <c r="H109" s="105">
        <v>12377.525448377231</v>
      </c>
      <c r="I109" s="105">
        <v>12377.525448377231</v>
      </c>
      <c r="J109" s="105">
        <v>12377.525448377231</v>
      </c>
      <c r="K109" s="105">
        <v>12377.525448377231</v>
      </c>
      <c r="L109" s="105">
        <v>12377.525448377231</v>
      </c>
      <c r="M109" s="105">
        <v>12377.525448377231</v>
      </c>
      <c r="N109" s="105">
        <v>12377.525448377231</v>
      </c>
      <c r="O109" s="105">
        <v>12377.525448377231</v>
      </c>
      <c r="P109" s="105">
        <v>12377.525448377231</v>
      </c>
      <c r="Q109" s="105">
        <v>12377.525448377231</v>
      </c>
      <c r="R109" s="105">
        <v>12377.525448377231</v>
      </c>
      <c r="S109" s="105">
        <v>12377.525448377231</v>
      </c>
      <c r="T109" s="105">
        <v>12377.525448377231</v>
      </c>
      <c r="U109" s="105">
        <v>12377.525448377231</v>
      </c>
      <c r="V109" s="105">
        <v>12377.525448377231</v>
      </c>
      <c r="W109" s="105">
        <v>12377.525448377231</v>
      </c>
      <c r="X109" s="105">
        <v>12377.525448377231</v>
      </c>
      <c r="Y109" s="105">
        <v>12377.525448377231</v>
      </c>
      <c r="Z109" s="105">
        <v>12377.525448377231</v>
      </c>
      <c r="AA109" s="105">
        <v>12377.525448377231</v>
      </c>
      <c r="AB109" s="105">
        <v>12377.525448377231</v>
      </c>
      <c r="AC109" s="105">
        <v>12377.525448377231</v>
      </c>
      <c r="AD109" s="105">
        <v>12377.525448377231</v>
      </c>
      <c r="AE109" s="105">
        <v>12377.525448377231</v>
      </c>
      <c r="AF109" s="105">
        <v>12377.525448377231</v>
      </c>
      <c r="AG109" s="105">
        <v>12377.525448377231</v>
      </c>
      <c r="AH109" s="105">
        <v>12377.525448377231</v>
      </c>
      <c r="AI109" s="105">
        <v>12377.525448377231</v>
      </c>
      <c r="AJ109" s="105">
        <v>12377.525448377231</v>
      </c>
      <c r="AK109" s="105">
        <v>12377.525448377231</v>
      </c>
      <c r="AL109" s="105">
        <v>12377.525448377231</v>
      </c>
      <c r="AM109" s="105">
        <v>12377.525448377231</v>
      </c>
      <c r="AN109" s="105">
        <v>12377.525448377231</v>
      </c>
      <c r="AO109" s="105">
        <v>12377.525448377231</v>
      </c>
      <c r="AP109" s="105">
        <v>12377.525448377231</v>
      </c>
      <c r="AQ109" s="105">
        <v>12377.525448377231</v>
      </c>
      <c r="AR109" s="105">
        <v>12377.525448377231</v>
      </c>
      <c r="AS109" s="105">
        <v>12377.525448377231</v>
      </c>
      <c r="AT109" s="105">
        <v>12377.525448377231</v>
      </c>
      <c r="AU109" s="105">
        <v>12377.525448377231</v>
      </c>
      <c r="AV109" s="105">
        <v>12377.525448377231</v>
      </c>
      <c r="AW109" s="105">
        <v>12377.525448377231</v>
      </c>
      <c r="AX109" s="105">
        <v>12377.525448377231</v>
      </c>
    </row>
    <row r="110" spans="1:50" x14ac:dyDescent="0.2">
      <c r="B110" s="110" t="s">
        <v>14</v>
      </c>
      <c r="C110" s="105">
        <v>0</v>
      </c>
      <c r="D110" s="105">
        <v>0</v>
      </c>
      <c r="E110" s="105">
        <v>0</v>
      </c>
      <c r="F110" s="105">
        <v>0</v>
      </c>
      <c r="G110" s="105">
        <v>0</v>
      </c>
      <c r="H110" s="105">
        <v>0</v>
      </c>
      <c r="I110" s="105">
        <v>0</v>
      </c>
      <c r="J110" s="105">
        <v>0</v>
      </c>
      <c r="K110" s="105">
        <v>0</v>
      </c>
      <c r="L110" s="105">
        <v>0</v>
      </c>
      <c r="M110" s="105">
        <v>0</v>
      </c>
      <c r="N110" s="105">
        <v>0</v>
      </c>
      <c r="O110" s="105">
        <v>0</v>
      </c>
      <c r="P110" s="105">
        <v>0</v>
      </c>
      <c r="Q110" s="105">
        <v>0</v>
      </c>
      <c r="R110" s="105">
        <v>0</v>
      </c>
      <c r="S110" s="105">
        <v>0</v>
      </c>
      <c r="T110" s="105">
        <v>0</v>
      </c>
      <c r="U110" s="105">
        <v>0</v>
      </c>
      <c r="V110" s="105">
        <v>0</v>
      </c>
      <c r="W110" s="105">
        <v>0</v>
      </c>
      <c r="X110" s="105">
        <v>0</v>
      </c>
      <c r="Y110" s="105">
        <v>0</v>
      </c>
      <c r="Z110" s="105">
        <v>0</v>
      </c>
      <c r="AA110" s="105">
        <v>0</v>
      </c>
      <c r="AB110" s="105">
        <v>0</v>
      </c>
      <c r="AC110" s="105">
        <v>0</v>
      </c>
      <c r="AD110" s="105">
        <v>0</v>
      </c>
      <c r="AE110" s="105">
        <v>0</v>
      </c>
      <c r="AF110" s="105">
        <v>0</v>
      </c>
      <c r="AG110" s="105">
        <v>0</v>
      </c>
      <c r="AH110" s="105">
        <v>0</v>
      </c>
      <c r="AI110" s="105">
        <v>0</v>
      </c>
      <c r="AJ110" s="105">
        <v>0</v>
      </c>
      <c r="AK110" s="105">
        <v>0</v>
      </c>
      <c r="AL110" s="105">
        <v>0</v>
      </c>
      <c r="AM110" s="105">
        <v>0</v>
      </c>
      <c r="AN110" s="105">
        <v>0</v>
      </c>
      <c r="AO110" s="105">
        <v>0</v>
      </c>
      <c r="AP110" s="105">
        <v>0</v>
      </c>
      <c r="AQ110" s="105">
        <v>0</v>
      </c>
      <c r="AR110" s="105">
        <v>0</v>
      </c>
      <c r="AS110" s="105">
        <v>0</v>
      </c>
      <c r="AT110" s="105">
        <v>0</v>
      </c>
      <c r="AU110" s="105">
        <v>0</v>
      </c>
      <c r="AV110" s="105">
        <v>0</v>
      </c>
      <c r="AW110" s="105">
        <v>0</v>
      </c>
      <c r="AX110" s="105">
        <v>0</v>
      </c>
    </row>
    <row r="111" spans="1:50" x14ac:dyDescent="0.2">
      <c r="B111" s="110" t="s">
        <v>34</v>
      </c>
      <c r="C111" s="105">
        <v>0</v>
      </c>
      <c r="D111" s="105">
        <v>0</v>
      </c>
      <c r="E111" s="105">
        <v>0</v>
      </c>
      <c r="F111" s="105">
        <v>0</v>
      </c>
      <c r="G111" s="105">
        <v>0</v>
      </c>
      <c r="H111" s="105">
        <v>0</v>
      </c>
      <c r="I111" s="105">
        <v>0</v>
      </c>
      <c r="J111" s="105">
        <v>0</v>
      </c>
      <c r="K111" s="105">
        <v>0</v>
      </c>
      <c r="L111" s="105">
        <v>0</v>
      </c>
      <c r="M111" s="105">
        <v>0</v>
      </c>
      <c r="N111" s="105">
        <v>0</v>
      </c>
      <c r="O111" s="105">
        <v>0</v>
      </c>
      <c r="P111" s="105">
        <v>0</v>
      </c>
      <c r="Q111" s="105">
        <v>0</v>
      </c>
      <c r="R111" s="105">
        <v>0</v>
      </c>
      <c r="S111" s="105">
        <v>0</v>
      </c>
      <c r="T111" s="105">
        <v>0</v>
      </c>
      <c r="U111" s="105">
        <v>0</v>
      </c>
      <c r="V111" s="105">
        <v>0</v>
      </c>
      <c r="W111" s="105">
        <v>0</v>
      </c>
      <c r="X111" s="105">
        <v>0</v>
      </c>
      <c r="Y111" s="105">
        <v>0</v>
      </c>
      <c r="Z111" s="105">
        <v>0</v>
      </c>
      <c r="AA111" s="105">
        <v>0</v>
      </c>
      <c r="AB111" s="105">
        <v>0</v>
      </c>
      <c r="AC111" s="105">
        <v>0</v>
      </c>
      <c r="AD111" s="105">
        <v>0</v>
      </c>
      <c r="AE111" s="105">
        <v>0</v>
      </c>
      <c r="AF111" s="105">
        <v>0</v>
      </c>
      <c r="AG111" s="105">
        <v>0</v>
      </c>
      <c r="AH111" s="105">
        <v>0</v>
      </c>
      <c r="AI111" s="105">
        <v>0</v>
      </c>
      <c r="AJ111" s="105">
        <v>0</v>
      </c>
      <c r="AK111" s="105">
        <v>0</v>
      </c>
      <c r="AL111" s="105">
        <v>0</v>
      </c>
      <c r="AM111" s="105">
        <v>0</v>
      </c>
      <c r="AN111" s="105">
        <v>0</v>
      </c>
      <c r="AO111" s="105">
        <v>0</v>
      </c>
      <c r="AP111" s="105">
        <v>0</v>
      </c>
      <c r="AQ111" s="105">
        <v>0</v>
      </c>
      <c r="AR111" s="105">
        <v>0</v>
      </c>
      <c r="AS111" s="105">
        <v>0</v>
      </c>
      <c r="AT111" s="105">
        <v>0</v>
      </c>
      <c r="AU111" s="105">
        <v>0</v>
      </c>
      <c r="AV111" s="105">
        <v>0</v>
      </c>
      <c r="AW111" s="105">
        <v>0</v>
      </c>
      <c r="AX111" s="105">
        <v>0</v>
      </c>
    </row>
    <row r="112" spans="1:50" x14ac:dyDescent="0.2">
      <c r="B112" s="110" t="s">
        <v>49</v>
      </c>
      <c r="C112" s="105">
        <v>0</v>
      </c>
      <c r="D112" s="105">
        <v>0</v>
      </c>
      <c r="E112" s="105">
        <v>0</v>
      </c>
      <c r="F112" s="105">
        <v>0</v>
      </c>
      <c r="G112" s="105">
        <v>0</v>
      </c>
      <c r="H112" s="105">
        <v>0</v>
      </c>
      <c r="I112" s="105">
        <v>0</v>
      </c>
      <c r="J112" s="105">
        <v>0</v>
      </c>
      <c r="K112" s="105">
        <v>0</v>
      </c>
      <c r="L112" s="105">
        <v>0</v>
      </c>
      <c r="M112" s="105">
        <v>0</v>
      </c>
      <c r="N112" s="105">
        <v>0</v>
      </c>
      <c r="O112" s="105">
        <v>0</v>
      </c>
      <c r="P112" s="105">
        <v>0</v>
      </c>
      <c r="Q112" s="105">
        <v>0</v>
      </c>
      <c r="R112" s="105">
        <v>0</v>
      </c>
      <c r="S112" s="105">
        <v>0</v>
      </c>
      <c r="T112" s="105">
        <v>0</v>
      </c>
      <c r="U112" s="105">
        <v>0</v>
      </c>
      <c r="V112" s="105">
        <v>0</v>
      </c>
      <c r="W112" s="105">
        <v>0</v>
      </c>
      <c r="X112" s="105">
        <v>0</v>
      </c>
      <c r="Y112" s="105">
        <v>0</v>
      </c>
      <c r="Z112" s="105">
        <v>0</v>
      </c>
      <c r="AA112" s="105">
        <v>0</v>
      </c>
      <c r="AB112" s="105">
        <v>0</v>
      </c>
      <c r="AC112" s="105">
        <v>0</v>
      </c>
      <c r="AD112" s="105">
        <v>0</v>
      </c>
      <c r="AE112" s="105">
        <v>0</v>
      </c>
      <c r="AF112" s="105">
        <v>0</v>
      </c>
      <c r="AG112" s="105">
        <v>0</v>
      </c>
      <c r="AH112" s="105">
        <v>0</v>
      </c>
      <c r="AI112" s="105">
        <v>0</v>
      </c>
      <c r="AJ112" s="105">
        <v>0</v>
      </c>
      <c r="AK112" s="105">
        <v>0</v>
      </c>
      <c r="AL112" s="105">
        <v>0</v>
      </c>
      <c r="AM112" s="105">
        <v>0</v>
      </c>
      <c r="AN112" s="105">
        <v>0</v>
      </c>
      <c r="AO112" s="105">
        <v>0</v>
      </c>
      <c r="AP112" s="105">
        <v>0</v>
      </c>
      <c r="AQ112" s="105">
        <v>0</v>
      </c>
      <c r="AR112" s="105">
        <v>0</v>
      </c>
      <c r="AS112" s="105">
        <v>0</v>
      </c>
      <c r="AT112" s="105">
        <v>0</v>
      </c>
      <c r="AU112" s="105">
        <v>0</v>
      </c>
      <c r="AV112" s="105">
        <v>0</v>
      </c>
      <c r="AW112" s="105">
        <v>0</v>
      </c>
      <c r="AX112" s="105">
        <v>0</v>
      </c>
    </row>
    <row r="113" spans="1:50" x14ac:dyDescent="0.2">
      <c r="B113" s="110" t="s">
        <v>57</v>
      </c>
      <c r="C113" s="105">
        <v>0</v>
      </c>
      <c r="D113" s="105">
        <v>0</v>
      </c>
      <c r="E113" s="105">
        <v>0</v>
      </c>
      <c r="F113" s="105">
        <v>0</v>
      </c>
      <c r="G113" s="105">
        <v>8567.9211435783691</v>
      </c>
      <c r="H113" s="105">
        <v>8567.9211435783691</v>
      </c>
      <c r="I113" s="105">
        <v>8567.9211435783691</v>
      </c>
      <c r="J113" s="105">
        <v>8567.9211435783691</v>
      </c>
      <c r="K113" s="105">
        <v>8567.9211435783691</v>
      </c>
      <c r="L113" s="105">
        <v>8567.9211435783691</v>
      </c>
      <c r="M113" s="105">
        <v>8567.9211435783691</v>
      </c>
      <c r="N113" s="105">
        <v>8567.9211435783691</v>
      </c>
      <c r="O113" s="105">
        <v>8567.9211435783691</v>
      </c>
      <c r="P113" s="105">
        <v>8567.9211435783691</v>
      </c>
      <c r="Q113" s="105">
        <v>8567.9211435783691</v>
      </c>
      <c r="R113" s="105">
        <v>8567.9211435783691</v>
      </c>
      <c r="S113" s="105">
        <v>8567.9211435783691</v>
      </c>
      <c r="T113" s="105">
        <v>8567.9211435783691</v>
      </c>
      <c r="U113" s="105">
        <v>8567.9211435783691</v>
      </c>
      <c r="V113" s="105">
        <v>8567.9211435783691</v>
      </c>
      <c r="W113" s="105">
        <v>8567.9211435783691</v>
      </c>
      <c r="X113" s="105">
        <v>8567.9211435783691</v>
      </c>
      <c r="Y113" s="105">
        <v>8567.9211435783691</v>
      </c>
      <c r="Z113" s="105">
        <v>8567.9211435783691</v>
      </c>
      <c r="AA113" s="105">
        <v>8567.9211435783691</v>
      </c>
      <c r="AB113" s="105">
        <v>8567.9211435783691</v>
      </c>
      <c r="AC113" s="105">
        <v>8567.9211435783691</v>
      </c>
      <c r="AD113" s="105">
        <v>8567.9211435783691</v>
      </c>
      <c r="AE113" s="105">
        <v>8567.9211435783691</v>
      </c>
      <c r="AF113" s="105">
        <v>8567.9211435783691</v>
      </c>
      <c r="AG113" s="105">
        <v>8567.9211435783691</v>
      </c>
      <c r="AH113" s="105">
        <v>8567.9211435783691</v>
      </c>
      <c r="AI113" s="105">
        <v>8567.9211435783691</v>
      </c>
      <c r="AJ113" s="105">
        <v>8567.9211435783691</v>
      </c>
      <c r="AK113" s="105">
        <v>8567.9211435783691</v>
      </c>
      <c r="AL113" s="105">
        <v>8567.9211435783691</v>
      </c>
      <c r="AM113" s="105">
        <v>8567.9211435783691</v>
      </c>
      <c r="AN113" s="105">
        <v>8567.9211435783691</v>
      </c>
      <c r="AO113" s="105">
        <v>8567.9211435783691</v>
      </c>
      <c r="AP113" s="105">
        <v>8567.9211435783691</v>
      </c>
      <c r="AQ113" s="105">
        <v>8567.9211435783691</v>
      </c>
      <c r="AR113" s="105">
        <v>8567.9211435783691</v>
      </c>
      <c r="AS113" s="105">
        <v>8567.9211435783691</v>
      </c>
      <c r="AT113" s="105">
        <v>8567.9211435783691</v>
      </c>
      <c r="AU113" s="105">
        <v>8567.9211435783691</v>
      </c>
      <c r="AV113" s="105">
        <v>8567.9211435783691</v>
      </c>
      <c r="AW113" s="105">
        <v>8567.9211435783691</v>
      </c>
      <c r="AX113" s="105">
        <v>8567.9211435783691</v>
      </c>
    </row>
    <row r="114" spans="1:50" x14ac:dyDescent="0.2">
      <c r="B114" s="110" t="s">
        <v>70</v>
      </c>
      <c r="C114" s="105">
        <v>0</v>
      </c>
      <c r="D114" s="105">
        <v>0</v>
      </c>
      <c r="E114" s="105">
        <v>0</v>
      </c>
      <c r="F114" s="105">
        <v>0</v>
      </c>
      <c r="G114" s="105">
        <v>0</v>
      </c>
      <c r="H114" s="105">
        <v>0</v>
      </c>
      <c r="I114" s="105">
        <v>0</v>
      </c>
      <c r="J114" s="105">
        <v>0</v>
      </c>
      <c r="K114" s="105">
        <v>0</v>
      </c>
      <c r="L114" s="105">
        <v>0</v>
      </c>
      <c r="M114" s="105">
        <v>0</v>
      </c>
      <c r="N114" s="105">
        <v>0</v>
      </c>
      <c r="O114" s="105">
        <v>0</v>
      </c>
      <c r="P114" s="105">
        <v>0</v>
      </c>
      <c r="Q114" s="105">
        <v>0</v>
      </c>
      <c r="R114" s="105">
        <v>0</v>
      </c>
      <c r="S114" s="105">
        <v>0</v>
      </c>
      <c r="T114" s="105">
        <v>0</v>
      </c>
      <c r="U114" s="105">
        <v>0</v>
      </c>
      <c r="V114" s="105">
        <v>0</v>
      </c>
      <c r="W114" s="105">
        <v>0</v>
      </c>
      <c r="X114" s="105">
        <v>0</v>
      </c>
      <c r="Y114" s="105">
        <v>0</v>
      </c>
      <c r="Z114" s="105">
        <v>0</v>
      </c>
      <c r="AA114" s="105">
        <v>0</v>
      </c>
      <c r="AB114" s="105">
        <v>0</v>
      </c>
      <c r="AC114" s="105">
        <v>0</v>
      </c>
      <c r="AD114" s="105">
        <v>0</v>
      </c>
      <c r="AE114" s="105">
        <v>0</v>
      </c>
      <c r="AF114" s="105">
        <v>0</v>
      </c>
      <c r="AG114" s="105">
        <v>0</v>
      </c>
      <c r="AH114" s="105">
        <v>0</v>
      </c>
      <c r="AI114" s="105">
        <v>0</v>
      </c>
      <c r="AJ114" s="105">
        <v>0</v>
      </c>
      <c r="AK114" s="105">
        <v>0</v>
      </c>
      <c r="AL114" s="105">
        <v>0</v>
      </c>
      <c r="AM114" s="105">
        <v>0</v>
      </c>
      <c r="AN114" s="105">
        <v>0</v>
      </c>
      <c r="AO114" s="105">
        <v>0</v>
      </c>
      <c r="AP114" s="105">
        <v>0</v>
      </c>
      <c r="AQ114" s="105">
        <v>0</v>
      </c>
      <c r="AR114" s="105">
        <v>0</v>
      </c>
      <c r="AS114" s="105">
        <v>0</v>
      </c>
      <c r="AT114" s="105">
        <v>0</v>
      </c>
      <c r="AU114" s="105">
        <v>0</v>
      </c>
      <c r="AV114" s="105">
        <v>0</v>
      </c>
      <c r="AW114" s="105">
        <v>0</v>
      </c>
      <c r="AX114" s="105">
        <v>0</v>
      </c>
    </row>
    <row r="115" spans="1:50" x14ac:dyDescent="0.2">
      <c r="B115" s="105" t="s">
        <v>278</v>
      </c>
      <c r="C115" s="110">
        <f>SUM(C$107:C$114)</f>
        <v>0</v>
      </c>
      <c r="D115" s="110">
        <f t="shared" ref="D115:AX115" si="6">SUM(D$107:D$114)</f>
        <v>0</v>
      </c>
      <c r="E115" s="110">
        <f t="shared" si="6"/>
        <v>0</v>
      </c>
      <c r="F115" s="110">
        <f t="shared" si="6"/>
        <v>0</v>
      </c>
      <c r="G115" s="110">
        <f t="shared" si="6"/>
        <v>20945.446591955602</v>
      </c>
      <c r="H115" s="110">
        <f t="shared" si="6"/>
        <v>20945.446591955602</v>
      </c>
      <c r="I115" s="110">
        <f t="shared" si="6"/>
        <v>20945.446591955602</v>
      </c>
      <c r="J115" s="110">
        <f t="shared" si="6"/>
        <v>20945.446591955602</v>
      </c>
      <c r="K115" s="110">
        <f t="shared" si="6"/>
        <v>20945.446591955602</v>
      </c>
      <c r="L115" s="110">
        <f t="shared" si="6"/>
        <v>20945.446591955602</v>
      </c>
      <c r="M115" s="110">
        <f t="shared" si="6"/>
        <v>20945.446591955602</v>
      </c>
      <c r="N115" s="110">
        <f t="shared" si="6"/>
        <v>20945.446591955602</v>
      </c>
      <c r="O115" s="110">
        <f t="shared" si="6"/>
        <v>20945.446591955602</v>
      </c>
      <c r="P115" s="110">
        <f t="shared" si="6"/>
        <v>20945.446591955602</v>
      </c>
      <c r="Q115" s="110">
        <f t="shared" si="6"/>
        <v>20945.446591955602</v>
      </c>
      <c r="R115" s="110">
        <f t="shared" si="6"/>
        <v>20945.446591955602</v>
      </c>
      <c r="S115" s="110">
        <f t="shared" si="6"/>
        <v>20945.446591955602</v>
      </c>
      <c r="T115" s="110">
        <f t="shared" si="6"/>
        <v>20945.446591955602</v>
      </c>
      <c r="U115" s="110">
        <f t="shared" si="6"/>
        <v>20945.446591955602</v>
      </c>
      <c r="V115" s="110">
        <f t="shared" si="6"/>
        <v>20945.446591955602</v>
      </c>
      <c r="W115" s="110">
        <f t="shared" si="6"/>
        <v>20945.446591955602</v>
      </c>
      <c r="X115" s="110">
        <f t="shared" si="6"/>
        <v>20945.446591955602</v>
      </c>
      <c r="Y115" s="110">
        <f t="shared" si="6"/>
        <v>20945.446591955602</v>
      </c>
      <c r="Z115" s="110">
        <f t="shared" si="6"/>
        <v>20945.446591955602</v>
      </c>
      <c r="AA115" s="110">
        <f t="shared" si="6"/>
        <v>20945.446591955602</v>
      </c>
      <c r="AB115" s="110">
        <f t="shared" si="6"/>
        <v>20945.446591955602</v>
      </c>
      <c r="AC115" s="110">
        <f t="shared" si="6"/>
        <v>20945.446591955602</v>
      </c>
      <c r="AD115" s="110">
        <f t="shared" si="6"/>
        <v>20945.446591955602</v>
      </c>
      <c r="AE115" s="110">
        <f t="shared" si="6"/>
        <v>20945.446591955602</v>
      </c>
      <c r="AF115" s="110">
        <f t="shared" si="6"/>
        <v>20945.446591955602</v>
      </c>
      <c r="AG115" s="110">
        <f t="shared" si="6"/>
        <v>20945.446591955602</v>
      </c>
      <c r="AH115" s="110">
        <f t="shared" si="6"/>
        <v>20945.446591955602</v>
      </c>
      <c r="AI115" s="110">
        <f t="shared" si="6"/>
        <v>20945.446591955602</v>
      </c>
      <c r="AJ115" s="110">
        <f t="shared" si="6"/>
        <v>20945.446591955602</v>
      </c>
      <c r="AK115" s="110">
        <f t="shared" si="6"/>
        <v>20945.446591955602</v>
      </c>
      <c r="AL115" s="110">
        <f t="shared" si="6"/>
        <v>20945.446591955602</v>
      </c>
      <c r="AM115" s="110">
        <f t="shared" si="6"/>
        <v>20945.446591955602</v>
      </c>
      <c r="AN115" s="110">
        <f t="shared" si="6"/>
        <v>20945.446591955602</v>
      </c>
      <c r="AO115" s="110">
        <f t="shared" si="6"/>
        <v>20945.446591955602</v>
      </c>
      <c r="AP115" s="110">
        <f t="shared" si="6"/>
        <v>20945.446591955602</v>
      </c>
      <c r="AQ115" s="110">
        <f t="shared" si="6"/>
        <v>20945.446591955602</v>
      </c>
      <c r="AR115" s="110">
        <f t="shared" si="6"/>
        <v>20945.446591955602</v>
      </c>
      <c r="AS115" s="110">
        <f t="shared" si="6"/>
        <v>20945.446591955602</v>
      </c>
      <c r="AT115" s="110">
        <f t="shared" si="6"/>
        <v>20945.446591955602</v>
      </c>
      <c r="AU115" s="110">
        <f t="shared" si="6"/>
        <v>20945.446591955602</v>
      </c>
      <c r="AV115" s="110">
        <f t="shared" si="6"/>
        <v>20945.446591955602</v>
      </c>
      <c r="AW115" s="110">
        <f t="shared" si="6"/>
        <v>20945.446591955602</v>
      </c>
      <c r="AX115" s="110">
        <f t="shared" si="6"/>
        <v>20945.446591955602</v>
      </c>
    </row>
    <row r="116" spans="1:50" x14ac:dyDescent="0.2">
      <c r="A116" s="110" t="s">
        <v>106</v>
      </c>
      <c r="B116" s="110" t="s">
        <v>7</v>
      </c>
      <c r="C116" s="105">
        <v>0</v>
      </c>
      <c r="D116" s="105">
        <v>0</v>
      </c>
      <c r="E116" s="105">
        <v>0</v>
      </c>
      <c r="F116" s="105">
        <v>0</v>
      </c>
      <c r="G116" s="105">
        <v>14207.770101155696</v>
      </c>
      <c r="H116" s="105">
        <v>14207.770101155696</v>
      </c>
      <c r="I116" s="105">
        <v>14207.770101155696</v>
      </c>
      <c r="J116" s="105">
        <v>14207.770101155696</v>
      </c>
      <c r="K116" s="105">
        <v>11366.21608092456</v>
      </c>
      <c r="L116" s="105">
        <v>11366.21608092456</v>
      </c>
      <c r="M116" s="105">
        <v>11366.21608092456</v>
      </c>
      <c r="N116" s="105">
        <v>11366.21608092456</v>
      </c>
      <c r="O116" s="105">
        <v>11366.21608092456</v>
      </c>
      <c r="P116" s="105">
        <v>11366.21608092456</v>
      </c>
      <c r="Q116" s="105">
        <v>11366.21608092456</v>
      </c>
      <c r="R116" s="105">
        <v>11366.21608092456</v>
      </c>
      <c r="S116" s="105">
        <v>11366.21608092456</v>
      </c>
      <c r="T116" s="105">
        <v>11366.21608092456</v>
      </c>
      <c r="U116" s="105">
        <v>11366.21608092456</v>
      </c>
      <c r="V116" s="105">
        <v>11366.21608092456</v>
      </c>
      <c r="W116" s="105">
        <v>11366.21608092456</v>
      </c>
      <c r="X116" s="105">
        <v>11366.21608092456</v>
      </c>
      <c r="Y116" s="105">
        <v>11366.21608092456</v>
      </c>
      <c r="Z116" s="105">
        <v>11366.21608092456</v>
      </c>
      <c r="AA116" s="105">
        <v>11366.21608092456</v>
      </c>
      <c r="AB116" s="105">
        <v>11366.21608092456</v>
      </c>
      <c r="AC116" s="105">
        <v>11366.21608092456</v>
      </c>
      <c r="AD116" s="105">
        <v>11366.21608092456</v>
      </c>
      <c r="AE116" s="105">
        <v>11366.21608092456</v>
      </c>
      <c r="AF116" s="105">
        <v>11366.21608092456</v>
      </c>
      <c r="AG116" s="105">
        <v>11366.21608092456</v>
      </c>
      <c r="AH116" s="105">
        <v>11366.21608092456</v>
      </c>
      <c r="AI116" s="105">
        <v>11366.21608092456</v>
      </c>
      <c r="AJ116" s="105">
        <v>11366.21608092456</v>
      </c>
      <c r="AK116" s="105">
        <v>11366.21608092456</v>
      </c>
      <c r="AL116" s="105">
        <v>11366.21608092456</v>
      </c>
      <c r="AM116" s="105">
        <v>11366.21608092456</v>
      </c>
      <c r="AN116" s="105">
        <v>11366.21608092456</v>
      </c>
      <c r="AO116" s="105">
        <v>11366.21608092456</v>
      </c>
      <c r="AP116" s="105">
        <v>11366.21608092456</v>
      </c>
      <c r="AQ116" s="105">
        <v>11366.21608092456</v>
      </c>
      <c r="AR116" s="105">
        <v>11366.21608092456</v>
      </c>
      <c r="AS116" s="105">
        <v>11366.21608092456</v>
      </c>
      <c r="AT116" s="105">
        <v>11366.21608092456</v>
      </c>
      <c r="AU116" s="105">
        <v>11366.21608092456</v>
      </c>
      <c r="AV116" s="105">
        <v>11366.21608092456</v>
      </c>
      <c r="AW116" s="105">
        <v>11366.21608092456</v>
      </c>
      <c r="AX116" s="105">
        <v>11366.21608092456</v>
      </c>
    </row>
    <row r="117" spans="1:50" x14ac:dyDescent="0.2">
      <c r="B117" s="110" t="s">
        <v>8</v>
      </c>
      <c r="C117" s="105">
        <v>0</v>
      </c>
      <c r="D117" s="105">
        <v>0</v>
      </c>
      <c r="E117" s="105">
        <v>0</v>
      </c>
      <c r="F117" s="105">
        <v>0</v>
      </c>
      <c r="G117" s="105">
        <v>0</v>
      </c>
      <c r="H117" s="105">
        <v>0</v>
      </c>
      <c r="I117" s="105">
        <v>0</v>
      </c>
      <c r="J117" s="105">
        <v>0</v>
      </c>
      <c r="K117" s="105">
        <v>0</v>
      </c>
      <c r="L117" s="105">
        <v>0</v>
      </c>
      <c r="M117" s="105">
        <v>0</v>
      </c>
      <c r="N117" s="105">
        <v>0</v>
      </c>
      <c r="O117" s="105">
        <v>0</v>
      </c>
      <c r="P117" s="105">
        <v>0</v>
      </c>
      <c r="Q117" s="105">
        <v>0</v>
      </c>
      <c r="R117" s="105">
        <v>0</v>
      </c>
      <c r="S117" s="105">
        <v>0</v>
      </c>
      <c r="T117" s="105">
        <v>0</v>
      </c>
      <c r="U117" s="105">
        <v>0</v>
      </c>
      <c r="V117" s="105">
        <v>0</v>
      </c>
      <c r="W117" s="105">
        <v>0</v>
      </c>
      <c r="X117" s="105">
        <v>0</v>
      </c>
      <c r="Y117" s="105">
        <v>0</v>
      </c>
      <c r="Z117" s="105">
        <v>0</v>
      </c>
      <c r="AA117" s="105">
        <v>0</v>
      </c>
      <c r="AB117" s="105">
        <v>0</v>
      </c>
      <c r="AC117" s="105">
        <v>0</v>
      </c>
      <c r="AD117" s="105">
        <v>0</v>
      </c>
      <c r="AE117" s="105">
        <v>0</v>
      </c>
      <c r="AF117" s="105">
        <v>0</v>
      </c>
      <c r="AG117" s="105">
        <v>0</v>
      </c>
      <c r="AH117" s="105">
        <v>0</v>
      </c>
      <c r="AI117" s="105">
        <v>0</v>
      </c>
      <c r="AJ117" s="105">
        <v>0</v>
      </c>
      <c r="AK117" s="105">
        <v>0</v>
      </c>
      <c r="AL117" s="105">
        <v>0</v>
      </c>
      <c r="AM117" s="105">
        <v>0</v>
      </c>
      <c r="AN117" s="105">
        <v>0</v>
      </c>
      <c r="AO117" s="105">
        <v>0</v>
      </c>
      <c r="AP117" s="105">
        <v>0</v>
      </c>
      <c r="AQ117" s="105">
        <v>0</v>
      </c>
      <c r="AR117" s="105">
        <v>0</v>
      </c>
      <c r="AS117" s="105">
        <v>0</v>
      </c>
      <c r="AT117" s="105">
        <v>0</v>
      </c>
      <c r="AU117" s="105">
        <v>0</v>
      </c>
      <c r="AV117" s="105">
        <v>0</v>
      </c>
      <c r="AW117" s="105">
        <v>0</v>
      </c>
      <c r="AX117" s="105">
        <v>0</v>
      </c>
    </row>
    <row r="118" spans="1:50" x14ac:dyDescent="0.2">
      <c r="B118" s="110" t="s">
        <v>10</v>
      </c>
      <c r="C118" s="105">
        <v>0</v>
      </c>
      <c r="D118" s="105">
        <v>0</v>
      </c>
      <c r="E118" s="105">
        <v>0</v>
      </c>
      <c r="F118" s="105">
        <v>0</v>
      </c>
      <c r="G118" s="105">
        <v>0</v>
      </c>
      <c r="H118" s="105">
        <v>0</v>
      </c>
      <c r="I118" s="105">
        <v>0</v>
      </c>
      <c r="J118" s="105">
        <v>0</v>
      </c>
      <c r="K118" s="105">
        <v>0</v>
      </c>
      <c r="L118" s="105">
        <v>0</v>
      </c>
      <c r="M118" s="105">
        <v>0</v>
      </c>
      <c r="N118" s="105">
        <v>0</v>
      </c>
      <c r="O118" s="105">
        <v>0</v>
      </c>
      <c r="P118" s="105">
        <v>0</v>
      </c>
      <c r="Q118" s="105">
        <v>0</v>
      </c>
      <c r="R118" s="105">
        <v>0</v>
      </c>
      <c r="S118" s="105">
        <v>0</v>
      </c>
      <c r="T118" s="105">
        <v>0</v>
      </c>
      <c r="U118" s="105">
        <v>0</v>
      </c>
      <c r="V118" s="105">
        <v>0</v>
      </c>
      <c r="W118" s="105">
        <v>0</v>
      </c>
      <c r="X118" s="105">
        <v>0</v>
      </c>
      <c r="Y118" s="105">
        <v>0</v>
      </c>
      <c r="Z118" s="105">
        <v>0</v>
      </c>
      <c r="AA118" s="105">
        <v>0</v>
      </c>
      <c r="AB118" s="105">
        <v>0</v>
      </c>
      <c r="AC118" s="105">
        <v>0</v>
      </c>
      <c r="AD118" s="105">
        <v>0</v>
      </c>
      <c r="AE118" s="105">
        <v>0</v>
      </c>
      <c r="AF118" s="105">
        <v>0</v>
      </c>
      <c r="AG118" s="105">
        <v>0</v>
      </c>
      <c r="AH118" s="105">
        <v>0</v>
      </c>
      <c r="AI118" s="105">
        <v>0</v>
      </c>
      <c r="AJ118" s="105">
        <v>0</v>
      </c>
      <c r="AK118" s="105">
        <v>0</v>
      </c>
      <c r="AL118" s="105">
        <v>0</v>
      </c>
      <c r="AM118" s="105">
        <v>0</v>
      </c>
      <c r="AN118" s="105">
        <v>0</v>
      </c>
      <c r="AO118" s="105">
        <v>0</v>
      </c>
      <c r="AP118" s="105">
        <v>0</v>
      </c>
      <c r="AQ118" s="105">
        <v>0</v>
      </c>
      <c r="AR118" s="105">
        <v>0</v>
      </c>
      <c r="AS118" s="105">
        <v>0</v>
      </c>
      <c r="AT118" s="105">
        <v>0</v>
      </c>
      <c r="AU118" s="105">
        <v>0</v>
      </c>
      <c r="AV118" s="105">
        <v>0</v>
      </c>
      <c r="AW118" s="105">
        <v>0</v>
      </c>
      <c r="AX118" s="105">
        <v>0</v>
      </c>
    </row>
    <row r="119" spans="1:50" x14ac:dyDescent="0.2">
      <c r="B119" s="110" t="s">
        <v>14</v>
      </c>
      <c r="C119" s="105">
        <v>0</v>
      </c>
      <c r="D119" s="105">
        <v>0</v>
      </c>
      <c r="E119" s="105">
        <v>0</v>
      </c>
      <c r="F119" s="105">
        <v>0</v>
      </c>
      <c r="G119" s="105">
        <v>0</v>
      </c>
      <c r="H119" s="105">
        <v>0</v>
      </c>
      <c r="I119" s="105">
        <v>0</v>
      </c>
      <c r="J119" s="105">
        <v>0</v>
      </c>
      <c r="K119" s="105">
        <v>0</v>
      </c>
      <c r="L119" s="105">
        <v>0</v>
      </c>
      <c r="M119" s="105">
        <v>0</v>
      </c>
      <c r="N119" s="105">
        <v>0</v>
      </c>
      <c r="O119" s="105">
        <v>0</v>
      </c>
      <c r="P119" s="105">
        <v>0</v>
      </c>
      <c r="Q119" s="105">
        <v>0</v>
      </c>
      <c r="R119" s="105">
        <v>0</v>
      </c>
      <c r="S119" s="105">
        <v>0</v>
      </c>
      <c r="T119" s="105">
        <v>0</v>
      </c>
      <c r="U119" s="105">
        <v>0</v>
      </c>
      <c r="V119" s="105">
        <v>0</v>
      </c>
      <c r="W119" s="105">
        <v>0</v>
      </c>
      <c r="X119" s="105">
        <v>0</v>
      </c>
      <c r="Y119" s="105">
        <v>0</v>
      </c>
      <c r="Z119" s="105">
        <v>0</v>
      </c>
      <c r="AA119" s="105">
        <v>0</v>
      </c>
      <c r="AB119" s="105">
        <v>0</v>
      </c>
      <c r="AC119" s="105">
        <v>0</v>
      </c>
      <c r="AD119" s="105">
        <v>0</v>
      </c>
      <c r="AE119" s="105">
        <v>0</v>
      </c>
      <c r="AF119" s="105">
        <v>0</v>
      </c>
      <c r="AG119" s="105">
        <v>0</v>
      </c>
      <c r="AH119" s="105">
        <v>0</v>
      </c>
      <c r="AI119" s="105">
        <v>0</v>
      </c>
      <c r="AJ119" s="105">
        <v>0</v>
      </c>
      <c r="AK119" s="105">
        <v>0</v>
      </c>
      <c r="AL119" s="105">
        <v>0</v>
      </c>
      <c r="AM119" s="105">
        <v>0</v>
      </c>
      <c r="AN119" s="105">
        <v>0</v>
      </c>
      <c r="AO119" s="105">
        <v>0</v>
      </c>
      <c r="AP119" s="105">
        <v>0</v>
      </c>
      <c r="AQ119" s="105">
        <v>0</v>
      </c>
      <c r="AR119" s="105">
        <v>0</v>
      </c>
      <c r="AS119" s="105">
        <v>0</v>
      </c>
      <c r="AT119" s="105">
        <v>0</v>
      </c>
      <c r="AU119" s="105">
        <v>0</v>
      </c>
      <c r="AV119" s="105">
        <v>0</v>
      </c>
      <c r="AW119" s="105">
        <v>0</v>
      </c>
      <c r="AX119" s="105">
        <v>0</v>
      </c>
    </row>
    <row r="120" spans="1:50" x14ac:dyDescent="0.2">
      <c r="B120" s="110" t="s">
        <v>34</v>
      </c>
      <c r="C120" s="105">
        <v>0</v>
      </c>
      <c r="D120" s="105">
        <v>0</v>
      </c>
      <c r="E120" s="105">
        <v>0</v>
      </c>
      <c r="F120" s="105">
        <v>0</v>
      </c>
      <c r="G120" s="105">
        <v>11281.085223812559</v>
      </c>
      <c r="H120" s="105">
        <v>11281.085223812559</v>
      </c>
      <c r="I120" s="105">
        <v>11281.085223812559</v>
      </c>
      <c r="J120" s="105">
        <v>11281.085223812559</v>
      </c>
      <c r="K120" s="105">
        <v>9024.8681790500468</v>
      </c>
      <c r="L120" s="105">
        <v>9024.8681790500468</v>
      </c>
      <c r="M120" s="105">
        <v>9024.8681790500468</v>
      </c>
      <c r="N120" s="105">
        <v>9024.8681790500468</v>
      </c>
      <c r="O120" s="105">
        <v>9024.8681790500468</v>
      </c>
      <c r="P120" s="105">
        <v>9024.8681790500468</v>
      </c>
      <c r="Q120" s="105">
        <v>9024.8681790500468</v>
      </c>
      <c r="R120" s="105">
        <v>9024.8681790500468</v>
      </c>
      <c r="S120" s="105">
        <v>9024.8681790500468</v>
      </c>
      <c r="T120" s="105">
        <v>9024.8681790500468</v>
      </c>
      <c r="U120" s="105">
        <v>9024.8681790500468</v>
      </c>
      <c r="V120" s="105">
        <v>9024.8681790500468</v>
      </c>
      <c r="W120" s="105">
        <v>9024.8681790500468</v>
      </c>
      <c r="X120" s="105">
        <v>9024.8681790500468</v>
      </c>
      <c r="Y120" s="105">
        <v>9024.8681790500468</v>
      </c>
      <c r="Z120" s="105">
        <v>9024.8681790500468</v>
      </c>
      <c r="AA120" s="105">
        <v>9024.8681790500468</v>
      </c>
      <c r="AB120" s="105">
        <v>9024.8681790500468</v>
      </c>
      <c r="AC120" s="105">
        <v>9024.8681790500468</v>
      </c>
      <c r="AD120" s="105">
        <v>9024.8681790500468</v>
      </c>
      <c r="AE120" s="105">
        <v>9024.8681790500468</v>
      </c>
      <c r="AF120" s="105">
        <v>9024.8681790500468</v>
      </c>
      <c r="AG120" s="105">
        <v>9024.8681790500468</v>
      </c>
      <c r="AH120" s="105">
        <v>9024.8681790500468</v>
      </c>
      <c r="AI120" s="105">
        <v>9024.8681790500468</v>
      </c>
      <c r="AJ120" s="105">
        <v>9024.8681790500468</v>
      </c>
      <c r="AK120" s="105">
        <v>9024.8681790500468</v>
      </c>
      <c r="AL120" s="105">
        <v>9024.8681790500468</v>
      </c>
      <c r="AM120" s="105">
        <v>9024.8681790500468</v>
      </c>
      <c r="AN120" s="105">
        <v>9024.8681790500468</v>
      </c>
      <c r="AO120" s="105">
        <v>9024.8681790500468</v>
      </c>
      <c r="AP120" s="105">
        <v>9024.8681790500468</v>
      </c>
      <c r="AQ120" s="105">
        <v>9024.8681790500468</v>
      </c>
      <c r="AR120" s="105">
        <v>9024.8681790500468</v>
      </c>
      <c r="AS120" s="105">
        <v>9024.8681790500468</v>
      </c>
      <c r="AT120" s="105">
        <v>9024.8681790500468</v>
      </c>
      <c r="AU120" s="105">
        <v>9024.8681790500468</v>
      </c>
      <c r="AV120" s="105">
        <v>9024.8681790500468</v>
      </c>
      <c r="AW120" s="105">
        <v>9024.8681790500468</v>
      </c>
      <c r="AX120" s="105">
        <v>9024.8681790500468</v>
      </c>
    </row>
    <row r="121" spans="1:50" x14ac:dyDescent="0.2">
      <c r="B121" s="110" t="s">
        <v>49</v>
      </c>
      <c r="C121" s="105">
        <v>0</v>
      </c>
      <c r="D121" s="105">
        <v>0</v>
      </c>
      <c r="E121" s="105">
        <v>0</v>
      </c>
      <c r="F121" s="105">
        <v>0</v>
      </c>
      <c r="G121" s="105">
        <v>0</v>
      </c>
      <c r="H121" s="105">
        <v>0</v>
      </c>
      <c r="I121" s="105">
        <v>0</v>
      </c>
      <c r="J121" s="105">
        <v>0</v>
      </c>
      <c r="K121" s="105">
        <v>0</v>
      </c>
      <c r="L121" s="105">
        <v>0</v>
      </c>
      <c r="M121" s="105">
        <v>0</v>
      </c>
      <c r="N121" s="105">
        <v>0</v>
      </c>
      <c r="O121" s="105">
        <v>0</v>
      </c>
      <c r="P121" s="105">
        <v>0</v>
      </c>
      <c r="Q121" s="105">
        <v>0</v>
      </c>
      <c r="R121" s="105">
        <v>0</v>
      </c>
      <c r="S121" s="105">
        <v>0</v>
      </c>
      <c r="T121" s="105">
        <v>0</v>
      </c>
      <c r="U121" s="105">
        <v>0</v>
      </c>
      <c r="V121" s="105">
        <v>0</v>
      </c>
      <c r="W121" s="105">
        <v>0</v>
      </c>
      <c r="X121" s="105">
        <v>0</v>
      </c>
      <c r="Y121" s="105">
        <v>0</v>
      </c>
      <c r="Z121" s="105">
        <v>0</v>
      </c>
      <c r="AA121" s="105">
        <v>0</v>
      </c>
      <c r="AB121" s="105">
        <v>0</v>
      </c>
      <c r="AC121" s="105">
        <v>0</v>
      </c>
      <c r="AD121" s="105">
        <v>0</v>
      </c>
      <c r="AE121" s="105">
        <v>0</v>
      </c>
      <c r="AF121" s="105">
        <v>0</v>
      </c>
      <c r="AG121" s="105">
        <v>0</v>
      </c>
      <c r="AH121" s="105">
        <v>0</v>
      </c>
      <c r="AI121" s="105">
        <v>0</v>
      </c>
      <c r="AJ121" s="105">
        <v>0</v>
      </c>
      <c r="AK121" s="105">
        <v>0</v>
      </c>
      <c r="AL121" s="105">
        <v>0</v>
      </c>
      <c r="AM121" s="105">
        <v>0</v>
      </c>
      <c r="AN121" s="105">
        <v>0</v>
      </c>
      <c r="AO121" s="105">
        <v>0</v>
      </c>
      <c r="AP121" s="105">
        <v>0</v>
      </c>
      <c r="AQ121" s="105">
        <v>0</v>
      </c>
      <c r="AR121" s="105">
        <v>0</v>
      </c>
      <c r="AS121" s="105">
        <v>0</v>
      </c>
      <c r="AT121" s="105">
        <v>0</v>
      </c>
      <c r="AU121" s="105">
        <v>0</v>
      </c>
      <c r="AV121" s="105">
        <v>0</v>
      </c>
      <c r="AW121" s="105">
        <v>0</v>
      </c>
      <c r="AX121" s="105">
        <v>0</v>
      </c>
    </row>
    <row r="122" spans="1:50" x14ac:dyDescent="0.2">
      <c r="B122" s="110" t="s">
        <v>57</v>
      </c>
      <c r="C122" s="105">
        <v>0</v>
      </c>
      <c r="D122" s="105">
        <v>0</v>
      </c>
      <c r="E122" s="105">
        <v>0</v>
      </c>
      <c r="F122" s="105">
        <v>0</v>
      </c>
      <c r="G122" s="105">
        <v>0</v>
      </c>
      <c r="H122" s="105">
        <v>0</v>
      </c>
      <c r="I122" s="105">
        <v>0</v>
      </c>
      <c r="J122" s="105">
        <v>0</v>
      </c>
      <c r="K122" s="105">
        <v>0</v>
      </c>
      <c r="L122" s="105">
        <v>0</v>
      </c>
      <c r="M122" s="105">
        <v>0</v>
      </c>
      <c r="N122" s="105">
        <v>0</v>
      </c>
      <c r="O122" s="105">
        <v>0</v>
      </c>
      <c r="P122" s="105">
        <v>0</v>
      </c>
      <c r="Q122" s="105">
        <v>0</v>
      </c>
      <c r="R122" s="105">
        <v>0</v>
      </c>
      <c r="S122" s="105">
        <v>0</v>
      </c>
      <c r="T122" s="105">
        <v>0</v>
      </c>
      <c r="U122" s="105">
        <v>0</v>
      </c>
      <c r="V122" s="105">
        <v>0</v>
      </c>
      <c r="W122" s="105">
        <v>0</v>
      </c>
      <c r="X122" s="105">
        <v>0</v>
      </c>
      <c r="Y122" s="105">
        <v>0</v>
      </c>
      <c r="Z122" s="105">
        <v>0</v>
      </c>
      <c r="AA122" s="105">
        <v>0</v>
      </c>
      <c r="AB122" s="105">
        <v>0</v>
      </c>
      <c r="AC122" s="105">
        <v>0</v>
      </c>
      <c r="AD122" s="105">
        <v>0</v>
      </c>
      <c r="AE122" s="105">
        <v>0</v>
      </c>
      <c r="AF122" s="105">
        <v>0</v>
      </c>
      <c r="AG122" s="105">
        <v>0</v>
      </c>
      <c r="AH122" s="105">
        <v>0</v>
      </c>
      <c r="AI122" s="105">
        <v>0</v>
      </c>
      <c r="AJ122" s="105">
        <v>0</v>
      </c>
      <c r="AK122" s="105">
        <v>0</v>
      </c>
      <c r="AL122" s="105">
        <v>0</v>
      </c>
      <c r="AM122" s="105">
        <v>0</v>
      </c>
      <c r="AN122" s="105">
        <v>0</v>
      </c>
      <c r="AO122" s="105">
        <v>0</v>
      </c>
      <c r="AP122" s="105">
        <v>0</v>
      </c>
      <c r="AQ122" s="105">
        <v>0</v>
      </c>
      <c r="AR122" s="105">
        <v>0</v>
      </c>
      <c r="AS122" s="105">
        <v>0</v>
      </c>
      <c r="AT122" s="105">
        <v>0</v>
      </c>
      <c r="AU122" s="105">
        <v>0</v>
      </c>
      <c r="AV122" s="105">
        <v>0</v>
      </c>
      <c r="AW122" s="105">
        <v>0</v>
      </c>
      <c r="AX122" s="105">
        <v>0</v>
      </c>
    </row>
    <row r="123" spans="1:50" x14ac:dyDescent="0.2">
      <c r="B123" s="110" t="s">
        <v>70</v>
      </c>
      <c r="C123" s="105">
        <v>0</v>
      </c>
      <c r="D123" s="105">
        <v>0</v>
      </c>
      <c r="E123" s="105">
        <v>0</v>
      </c>
      <c r="F123" s="105">
        <v>0</v>
      </c>
      <c r="G123" s="105">
        <v>0</v>
      </c>
      <c r="H123" s="105">
        <v>0</v>
      </c>
      <c r="I123" s="105">
        <v>0</v>
      </c>
      <c r="J123" s="105">
        <v>0</v>
      </c>
      <c r="K123" s="105">
        <v>0</v>
      </c>
      <c r="L123" s="105">
        <v>0</v>
      </c>
      <c r="M123" s="105">
        <v>0</v>
      </c>
      <c r="N123" s="105">
        <v>0</v>
      </c>
      <c r="O123" s="105">
        <v>0</v>
      </c>
      <c r="P123" s="105">
        <v>0</v>
      </c>
      <c r="Q123" s="105">
        <v>0</v>
      </c>
      <c r="R123" s="105">
        <v>0</v>
      </c>
      <c r="S123" s="105">
        <v>0</v>
      </c>
      <c r="T123" s="105">
        <v>0</v>
      </c>
      <c r="U123" s="105">
        <v>0</v>
      </c>
      <c r="V123" s="105">
        <v>0</v>
      </c>
      <c r="W123" s="105">
        <v>0</v>
      </c>
      <c r="X123" s="105">
        <v>0</v>
      </c>
      <c r="Y123" s="105">
        <v>0</v>
      </c>
      <c r="Z123" s="105">
        <v>0</v>
      </c>
      <c r="AA123" s="105">
        <v>0</v>
      </c>
      <c r="AB123" s="105">
        <v>0</v>
      </c>
      <c r="AC123" s="105">
        <v>0</v>
      </c>
      <c r="AD123" s="105">
        <v>0</v>
      </c>
      <c r="AE123" s="105">
        <v>0</v>
      </c>
      <c r="AF123" s="105">
        <v>0</v>
      </c>
      <c r="AG123" s="105">
        <v>0</v>
      </c>
      <c r="AH123" s="105">
        <v>0</v>
      </c>
      <c r="AI123" s="105">
        <v>0</v>
      </c>
      <c r="AJ123" s="105">
        <v>0</v>
      </c>
      <c r="AK123" s="105">
        <v>0</v>
      </c>
      <c r="AL123" s="105">
        <v>0</v>
      </c>
      <c r="AM123" s="105">
        <v>0</v>
      </c>
      <c r="AN123" s="105">
        <v>0</v>
      </c>
      <c r="AO123" s="105">
        <v>0</v>
      </c>
      <c r="AP123" s="105">
        <v>0</v>
      </c>
      <c r="AQ123" s="105">
        <v>0</v>
      </c>
      <c r="AR123" s="105">
        <v>0</v>
      </c>
      <c r="AS123" s="105">
        <v>0</v>
      </c>
      <c r="AT123" s="105">
        <v>0</v>
      </c>
      <c r="AU123" s="105">
        <v>0</v>
      </c>
      <c r="AV123" s="105">
        <v>0</v>
      </c>
      <c r="AW123" s="105">
        <v>0</v>
      </c>
      <c r="AX123" s="105">
        <v>0</v>
      </c>
    </row>
    <row r="124" spans="1:50" x14ac:dyDescent="0.2">
      <c r="B124" s="105" t="s">
        <v>278</v>
      </c>
      <c r="C124" s="110">
        <f>SUM(C$116:C$123)</f>
        <v>0</v>
      </c>
      <c r="D124" s="110">
        <f t="shared" ref="D124:AX124" si="7">SUM(D$116:D$123)</f>
        <v>0</v>
      </c>
      <c r="E124" s="110">
        <f t="shared" si="7"/>
        <v>0</v>
      </c>
      <c r="F124" s="110">
        <f t="shared" si="7"/>
        <v>0</v>
      </c>
      <c r="G124" s="110">
        <f t="shared" si="7"/>
        <v>25488.855324968255</v>
      </c>
      <c r="H124" s="110">
        <f t="shared" si="7"/>
        <v>25488.855324968255</v>
      </c>
      <c r="I124" s="110">
        <f t="shared" si="7"/>
        <v>25488.855324968255</v>
      </c>
      <c r="J124" s="110">
        <f t="shared" si="7"/>
        <v>25488.855324968255</v>
      </c>
      <c r="K124" s="110">
        <f t="shared" si="7"/>
        <v>20391.084259974607</v>
      </c>
      <c r="L124" s="110">
        <f t="shared" si="7"/>
        <v>20391.084259974607</v>
      </c>
      <c r="M124" s="110">
        <f t="shared" si="7"/>
        <v>20391.084259974607</v>
      </c>
      <c r="N124" s="110">
        <f t="shared" si="7"/>
        <v>20391.084259974607</v>
      </c>
      <c r="O124" s="110">
        <f t="shared" si="7"/>
        <v>20391.084259974607</v>
      </c>
      <c r="P124" s="110">
        <f t="shared" si="7"/>
        <v>20391.084259974607</v>
      </c>
      <c r="Q124" s="110">
        <f t="shared" si="7"/>
        <v>20391.084259974607</v>
      </c>
      <c r="R124" s="110">
        <f t="shared" si="7"/>
        <v>20391.084259974607</v>
      </c>
      <c r="S124" s="110">
        <f t="shared" si="7"/>
        <v>20391.084259974607</v>
      </c>
      <c r="T124" s="110">
        <f t="shared" si="7"/>
        <v>20391.084259974607</v>
      </c>
      <c r="U124" s="110">
        <f t="shared" si="7"/>
        <v>20391.084259974607</v>
      </c>
      <c r="V124" s="110">
        <f t="shared" si="7"/>
        <v>20391.084259974607</v>
      </c>
      <c r="W124" s="110">
        <f t="shared" si="7"/>
        <v>20391.084259974607</v>
      </c>
      <c r="X124" s="110">
        <f t="shared" si="7"/>
        <v>20391.084259974607</v>
      </c>
      <c r="Y124" s="110">
        <f t="shared" si="7"/>
        <v>20391.084259974607</v>
      </c>
      <c r="Z124" s="110">
        <f t="shared" si="7"/>
        <v>20391.084259974607</v>
      </c>
      <c r="AA124" s="110">
        <f t="shared" si="7"/>
        <v>20391.084259974607</v>
      </c>
      <c r="AB124" s="110">
        <f t="shared" si="7"/>
        <v>20391.084259974607</v>
      </c>
      <c r="AC124" s="110">
        <f t="shared" si="7"/>
        <v>20391.084259974607</v>
      </c>
      <c r="AD124" s="110">
        <f t="shared" si="7"/>
        <v>20391.084259974607</v>
      </c>
      <c r="AE124" s="110">
        <f t="shared" si="7"/>
        <v>20391.084259974607</v>
      </c>
      <c r="AF124" s="110">
        <f t="shared" si="7"/>
        <v>20391.084259974607</v>
      </c>
      <c r="AG124" s="110">
        <f t="shared" si="7"/>
        <v>20391.084259974607</v>
      </c>
      <c r="AH124" s="110">
        <f t="shared" si="7"/>
        <v>20391.084259974607</v>
      </c>
      <c r="AI124" s="110">
        <f t="shared" si="7"/>
        <v>20391.084259974607</v>
      </c>
      <c r="AJ124" s="110">
        <f t="shared" si="7"/>
        <v>20391.084259974607</v>
      </c>
      <c r="AK124" s="110">
        <f t="shared" si="7"/>
        <v>20391.084259974607</v>
      </c>
      <c r="AL124" s="110">
        <f t="shared" si="7"/>
        <v>20391.084259974607</v>
      </c>
      <c r="AM124" s="110">
        <f t="shared" si="7"/>
        <v>20391.084259974607</v>
      </c>
      <c r="AN124" s="110">
        <f t="shared" si="7"/>
        <v>20391.084259974607</v>
      </c>
      <c r="AO124" s="110">
        <f t="shared" si="7"/>
        <v>20391.084259974607</v>
      </c>
      <c r="AP124" s="110">
        <f t="shared" si="7"/>
        <v>20391.084259974607</v>
      </c>
      <c r="AQ124" s="110">
        <f t="shared" si="7"/>
        <v>20391.084259974607</v>
      </c>
      <c r="AR124" s="110">
        <f t="shared" si="7"/>
        <v>20391.084259974607</v>
      </c>
      <c r="AS124" s="110">
        <f t="shared" si="7"/>
        <v>20391.084259974607</v>
      </c>
      <c r="AT124" s="110">
        <f t="shared" si="7"/>
        <v>20391.084259974607</v>
      </c>
      <c r="AU124" s="110">
        <f t="shared" si="7"/>
        <v>20391.084259974607</v>
      </c>
      <c r="AV124" s="110">
        <f t="shared" si="7"/>
        <v>20391.084259974607</v>
      </c>
      <c r="AW124" s="110">
        <f t="shared" si="7"/>
        <v>20391.084259974607</v>
      </c>
      <c r="AX124" s="110">
        <f t="shared" si="7"/>
        <v>20391.084259974607</v>
      </c>
    </row>
    <row r="125" spans="1:50" x14ac:dyDescent="0.2">
      <c r="A125" s="110" t="s">
        <v>107</v>
      </c>
      <c r="B125" s="110" t="s">
        <v>7</v>
      </c>
      <c r="C125" s="105">
        <v>0</v>
      </c>
      <c r="D125" s="105">
        <v>0</v>
      </c>
      <c r="E125" s="105">
        <v>0</v>
      </c>
      <c r="F125" s="105">
        <v>0</v>
      </c>
      <c r="G125" s="105">
        <v>0</v>
      </c>
      <c r="H125" s="105">
        <v>0</v>
      </c>
      <c r="I125" s="105">
        <v>0</v>
      </c>
      <c r="J125" s="105">
        <v>0</v>
      </c>
      <c r="K125" s="105">
        <v>0</v>
      </c>
      <c r="L125" s="105">
        <v>0</v>
      </c>
      <c r="M125" s="105">
        <v>0</v>
      </c>
      <c r="N125" s="105">
        <v>0</v>
      </c>
      <c r="O125" s="105">
        <v>0</v>
      </c>
      <c r="P125" s="105">
        <v>0</v>
      </c>
      <c r="Q125" s="105">
        <v>0</v>
      </c>
      <c r="R125" s="105">
        <v>0</v>
      </c>
      <c r="S125" s="105">
        <v>0</v>
      </c>
      <c r="T125" s="105">
        <v>0</v>
      </c>
      <c r="U125" s="105">
        <v>0</v>
      </c>
      <c r="V125" s="105">
        <v>0</v>
      </c>
      <c r="W125" s="105">
        <v>0</v>
      </c>
      <c r="X125" s="105">
        <v>0</v>
      </c>
      <c r="Y125" s="105">
        <v>0</v>
      </c>
      <c r="Z125" s="105">
        <v>0</v>
      </c>
      <c r="AA125" s="105">
        <v>0</v>
      </c>
      <c r="AB125" s="105">
        <v>0</v>
      </c>
      <c r="AC125" s="105">
        <v>0</v>
      </c>
      <c r="AD125" s="105">
        <v>0</v>
      </c>
      <c r="AE125" s="105">
        <v>0</v>
      </c>
      <c r="AF125" s="105">
        <v>0</v>
      </c>
      <c r="AG125" s="105">
        <v>0</v>
      </c>
      <c r="AH125" s="105">
        <v>0</v>
      </c>
      <c r="AI125" s="105">
        <v>0</v>
      </c>
      <c r="AJ125" s="105">
        <v>0</v>
      </c>
      <c r="AK125" s="105">
        <v>0</v>
      </c>
      <c r="AL125" s="105">
        <v>0</v>
      </c>
      <c r="AM125" s="105">
        <v>0</v>
      </c>
      <c r="AN125" s="105">
        <v>0</v>
      </c>
      <c r="AO125" s="105">
        <v>0</v>
      </c>
      <c r="AP125" s="105">
        <v>0</v>
      </c>
      <c r="AQ125" s="105">
        <v>0</v>
      </c>
      <c r="AR125" s="105">
        <v>0</v>
      </c>
      <c r="AS125" s="105">
        <v>0</v>
      </c>
      <c r="AT125" s="105">
        <v>0</v>
      </c>
      <c r="AU125" s="105">
        <v>0</v>
      </c>
      <c r="AV125" s="105">
        <v>0</v>
      </c>
      <c r="AW125" s="105">
        <v>0</v>
      </c>
      <c r="AX125" s="105">
        <v>0</v>
      </c>
    </row>
    <row r="126" spans="1:50" x14ac:dyDescent="0.2">
      <c r="B126" s="110" t="s">
        <v>8</v>
      </c>
      <c r="C126" s="105">
        <v>0</v>
      </c>
      <c r="D126" s="105">
        <v>0</v>
      </c>
      <c r="E126" s="105">
        <v>0</v>
      </c>
      <c r="F126" s="105">
        <v>0</v>
      </c>
      <c r="G126" s="105">
        <v>0</v>
      </c>
      <c r="H126" s="105">
        <v>0</v>
      </c>
      <c r="I126" s="105">
        <v>0</v>
      </c>
      <c r="J126" s="105">
        <v>0</v>
      </c>
      <c r="K126" s="105">
        <v>0</v>
      </c>
      <c r="L126" s="105">
        <v>0</v>
      </c>
      <c r="M126" s="105">
        <v>0</v>
      </c>
      <c r="N126" s="105">
        <v>0</v>
      </c>
      <c r="O126" s="105">
        <v>0</v>
      </c>
      <c r="P126" s="105">
        <v>0</v>
      </c>
      <c r="Q126" s="105">
        <v>0</v>
      </c>
      <c r="R126" s="105">
        <v>0</v>
      </c>
      <c r="S126" s="105">
        <v>0</v>
      </c>
      <c r="T126" s="105">
        <v>0</v>
      </c>
      <c r="U126" s="105">
        <v>0</v>
      </c>
      <c r="V126" s="105">
        <v>0</v>
      </c>
      <c r="W126" s="105">
        <v>0</v>
      </c>
      <c r="X126" s="105">
        <v>0</v>
      </c>
      <c r="Y126" s="105">
        <v>0</v>
      </c>
      <c r="Z126" s="105">
        <v>0</v>
      </c>
      <c r="AA126" s="105">
        <v>0</v>
      </c>
      <c r="AB126" s="105">
        <v>0</v>
      </c>
      <c r="AC126" s="105">
        <v>0</v>
      </c>
      <c r="AD126" s="105">
        <v>0</v>
      </c>
      <c r="AE126" s="105">
        <v>0</v>
      </c>
      <c r="AF126" s="105">
        <v>0</v>
      </c>
      <c r="AG126" s="105">
        <v>0</v>
      </c>
      <c r="AH126" s="105">
        <v>0</v>
      </c>
      <c r="AI126" s="105">
        <v>0</v>
      </c>
      <c r="AJ126" s="105">
        <v>0</v>
      </c>
      <c r="AK126" s="105">
        <v>0</v>
      </c>
      <c r="AL126" s="105">
        <v>0</v>
      </c>
      <c r="AM126" s="105">
        <v>0</v>
      </c>
      <c r="AN126" s="105">
        <v>0</v>
      </c>
      <c r="AO126" s="105">
        <v>0</v>
      </c>
      <c r="AP126" s="105">
        <v>0</v>
      </c>
      <c r="AQ126" s="105">
        <v>0</v>
      </c>
      <c r="AR126" s="105">
        <v>0</v>
      </c>
      <c r="AS126" s="105">
        <v>0</v>
      </c>
      <c r="AT126" s="105">
        <v>0</v>
      </c>
      <c r="AU126" s="105">
        <v>0</v>
      </c>
      <c r="AV126" s="105">
        <v>0</v>
      </c>
      <c r="AW126" s="105">
        <v>0</v>
      </c>
      <c r="AX126" s="105">
        <v>0</v>
      </c>
    </row>
    <row r="127" spans="1:50" x14ac:dyDescent="0.2">
      <c r="B127" s="110" t="s">
        <v>10</v>
      </c>
      <c r="C127" s="105">
        <v>0</v>
      </c>
      <c r="D127" s="105">
        <v>0</v>
      </c>
      <c r="E127" s="105">
        <v>0</v>
      </c>
      <c r="F127" s="105">
        <v>0</v>
      </c>
      <c r="G127" s="105">
        <v>0</v>
      </c>
      <c r="H127" s="105">
        <v>0</v>
      </c>
      <c r="I127" s="105">
        <v>0</v>
      </c>
      <c r="J127" s="105">
        <v>0</v>
      </c>
      <c r="K127" s="105">
        <v>0</v>
      </c>
      <c r="L127" s="105">
        <v>0</v>
      </c>
      <c r="M127" s="105">
        <v>0</v>
      </c>
      <c r="N127" s="105">
        <v>0</v>
      </c>
      <c r="O127" s="105">
        <v>0</v>
      </c>
      <c r="P127" s="105">
        <v>0</v>
      </c>
      <c r="Q127" s="105">
        <v>0</v>
      </c>
      <c r="R127" s="105">
        <v>0</v>
      </c>
      <c r="S127" s="105">
        <v>0</v>
      </c>
      <c r="T127" s="105">
        <v>0</v>
      </c>
      <c r="U127" s="105">
        <v>0</v>
      </c>
      <c r="V127" s="105">
        <v>0</v>
      </c>
      <c r="W127" s="105">
        <v>0</v>
      </c>
      <c r="X127" s="105">
        <v>0</v>
      </c>
      <c r="Y127" s="105">
        <v>0</v>
      </c>
      <c r="Z127" s="105">
        <v>0</v>
      </c>
      <c r="AA127" s="105">
        <v>0</v>
      </c>
      <c r="AB127" s="105">
        <v>0</v>
      </c>
      <c r="AC127" s="105">
        <v>0</v>
      </c>
      <c r="AD127" s="105">
        <v>0</v>
      </c>
      <c r="AE127" s="105">
        <v>0</v>
      </c>
      <c r="AF127" s="105">
        <v>0</v>
      </c>
      <c r="AG127" s="105">
        <v>0</v>
      </c>
      <c r="AH127" s="105">
        <v>0</v>
      </c>
      <c r="AI127" s="105">
        <v>0</v>
      </c>
      <c r="AJ127" s="105">
        <v>0</v>
      </c>
      <c r="AK127" s="105">
        <v>0</v>
      </c>
      <c r="AL127" s="105">
        <v>0</v>
      </c>
      <c r="AM127" s="105">
        <v>0</v>
      </c>
      <c r="AN127" s="105">
        <v>0</v>
      </c>
      <c r="AO127" s="105">
        <v>0</v>
      </c>
      <c r="AP127" s="105">
        <v>0</v>
      </c>
      <c r="AQ127" s="105">
        <v>0</v>
      </c>
      <c r="AR127" s="105">
        <v>0</v>
      </c>
      <c r="AS127" s="105">
        <v>0</v>
      </c>
      <c r="AT127" s="105">
        <v>0</v>
      </c>
      <c r="AU127" s="105">
        <v>0</v>
      </c>
      <c r="AV127" s="105">
        <v>0</v>
      </c>
      <c r="AW127" s="105">
        <v>0</v>
      </c>
      <c r="AX127" s="105">
        <v>0</v>
      </c>
    </row>
    <row r="128" spans="1:50" x14ac:dyDescent="0.2">
      <c r="B128" s="110" t="s">
        <v>14</v>
      </c>
      <c r="C128" s="105">
        <v>0</v>
      </c>
      <c r="D128" s="105">
        <v>0</v>
      </c>
      <c r="E128" s="105">
        <v>0</v>
      </c>
      <c r="F128" s="105">
        <v>0</v>
      </c>
      <c r="G128" s="105">
        <v>0</v>
      </c>
      <c r="H128" s="105">
        <v>0</v>
      </c>
      <c r="I128" s="105">
        <v>0</v>
      </c>
      <c r="J128" s="105">
        <v>0</v>
      </c>
      <c r="K128" s="105">
        <v>0</v>
      </c>
      <c r="L128" s="105">
        <v>0</v>
      </c>
      <c r="M128" s="105">
        <v>0</v>
      </c>
      <c r="N128" s="105">
        <v>0</v>
      </c>
      <c r="O128" s="105">
        <v>0</v>
      </c>
      <c r="P128" s="105">
        <v>0</v>
      </c>
      <c r="Q128" s="105">
        <v>0</v>
      </c>
      <c r="R128" s="105">
        <v>0</v>
      </c>
      <c r="S128" s="105">
        <v>0</v>
      </c>
      <c r="T128" s="105">
        <v>0</v>
      </c>
      <c r="U128" s="105">
        <v>0</v>
      </c>
      <c r="V128" s="105">
        <v>0</v>
      </c>
      <c r="W128" s="105">
        <v>0</v>
      </c>
      <c r="X128" s="105">
        <v>0</v>
      </c>
      <c r="Y128" s="105">
        <v>0</v>
      </c>
      <c r="Z128" s="105">
        <v>0</v>
      </c>
      <c r="AA128" s="105">
        <v>0</v>
      </c>
      <c r="AB128" s="105">
        <v>0</v>
      </c>
      <c r="AC128" s="105">
        <v>0</v>
      </c>
      <c r="AD128" s="105">
        <v>0</v>
      </c>
      <c r="AE128" s="105">
        <v>0</v>
      </c>
      <c r="AF128" s="105">
        <v>0</v>
      </c>
      <c r="AG128" s="105">
        <v>0</v>
      </c>
      <c r="AH128" s="105">
        <v>0</v>
      </c>
      <c r="AI128" s="105">
        <v>0</v>
      </c>
      <c r="AJ128" s="105">
        <v>0</v>
      </c>
      <c r="AK128" s="105">
        <v>0</v>
      </c>
      <c r="AL128" s="105">
        <v>0</v>
      </c>
      <c r="AM128" s="105">
        <v>0</v>
      </c>
      <c r="AN128" s="105">
        <v>0</v>
      </c>
      <c r="AO128" s="105">
        <v>0</v>
      </c>
      <c r="AP128" s="105">
        <v>0</v>
      </c>
      <c r="AQ128" s="105">
        <v>0</v>
      </c>
      <c r="AR128" s="105">
        <v>0</v>
      </c>
      <c r="AS128" s="105">
        <v>0</v>
      </c>
      <c r="AT128" s="105">
        <v>0</v>
      </c>
      <c r="AU128" s="105">
        <v>0</v>
      </c>
      <c r="AV128" s="105">
        <v>0</v>
      </c>
      <c r="AW128" s="105">
        <v>0</v>
      </c>
      <c r="AX128" s="105">
        <v>0</v>
      </c>
    </row>
    <row r="129" spans="1:50" x14ac:dyDescent="0.2">
      <c r="B129" s="110" t="s">
        <v>34</v>
      </c>
      <c r="C129" s="105">
        <v>0</v>
      </c>
      <c r="D129" s="105">
        <v>0</v>
      </c>
      <c r="E129" s="105">
        <v>0</v>
      </c>
      <c r="F129" s="105">
        <v>0</v>
      </c>
      <c r="G129" s="105">
        <v>0</v>
      </c>
      <c r="H129" s="105">
        <v>0</v>
      </c>
      <c r="I129" s="105">
        <v>0</v>
      </c>
      <c r="J129" s="105">
        <v>0</v>
      </c>
      <c r="K129" s="105">
        <v>0</v>
      </c>
      <c r="L129" s="105">
        <v>0</v>
      </c>
      <c r="M129" s="105">
        <v>0</v>
      </c>
      <c r="N129" s="105">
        <v>0</v>
      </c>
      <c r="O129" s="105">
        <v>0</v>
      </c>
      <c r="P129" s="105">
        <v>0</v>
      </c>
      <c r="Q129" s="105">
        <v>0</v>
      </c>
      <c r="R129" s="105">
        <v>0</v>
      </c>
      <c r="S129" s="105">
        <v>0</v>
      </c>
      <c r="T129" s="105">
        <v>0</v>
      </c>
      <c r="U129" s="105">
        <v>0</v>
      </c>
      <c r="V129" s="105">
        <v>0</v>
      </c>
      <c r="W129" s="105">
        <v>0</v>
      </c>
      <c r="X129" s="105">
        <v>0</v>
      </c>
      <c r="Y129" s="105">
        <v>0</v>
      </c>
      <c r="Z129" s="105">
        <v>0</v>
      </c>
      <c r="AA129" s="105">
        <v>0</v>
      </c>
      <c r="AB129" s="105">
        <v>0</v>
      </c>
      <c r="AC129" s="105">
        <v>0</v>
      </c>
      <c r="AD129" s="105">
        <v>0</v>
      </c>
      <c r="AE129" s="105">
        <v>0</v>
      </c>
      <c r="AF129" s="105">
        <v>0</v>
      </c>
      <c r="AG129" s="105">
        <v>0</v>
      </c>
      <c r="AH129" s="105">
        <v>0</v>
      </c>
      <c r="AI129" s="105">
        <v>0</v>
      </c>
      <c r="AJ129" s="105">
        <v>0</v>
      </c>
      <c r="AK129" s="105">
        <v>0</v>
      </c>
      <c r="AL129" s="105">
        <v>0</v>
      </c>
      <c r="AM129" s="105">
        <v>0</v>
      </c>
      <c r="AN129" s="105">
        <v>0</v>
      </c>
      <c r="AO129" s="105">
        <v>0</v>
      </c>
      <c r="AP129" s="105">
        <v>0</v>
      </c>
      <c r="AQ129" s="105">
        <v>0</v>
      </c>
      <c r="AR129" s="105">
        <v>0</v>
      </c>
      <c r="AS129" s="105">
        <v>0</v>
      </c>
      <c r="AT129" s="105">
        <v>0</v>
      </c>
      <c r="AU129" s="105">
        <v>0</v>
      </c>
      <c r="AV129" s="105">
        <v>0</v>
      </c>
      <c r="AW129" s="105">
        <v>0</v>
      </c>
      <c r="AX129" s="105">
        <v>0</v>
      </c>
    </row>
    <row r="130" spans="1:50" x14ac:dyDescent="0.2">
      <c r="B130" s="110" t="s">
        <v>49</v>
      </c>
      <c r="C130" s="105">
        <v>0</v>
      </c>
      <c r="D130" s="105">
        <v>0</v>
      </c>
      <c r="E130" s="105">
        <v>0</v>
      </c>
      <c r="F130" s="105">
        <v>0</v>
      </c>
      <c r="G130" s="105">
        <v>0</v>
      </c>
      <c r="H130" s="105">
        <v>0</v>
      </c>
      <c r="I130" s="105">
        <v>0</v>
      </c>
      <c r="J130" s="105">
        <v>0</v>
      </c>
      <c r="K130" s="105">
        <v>0</v>
      </c>
      <c r="L130" s="105">
        <v>0</v>
      </c>
      <c r="M130" s="105">
        <v>0</v>
      </c>
      <c r="N130" s="105">
        <v>0</v>
      </c>
      <c r="O130" s="105">
        <v>0</v>
      </c>
      <c r="P130" s="105">
        <v>0</v>
      </c>
      <c r="Q130" s="105">
        <v>0</v>
      </c>
      <c r="R130" s="105">
        <v>0</v>
      </c>
      <c r="S130" s="105">
        <v>0</v>
      </c>
      <c r="T130" s="105">
        <v>0</v>
      </c>
      <c r="U130" s="105">
        <v>0</v>
      </c>
      <c r="V130" s="105">
        <v>0</v>
      </c>
      <c r="W130" s="105">
        <v>0</v>
      </c>
      <c r="X130" s="105">
        <v>0</v>
      </c>
      <c r="Y130" s="105">
        <v>0</v>
      </c>
      <c r="Z130" s="105">
        <v>0</v>
      </c>
      <c r="AA130" s="105">
        <v>0</v>
      </c>
      <c r="AB130" s="105">
        <v>0</v>
      </c>
      <c r="AC130" s="105">
        <v>0</v>
      </c>
      <c r="AD130" s="105">
        <v>0</v>
      </c>
      <c r="AE130" s="105">
        <v>0</v>
      </c>
      <c r="AF130" s="105">
        <v>0</v>
      </c>
      <c r="AG130" s="105">
        <v>0</v>
      </c>
      <c r="AH130" s="105">
        <v>0</v>
      </c>
      <c r="AI130" s="105">
        <v>0</v>
      </c>
      <c r="AJ130" s="105">
        <v>0</v>
      </c>
      <c r="AK130" s="105">
        <v>0</v>
      </c>
      <c r="AL130" s="105">
        <v>0</v>
      </c>
      <c r="AM130" s="105">
        <v>0</v>
      </c>
      <c r="AN130" s="105">
        <v>0</v>
      </c>
      <c r="AO130" s="105">
        <v>0</v>
      </c>
      <c r="AP130" s="105">
        <v>0</v>
      </c>
      <c r="AQ130" s="105">
        <v>0</v>
      </c>
      <c r="AR130" s="105">
        <v>0</v>
      </c>
      <c r="AS130" s="105">
        <v>0</v>
      </c>
      <c r="AT130" s="105">
        <v>0</v>
      </c>
      <c r="AU130" s="105">
        <v>0</v>
      </c>
      <c r="AV130" s="105">
        <v>0</v>
      </c>
      <c r="AW130" s="105">
        <v>0</v>
      </c>
      <c r="AX130" s="105">
        <v>0</v>
      </c>
    </row>
    <row r="131" spans="1:50" x14ac:dyDescent="0.2">
      <c r="B131" s="110" t="s">
        <v>57</v>
      </c>
      <c r="C131" s="105">
        <v>0</v>
      </c>
      <c r="D131" s="105">
        <v>0</v>
      </c>
      <c r="E131" s="105">
        <v>0</v>
      </c>
      <c r="F131" s="105">
        <v>0</v>
      </c>
      <c r="G131" s="105">
        <v>0</v>
      </c>
      <c r="H131" s="105">
        <v>0</v>
      </c>
      <c r="I131" s="105">
        <v>0</v>
      </c>
      <c r="J131" s="105">
        <v>0</v>
      </c>
      <c r="K131" s="105">
        <v>0</v>
      </c>
      <c r="L131" s="105">
        <v>0</v>
      </c>
      <c r="M131" s="105">
        <v>0</v>
      </c>
      <c r="N131" s="105">
        <v>0</v>
      </c>
      <c r="O131" s="105">
        <v>0</v>
      </c>
      <c r="P131" s="105">
        <v>0</v>
      </c>
      <c r="Q131" s="105">
        <v>0</v>
      </c>
      <c r="R131" s="105">
        <v>0</v>
      </c>
      <c r="S131" s="105">
        <v>0</v>
      </c>
      <c r="T131" s="105">
        <v>0</v>
      </c>
      <c r="U131" s="105">
        <v>0</v>
      </c>
      <c r="V131" s="105">
        <v>0</v>
      </c>
      <c r="W131" s="105">
        <v>0</v>
      </c>
      <c r="X131" s="105">
        <v>0</v>
      </c>
      <c r="Y131" s="105">
        <v>0</v>
      </c>
      <c r="Z131" s="105">
        <v>0</v>
      </c>
      <c r="AA131" s="105">
        <v>0</v>
      </c>
      <c r="AB131" s="105">
        <v>0</v>
      </c>
      <c r="AC131" s="105">
        <v>0</v>
      </c>
      <c r="AD131" s="105">
        <v>0</v>
      </c>
      <c r="AE131" s="105">
        <v>0</v>
      </c>
      <c r="AF131" s="105">
        <v>0</v>
      </c>
      <c r="AG131" s="105">
        <v>0</v>
      </c>
      <c r="AH131" s="105">
        <v>0</v>
      </c>
      <c r="AI131" s="105">
        <v>0</v>
      </c>
      <c r="AJ131" s="105">
        <v>0</v>
      </c>
      <c r="AK131" s="105">
        <v>0</v>
      </c>
      <c r="AL131" s="105">
        <v>0</v>
      </c>
      <c r="AM131" s="105">
        <v>0</v>
      </c>
      <c r="AN131" s="105">
        <v>0</v>
      </c>
      <c r="AO131" s="105">
        <v>0</v>
      </c>
      <c r="AP131" s="105">
        <v>0</v>
      </c>
      <c r="AQ131" s="105">
        <v>0</v>
      </c>
      <c r="AR131" s="105">
        <v>0</v>
      </c>
      <c r="AS131" s="105">
        <v>0</v>
      </c>
      <c r="AT131" s="105">
        <v>0</v>
      </c>
      <c r="AU131" s="105">
        <v>0</v>
      </c>
      <c r="AV131" s="105">
        <v>0</v>
      </c>
      <c r="AW131" s="105">
        <v>0</v>
      </c>
      <c r="AX131" s="105">
        <v>0</v>
      </c>
    </row>
    <row r="132" spans="1:50" x14ac:dyDescent="0.2">
      <c r="B132" s="110" t="s">
        <v>70</v>
      </c>
      <c r="C132" s="105">
        <v>0</v>
      </c>
      <c r="D132" s="105">
        <v>0</v>
      </c>
      <c r="E132" s="105">
        <v>0</v>
      </c>
      <c r="F132" s="105">
        <v>0</v>
      </c>
      <c r="G132" s="105">
        <v>0</v>
      </c>
      <c r="H132" s="105">
        <v>0</v>
      </c>
      <c r="I132" s="105">
        <v>0</v>
      </c>
      <c r="J132" s="105">
        <v>0</v>
      </c>
      <c r="K132" s="105">
        <v>0</v>
      </c>
      <c r="L132" s="105">
        <v>0</v>
      </c>
      <c r="M132" s="105">
        <v>0</v>
      </c>
      <c r="N132" s="105">
        <v>0</v>
      </c>
      <c r="O132" s="105">
        <v>0</v>
      </c>
      <c r="P132" s="105">
        <v>0</v>
      </c>
      <c r="Q132" s="105">
        <v>0</v>
      </c>
      <c r="R132" s="105">
        <v>0</v>
      </c>
      <c r="S132" s="105">
        <v>0</v>
      </c>
      <c r="T132" s="105">
        <v>0</v>
      </c>
      <c r="U132" s="105">
        <v>0</v>
      </c>
      <c r="V132" s="105">
        <v>0</v>
      </c>
      <c r="W132" s="105">
        <v>0</v>
      </c>
      <c r="X132" s="105">
        <v>0</v>
      </c>
      <c r="Y132" s="105">
        <v>0</v>
      </c>
      <c r="Z132" s="105">
        <v>0</v>
      </c>
      <c r="AA132" s="105">
        <v>0</v>
      </c>
      <c r="AB132" s="105">
        <v>0</v>
      </c>
      <c r="AC132" s="105">
        <v>0</v>
      </c>
      <c r="AD132" s="105">
        <v>0</v>
      </c>
      <c r="AE132" s="105">
        <v>0</v>
      </c>
      <c r="AF132" s="105">
        <v>0</v>
      </c>
      <c r="AG132" s="105">
        <v>0</v>
      </c>
      <c r="AH132" s="105">
        <v>0</v>
      </c>
      <c r="AI132" s="105">
        <v>0</v>
      </c>
      <c r="AJ132" s="105">
        <v>0</v>
      </c>
      <c r="AK132" s="105">
        <v>0</v>
      </c>
      <c r="AL132" s="105">
        <v>0</v>
      </c>
      <c r="AM132" s="105">
        <v>0</v>
      </c>
      <c r="AN132" s="105">
        <v>0</v>
      </c>
      <c r="AO132" s="105">
        <v>0</v>
      </c>
      <c r="AP132" s="105">
        <v>0</v>
      </c>
      <c r="AQ132" s="105">
        <v>0</v>
      </c>
      <c r="AR132" s="105">
        <v>0</v>
      </c>
      <c r="AS132" s="105">
        <v>0</v>
      </c>
      <c r="AT132" s="105">
        <v>0</v>
      </c>
      <c r="AU132" s="105">
        <v>0</v>
      </c>
      <c r="AV132" s="105">
        <v>0</v>
      </c>
      <c r="AW132" s="105">
        <v>0</v>
      </c>
      <c r="AX132" s="105">
        <v>0</v>
      </c>
    </row>
    <row r="133" spans="1:50" x14ac:dyDescent="0.2">
      <c r="B133" s="105" t="s">
        <v>278</v>
      </c>
      <c r="C133" s="110">
        <f>SUM(C$125:C$132)</f>
        <v>0</v>
      </c>
      <c r="D133" s="110">
        <f t="shared" ref="D133:AX133" si="8">SUM(D$125:D$132)</f>
        <v>0</v>
      </c>
      <c r="E133" s="110">
        <f t="shared" si="8"/>
        <v>0</v>
      </c>
      <c r="F133" s="110">
        <f t="shared" si="8"/>
        <v>0</v>
      </c>
      <c r="G133" s="110">
        <f t="shared" si="8"/>
        <v>0</v>
      </c>
      <c r="H133" s="110">
        <f t="shared" si="8"/>
        <v>0</v>
      </c>
      <c r="I133" s="110">
        <f t="shared" si="8"/>
        <v>0</v>
      </c>
      <c r="J133" s="110">
        <f t="shared" si="8"/>
        <v>0</v>
      </c>
      <c r="K133" s="110">
        <f t="shared" si="8"/>
        <v>0</v>
      </c>
      <c r="L133" s="110">
        <f t="shared" si="8"/>
        <v>0</v>
      </c>
      <c r="M133" s="110">
        <f t="shared" si="8"/>
        <v>0</v>
      </c>
      <c r="N133" s="110">
        <f t="shared" si="8"/>
        <v>0</v>
      </c>
      <c r="O133" s="110">
        <f t="shared" si="8"/>
        <v>0</v>
      </c>
      <c r="P133" s="110">
        <f t="shared" si="8"/>
        <v>0</v>
      </c>
      <c r="Q133" s="110">
        <f t="shared" si="8"/>
        <v>0</v>
      </c>
      <c r="R133" s="110">
        <f t="shared" si="8"/>
        <v>0</v>
      </c>
      <c r="S133" s="110">
        <f t="shared" si="8"/>
        <v>0</v>
      </c>
      <c r="T133" s="110">
        <f t="shared" si="8"/>
        <v>0</v>
      </c>
      <c r="U133" s="110">
        <f t="shared" si="8"/>
        <v>0</v>
      </c>
      <c r="V133" s="110">
        <f t="shared" si="8"/>
        <v>0</v>
      </c>
      <c r="W133" s="110">
        <f t="shared" si="8"/>
        <v>0</v>
      </c>
      <c r="X133" s="110">
        <f t="shared" si="8"/>
        <v>0</v>
      </c>
      <c r="Y133" s="110">
        <f t="shared" si="8"/>
        <v>0</v>
      </c>
      <c r="Z133" s="110">
        <f t="shared" si="8"/>
        <v>0</v>
      </c>
      <c r="AA133" s="110">
        <f t="shared" si="8"/>
        <v>0</v>
      </c>
      <c r="AB133" s="110">
        <f t="shared" si="8"/>
        <v>0</v>
      </c>
      <c r="AC133" s="110">
        <f t="shared" si="8"/>
        <v>0</v>
      </c>
      <c r="AD133" s="110">
        <f t="shared" si="8"/>
        <v>0</v>
      </c>
      <c r="AE133" s="110">
        <f t="shared" si="8"/>
        <v>0</v>
      </c>
      <c r="AF133" s="110">
        <f t="shared" si="8"/>
        <v>0</v>
      </c>
      <c r="AG133" s="110">
        <f t="shared" si="8"/>
        <v>0</v>
      </c>
      <c r="AH133" s="110">
        <f t="shared" si="8"/>
        <v>0</v>
      </c>
      <c r="AI133" s="110">
        <f t="shared" si="8"/>
        <v>0</v>
      </c>
      <c r="AJ133" s="110">
        <f t="shared" si="8"/>
        <v>0</v>
      </c>
      <c r="AK133" s="110">
        <f t="shared" si="8"/>
        <v>0</v>
      </c>
      <c r="AL133" s="110">
        <f t="shared" si="8"/>
        <v>0</v>
      </c>
      <c r="AM133" s="110">
        <f t="shared" si="8"/>
        <v>0</v>
      </c>
      <c r="AN133" s="110">
        <f t="shared" si="8"/>
        <v>0</v>
      </c>
      <c r="AO133" s="110">
        <f t="shared" si="8"/>
        <v>0</v>
      </c>
      <c r="AP133" s="110">
        <f t="shared" si="8"/>
        <v>0</v>
      </c>
      <c r="AQ133" s="110">
        <f t="shared" si="8"/>
        <v>0</v>
      </c>
      <c r="AR133" s="110">
        <f t="shared" si="8"/>
        <v>0</v>
      </c>
      <c r="AS133" s="110">
        <f t="shared" si="8"/>
        <v>0</v>
      </c>
      <c r="AT133" s="110">
        <f t="shared" si="8"/>
        <v>0</v>
      </c>
      <c r="AU133" s="110">
        <f t="shared" si="8"/>
        <v>0</v>
      </c>
      <c r="AV133" s="110">
        <f t="shared" si="8"/>
        <v>0</v>
      </c>
      <c r="AW133" s="110">
        <f t="shared" si="8"/>
        <v>0</v>
      </c>
      <c r="AX133" s="110">
        <f t="shared" si="8"/>
        <v>0</v>
      </c>
    </row>
    <row r="134" spans="1:50" x14ac:dyDescent="0.2">
      <c r="A134" s="110" t="s">
        <v>108</v>
      </c>
      <c r="B134" s="110" t="s">
        <v>7</v>
      </c>
      <c r="C134" s="105">
        <v>0</v>
      </c>
      <c r="D134" s="105">
        <v>0</v>
      </c>
      <c r="E134" s="105">
        <v>0</v>
      </c>
      <c r="F134" s="105">
        <v>0</v>
      </c>
      <c r="G134" s="105">
        <v>0</v>
      </c>
      <c r="H134" s="105">
        <v>0</v>
      </c>
      <c r="I134" s="105">
        <v>0</v>
      </c>
      <c r="J134" s="105">
        <v>0</v>
      </c>
      <c r="K134" s="105">
        <v>0</v>
      </c>
      <c r="L134" s="105">
        <v>0</v>
      </c>
      <c r="M134" s="105">
        <v>0</v>
      </c>
      <c r="N134" s="105">
        <v>0</v>
      </c>
      <c r="O134" s="105">
        <v>0</v>
      </c>
      <c r="P134" s="105">
        <v>0</v>
      </c>
      <c r="Q134" s="105">
        <v>0</v>
      </c>
      <c r="R134" s="105">
        <v>0</v>
      </c>
      <c r="S134" s="105">
        <v>0</v>
      </c>
      <c r="T134" s="105">
        <v>0</v>
      </c>
      <c r="U134" s="105">
        <v>0</v>
      </c>
      <c r="V134" s="105">
        <v>0</v>
      </c>
      <c r="W134" s="105">
        <v>0</v>
      </c>
      <c r="X134" s="105">
        <v>0</v>
      </c>
      <c r="Y134" s="105">
        <v>0</v>
      </c>
      <c r="Z134" s="105">
        <v>0</v>
      </c>
      <c r="AA134" s="105">
        <v>0</v>
      </c>
      <c r="AB134" s="105">
        <v>0</v>
      </c>
      <c r="AC134" s="105">
        <v>0</v>
      </c>
      <c r="AD134" s="105">
        <v>0</v>
      </c>
      <c r="AE134" s="105">
        <v>0</v>
      </c>
      <c r="AF134" s="105">
        <v>0</v>
      </c>
      <c r="AG134" s="105">
        <v>0</v>
      </c>
      <c r="AH134" s="105">
        <v>0</v>
      </c>
      <c r="AI134" s="105">
        <v>0</v>
      </c>
      <c r="AJ134" s="105">
        <v>0</v>
      </c>
      <c r="AK134" s="105">
        <v>0</v>
      </c>
      <c r="AL134" s="105">
        <v>0</v>
      </c>
      <c r="AM134" s="105">
        <v>0</v>
      </c>
      <c r="AN134" s="105">
        <v>0</v>
      </c>
      <c r="AO134" s="105">
        <v>0</v>
      </c>
      <c r="AP134" s="105">
        <v>0</v>
      </c>
      <c r="AQ134" s="105">
        <v>0</v>
      </c>
      <c r="AR134" s="105">
        <v>0</v>
      </c>
      <c r="AS134" s="105">
        <v>0</v>
      </c>
      <c r="AT134" s="105">
        <v>0</v>
      </c>
      <c r="AU134" s="105">
        <v>0</v>
      </c>
      <c r="AV134" s="105">
        <v>0</v>
      </c>
      <c r="AW134" s="105">
        <v>0</v>
      </c>
      <c r="AX134" s="105">
        <v>0</v>
      </c>
    </row>
    <row r="135" spans="1:50" x14ac:dyDescent="0.2">
      <c r="B135" s="110" t="s">
        <v>8</v>
      </c>
      <c r="C135" s="105">
        <v>0</v>
      </c>
      <c r="D135" s="105">
        <v>0</v>
      </c>
      <c r="E135" s="105">
        <v>0</v>
      </c>
      <c r="F135" s="105">
        <v>0</v>
      </c>
      <c r="G135" s="105">
        <v>0</v>
      </c>
      <c r="H135" s="105">
        <v>0</v>
      </c>
      <c r="I135" s="105">
        <v>0</v>
      </c>
      <c r="J135" s="105">
        <v>0</v>
      </c>
      <c r="K135" s="105">
        <v>0</v>
      </c>
      <c r="L135" s="105">
        <v>0</v>
      </c>
      <c r="M135" s="105">
        <v>0</v>
      </c>
      <c r="N135" s="105">
        <v>0</v>
      </c>
      <c r="O135" s="105">
        <v>0</v>
      </c>
      <c r="P135" s="105">
        <v>0</v>
      </c>
      <c r="Q135" s="105">
        <v>0</v>
      </c>
      <c r="R135" s="105">
        <v>0</v>
      </c>
      <c r="S135" s="105">
        <v>0</v>
      </c>
      <c r="T135" s="105">
        <v>0</v>
      </c>
      <c r="U135" s="105">
        <v>0</v>
      </c>
      <c r="V135" s="105">
        <v>0</v>
      </c>
      <c r="W135" s="105">
        <v>0</v>
      </c>
      <c r="X135" s="105">
        <v>0</v>
      </c>
      <c r="Y135" s="105">
        <v>0</v>
      </c>
      <c r="Z135" s="105">
        <v>0</v>
      </c>
      <c r="AA135" s="105">
        <v>0</v>
      </c>
      <c r="AB135" s="105">
        <v>0</v>
      </c>
      <c r="AC135" s="105">
        <v>0</v>
      </c>
      <c r="AD135" s="105">
        <v>0</v>
      </c>
      <c r="AE135" s="105">
        <v>0</v>
      </c>
      <c r="AF135" s="105">
        <v>0</v>
      </c>
      <c r="AG135" s="105">
        <v>0</v>
      </c>
      <c r="AH135" s="105">
        <v>0</v>
      </c>
      <c r="AI135" s="105">
        <v>0</v>
      </c>
      <c r="AJ135" s="105">
        <v>0</v>
      </c>
      <c r="AK135" s="105">
        <v>0</v>
      </c>
      <c r="AL135" s="105">
        <v>0</v>
      </c>
      <c r="AM135" s="105">
        <v>0</v>
      </c>
      <c r="AN135" s="105">
        <v>0</v>
      </c>
      <c r="AO135" s="105">
        <v>0</v>
      </c>
      <c r="AP135" s="105">
        <v>0</v>
      </c>
      <c r="AQ135" s="105">
        <v>0</v>
      </c>
      <c r="AR135" s="105">
        <v>0</v>
      </c>
      <c r="AS135" s="105">
        <v>0</v>
      </c>
      <c r="AT135" s="105">
        <v>0</v>
      </c>
      <c r="AU135" s="105">
        <v>0</v>
      </c>
      <c r="AV135" s="105">
        <v>0</v>
      </c>
      <c r="AW135" s="105">
        <v>0</v>
      </c>
      <c r="AX135" s="105">
        <v>0</v>
      </c>
    </row>
    <row r="136" spans="1:50" x14ac:dyDescent="0.2">
      <c r="B136" s="110" t="s">
        <v>10</v>
      </c>
      <c r="C136" s="105">
        <v>0</v>
      </c>
      <c r="D136" s="105">
        <v>0</v>
      </c>
      <c r="E136" s="105">
        <v>0</v>
      </c>
      <c r="F136" s="105">
        <v>0</v>
      </c>
      <c r="G136" s="105">
        <v>0</v>
      </c>
      <c r="H136" s="105">
        <v>0</v>
      </c>
      <c r="I136" s="105">
        <v>0</v>
      </c>
      <c r="J136" s="105">
        <v>0</v>
      </c>
      <c r="K136" s="105">
        <v>0</v>
      </c>
      <c r="L136" s="105">
        <v>0</v>
      </c>
      <c r="M136" s="105">
        <v>0</v>
      </c>
      <c r="N136" s="105">
        <v>0</v>
      </c>
      <c r="O136" s="105">
        <v>0</v>
      </c>
      <c r="P136" s="105">
        <v>0</v>
      </c>
      <c r="Q136" s="105">
        <v>0</v>
      </c>
      <c r="R136" s="105">
        <v>0</v>
      </c>
      <c r="S136" s="105">
        <v>0</v>
      </c>
      <c r="T136" s="105">
        <v>0</v>
      </c>
      <c r="U136" s="105">
        <v>0</v>
      </c>
      <c r="V136" s="105">
        <v>0</v>
      </c>
      <c r="W136" s="105">
        <v>0</v>
      </c>
      <c r="X136" s="105">
        <v>0</v>
      </c>
      <c r="Y136" s="105">
        <v>0</v>
      </c>
      <c r="Z136" s="105">
        <v>0</v>
      </c>
      <c r="AA136" s="105">
        <v>0</v>
      </c>
      <c r="AB136" s="105">
        <v>0</v>
      </c>
      <c r="AC136" s="105">
        <v>0</v>
      </c>
      <c r="AD136" s="105">
        <v>0</v>
      </c>
      <c r="AE136" s="105">
        <v>0</v>
      </c>
      <c r="AF136" s="105">
        <v>0</v>
      </c>
      <c r="AG136" s="105">
        <v>0</v>
      </c>
      <c r="AH136" s="105">
        <v>0</v>
      </c>
      <c r="AI136" s="105">
        <v>0</v>
      </c>
      <c r="AJ136" s="105">
        <v>0</v>
      </c>
      <c r="AK136" s="105">
        <v>0</v>
      </c>
      <c r="AL136" s="105">
        <v>0</v>
      </c>
      <c r="AM136" s="105">
        <v>0</v>
      </c>
      <c r="AN136" s="105">
        <v>0</v>
      </c>
      <c r="AO136" s="105">
        <v>0</v>
      </c>
      <c r="AP136" s="105">
        <v>0</v>
      </c>
      <c r="AQ136" s="105">
        <v>0</v>
      </c>
      <c r="AR136" s="105">
        <v>0</v>
      </c>
      <c r="AS136" s="105">
        <v>0</v>
      </c>
      <c r="AT136" s="105">
        <v>0</v>
      </c>
      <c r="AU136" s="105">
        <v>0</v>
      </c>
      <c r="AV136" s="105">
        <v>0</v>
      </c>
      <c r="AW136" s="105">
        <v>0</v>
      </c>
      <c r="AX136" s="105">
        <v>0</v>
      </c>
    </row>
    <row r="137" spans="1:50" x14ac:dyDescent="0.2">
      <c r="B137" s="110" t="s">
        <v>14</v>
      </c>
      <c r="C137" s="105">
        <v>0</v>
      </c>
      <c r="D137" s="105">
        <v>0</v>
      </c>
      <c r="E137" s="105">
        <v>0</v>
      </c>
      <c r="F137" s="105">
        <v>0</v>
      </c>
      <c r="G137" s="105">
        <v>0</v>
      </c>
      <c r="H137" s="105">
        <v>0</v>
      </c>
      <c r="I137" s="105">
        <v>0</v>
      </c>
      <c r="J137" s="105">
        <v>0</v>
      </c>
      <c r="K137" s="105">
        <v>0</v>
      </c>
      <c r="L137" s="105">
        <v>0</v>
      </c>
      <c r="M137" s="105">
        <v>0</v>
      </c>
      <c r="N137" s="105">
        <v>0</v>
      </c>
      <c r="O137" s="105">
        <v>0</v>
      </c>
      <c r="P137" s="105">
        <v>0</v>
      </c>
      <c r="Q137" s="105">
        <v>0</v>
      </c>
      <c r="R137" s="105">
        <v>0</v>
      </c>
      <c r="S137" s="105">
        <v>0</v>
      </c>
      <c r="T137" s="105">
        <v>0</v>
      </c>
      <c r="U137" s="105">
        <v>0</v>
      </c>
      <c r="V137" s="105">
        <v>0</v>
      </c>
      <c r="W137" s="105">
        <v>0</v>
      </c>
      <c r="X137" s="105">
        <v>0</v>
      </c>
      <c r="Y137" s="105">
        <v>0</v>
      </c>
      <c r="Z137" s="105">
        <v>0</v>
      </c>
      <c r="AA137" s="105">
        <v>0</v>
      </c>
      <c r="AB137" s="105">
        <v>0</v>
      </c>
      <c r="AC137" s="105">
        <v>0</v>
      </c>
      <c r="AD137" s="105">
        <v>0</v>
      </c>
      <c r="AE137" s="105">
        <v>0</v>
      </c>
      <c r="AF137" s="105">
        <v>0</v>
      </c>
      <c r="AG137" s="105">
        <v>0</v>
      </c>
      <c r="AH137" s="105">
        <v>0</v>
      </c>
      <c r="AI137" s="105">
        <v>0</v>
      </c>
      <c r="AJ137" s="105">
        <v>0</v>
      </c>
      <c r="AK137" s="105">
        <v>0</v>
      </c>
      <c r="AL137" s="105">
        <v>0</v>
      </c>
      <c r="AM137" s="105">
        <v>0</v>
      </c>
      <c r="AN137" s="105">
        <v>0</v>
      </c>
      <c r="AO137" s="105">
        <v>0</v>
      </c>
      <c r="AP137" s="105">
        <v>0</v>
      </c>
      <c r="AQ137" s="105">
        <v>0</v>
      </c>
      <c r="AR137" s="105">
        <v>0</v>
      </c>
      <c r="AS137" s="105">
        <v>0</v>
      </c>
      <c r="AT137" s="105">
        <v>0</v>
      </c>
      <c r="AU137" s="105">
        <v>0</v>
      </c>
      <c r="AV137" s="105">
        <v>0</v>
      </c>
      <c r="AW137" s="105">
        <v>0</v>
      </c>
      <c r="AX137" s="105">
        <v>0</v>
      </c>
    </row>
    <row r="138" spans="1:50" x14ac:dyDescent="0.2">
      <c r="B138" s="110" t="s">
        <v>34</v>
      </c>
      <c r="C138" s="105">
        <v>0</v>
      </c>
      <c r="D138" s="105">
        <v>0</v>
      </c>
      <c r="E138" s="105">
        <v>0</v>
      </c>
      <c r="F138" s="105">
        <v>0</v>
      </c>
      <c r="G138" s="105">
        <v>0</v>
      </c>
      <c r="H138" s="105">
        <v>0</v>
      </c>
      <c r="I138" s="105">
        <v>0</v>
      </c>
      <c r="J138" s="105">
        <v>0</v>
      </c>
      <c r="K138" s="105">
        <v>0</v>
      </c>
      <c r="L138" s="105">
        <v>0</v>
      </c>
      <c r="M138" s="105">
        <v>0</v>
      </c>
      <c r="N138" s="105">
        <v>0</v>
      </c>
      <c r="O138" s="105">
        <v>0</v>
      </c>
      <c r="P138" s="105">
        <v>0</v>
      </c>
      <c r="Q138" s="105">
        <v>0</v>
      </c>
      <c r="R138" s="105">
        <v>0</v>
      </c>
      <c r="S138" s="105">
        <v>0</v>
      </c>
      <c r="T138" s="105">
        <v>0</v>
      </c>
      <c r="U138" s="105">
        <v>0</v>
      </c>
      <c r="V138" s="105">
        <v>0</v>
      </c>
      <c r="W138" s="105">
        <v>0</v>
      </c>
      <c r="X138" s="105">
        <v>0</v>
      </c>
      <c r="Y138" s="105">
        <v>0</v>
      </c>
      <c r="Z138" s="105">
        <v>0</v>
      </c>
      <c r="AA138" s="105">
        <v>0</v>
      </c>
      <c r="AB138" s="105">
        <v>0</v>
      </c>
      <c r="AC138" s="105">
        <v>0</v>
      </c>
      <c r="AD138" s="105">
        <v>0</v>
      </c>
      <c r="AE138" s="105">
        <v>0</v>
      </c>
      <c r="AF138" s="105">
        <v>0</v>
      </c>
      <c r="AG138" s="105">
        <v>0</v>
      </c>
      <c r="AH138" s="105">
        <v>0</v>
      </c>
      <c r="AI138" s="105">
        <v>0</v>
      </c>
      <c r="AJ138" s="105">
        <v>0</v>
      </c>
      <c r="AK138" s="105">
        <v>0</v>
      </c>
      <c r="AL138" s="105">
        <v>0</v>
      </c>
      <c r="AM138" s="105">
        <v>0</v>
      </c>
      <c r="AN138" s="105">
        <v>0</v>
      </c>
      <c r="AO138" s="105">
        <v>0</v>
      </c>
      <c r="AP138" s="105">
        <v>0</v>
      </c>
      <c r="AQ138" s="105">
        <v>0</v>
      </c>
      <c r="AR138" s="105">
        <v>0</v>
      </c>
      <c r="AS138" s="105">
        <v>0</v>
      </c>
      <c r="AT138" s="105">
        <v>0</v>
      </c>
      <c r="AU138" s="105">
        <v>0</v>
      </c>
      <c r="AV138" s="105">
        <v>0</v>
      </c>
      <c r="AW138" s="105">
        <v>0</v>
      </c>
      <c r="AX138" s="105">
        <v>0</v>
      </c>
    </row>
    <row r="139" spans="1:50" x14ac:dyDescent="0.2">
      <c r="B139" s="110" t="s">
        <v>49</v>
      </c>
      <c r="C139" s="105">
        <v>0</v>
      </c>
      <c r="D139" s="105">
        <v>0</v>
      </c>
      <c r="E139" s="105">
        <v>0</v>
      </c>
      <c r="F139" s="105">
        <v>0</v>
      </c>
      <c r="G139" s="105">
        <v>0</v>
      </c>
      <c r="H139" s="105">
        <v>0</v>
      </c>
      <c r="I139" s="105">
        <v>0</v>
      </c>
      <c r="J139" s="105">
        <v>0</v>
      </c>
      <c r="K139" s="105">
        <v>0</v>
      </c>
      <c r="L139" s="105">
        <v>0</v>
      </c>
      <c r="M139" s="105">
        <v>0</v>
      </c>
      <c r="N139" s="105">
        <v>0</v>
      </c>
      <c r="O139" s="105">
        <v>0</v>
      </c>
      <c r="P139" s="105">
        <v>0</v>
      </c>
      <c r="Q139" s="105">
        <v>0</v>
      </c>
      <c r="R139" s="105">
        <v>0</v>
      </c>
      <c r="S139" s="105">
        <v>0</v>
      </c>
      <c r="T139" s="105">
        <v>0</v>
      </c>
      <c r="U139" s="105">
        <v>0</v>
      </c>
      <c r="V139" s="105">
        <v>0</v>
      </c>
      <c r="W139" s="105">
        <v>0</v>
      </c>
      <c r="X139" s="105">
        <v>0</v>
      </c>
      <c r="Y139" s="105">
        <v>0</v>
      </c>
      <c r="Z139" s="105">
        <v>0</v>
      </c>
      <c r="AA139" s="105">
        <v>0</v>
      </c>
      <c r="AB139" s="105">
        <v>0</v>
      </c>
      <c r="AC139" s="105">
        <v>0</v>
      </c>
      <c r="AD139" s="105">
        <v>0</v>
      </c>
      <c r="AE139" s="105">
        <v>0</v>
      </c>
      <c r="AF139" s="105">
        <v>0</v>
      </c>
      <c r="AG139" s="105">
        <v>0</v>
      </c>
      <c r="AH139" s="105">
        <v>0</v>
      </c>
      <c r="AI139" s="105">
        <v>0</v>
      </c>
      <c r="AJ139" s="105">
        <v>0</v>
      </c>
      <c r="AK139" s="105">
        <v>0</v>
      </c>
      <c r="AL139" s="105">
        <v>0</v>
      </c>
      <c r="AM139" s="105">
        <v>0</v>
      </c>
      <c r="AN139" s="105">
        <v>0</v>
      </c>
      <c r="AO139" s="105">
        <v>0</v>
      </c>
      <c r="AP139" s="105">
        <v>0</v>
      </c>
      <c r="AQ139" s="105">
        <v>0</v>
      </c>
      <c r="AR139" s="105">
        <v>0</v>
      </c>
      <c r="AS139" s="105">
        <v>0</v>
      </c>
      <c r="AT139" s="105">
        <v>0</v>
      </c>
      <c r="AU139" s="105">
        <v>0</v>
      </c>
      <c r="AV139" s="105">
        <v>0</v>
      </c>
      <c r="AW139" s="105">
        <v>0</v>
      </c>
      <c r="AX139" s="105">
        <v>0</v>
      </c>
    </row>
    <row r="140" spans="1:50" x14ac:dyDescent="0.2">
      <c r="B140" s="110" t="s">
        <v>57</v>
      </c>
      <c r="C140" s="105">
        <v>0</v>
      </c>
      <c r="D140" s="105">
        <v>0</v>
      </c>
      <c r="E140" s="105">
        <v>0</v>
      </c>
      <c r="F140" s="105">
        <v>0</v>
      </c>
      <c r="G140" s="105">
        <v>0</v>
      </c>
      <c r="H140" s="105">
        <v>0</v>
      </c>
      <c r="I140" s="105">
        <v>0</v>
      </c>
      <c r="J140" s="105">
        <v>0</v>
      </c>
      <c r="K140" s="105">
        <v>0</v>
      </c>
      <c r="L140" s="105">
        <v>0</v>
      </c>
      <c r="M140" s="105">
        <v>0</v>
      </c>
      <c r="N140" s="105">
        <v>0</v>
      </c>
      <c r="O140" s="105">
        <v>0</v>
      </c>
      <c r="P140" s="105">
        <v>0</v>
      </c>
      <c r="Q140" s="105">
        <v>0</v>
      </c>
      <c r="R140" s="105">
        <v>0</v>
      </c>
      <c r="S140" s="105">
        <v>0</v>
      </c>
      <c r="T140" s="105">
        <v>0</v>
      </c>
      <c r="U140" s="105">
        <v>0</v>
      </c>
      <c r="V140" s="105">
        <v>0</v>
      </c>
      <c r="W140" s="105">
        <v>0</v>
      </c>
      <c r="X140" s="105">
        <v>0</v>
      </c>
      <c r="Y140" s="105">
        <v>0</v>
      </c>
      <c r="Z140" s="105">
        <v>0</v>
      </c>
      <c r="AA140" s="105">
        <v>0</v>
      </c>
      <c r="AB140" s="105">
        <v>0</v>
      </c>
      <c r="AC140" s="105">
        <v>0</v>
      </c>
      <c r="AD140" s="105">
        <v>0</v>
      </c>
      <c r="AE140" s="105">
        <v>0</v>
      </c>
      <c r="AF140" s="105">
        <v>0</v>
      </c>
      <c r="AG140" s="105">
        <v>0</v>
      </c>
      <c r="AH140" s="105">
        <v>0</v>
      </c>
      <c r="AI140" s="105">
        <v>0</v>
      </c>
      <c r="AJ140" s="105">
        <v>0</v>
      </c>
      <c r="AK140" s="105">
        <v>0</v>
      </c>
      <c r="AL140" s="105">
        <v>0</v>
      </c>
      <c r="AM140" s="105">
        <v>0</v>
      </c>
      <c r="AN140" s="105">
        <v>0</v>
      </c>
      <c r="AO140" s="105">
        <v>0</v>
      </c>
      <c r="AP140" s="105">
        <v>0</v>
      </c>
      <c r="AQ140" s="105">
        <v>0</v>
      </c>
      <c r="AR140" s="105">
        <v>0</v>
      </c>
      <c r="AS140" s="105">
        <v>0</v>
      </c>
      <c r="AT140" s="105">
        <v>0</v>
      </c>
      <c r="AU140" s="105">
        <v>0</v>
      </c>
      <c r="AV140" s="105">
        <v>0</v>
      </c>
      <c r="AW140" s="105">
        <v>0</v>
      </c>
      <c r="AX140" s="105">
        <v>0</v>
      </c>
    </row>
    <row r="141" spans="1:50" x14ac:dyDescent="0.2">
      <c r="B141" s="110" t="s">
        <v>70</v>
      </c>
      <c r="C141" s="105">
        <v>0</v>
      </c>
      <c r="D141" s="105">
        <v>0</v>
      </c>
      <c r="E141" s="105">
        <v>0</v>
      </c>
      <c r="F141" s="105">
        <v>0</v>
      </c>
      <c r="G141" s="105">
        <v>0</v>
      </c>
      <c r="H141" s="105">
        <v>0</v>
      </c>
      <c r="I141" s="105">
        <v>0</v>
      </c>
      <c r="J141" s="105">
        <v>0</v>
      </c>
      <c r="K141" s="105">
        <v>0</v>
      </c>
      <c r="L141" s="105">
        <v>0</v>
      </c>
      <c r="M141" s="105">
        <v>0</v>
      </c>
      <c r="N141" s="105">
        <v>0</v>
      </c>
      <c r="O141" s="105">
        <v>0</v>
      </c>
      <c r="P141" s="105">
        <v>0</v>
      </c>
      <c r="Q141" s="105">
        <v>0</v>
      </c>
      <c r="R141" s="105">
        <v>0</v>
      </c>
      <c r="S141" s="105">
        <v>0</v>
      </c>
      <c r="T141" s="105">
        <v>0</v>
      </c>
      <c r="U141" s="105">
        <v>0</v>
      </c>
      <c r="V141" s="105">
        <v>0</v>
      </c>
      <c r="W141" s="105">
        <v>0</v>
      </c>
      <c r="X141" s="105">
        <v>0</v>
      </c>
      <c r="Y141" s="105">
        <v>0</v>
      </c>
      <c r="Z141" s="105">
        <v>0</v>
      </c>
      <c r="AA141" s="105">
        <v>0</v>
      </c>
      <c r="AB141" s="105">
        <v>0</v>
      </c>
      <c r="AC141" s="105">
        <v>0</v>
      </c>
      <c r="AD141" s="105">
        <v>0</v>
      </c>
      <c r="AE141" s="105">
        <v>0</v>
      </c>
      <c r="AF141" s="105">
        <v>0</v>
      </c>
      <c r="AG141" s="105">
        <v>0</v>
      </c>
      <c r="AH141" s="105">
        <v>0</v>
      </c>
      <c r="AI141" s="105">
        <v>0</v>
      </c>
      <c r="AJ141" s="105">
        <v>0</v>
      </c>
      <c r="AK141" s="105">
        <v>0</v>
      </c>
      <c r="AL141" s="105">
        <v>0</v>
      </c>
      <c r="AM141" s="105">
        <v>0</v>
      </c>
      <c r="AN141" s="105">
        <v>0</v>
      </c>
      <c r="AO141" s="105">
        <v>0</v>
      </c>
      <c r="AP141" s="105">
        <v>0</v>
      </c>
      <c r="AQ141" s="105">
        <v>0</v>
      </c>
      <c r="AR141" s="105">
        <v>0</v>
      </c>
      <c r="AS141" s="105">
        <v>0</v>
      </c>
      <c r="AT141" s="105">
        <v>0</v>
      </c>
      <c r="AU141" s="105">
        <v>0</v>
      </c>
      <c r="AV141" s="105">
        <v>0</v>
      </c>
      <c r="AW141" s="105">
        <v>0</v>
      </c>
      <c r="AX141" s="105">
        <v>0</v>
      </c>
    </row>
    <row r="142" spans="1:50" x14ac:dyDescent="0.2">
      <c r="B142" s="105" t="s">
        <v>278</v>
      </c>
      <c r="C142" s="110">
        <f>SUM(C$134:C$141)</f>
        <v>0</v>
      </c>
      <c r="D142" s="110">
        <f t="shared" ref="D142:AX142" si="9">SUM(D$134:D$141)</f>
        <v>0</v>
      </c>
      <c r="E142" s="110">
        <f t="shared" si="9"/>
        <v>0</v>
      </c>
      <c r="F142" s="110">
        <f t="shared" si="9"/>
        <v>0</v>
      </c>
      <c r="G142" s="110">
        <f t="shared" si="9"/>
        <v>0</v>
      </c>
      <c r="H142" s="110">
        <f t="shared" si="9"/>
        <v>0</v>
      </c>
      <c r="I142" s="110">
        <f t="shared" si="9"/>
        <v>0</v>
      </c>
      <c r="J142" s="110">
        <f t="shared" si="9"/>
        <v>0</v>
      </c>
      <c r="K142" s="110">
        <f t="shared" si="9"/>
        <v>0</v>
      </c>
      <c r="L142" s="110">
        <f t="shared" si="9"/>
        <v>0</v>
      </c>
      <c r="M142" s="110">
        <f t="shared" si="9"/>
        <v>0</v>
      </c>
      <c r="N142" s="110">
        <f t="shared" si="9"/>
        <v>0</v>
      </c>
      <c r="O142" s="110">
        <f t="shared" si="9"/>
        <v>0</v>
      </c>
      <c r="P142" s="110">
        <f t="shared" si="9"/>
        <v>0</v>
      </c>
      <c r="Q142" s="110">
        <f t="shared" si="9"/>
        <v>0</v>
      </c>
      <c r="R142" s="110">
        <f t="shared" si="9"/>
        <v>0</v>
      </c>
      <c r="S142" s="110">
        <f t="shared" si="9"/>
        <v>0</v>
      </c>
      <c r="T142" s="110">
        <f t="shared" si="9"/>
        <v>0</v>
      </c>
      <c r="U142" s="110">
        <f t="shared" si="9"/>
        <v>0</v>
      </c>
      <c r="V142" s="110">
        <f t="shared" si="9"/>
        <v>0</v>
      </c>
      <c r="W142" s="110">
        <f t="shared" si="9"/>
        <v>0</v>
      </c>
      <c r="X142" s="110">
        <f t="shared" si="9"/>
        <v>0</v>
      </c>
      <c r="Y142" s="110">
        <f t="shared" si="9"/>
        <v>0</v>
      </c>
      <c r="Z142" s="110">
        <f t="shared" si="9"/>
        <v>0</v>
      </c>
      <c r="AA142" s="110">
        <f t="shared" si="9"/>
        <v>0</v>
      </c>
      <c r="AB142" s="110">
        <f t="shared" si="9"/>
        <v>0</v>
      </c>
      <c r="AC142" s="110">
        <f t="shared" si="9"/>
        <v>0</v>
      </c>
      <c r="AD142" s="110">
        <f t="shared" si="9"/>
        <v>0</v>
      </c>
      <c r="AE142" s="110">
        <f t="shared" si="9"/>
        <v>0</v>
      </c>
      <c r="AF142" s="110">
        <f t="shared" si="9"/>
        <v>0</v>
      </c>
      <c r="AG142" s="110">
        <f t="shared" si="9"/>
        <v>0</v>
      </c>
      <c r="AH142" s="110">
        <f t="shared" si="9"/>
        <v>0</v>
      </c>
      <c r="AI142" s="110">
        <f t="shared" si="9"/>
        <v>0</v>
      </c>
      <c r="AJ142" s="110">
        <f t="shared" si="9"/>
        <v>0</v>
      </c>
      <c r="AK142" s="110">
        <f t="shared" si="9"/>
        <v>0</v>
      </c>
      <c r="AL142" s="110">
        <f t="shared" si="9"/>
        <v>0</v>
      </c>
      <c r="AM142" s="110">
        <f t="shared" si="9"/>
        <v>0</v>
      </c>
      <c r="AN142" s="110">
        <f t="shared" si="9"/>
        <v>0</v>
      </c>
      <c r="AO142" s="110">
        <f t="shared" si="9"/>
        <v>0</v>
      </c>
      <c r="AP142" s="110">
        <f t="shared" si="9"/>
        <v>0</v>
      </c>
      <c r="AQ142" s="110">
        <f t="shared" si="9"/>
        <v>0</v>
      </c>
      <c r="AR142" s="110">
        <f t="shared" si="9"/>
        <v>0</v>
      </c>
      <c r="AS142" s="110">
        <f t="shared" si="9"/>
        <v>0</v>
      </c>
      <c r="AT142" s="110">
        <f t="shared" si="9"/>
        <v>0</v>
      </c>
      <c r="AU142" s="110">
        <f t="shared" si="9"/>
        <v>0</v>
      </c>
      <c r="AV142" s="110">
        <f t="shared" si="9"/>
        <v>0</v>
      </c>
      <c r="AW142" s="110">
        <f t="shared" si="9"/>
        <v>0</v>
      </c>
      <c r="AX142" s="110">
        <f t="shared" si="9"/>
        <v>0</v>
      </c>
    </row>
    <row r="143" spans="1:50" x14ac:dyDescent="0.2">
      <c r="A143" s="110" t="s">
        <v>109</v>
      </c>
      <c r="B143" s="110" t="s">
        <v>7</v>
      </c>
      <c r="C143" s="105">
        <v>0</v>
      </c>
      <c r="D143" s="105">
        <v>0</v>
      </c>
      <c r="E143" s="105">
        <v>0</v>
      </c>
      <c r="F143" s="105">
        <v>0</v>
      </c>
      <c r="G143" s="105">
        <v>0</v>
      </c>
      <c r="H143" s="105">
        <v>0</v>
      </c>
      <c r="I143" s="105">
        <v>0</v>
      </c>
      <c r="J143" s="105">
        <v>0</v>
      </c>
      <c r="K143" s="105">
        <v>0</v>
      </c>
      <c r="L143" s="105">
        <v>0</v>
      </c>
      <c r="M143" s="105">
        <v>0</v>
      </c>
      <c r="N143" s="105">
        <v>0</v>
      </c>
      <c r="O143" s="105">
        <v>0</v>
      </c>
      <c r="P143" s="105">
        <v>0</v>
      </c>
      <c r="Q143" s="105">
        <v>0</v>
      </c>
      <c r="R143" s="105">
        <v>0</v>
      </c>
      <c r="S143" s="105">
        <v>0</v>
      </c>
      <c r="T143" s="105">
        <v>0</v>
      </c>
      <c r="U143" s="105">
        <v>0</v>
      </c>
      <c r="V143" s="105">
        <v>0</v>
      </c>
      <c r="W143" s="105">
        <v>0</v>
      </c>
      <c r="X143" s="105">
        <v>0</v>
      </c>
      <c r="Y143" s="105">
        <v>0</v>
      </c>
      <c r="Z143" s="105">
        <v>0</v>
      </c>
      <c r="AA143" s="105">
        <v>0</v>
      </c>
      <c r="AB143" s="105">
        <v>0</v>
      </c>
      <c r="AC143" s="105">
        <v>0</v>
      </c>
      <c r="AD143" s="105">
        <v>0</v>
      </c>
      <c r="AE143" s="105">
        <v>0</v>
      </c>
      <c r="AF143" s="105">
        <v>0</v>
      </c>
      <c r="AG143" s="105">
        <v>0</v>
      </c>
      <c r="AH143" s="105">
        <v>0</v>
      </c>
      <c r="AI143" s="105">
        <v>0</v>
      </c>
      <c r="AJ143" s="105">
        <v>0</v>
      </c>
      <c r="AK143" s="105">
        <v>0</v>
      </c>
      <c r="AL143" s="105">
        <v>0</v>
      </c>
      <c r="AM143" s="105">
        <v>0</v>
      </c>
      <c r="AN143" s="105">
        <v>0</v>
      </c>
      <c r="AO143" s="105">
        <v>0</v>
      </c>
      <c r="AP143" s="105">
        <v>0</v>
      </c>
      <c r="AQ143" s="105">
        <v>0</v>
      </c>
      <c r="AR143" s="105">
        <v>0</v>
      </c>
      <c r="AS143" s="105">
        <v>0</v>
      </c>
      <c r="AT143" s="105">
        <v>0</v>
      </c>
      <c r="AU143" s="105">
        <v>0</v>
      </c>
      <c r="AV143" s="105">
        <v>0</v>
      </c>
      <c r="AW143" s="105">
        <v>0</v>
      </c>
      <c r="AX143" s="105">
        <v>0</v>
      </c>
    </row>
    <row r="144" spans="1:50" x14ac:dyDescent="0.2">
      <c r="B144" s="110" t="s">
        <v>8</v>
      </c>
      <c r="C144" s="105">
        <v>0</v>
      </c>
      <c r="D144" s="105">
        <v>0</v>
      </c>
      <c r="E144" s="105">
        <v>0</v>
      </c>
      <c r="F144" s="105">
        <v>0</v>
      </c>
      <c r="G144" s="105">
        <v>0</v>
      </c>
      <c r="H144" s="105">
        <v>0</v>
      </c>
      <c r="I144" s="105">
        <v>0</v>
      </c>
      <c r="J144" s="105">
        <v>0</v>
      </c>
      <c r="K144" s="105">
        <v>0</v>
      </c>
      <c r="L144" s="105">
        <v>0</v>
      </c>
      <c r="M144" s="105">
        <v>0</v>
      </c>
      <c r="N144" s="105">
        <v>0</v>
      </c>
      <c r="O144" s="105">
        <v>0</v>
      </c>
      <c r="P144" s="105">
        <v>0</v>
      </c>
      <c r="Q144" s="105">
        <v>0</v>
      </c>
      <c r="R144" s="105">
        <v>0</v>
      </c>
      <c r="S144" s="105">
        <v>0</v>
      </c>
      <c r="T144" s="105">
        <v>0</v>
      </c>
      <c r="U144" s="105">
        <v>0</v>
      </c>
      <c r="V144" s="105">
        <v>0</v>
      </c>
      <c r="W144" s="105">
        <v>0</v>
      </c>
      <c r="X144" s="105">
        <v>0</v>
      </c>
      <c r="Y144" s="105">
        <v>0</v>
      </c>
      <c r="Z144" s="105">
        <v>0</v>
      </c>
      <c r="AA144" s="105">
        <v>0</v>
      </c>
      <c r="AB144" s="105">
        <v>0</v>
      </c>
      <c r="AC144" s="105">
        <v>0</v>
      </c>
      <c r="AD144" s="105">
        <v>0</v>
      </c>
      <c r="AE144" s="105">
        <v>0</v>
      </c>
      <c r="AF144" s="105">
        <v>0</v>
      </c>
      <c r="AG144" s="105">
        <v>0</v>
      </c>
      <c r="AH144" s="105">
        <v>0</v>
      </c>
      <c r="AI144" s="105">
        <v>0</v>
      </c>
      <c r="AJ144" s="105">
        <v>0</v>
      </c>
      <c r="AK144" s="105">
        <v>0</v>
      </c>
      <c r="AL144" s="105">
        <v>0</v>
      </c>
      <c r="AM144" s="105">
        <v>0</v>
      </c>
      <c r="AN144" s="105">
        <v>0</v>
      </c>
      <c r="AO144" s="105">
        <v>0</v>
      </c>
      <c r="AP144" s="105">
        <v>0</v>
      </c>
      <c r="AQ144" s="105">
        <v>0</v>
      </c>
      <c r="AR144" s="105">
        <v>0</v>
      </c>
      <c r="AS144" s="105">
        <v>0</v>
      </c>
      <c r="AT144" s="105">
        <v>0</v>
      </c>
      <c r="AU144" s="105">
        <v>0</v>
      </c>
      <c r="AV144" s="105">
        <v>0</v>
      </c>
      <c r="AW144" s="105">
        <v>0</v>
      </c>
      <c r="AX144" s="105">
        <v>0</v>
      </c>
    </row>
    <row r="145" spans="2:50" x14ac:dyDescent="0.2">
      <c r="B145" s="110" t="s">
        <v>10</v>
      </c>
      <c r="C145" s="105">
        <v>0</v>
      </c>
      <c r="D145" s="105">
        <v>0</v>
      </c>
      <c r="E145" s="105">
        <v>0</v>
      </c>
      <c r="F145" s="105">
        <v>0</v>
      </c>
      <c r="G145" s="105">
        <v>0</v>
      </c>
      <c r="H145" s="105">
        <v>0</v>
      </c>
      <c r="I145" s="105">
        <v>0</v>
      </c>
      <c r="J145" s="105">
        <v>0</v>
      </c>
      <c r="K145" s="105">
        <v>0</v>
      </c>
      <c r="L145" s="105">
        <v>0</v>
      </c>
      <c r="M145" s="105">
        <v>0</v>
      </c>
      <c r="N145" s="105">
        <v>0</v>
      </c>
      <c r="O145" s="105">
        <v>0</v>
      </c>
      <c r="P145" s="105">
        <v>0</v>
      </c>
      <c r="Q145" s="105">
        <v>0</v>
      </c>
      <c r="R145" s="105">
        <v>0</v>
      </c>
      <c r="S145" s="105">
        <v>0</v>
      </c>
      <c r="T145" s="105">
        <v>0</v>
      </c>
      <c r="U145" s="105">
        <v>0</v>
      </c>
      <c r="V145" s="105">
        <v>0</v>
      </c>
      <c r="W145" s="105">
        <v>0</v>
      </c>
      <c r="X145" s="105">
        <v>0</v>
      </c>
      <c r="Y145" s="105">
        <v>0</v>
      </c>
      <c r="Z145" s="105">
        <v>0</v>
      </c>
      <c r="AA145" s="105">
        <v>0</v>
      </c>
      <c r="AB145" s="105">
        <v>0</v>
      </c>
      <c r="AC145" s="105">
        <v>0</v>
      </c>
      <c r="AD145" s="105">
        <v>0</v>
      </c>
      <c r="AE145" s="105">
        <v>0</v>
      </c>
      <c r="AF145" s="105">
        <v>0</v>
      </c>
      <c r="AG145" s="105">
        <v>0</v>
      </c>
      <c r="AH145" s="105">
        <v>0</v>
      </c>
      <c r="AI145" s="105">
        <v>0</v>
      </c>
      <c r="AJ145" s="105">
        <v>0</v>
      </c>
      <c r="AK145" s="105">
        <v>0</v>
      </c>
      <c r="AL145" s="105">
        <v>0</v>
      </c>
      <c r="AM145" s="105">
        <v>0</v>
      </c>
      <c r="AN145" s="105">
        <v>0</v>
      </c>
      <c r="AO145" s="105">
        <v>0</v>
      </c>
      <c r="AP145" s="105">
        <v>0</v>
      </c>
      <c r="AQ145" s="105">
        <v>0</v>
      </c>
      <c r="AR145" s="105">
        <v>0</v>
      </c>
      <c r="AS145" s="105">
        <v>0</v>
      </c>
      <c r="AT145" s="105">
        <v>0</v>
      </c>
      <c r="AU145" s="105">
        <v>0</v>
      </c>
      <c r="AV145" s="105">
        <v>0</v>
      </c>
      <c r="AW145" s="105">
        <v>0</v>
      </c>
      <c r="AX145" s="105">
        <v>0</v>
      </c>
    </row>
    <row r="146" spans="2:50" x14ac:dyDescent="0.2">
      <c r="B146" s="110" t="s">
        <v>14</v>
      </c>
      <c r="C146" s="105">
        <v>0</v>
      </c>
      <c r="D146" s="105">
        <v>0</v>
      </c>
      <c r="E146" s="105">
        <v>0</v>
      </c>
      <c r="F146" s="105">
        <v>0</v>
      </c>
      <c r="G146" s="105">
        <v>0</v>
      </c>
      <c r="H146" s="105">
        <v>0</v>
      </c>
      <c r="I146" s="105">
        <v>0</v>
      </c>
      <c r="J146" s="105">
        <v>0</v>
      </c>
      <c r="K146" s="105">
        <v>0</v>
      </c>
      <c r="L146" s="105">
        <v>0</v>
      </c>
      <c r="M146" s="105">
        <v>0</v>
      </c>
      <c r="N146" s="105">
        <v>0</v>
      </c>
      <c r="O146" s="105">
        <v>0</v>
      </c>
      <c r="P146" s="105">
        <v>0</v>
      </c>
      <c r="Q146" s="105">
        <v>0</v>
      </c>
      <c r="R146" s="105">
        <v>0</v>
      </c>
      <c r="S146" s="105">
        <v>0</v>
      </c>
      <c r="T146" s="105">
        <v>0</v>
      </c>
      <c r="U146" s="105">
        <v>0</v>
      </c>
      <c r="V146" s="105">
        <v>0</v>
      </c>
      <c r="W146" s="105">
        <v>0</v>
      </c>
      <c r="X146" s="105">
        <v>0</v>
      </c>
      <c r="Y146" s="105">
        <v>0</v>
      </c>
      <c r="Z146" s="105">
        <v>0</v>
      </c>
      <c r="AA146" s="105">
        <v>0</v>
      </c>
      <c r="AB146" s="105">
        <v>0</v>
      </c>
      <c r="AC146" s="105">
        <v>0</v>
      </c>
      <c r="AD146" s="105">
        <v>0</v>
      </c>
      <c r="AE146" s="105">
        <v>0</v>
      </c>
      <c r="AF146" s="105">
        <v>0</v>
      </c>
      <c r="AG146" s="105">
        <v>0</v>
      </c>
      <c r="AH146" s="105">
        <v>0</v>
      </c>
      <c r="AI146" s="105">
        <v>0</v>
      </c>
      <c r="AJ146" s="105">
        <v>0</v>
      </c>
      <c r="AK146" s="105">
        <v>0</v>
      </c>
      <c r="AL146" s="105">
        <v>0</v>
      </c>
      <c r="AM146" s="105">
        <v>0</v>
      </c>
      <c r="AN146" s="105">
        <v>0</v>
      </c>
      <c r="AO146" s="105">
        <v>0</v>
      </c>
      <c r="AP146" s="105">
        <v>0</v>
      </c>
      <c r="AQ146" s="105">
        <v>0</v>
      </c>
      <c r="AR146" s="105">
        <v>0</v>
      </c>
      <c r="AS146" s="105">
        <v>0</v>
      </c>
      <c r="AT146" s="105">
        <v>0</v>
      </c>
      <c r="AU146" s="105">
        <v>0</v>
      </c>
      <c r="AV146" s="105">
        <v>0</v>
      </c>
      <c r="AW146" s="105">
        <v>0</v>
      </c>
      <c r="AX146" s="105">
        <v>0</v>
      </c>
    </row>
    <row r="147" spans="2:50" x14ac:dyDescent="0.2">
      <c r="B147" s="110" t="s">
        <v>34</v>
      </c>
      <c r="C147" s="105">
        <v>0</v>
      </c>
      <c r="D147" s="105">
        <v>0</v>
      </c>
      <c r="E147" s="105">
        <v>0</v>
      </c>
      <c r="F147" s="105">
        <v>0</v>
      </c>
      <c r="G147" s="105">
        <v>0</v>
      </c>
      <c r="H147" s="105">
        <v>0</v>
      </c>
      <c r="I147" s="105">
        <v>0</v>
      </c>
      <c r="J147" s="105">
        <v>0</v>
      </c>
      <c r="K147" s="105">
        <v>0</v>
      </c>
      <c r="L147" s="105">
        <v>0</v>
      </c>
      <c r="M147" s="105">
        <v>0</v>
      </c>
      <c r="N147" s="105">
        <v>0</v>
      </c>
      <c r="O147" s="105">
        <v>0</v>
      </c>
      <c r="P147" s="105">
        <v>0</v>
      </c>
      <c r="Q147" s="105">
        <v>0</v>
      </c>
      <c r="R147" s="105">
        <v>0</v>
      </c>
      <c r="S147" s="105">
        <v>0</v>
      </c>
      <c r="T147" s="105">
        <v>0</v>
      </c>
      <c r="U147" s="105">
        <v>0</v>
      </c>
      <c r="V147" s="105">
        <v>0</v>
      </c>
      <c r="W147" s="105">
        <v>0</v>
      </c>
      <c r="X147" s="105">
        <v>0</v>
      </c>
      <c r="Y147" s="105">
        <v>0</v>
      </c>
      <c r="Z147" s="105">
        <v>0</v>
      </c>
      <c r="AA147" s="105">
        <v>0</v>
      </c>
      <c r="AB147" s="105">
        <v>0</v>
      </c>
      <c r="AC147" s="105">
        <v>0</v>
      </c>
      <c r="AD147" s="105">
        <v>0</v>
      </c>
      <c r="AE147" s="105">
        <v>0</v>
      </c>
      <c r="AF147" s="105">
        <v>0</v>
      </c>
      <c r="AG147" s="105">
        <v>0</v>
      </c>
      <c r="AH147" s="105">
        <v>0</v>
      </c>
      <c r="AI147" s="105">
        <v>0</v>
      </c>
      <c r="AJ147" s="105">
        <v>0</v>
      </c>
      <c r="AK147" s="105">
        <v>0</v>
      </c>
      <c r="AL147" s="105">
        <v>0</v>
      </c>
      <c r="AM147" s="105">
        <v>0</v>
      </c>
      <c r="AN147" s="105">
        <v>0</v>
      </c>
      <c r="AO147" s="105">
        <v>0</v>
      </c>
      <c r="AP147" s="105">
        <v>0</v>
      </c>
      <c r="AQ147" s="105">
        <v>0</v>
      </c>
      <c r="AR147" s="105">
        <v>0</v>
      </c>
      <c r="AS147" s="105">
        <v>0</v>
      </c>
      <c r="AT147" s="105">
        <v>0</v>
      </c>
      <c r="AU147" s="105">
        <v>0</v>
      </c>
      <c r="AV147" s="105">
        <v>0</v>
      </c>
      <c r="AW147" s="105">
        <v>0</v>
      </c>
      <c r="AX147" s="105">
        <v>0</v>
      </c>
    </row>
    <row r="148" spans="2:50" x14ac:dyDescent="0.2">
      <c r="B148" s="110" t="s">
        <v>49</v>
      </c>
      <c r="C148" s="105">
        <v>0</v>
      </c>
      <c r="D148" s="105">
        <v>0</v>
      </c>
      <c r="E148" s="105">
        <v>0</v>
      </c>
      <c r="F148" s="105">
        <v>0</v>
      </c>
      <c r="G148" s="105">
        <v>0</v>
      </c>
      <c r="H148" s="105">
        <v>0</v>
      </c>
      <c r="I148" s="105">
        <v>0</v>
      </c>
      <c r="J148" s="105">
        <v>0</v>
      </c>
      <c r="K148" s="105">
        <v>0</v>
      </c>
      <c r="L148" s="105">
        <v>0</v>
      </c>
      <c r="M148" s="105">
        <v>0</v>
      </c>
      <c r="N148" s="105">
        <v>0</v>
      </c>
      <c r="O148" s="105">
        <v>0</v>
      </c>
      <c r="P148" s="105">
        <v>0</v>
      </c>
      <c r="Q148" s="105">
        <v>0</v>
      </c>
      <c r="R148" s="105">
        <v>0</v>
      </c>
      <c r="S148" s="105">
        <v>0</v>
      </c>
      <c r="T148" s="105">
        <v>0</v>
      </c>
      <c r="U148" s="105">
        <v>0</v>
      </c>
      <c r="V148" s="105">
        <v>0</v>
      </c>
      <c r="W148" s="105">
        <v>0</v>
      </c>
      <c r="X148" s="105">
        <v>0</v>
      </c>
      <c r="Y148" s="105">
        <v>0</v>
      </c>
      <c r="Z148" s="105">
        <v>0</v>
      </c>
      <c r="AA148" s="105">
        <v>0</v>
      </c>
      <c r="AB148" s="105">
        <v>0</v>
      </c>
      <c r="AC148" s="105">
        <v>0</v>
      </c>
      <c r="AD148" s="105">
        <v>0</v>
      </c>
      <c r="AE148" s="105">
        <v>0</v>
      </c>
      <c r="AF148" s="105">
        <v>0</v>
      </c>
      <c r="AG148" s="105">
        <v>0</v>
      </c>
      <c r="AH148" s="105">
        <v>0</v>
      </c>
      <c r="AI148" s="105">
        <v>0</v>
      </c>
      <c r="AJ148" s="105">
        <v>0</v>
      </c>
      <c r="AK148" s="105">
        <v>0</v>
      </c>
      <c r="AL148" s="105">
        <v>0</v>
      </c>
      <c r="AM148" s="105">
        <v>0</v>
      </c>
      <c r="AN148" s="105">
        <v>0</v>
      </c>
      <c r="AO148" s="105">
        <v>0</v>
      </c>
      <c r="AP148" s="105">
        <v>0</v>
      </c>
      <c r="AQ148" s="105">
        <v>0</v>
      </c>
      <c r="AR148" s="105">
        <v>0</v>
      </c>
      <c r="AS148" s="105">
        <v>0</v>
      </c>
      <c r="AT148" s="105">
        <v>0</v>
      </c>
      <c r="AU148" s="105">
        <v>0</v>
      </c>
      <c r="AV148" s="105">
        <v>0</v>
      </c>
      <c r="AW148" s="105">
        <v>0</v>
      </c>
      <c r="AX148" s="105">
        <v>0</v>
      </c>
    </row>
    <row r="149" spans="2:50" x14ac:dyDescent="0.2">
      <c r="B149" s="110" t="s">
        <v>57</v>
      </c>
      <c r="C149" s="105">
        <v>0</v>
      </c>
      <c r="D149" s="105">
        <v>0</v>
      </c>
      <c r="E149" s="105">
        <v>0</v>
      </c>
      <c r="F149" s="105">
        <v>0</v>
      </c>
      <c r="G149" s="105">
        <v>0</v>
      </c>
      <c r="H149" s="105">
        <v>0</v>
      </c>
      <c r="I149" s="105">
        <v>0</v>
      </c>
      <c r="J149" s="105">
        <v>0</v>
      </c>
      <c r="K149" s="105">
        <v>0</v>
      </c>
      <c r="L149" s="105">
        <v>0</v>
      </c>
      <c r="M149" s="105">
        <v>0</v>
      </c>
      <c r="N149" s="105">
        <v>0</v>
      </c>
      <c r="O149" s="105">
        <v>0</v>
      </c>
      <c r="P149" s="105">
        <v>0</v>
      </c>
      <c r="Q149" s="105">
        <v>0</v>
      </c>
      <c r="R149" s="105">
        <v>0</v>
      </c>
      <c r="S149" s="105">
        <v>0</v>
      </c>
      <c r="T149" s="105">
        <v>0</v>
      </c>
      <c r="U149" s="105">
        <v>0</v>
      </c>
      <c r="V149" s="105">
        <v>0</v>
      </c>
      <c r="W149" s="105">
        <v>0</v>
      </c>
      <c r="X149" s="105">
        <v>0</v>
      </c>
      <c r="Y149" s="105">
        <v>0</v>
      </c>
      <c r="Z149" s="105">
        <v>0</v>
      </c>
      <c r="AA149" s="105">
        <v>0</v>
      </c>
      <c r="AB149" s="105">
        <v>0</v>
      </c>
      <c r="AC149" s="105">
        <v>0</v>
      </c>
      <c r="AD149" s="105">
        <v>0</v>
      </c>
      <c r="AE149" s="105">
        <v>0</v>
      </c>
      <c r="AF149" s="105">
        <v>0</v>
      </c>
      <c r="AG149" s="105">
        <v>0</v>
      </c>
      <c r="AH149" s="105">
        <v>0</v>
      </c>
      <c r="AI149" s="105">
        <v>0</v>
      </c>
      <c r="AJ149" s="105">
        <v>0</v>
      </c>
      <c r="AK149" s="105">
        <v>0</v>
      </c>
      <c r="AL149" s="105">
        <v>0</v>
      </c>
      <c r="AM149" s="105">
        <v>0</v>
      </c>
      <c r="AN149" s="105">
        <v>0</v>
      </c>
      <c r="AO149" s="105">
        <v>0</v>
      </c>
      <c r="AP149" s="105">
        <v>0</v>
      </c>
      <c r="AQ149" s="105">
        <v>0</v>
      </c>
      <c r="AR149" s="105">
        <v>0</v>
      </c>
      <c r="AS149" s="105">
        <v>0</v>
      </c>
      <c r="AT149" s="105">
        <v>0</v>
      </c>
      <c r="AU149" s="105">
        <v>0</v>
      </c>
      <c r="AV149" s="105">
        <v>0</v>
      </c>
      <c r="AW149" s="105">
        <v>0</v>
      </c>
      <c r="AX149" s="105">
        <v>0</v>
      </c>
    </row>
    <row r="150" spans="2:50" x14ac:dyDescent="0.2">
      <c r="B150" s="110" t="s">
        <v>70</v>
      </c>
      <c r="C150" s="105">
        <v>0</v>
      </c>
      <c r="D150" s="105">
        <v>0</v>
      </c>
      <c r="E150" s="105">
        <v>0</v>
      </c>
      <c r="F150" s="105">
        <v>0</v>
      </c>
      <c r="G150" s="105">
        <v>0</v>
      </c>
      <c r="H150" s="105">
        <v>0</v>
      </c>
      <c r="I150" s="105">
        <v>0</v>
      </c>
      <c r="J150" s="105">
        <v>0</v>
      </c>
      <c r="K150" s="105">
        <v>0</v>
      </c>
      <c r="L150" s="105">
        <v>0</v>
      </c>
      <c r="M150" s="105">
        <v>0</v>
      </c>
      <c r="N150" s="105">
        <v>0</v>
      </c>
      <c r="O150" s="105">
        <v>0</v>
      </c>
      <c r="P150" s="105">
        <v>0</v>
      </c>
      <c r="Q150" s="105">
        <v>0</v>
      </c>
      <c r="R150" s="105">
        <v>0</v>
      </c>
      <c r="S150" s="105">
        <v>0</v>
      </c>
      <c r="T150" s="105">
        <v>0</v>
      </c>
      <c r="U150" s="105">
        <v>0</v>
      </c>
      <c r="V150" s="105">
        <v>0</v>
      </c>
      <c r="W150" s="105">
        <v>0</v>
      </c>
      <c r="X150" s="105">
        <v>0</v>
      </c>
      <c r="Y150" s="105">
        <v>0</v>
      </c>
      <c r="Z150" s="105">
        <v>0</v>
      </c>
      <c r="AA150" s="105">
        <v>0</v>
      </c>
      <c r="AB150" s="105">
        <v>0</v>
      </c>
      <c r="AC150" s="105">
        <v>0</v>
      </c>
      <c r="AD150" s="105">
        <v>0</v>
      </c>
      <c r="AE150" s="105">
        <v>0</v>
      </c>
      <c r="AF150" s="105">
        <v>0</v>
      </c>
      <c r="AG150" s="105">
        <v>0</v>
      </c>
      <c r="AH150" s="105">
        <v>0</v>
      </c>
      <c r="AI150" s="105">
        <v>0</v>
      </c>
      <c r="AJ150" s="105">
        <v>0</v>
      </c>
      <c r="AK150" s="105">
        <v>0</v>
      </c>
      <c r="AL150" s="105">
        <v>0</v>
      </c>
      <c r="AM150" s="105">
        <v>0</v>
      </c>
      <c r="AN150" s="105">
        <v>0</v>
      </c>
      <c r="AO150" s="105">
        <v>0</v>
      </c>
      <c r="AP150" s="105">
        <v>0</v>
      </c>
      <c r="AQ150" s="105">
        <v>0</v>
      </c>
      <c r="AR150" s="105">
        <v>0</v>
      </c>
      <c r="AS150" s="105">
        <v>0</v>
      </c>
      <c r="AT150" s="105">
        <v>0</v>
      </c>
      <c r="AU150" s="105">
        <v>0</v>
      </c>
      <c r="AV150" s="105">
        <v>0</v>
      </c>
      <c r="AW150" s="105">
        <v>0</v>
      </c>
      <c r="AX150" s="105">
        <v>0</v>
      </c>
    </row>
    <row r="151" spans="2:50" x14ac:dyDescent="0.2">
      <c r="B151" s="105" t="s">
        <v>278</v>
      </c>
      <c r="C151" s="110">
        <f>SUM(C$143:C$150)</f>
        <v>0</v>
      </c>
      <c r="D151" s="110">
        <f t="shared" ref="D151:AX151" si="10">SUM(D$143:D$150)</f>
        <v>0</v>
      </c>
      <c r="E151" s="110">
        <f t="shared" si="10"/>
        <v>0</v>
      </c>
      <c r="F151" s="110">
        <f t="shared" si="10"/>
        <v>0</v>
      </c>
      <c r="G151" s="110">
        <f t="shared" si="10"/>
        <v>0</v>
      </c>
      <c r="H151" s="110">
        <f t="shared" si="10"/>
        <v>0</v>
      </c>
      <c r="I151" s="110">
        <f t="shared" si="10"/>
        <v>0</v>
      </c>
      <c r="J151" s="110">
        <f t="shared" si="10"/>
        <v>0</v>
      </c>
      <c r="K151" s="110">
        <f t="shared" si="10"/>
        <v>0</v>
      </c>
      <c r="L151" s="110">
        <f t="shared" si="10"/>
        <v>0</v>
      </c>
      <c r="M151" s="110">
        <f t="shared" si="10"/>
        <v>0</v>
      </c>
      <c r="N151" s="110">
        <f t="shared" si="10"/>
        <v>0</v>
      </c>
      <c r="O151" s="110">
        <f t="shared" si="10"/>
        <v>0</v>
      </c>
      <c r="P151" s="110">
        <f t="shared" si="10"/>
        <v>0</v>
      </c>
      <c r="Q151" s="110">
        <f t="shared" si="10"/>
        <v>0</v>
      </c>
      <c r="R151" s="110">
        <f t="shared" si="10"/>
        <v>0</v>
      </c>
      <c r="S151" s="110">
        <f t="shared" si="10"/>
        <v>0</v>
      </c>
      <c r="T151" s="110">
        <f t="shared" si="10"/>
        <v>0</v>
      </c>
      <c r="U151" s="110">
        <f t="shared" si="10"/>
        <v>0</v>
      </c>
      <c r="V151" s="110">
        <f t="shared" si="10"/>
        <v>0</v>
      </c>
      <c r="W151" s="110">
        <f t="shared" si="10"/>
        <v>0</v>
      </c>
      <c r="X151" s="110">
        <f t="shared" si="10"/>
        <v>0</v>
      </c>
      <c r="Y151" s="110">
        <f t="shared" si="10"/>
        <v>0</v>
      </c>
      <c r="Z151" s="110">
        <f t="shared" si="10"/>
        <v>0</v>
      </c>
      <c r="AA151" s="110">
        <f t="shared" si="10"/>
        <v>0</v>
      </c>
      <c r="AB151" s="110">
        <f t="shared" si="10"/>
        <v>0</v>
      </c>
      <c r="AC151" s="110">
        <f t="shared" si="10"/>
        <v>0</v>
      </c>
      <c r="AD151" s="110">
        <f t="shared" si="10"/>
        <v>0</v>
      </c>
      <c r="AE151" s="110">
        <f t="shared" si="10"/>
        <v>0</v>
      </c>
      <c r="AF151" s="110">
        <f t="shared" si="10"/>
        <v>0</v>
      </c>
      <c r="AG151" s="110">
        <f t="shared" si="10"/>
        <v>0</v>
      </c>
      <c r="AH151" s="110">
        <f t="shared" si="10"/>
        <v>0</v>
      </c>
      <c r="AI151" s="110">
        <f t="shared" si="10"/>
        <v>0</v>
      </c>
      <c r="AJ151" s="110">
        <f t="shared" si="10"/>
        <v>0</v>
      </c>
      <c r="AK151" s="110">
        <f t="shared" si="10"/>
        <v>0</v>
      </c>
      <c r="AL151" s="110">
        <f t="shared" si="10"/>
        <v>0</v>
      </c>
      <c r="AM151" s="110">
        <f t="shared" si="10"/>
        <v>0</v>
      </c>
      <c r="AN151" s="110">
        <f t="shared" si="10"/>
        <v>0</v>
      </c>
      <c r="AO151" s="110">
        <f t="shared" si="10"/>
        <v>0</v>
      </c>
      <c r="AP151" s="110">
        <f t="shared" si="10"/>
        <v>0</v>
      </c>
      <c r="AQ151" s="110">
        <f t="shared" si="10"/>
        <v>0</v>
      </c>
      <c r="AR151" s="110">
        <f t="shared" si="10"/>
        <v>0</v>
      </c>
      <c r="AS151" s="110">
        <f t="shared" si="10"/>
        <v>0</v>
      </c>
      <c r="AT151" s="110">
        <f t="shared" si="10"/>
        <v>0</v>
      </c>
      <c r="AU151" s="110">
        <f t="shared" si="10"/>
        <v>0</v>
      </c>
      <c r="AV151" s="110">
        <f t="shared" si="10"/>
        <v>0</v>
      </c>
      <c r="AW151" s="110">
        <f t="shared" si="10"/>
        <v>0</v>
      </c>
      <c r="AX151" s="110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76"/>
  <sheetViews>
    <sheetView workbookViewId="0">
      <pane xSplit="2" ySplit="6" topLeftCell="C18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5" customWidth="1"/>
    <col min="2" max="2" width="17.7109375" style="105" customWidth="1"/>
    <col min="3" max="51" width="9.140625" style="105"/>
    <col min="52" max="52" width="10.7109375" style="105" customWidth="1"/>
    <col min="53" max="16384" width="9.140625" style="105"/>
  </cols>
  <sheetData>
    <row r="1" spans="1:52" x14ac:dyDescent="0.2">
      <c r="A1" s="107" t="s">
        <v>118</v>
      </c>
    </row>
    <row r="2" spans="1:52" x14ac:dyDescent="0.2">
      <c r="A2" s="105" t="s">
        <v>303</v>
      </c>
      <c r="B2" s="112" t="s">
        <v>7</v>
      </c>
      <c r="E2" s="115"/>
    </row>
    <row r="3" spans="1:52" x14ac:dyDescent="0.2">
      <c r="A3" s="105" t="s">
        <v>286</v>
      </c>
      <c r="B3" s="112">
        <v>250</v>
      </c>
      <c r="E3" s="115"/>
    </row>
    <row r="4" spans="1:52" x14ac:dyDescent="0.2">
      <c r="A4" s="107"/>
      <c r="C4" s="116" t="s">
        <v>287</v>
      </c>
    </row>
    <row r="5" spans="1:52" x14ac:dyDescent="0.2">
      <c r="B5" s="111"/>
      <c r="C5" s="117">
        <v>0</v>
      </c>
      <c r="D5" s="117">
        <v>1</v>
      </c>
      <c r="E5" s="117">
        <v>2</v>
      </c>
      <c r="F5" s="117">
        <v>3</v>
      </c>
      <c r="G5" s="117">
        <v>4</v>
      </c>
      <c r="H5" s="117">
        <v>5</v>
      </c>
      <c r="I5" s="117">
        <v>6</v>
      </c>
      <c r="J5" s="117">
        <v>7</v>
      </c>
      <c r="K5" s="117">
        <v>8</v>
      </c>
      <c r="L5" s="117">
        <v>9</v>
      </c>
      <c r="M5" s="117">
        <v>10</v>
      </c>
      <c r="N5" s="117">
        <v>11</v>
      </c>
      <c r="O5" s="117">
        <v>12</v>
      </c>
      <c r="P5" s="117">
        <v>13</v>
      </c>
      <c r="Q5" s="117">
        <v>14</v>
      </c>
      <c r="R5" s="117">
        <v>15</v>
      </c>
      <c r="S5" s="117">
        <v>16</v>
      </c>
      <c r="T5" s="117">
        <v>17</v>
      </c>
      <c r="U5" s="117">
        <v>18</v>
      </c>
      <c r="V5" s="117">
        <v>19</v>
      </c>
      <c r="W5" s="117">
        <v>20</v>
      </c>
      <c r="X5" s="117">
        <v>21</v>
      </c>
      <c r="Y5" s="117">
        <v>22</v>
      </c>
      <c r="Z5" s="117">
        <v>23</v>
      </c>
      <c r="AA5" s="117">
        <v>24</v>
      </c>
      <c r="AB5" s="117">
        <v>25</v>
      </c>
      <c r="AC5" s="117">
        <v>26</v>
      </c>
      <c r="AD5" s="117">
        <v>27</v>
      </c>
      <c r="AE5" s="117">
        <v>28</v>
      </c>
      <c r="AF5" s="117">
        <v>29</v>
      </c>
      <c r="AG5" s="117">
        <v>30</v>
      </c>
      <c r="AH5" s="117">
        <v>31</v>
      </c>
      <c r="AI5" s="117">
        <v>32</v>
      </c>
      <c r="AJ5" s="117">
        <v>33</v>
      </c>
      <c r="AK5" s="117">
        <v>34</v>
      </c>
      <c r="AL5" s="117">
        <v>35</v>
      </c>
      <c r="AM5" s="117">
        <v>36</v>
      </c>
      <c r="AN5" s="117">
        <v>37</v>
      </c>
      <c r="AO5" s="117">
        <v>38</v>
      </c>
      <c r="AP5" s="117">
        <v>39</v>
      </c>
      <c r="AQ5" s="117">
        <v>40</v>
      </c>
      <c r="AR5" s="117">
        <v>41</v>
      </c>
      <c r="AS5" s="117">
        <v>42</v>
      </c>
      <c r="AT5" s="117">
        <v>43</v>
      </c>
      <c r="AU5" s="117">
        <v>44</v>
      </c>
      <c r="AV5" s="117">
        <v>45</v>
      </c>
      <c r="AW5" s="117">
        <v>46</v>
      </c>
      <c r="AX5" s="117">
        <v>47</v>
      </c>
      <c r="AY5" s="117">
        <v>48</v>
      </c>
    </row>
    <row r="6" spans="1:52" x14ac:dyDescent="0.2">
      <c r="A6" s="107" t="s">
        <v>304</v>
      </c>
      <c r="B6" s="119"/>
      <c r="C6" s="118" t="s">
        <v>288</v>
      </c>
      <c r="D6" s="117" t="s">
        <v>289</v>
      </c>
      <c r="E6" s="117" t="s">
        <v>289</v>
      </c>
      <c r="F6" s="117" t="s">
        <v>289</v>
      </c>
      <c r="G6" s="117" t="s">
        <v>289</v>
      </c>
      <c r="H6" s="117" t="s">
        <v>289</v>
      </c>
      <c r="I6" s="117" t="s">
        <v>289</v>
      </c>
      <c r="J6" s="117" t="s">
        <v>289</v>
      </c>
      <c r="K6" s="117" t="s">
        <v>289</v>
      </c>
      <c r="L6" s="117" t="s">
        <v>289</v>
      </c>
      <c r="M6" s="117" t="s">
        <v>289</v>
      </c>
      <c r="N6" s="117" t="s">
        <v>289</v>
      </c>
      <c r="O6" s="117" t="s">
        <v>289</v>
      </c>
      <c r="P6" s="117" t="s">
        <v>289</v>
      </c>
      <c r="Q6" s="117" t="s">
        <v>289</v>
      </c>
      <c r="R6" s="117" t="s">
        <v>289</v>
      </c>
      <c r="S6" s="117" t="s">
        <v>289</v>
      </c>
      <c r="T6" s="117" t="s">
        <v>289</v>
      </c>
      <c r="U6" s="117" t="s">
        <v>289</v>
      </c>
      <c r="V6" s="117" t="s">
        <v>289</v>
      </c>
      <c r="W6" s="117" t="s">
        <v>289</v>
      </c>
      <c r="X6" s="117" t="s">
        <v>289</v>
      </c>
      <c r="Y6" s="117" t="s">
        <v>289</v>
      </c>
      <c r="Z6" s="117" t="s">
        <v>289</v>
      </c>
      <c r="AA6" s="117" t="s">
        <v>289</v>
      </c>
      <c r="AB6" s="117" t="s">
        <v>289</v>
      </c>
      <c r="AC6" s="117" t="s">
        <v>289</v>
      </c>
      <c r="AD6" s="117" t="s">
        <v>289</v>
      </c>
      <c r="AE6" s="117" t="s">
        <v>289</v>
      </c>
      <c r="AF6" s="117" t="s">
        <v>289</v>
      </c>
      <c r="AG6" s="117" t="s">
        <v>289</v>
      </c>
      <c r="AH6" s="117" t="s">
        <v>289</v>
      </c>
      <c r="AI6" s="117" t="s">
        <v>289</v>
      </c>
      <c r="AJ6" s="117" t="s">
        <v>289</v>
      </c>
      <c r="AK6" s="117" t="s">
        <v>289</v>
      </c>
      <c r="AL6" s="117" t="s">
        <v>289</v>
      </c>
      <c r="AM6" s="117" t="s">
        <v>289</v>
      </c>
      <c r="AN6" s="117" t="s">
        <v>289</v>
      </c>
      <c r="AO6" s="117" t="s">
        <v>289</v>
      </c>
      <c r="AP6" s="117" t="s">
        <v>289</v>
      </c>
      <c r="AQ6" s="117" t="s">
        <v>289</v>
      </c>
      <c r="AR6" s="117" t="s">
        <v>289</v>
      </c>
      <c r="AS6" s="117" t="s">
        <v>289</v>
      </c>
      <c r="AT6" s="117" t="s">
        <v>289</v>
      </c>
      <c r="AU6" s="117" t="s">
        <v>289</v>
      </c>
      <c r="AV6" s="117" t="s">
        <v>289</v>
      </c>
      <c r="AW6" s="117" t="s">
        <v>289</v>
      </c>
      <c r="AX6" s="117" t="s">
        <v>289</v>
      </c>
      <c r="AY6" s="116" t="s">
        <v>290</v>
      </c>
      <c r="AZ6" s="147" t="s">
        <v>150</v>
      </c>
    </row>
    <row r="7" spans="1:52" x14ac:dyDescent="0.2">
      <c r="A7" s="120" t="s">
        <v>125</v>
      </c>
      <c r="B7" s="148">
        <v>1</v>
      </c>
      <c r="C7" s="149" t="s">
        <v>293</v>
      </c>
      <c r="D7" s="149">
        <v>0</v>
      </c>
      <c r="E7" s="149">
        <v>0</v>
      </c>
      <c r="F7" s="149">
        <v>0</v>
      </c>
      <c r="G7" s="149">
        <v>0</v>
      </c>
      <c r="H7" s="149">
        <v>169.50334169835</v>
      </c>
      <c r="I7" s="149">
        <v>169.50334169835</v>
      </c>
      <c r="J7" s="149">
        <v>169.50334169835</v>
      </c>
      <c r="K7" s="149">
        <v>169.50334169835</v>
      </c>
      <c r="L7" s="149">
        <v>135.60267335868002</v>
      </c>
      <c r="M7" s="149">
        <v>135.60267335868002</v>
      </c>
      <c r="N7" s="149">
        <v>135.60267335868002</v>
      </c>
      <c r="O7" s="149">
        <v>135.60267335868002</v>
      </c>
      <c r="P7" s="149">
        <v>135.60267335868002</v>
      </c>
      <c r="Q7" s="149">
        <v>135.60267335868002</v>
      </c>
      <c r="R7" s="149">
        <v>135.60267335868002</v>
      </c>
      <c r="S7" s="149">
        <v>135.60267335868002</v>
      </c>
      <c r="T7" s="149">
        <v>135.60267335868002</v>
      </c>
      <c r="U7" s="149">
        <v>135.60267335868002</v>
      </c>
      <c r="V7" s="149">
        <v>135.60267335868002</v>
      </c>
      <c r="W7" s="149">
        <v>135.60267335868002</v>
      </c>
      <c r="X7" s="149">
        <v>135.60267335868002</v>
      </c>
      <c r="Y7" s="149">
        <v>135.60267335868002</v>
      </c>
      <c r="Z7" s="149">
        <v>135.60267335868002</v>
      </c>
      <c r="AA7" s="149">
        <v>135.60267335868002</v>
      </c>
      <c r="AB7" s="149">
        <v>135.60267335868002</v>
      </c>
      <c r="AC7" s="149">
        <v>135.60267335868002</v>
      </c>
      <c r="AD7" s="149">
        <v>135.60267335868002</v>
      </c>
      <c r="AE7" s="149">
        <v>135.60267335868002</v>
      </c>
      <c r="AF7" s="149">
        <v>135.60267335868002</v>
      </c>
      <c r="AG7" s="149">
        <v>135.60267335868002</v>
      </c>
      <c r="AH7" s="149">
        <v>135.60267335868002</v>
      </c>
      <c r="AI7" s="149">
        <v>135.60267335868002</v>
      </c>
      <c r="AJ7" s="149">
        <v>135.60267335868002</v>
      </c>
      <c r="AK7" s="149">
        <v>135.60267335868002</v>
      </c>
      <c r="AL7" s="149">
        <v>135.60267335868002</v>
      </c>
      <c r="AM7" s="149">
        <v>135.60267335868002</v>
      </c>
      <c r="AN7" s="149">
        <v>135.60267335868002</v>
      </c>
      <c r="AO7" s="149">
        <v>135.60267335868002</v>
      </c>
      <c r="AP7" s="149">
        <v>135.60267335868002</v>
      </c>
      <c r="AQ7" s="149">
        <v>135.60267335868002</v>
      </c>
      <c r="AR7" s="149">
        <v>135.60267335868002</v>
      </c>
      <c r="AS7" s="149">
        <v>135.60267335868002</v>
      </c>
      <c r="AT7" s="149">
        <v>135.60267335868002</v>
      </c>
      <c r="AU7" s="149">
        <v>135.60267335868002</v>
      </c>
      <c r="AV7" s="149">
        <v>135.60267335868002</v>
      </c>
      <c r="AW7" s="149">
        <v>135.60267335868002</v>
      </c>
      <c r="AX7" s="149">
        <v>135.60267335868002</v>
      </c>
      <c r="AY7" s="149">
        <v>135.60267335868002</v>
      </c>
      <c r="AZ7" s="111"/>
    </row>
    <row r="8" spans="1:52" x14ac:dyDescent="0.2">
      <c r="A8" s="150"/>
      <c r="B8" s="151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150"/>
      <c r="AY8" s="150"/>
      <c r="AZ8" s="152"/>
    </row>
    <row r="9" spans="1:52" x14ac:dyDescent="0.2">
      <c r="A9" s="107" t="s">
        <v>294</v>
      </c>
      <c r="B9" s="153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11"/>
      <c r="AD9" s="111"/>
      <c r="AE9" s="111"/>
      <c r="AF9" s="111"/>
      <c r="AG9" s="111"/>
      <c r="AH9" s="111"/>
      <c r="AI9" s="111"/>
      <c r="AJ9" s="111"/>
      <c r="AK9" s="111"/>
      <c r="AL9" s="111"/>
      <c r="AM9" s="111"/>
      <c r="AN9" s="111"/>
      <c r="AO9" s="111"/>
      <c r="AP9" s="111"/>
      <c r="AQ9" s="111"/>
      <c r="AR9" s="111"/>
      <c r="AS9" s="111"/>
      <c r="AT9" s="111"/>
      <c r="AU9" s="111"/>
      <c r="AV9" s="111"/>
      <c r="AW9" s="111"/>
      <c r="AX9" s="111"/>
      <c r="AY9" s="111"/>
      <c r="AZ9" s="111"/>
    </row>
    <row r="10" spans="1:52" x14ac:dyDescent="0.2">
      <c r="A10" s="154" t="s">
        <v>125</v>
      </c>
      <c r="B10" s="155">
        <v>1</v>
      </c>
      <c r="C10" s="149" t="s">
        <v>293</v>
      </c>
      <c r="D10" s="149">
        <f t="shared" ref="D10:AY10" si="0">MAX(SUM(D$14:D$16)+D$7-$B$3,0)</f>
        <v>0</v>
      </c>
      <c r="E10" s="149">
        <f t="shared" si="0"/>
        <v>0</v>
      </c>
      <c r="F10" s="149">
        <f t="shared" si="0"/>
        <v>0</v>
      </c>
      <c r="G10" s="149">
        <f t="shared" si="0"/>
        <v>0</v>
      </c>
      <c r="H10" s="149">
        <f t="shared" si="0"/>
        <v>0</v>
      </c>
      <c r="I10" s="149">
        <f t="shared" si="0"/>
        <v>0</v>
      </c>
      <c r="J10" s="149">
        <f t="shared" si="0"/>
        <v>0</v>
      </c>
      <c r="K10" s="149">
        <f t="shared" si="0"/>
        <v>0</v>
      </c>
      <c r="L10" s="149">
        <f t="shared" si="0"/>
        <v>0</v>
      </c>
      <c r="M10" s="149">
        <f t="shared" si="0"/>
        <v>0</v>
      </c>
      <c r="N10" s="149">
        <f t="shared" si="0"/>
        <v>0</v>
      </c>
      <c r="O10" s="149">
        <f t="shared" si="0"/>
        <v>0</v>
      </c>
      <c r="P10" s="149">
        <f t="shared" si="0"/>
        <v>0</v>
      </c>
      <c r="Q10" s="149">
        <f t="shared" si="0"/>
        <v>0</v>
      </c>
      <c r="R10" s="149">
        <f t="shared" si="0"/>
        <v>0</v>
      </c>
      <c r="S10" s="149">
        <f t="shared" si="0"/>
        <v>21.205346717360044</v>
      </c>
      <c r="T10" s="149">
        <f t="shared" si="0"/>
        <v>0</v>
      </c>
      <c r="U10" s="149">
        <f t="shared" si="0"/>
        <v>0</v>
      </c>
      <c r="V10" s="149">
        <f t="shared" si="0"/>
        <v>0</v>
      </c>
      <c r="W10" s="149">
        <f t="shared" si="0"/>
        <v>0</v>
      </c>
      <c r="X10" s="149">
        <f t="shared" si="0"/>
        <v>0</v>
      </c>
      <c r="Y10" s="149">
        <f t="shared" si="0"/>
        <v>0</v>
      </c>
      <c r="Z10" s="149">
        <f t="shared" si="0"/>
        <v>0</v>
      </c>
      <c r="AA10" s="149">
        <f t="shared" si="0"/>
        <v>0</v>
      </c>
      <c r="AB10" s="149">
        <f t="shared" si="0"/>
        <v>0</v>
      </c>
      <c r="AC10" s="149">
        <f t="shared" si="0"/>
        <v>0</v>
      </c>
      <c r="AD10" s="149">
        <f t="shared" si="0"/>
        <v>0</v>
      </c>
      <c r="AE10" s="149">
        <f t="shared" si="0"/>
        <v>0</v>
      </c>
      <c r="AF10" s="149">
        <f t="shared" si="0"/>
        <v>0</v>
      </c>
      <c r="AG10" s="149">
        <f t="shared" si="0"/>
        <v>0</v>
      </c>
      <c r="AH10" s="149">
        <f t="shared" si="0"/>
        <v>0</v>
      </c>
      <c r="AI10" s="149">
        <f t="shared" si="0"/>
        <v>0</v>
      </c>
      <c r="AJ10" s="149">
        <f t="shared" si="0"/>
        <v>0</v>
      </c>
      <c r="AK10" s="149">
        <f t="shared" si="0"/>
        <v>0</v>
      </c>
      <c r="AL10" s="149">
        <f t="shared" si="0"/>
        <v>0</v>
      </c>
      <c r="AM10" s="149">
        <f t="shared" si="0"/>
        <v>0</v>
      </c>
      <c r="AN10" s="149">
        <f t="shared" si="0"/>
        <v>0</v>
      </c>
      <c r="AO10" s="149">
        <f t="shared" si="0"/>
        <v>0</v>
      </c>
      <c r="AP10" s="149">
        <f t="shared" si="0"/>
        <v>0</v>
      </c>
      <c r="AQ10" s="149">
        <f t="shared" si="0"/>
        <v>0</v>
      </c>
      <c r="AR10" s="149">
        <f t="shared" si="0"/>
        <v>0</v>
      </c>
      <c r="AS10" s="149">
        <f t="shared" si="0"/>
        <v>0</v>
      </c>
      <c r="AT10" s="149">
        <f t="shared" si="0"/>
        <v>0</v>
      </c>
      <c r="AU10" s="149">
        <f t="shared" si="0"/>
        <v>0</v>
      </c>
      <c r="AV10" s="149">
        <f t="shared" si="0"/>
        <v>0</v>
      </c>
      <c r="AW10" s="149">
        <f t="shared" si="0"/>
        <v>0</v>
      </c>
      <c r="AX10" s="149">
        <f t="shared" si="0"/>
        <v>0</v>
      </c>
      <c r="AY10" s="149">
        <f t="shared" si="0"/>
        <v>0</v>
      </c>
      <c r="AZ10" s="156">
        <f>SUM($D10:$AY10)</f>
        <v>21.205346717360044</v>
      </c>
    </row>
    <row r="11" spans="1:52" x14ac:dyDescent="0.2">
      <c r="C11" s="115"/>
    </row>
    <row r="12" spans="1:52" x14ac:dyDescent="0.2">
      <c r="A12" s="157" t="s">
        <v>295</v>
      </c>
      <c r="B12" s="151"/>
      <c r="C12" s="115"/>
    </row>
    <row r="13" spans="1:52" x14ac:dyDescent="0.2">
      <c r="A13" s="127" t="s">
        <v>125</v>
      </c>
      <c r="B13" s="128">
        <v>1</v>
      </c>
      <c r="C13" s="129">
        <v>193</v>
      </c>
      <c r="D13" s="143">
        <f t="shared" ref="D13:AY13" si="1">D$7-D$10</f>
        <v>0</v>
      </c>
      <c r="E13" s="143">
        <f t="shared" si="1"/>
        <v>0</v>
      </c>
      <c r="F13" s="143">
        <f t="shared" si="1"/>
        <v>0</v>
      </c>
      <c r="G13" s="143">
        <f t="shared" si="1"/>
        <v>0</v>
      </c>
      <c r="H13" s="143">
        <f t="shared" si="1"/>
        <v>169.50334169835</v>
      </c>
      <c r="I13" s="143">
        <f t="shared" si="1"/>
        <v>169.50334169835</v>
      </c>
      <c r="J13" s="143">
        <f t="shared" si="1"/>
        <v>169.50334169835</v>
      </c>
      <c r="K13" s="143">
        <f t="shared" si="1"/>
        <v>169.50334169835</v>
      </c>
      <c r="L13" s="143">
        <f t="shared" si="1"/>
        <v>135.60267335868002</v>
      </c>
      <c r="M13" s="143">
        <f t="shared" si="1"/>
        <v>135.60267335868002</v>
      </c>
      <c r="N13" s="143">
        <f t="shared" si="1"/>
        <v>135.60267335868002</v>
      </c>
      <c r="O13" s="143">
        <f t="shared" si="1"/>
        <v>135.60267335868002</v>
      </c>
      <c r="P13" s="143">
        <f t="shared" si="1"/>
        <v>135.60267335868002</v>
      </c>
      <c r="Q13" s="143">
        <f t="shared" si="1"/>
        <v>135.60267335868002</v>
      </c>
      <c r="R13" s="143">
        <f t="shared" si="1"/>
        <v>135.60267335868002</v>
      </c>
      <c r="S13" s="143">
        <f t="shared" si="1"/>
        <v>114.39732664131998</v>
      </c>
      <c r="T13" s="143">
        <f t="shared" si="1"/>
        <v>135.60267335868002</v>
      </c>
      <c r="U13" s="143">
        <f t="shared" si="1"/>
        <v>135.60267335868002</v>
      </c>
      <c r="V13" s="143">
        <f t="shared" si="1"/>
        <v>135.60267335868002</v>
      </c>
      <c r="W13" s="143">
        <f t="shared" si="1"/>
        <v>135.60267335868002</v>
      </c>
      <c r="X13" s="143">
        <f t="shared" si="1"/>
        <v>135.60267335868002</v>
      </c>
      <c r="Y13" s="143">
        <f t="shared" si="1"/>
        <v>135.60267335868002</v>
      </c>
      <c r="Z13" s="143">
        <f t="shared" si="1"/>
        <v>135.60267335868002</v>
      </c>
      <c r="AA13" s="143">
        <f t="shared" si="1"/>
        <v>135.60267335868002</v>
      </c>
      <c r="AB13" s="143">
        <f t="shared" si="1"/>
        <v>135.60267335868002</v>
      </c>
      <c r="AC13" s="143">
        <f t="shared" si="1"/>
        <v>135.60267335868002</v>
      </c>
      <c r="AD13" s="143">
        <f t="shared" si="1"/>
        <v>135.60267335868002</v>
      </c>
      <c r="AE13" s="143">
        <f t="shared" si="1"/>
        <v>135.60267335868002</v>
      </c>
      <c r="AF13" s="143">
        <f t="shared" si="1"/>
        <v>135.60267335868002</v>
      </c>
      <c r="AG13" s="143">
        <f t="shared" si="1"/>
        <v>135.60267335868002</v>
      </c>
      <c r="AH13" s="143">
        <f t="shared" si="1"/>
        <v>135.60267335868002</v>
      </c>
      <c r="AI13" s="143">
        <f t="shared" si="1"/>
        <v>135.60267335868002</v>
      </c>
      <c r="AJ13" s="143">
        <f t="shared" si="1"/>
        <v>135.60267335868002</v>
      </c>
      <c r="AK13" s="143">
        <f t="shared" si="1"/>
        <v>135.60267335868002</v>
      </c>
      <c r="AL13" s="143">
        <f t="shared" si="1"/>
        <v>135.60267335868002</v>
      </c>
      <c r="AM13" s="143">
        <f t="shared" si="1"/>
        <v>135.60267335868002</v>
      </c>
      <c r="AN13" s="143">
        <f t="shared" si="1"/>
        <v>135.60267335868002</v>
      </c>
      <c r="AO13" s="143">
        <f t="shared" si="1"/>
        <v>135.60267335868002</v>
      </c>
      <c r="AP13" s="143">
        <f t="shared" si="1"/>
        <v>135.60267335868002</v>
      </c>
      <c r="AQ13" s="143">
        <f t="shared" si="1"/>
        <v>135.60267335868002</v>
      </c>
      <c r="AR13" s="143">
        <f t="shared" si="1"/>
        <v>135.60267335868002</v>
      </c>
      <c r="AS13" s="143">
        <f t="shared" si="1"/>
        <v>135.60267335868002</v>
      </c>
      <c r="AT13" s="143">
        <f t="shared" si="1"/>
        <v>135.60267335868002</v>
      </c>
      <c r="AU13" s="143">
        <f t="shared" si="1"/>
        <v>135.60267335868002</v>
      </c>
      <c r="AV13" s="143">
        <f t="shared" si="1"/>
        <v>135.60267335868002</v>
      </c>
      <c r="AW13" s="143">
        <f t="shared" si="1"/>
        <v>135.60267335868002</v>
      </c>
      <c r="AX13" s="143">
        <f t="shared" si="1"/>
        <v>135.60267335868002</v>
      </c>
      <c r="AY13" s="143">
        <f t="shared" si="1"/>
        <v>135.60267335868002</v>
      </c>
      <c r="AZ13" s="114"/>
    </row>
    <row r="14" spans="1:52" x14ac:dyDescent="0.2">
      <c r="A14" s="115"/>
      <c r="B14" s="125">
        <v>2</v>
      </c>
      <c r="C14" s="115">
        <v>0</v>
      </c>
      <c r="D14" s="111">
        <f>IF(C$20="Yes",C13,0)</f>
        <v>0</v>
      </c>
      <c r="E14" s="111">
        <f t="shared" ref="E14:AY17" si="2">IF(D$20="Yes",D13,0)</f>
        <v>0</v>
      </c>
      <c r="F14" s="111">
        <f t="shared" si="2"/>
        <v>0</v>
      </c>
      <c r="G14" s="111">
        <f t="shared" si="2"/>
        <v>0</v>
      </c>
      <c r="H14" s="111">
        <f t="shared" si="2"/>
        <v>0</v>
      </c>
      <c r="I14" s="111">
        <f t="shared" si="2"/>
        <v>0</v>
      </c>
      <c r="J14" s="111">
        <f t="shared" si="2"/>
        <v>0</v>
      </c>
      <c r="K14" s="111">
        <f t="shared" si="2"/>
        <v>0</v>
      </c>
      <c r="L14" s="111">
        <f t="shared" si="2"/>
        <v>0</v>
      </c>
      <c r="M14" s="111">
        <f t="shared" si="2"/>
        <v>0</v>
      </c>
      <c r="N14" s="111">
        <f t="shared" si="2"/>
        <v>0</v>
      </c>
      <c r="O14" s="111">
        <f t="shared" si="2"/>
        <v>0</v>
      </c>
      <c r="P14" s="111">
        <f t="shared" si="2"/>
        <v>0</v>
      </c>
      <c r="Q14" s="111">
        <f t="shared" si="2"/>
        <v>0</v>
      </c>
      <c r="R14" s="111">
        <f t="shared" si="2"/>
        <v>0</v>
      </c>
      <c r="S14" s="111">
        <f t="shared" si="2"/>
        <v>135.60267335868002</v>
      </c>
      <c r="T14" s="111">
        <f t="shared" si="2"/>
        <v>0</v>
      </c>
      <c r="U14" s="111">
        <f t="shared" si="2"/>
        <v>0</v>
      </c>
      <c r="V14" s="111">
        <f t="shared" si="2"/>
        <v>0</v>
      </c>
      <c r="W14" s="111">
        <f t="shared" si="2"/>
        <v>0</v>
      </c>
      <c r="X14" s="111">
        <f t="shared" si="2"/>
        <v>0</v>
      </c>
      <c r="Y14" s="111">
        <f t="shared" si="2"/>
        <v>0</v>
      </c>
      <c r="Z14" s="111">
        <f t="shared" si="2"/>
        <v>0</v>
      </c>
      <c r="AA14" s="111">
        <f t="shared" si="2"/>
        <v>0</v>
      </c>
      <c r="AB14" s="111">
        <f t="shared" si="2"/>
        <v>0</v>
      </c>
      <c r="AC14" s="111">
        <f t="shared" si="2"/>
        <v>0</v>
      </c>
      <c r="AD14" s="111">
        <f t="shared" si="2"/>
        <v>0</v>
      </c>
      <c r="AE14" s="111">
        <f t="shared" si="2"/>
        <v>0</v>
      </c>
      <c r="AF14" s="111">
        <f t="shared" si="2"/>
        <v>0</v>
      </c>
      <c r="AG14" s="111">
        <f t="shared" si="2"/>
        <v>0</v>
      </c>
      <c r="AH14" s="111">
        <f t="shared" si="2"/>
        <v>0</v>
      </c>
      <c r="AI14" s="111">
        <f t="shared" si="2"/>
        <v>0</v>
      </c>
      <c r="AJ14" s="111">
        <f t="shared" si="2"/>
        <v>0</v>
      </c>
      <c r="AK14" s="111">
        <f t="shared" si="2"/>
        <v>0</v>
      </c>
      <c r="AL14" s="111">
        <f t="shared" si="2"/>
        <v>0</v>
      </c>
      <c r="AM14" s="111">
        <f t="shared" si="2"/>
        <v>0</v>
      </c>
      <c r="AN14" s="111">
        <f t="shared" si="2"/>
        <v>0</v>
      </c>
      <c r="AO14" s="111">
        <f t="shared" si="2"/>
        <v>0</v>
      </c>
      <c r="AP14" s="111">
        <f t="shared" si="2"/>
        <v>0</v>
      </c>
      <c r="AQ14" s="111">
        <f t="shared" si="2"/>
        <v>0</v>
      </c>
      <c r="AR14" s="111">
        <f t="shared" si="2"/>
        <v>0</v>
      </c>
      <c r="AS14" s="111">
        <f t="shared" si="2"/>
        <v>0</v>
      </c>
      <c r="AT14" s="111">
        <f t="shared" si="2"/>
        <v>0</v>
      </c>
      <c r="AU14" s="111">
        <f t="shared" si="2"/>
        <v>0</v>
      </c>
      <c r="AV14" s="111">
        <f t="shared" si="2"/>
        <v>0</v>
      </c>
      <c r="AW14" s="111">
        <f t="shared" si="2"/>
        <v>0</v>
      </c>
      <c r="AX14" s="111">
        <f t="shared" si="2"/>
        <v>0</v>
      </c>
      <c r="AY14" s="111">
        <f t="shared" si="2"/>
        <v>0</v>
      </c>
      <c r="AZ14" s="114"/>
    </row>
    <row r="15" spans="1:52" x14ac:dyDescent="0.2">
      <c r="A15" s="115"/>
      <c r="B15" s="132">
        <v>3</v>
      </c>
      <c r="C15" s="115">
        <v>0</v>
      </c>
      <c r="D15" s="111">
        <f>IF(C$20="Yes",C14,0)</f>
        <v>0</v>
      </c>
      <c r="E15" s="111">
        <f t="shared" si="2"/>
        <v>0</v>
      </c>
      <c r="F15" s="111">
        <f t="shared" si="2"/>
        <v>0</v>
      </c>
      <c r="G15" s="111">
        <f t="shared" si="2"/>
        <v>0</v>
      </c>
      <c r="H15" s="111">
        <f t="shared" si="2"/>
        <v>0</v>
      </c>
      <c r="I15" s="111">
        <f t="shared" si="2"/>
        <v>0</v>
      </c>
      <c r="J15" s="111">
        <f t="shared" si="2"/>
        <v>0</v>
      </c>
      <c r="K15" s="111">
        <f t="shared" si="2"/>
        <v>0</v>
      </c>
      <c r="L15" s="111">
        <f t="shared" si="2"/>
        <v>0</v>
      </c>
      <c r="M15" s="111">
        <f t="shared" si="2"/>
        <v>0</v>
      </c>
      <c r="N15" s="111">
        <f t="shared" si="2"/>
        <v>0</v>
      </c>
      <c r="O15" s="111">
        <f t="shared" si="2"/>
        <v>0</v>
      </c>
      <c r="P15" s="111">
        <f t="shared" si="2"/>
        <v>0</v>
      </c>
      <c r="Q15" s="111">
        <f t="shared" si="2"/>
        <v>0</v>
      </c>
      <c r="R15" s="111">
        <f t="shared" si="2"/>
        <v>0</v>
      </c>
      <c r="S15" s="111">
        <f t="shared" si="2"/>
        <v>0</v>
      </c>
      <c r="T15" s="111">
        <f t="shared" si="2"/>
        <v>0</v>
      </c>
      <c r="U15" s="111">
        <f t="shared" si="2"/>
        <v>0</v>
      </c>
      <c r="V15" s="111">
        <f t="shared" si="2"/>
        <v>0</v>
      </c>
      <c r="W15" s="111">
        <f t="shared" si="2"/>
        <v>0</v>
      </c>
      <c r="X15" s="111">
        <f t="shared" si="2"/>
        <v>0</v>
      </c>
      <c r="Y15" s="111">
        <f t="shared" si="2"/>
        <v>0</v>
      </c>
      <c r="Z15" s="111">
        <f t="shared" si="2"/>
        <v>0</v>
      </c>
      <c r="AA15" s="111">
        <f t="shared" si="2"/>
        <v>0</v>
      </c>
      <c r="AB15" s="111">
        <f t="shared" si="2"/>
        <v>0</v>
      </c>
      <c r="AC15" s="111">
        <f t="shared" si="2"/>
        <v>0</v>
      </c>
      <c r="AD15" s="111">
        <f t="shared" si="2"/>
        <v>0</v>
      </c>
      <c r="AE15" s="111">
        <f t="shared" si="2"/>
        <v>0</v>
      </c>
      <c r="AF15" s="111">
        <f t="shared" si="2"/>
        <v>0</v>
      </c>
      <c r="AG15" s="111">
        <f t="shared" si="2"/>
        <v>0</v>
      </c>
      <c r="AH15" s="111">
        <f t="shared" si="2"/>
        <v>0</v>
      </c>
      <c r="AI15" s="111">
        <f t="shared" si="2"/>
        <v>0</v>
      </c>
      <c r="AJ15" s="111">
        <f t="shared" si="2"/>
        <v>0</v>
      </c>
      <c r="AK15" s="111">
        <f t="shared" si="2"/>
        <v>0</v>
      </c>
      <c r="AL15" s="111">
        <f t="shared" si="2"/>
        <v>0</v>
      </c>
      <c r="AM15" s="111">
        <f t="shared" si="2"/>
        <v>0</v>
      </c>
      <c r="AN15" s="111">
        <f t="shared" si="2"/>
        <v>0</v>
      </c>
      <c r="AO15" s="111">
        <f t="shared" si="2"/>
        <v>0</v>
      </c>
      <c r="AP15" s="111">
        <f t="shared" si="2"/>
        <v>0</v>
      </c>
      <c r="AQ15" s="111">
        <f t="shared" si="2"/>
        <v>0</v>
      </c>
      <c r="AR15" s="111">
        <f t="shared" si="2"/>
        <v>0</v>
      </c>
      <c r="AS15" s="111">
        <f t="shared" si="2"/>
        <v>0</v>
      </c>
      <c r="AT15" s="111">
        <f t="shared" si="2"/>
        <v>0</v>
      </c>
      <c r="AU15" s="111">
        <f t="shared" si="2"/>
        <v>0</v>
      </c>
      <c r="AV15" s="111">
        <f t="shared" si="2"/>
        <v>0</v>
      </c>
      <c r="AW15" s="111">
        <f t="shared" si="2"/>
        <v>0</v>
      </c>
      <c r="AX15" s="111">
        <f t="shared" si="2"/>
        <v>0</v>
      </c>
      <c r="AY15" s="111">
        <f t="shared" si="2"/>
        <v>0</v>
      </c>
      <c r="AZ15" s="114"/>
    </row>
    <row r="16" spans="1:52" x14ac:dyDescent="0.2">
      <c r="A16" s="115"/>
      <c r="B16" s="135">
        <v>4</v>
      </c>
      <c r="C16" s="115">
        <v>0</v>
      </c>
      <c r="D16" s="111">
        <f>IF(C$20="Yes",C15,0)</f>
        <v>0</v>
      </c>
      <c r="E16" s="111">
        <f t="shared" si="2"/>
        <v>0</v>
      </c>
      <c r="F16" s="111">
        <f t="shared" si="2"/>
        <v>0</v>
      </c>
      <c r="G16" s="111">
        <f t="shared" si="2"/>
        <v>0</v>
      </c>
      <c r="H16" s="111">
        <f t="shared" si="2"/>
        <v>0</v>
      </c>
      <c r="I16" s="111">
        <f t="shared" si="2"/>
        <v>0</v>
      </c>
      <c r="J16" s="111">
        <f t="shared" si="2"/>
        <v>0</v>
      </c>
      <c r="K16" s="111">
        <f t="shared" si="2"/>
        <v>0</v>
      </c>
      <c r="L16" s="111">
        <f t="shared" si="2"/>
        <v>0</v>
      </c>
      <c r="M16" s="111">
        <f t="shared" si="2"/>
        <v>0</v>
      </c>
      <c r="N16" s="111">
        <f t="shared" si="2"/>
        <v>0</v>
      </c>
      <c r="O16" s="111">
        <f t="shared" si="2"/>
        <v>0</v>
      </c>
      <c r="P16" s="111">
        <f t="shared" si="2"/>
        <v>0</v>
      </c>
      <c r="Q16" s="111">
        <f t="shared" si="2"/>
        <v>0</v>
      </c>
      <c r="R16" s="111">
        <f t="shared" si="2"/>
        <v>0</v>
      </c>
      <c r="S16" s="111">
        <f t="shared" si="2"/>
        <v>0</v>
      </c>
      <c r="T16" s="111">
        <f t="shared" si="2"/>
        <v>0</v>
      </c>
      <c r="U16" s="111">
        <f t="shared" si="2"/>
        <v>0</v>
      </c>
      <c r="V16" s="111">
        <f t="shared" si="2"/>
        <v>0</v>
      </c>
      <c r="W16" s="111">
        <f t="shared" si="2"/>
        <v>0</v>
      </c>
      <c r="X16" s="111">
        <f t="shared" si="2"/>
        <v>0</v>
      </c>
      <c r="Y16" s="111">
        <f t="shared" si="2"/>
        <v>0</v>
      </c>
      <c r="Z16" s="111">
        <f t="shared" si="2"/>
        <v>0</v>
      </c>
      <c r="AA16" s="111">
        <f t="shared" si="2"/>
        <v>0</v>
      </c>
      <c r="AB16" s="111">
        <f t="shared" si="2"/>
        <v>0</v>
      </c>
      <c r="AC16" s="111">
        <f t="shared" si="2"/>
        <v>0</v>
      </c>
      <c r="AD16" s="111">
        <f t="shared" si="2"/>
        <v>0</v>
      </c>
      <c r="AE16" s="111">
        <f t="shared" si="2"/>
        <v>0</v>
      </c>
      <c r="AF16" s="111">
        <f t="shared" si="2"/>
        <v>0</v>
      </c>
      <c r="AG16" s="111">
        <f t="shared" si="2"/>
        <v>0</v>
      </c>
      <c r="AH16" s="111">
        <f t="shared" si="2"/>
        <v>0</v>
      </c>
      <c r="AI16" s="111">
        <f t="shared" si="2"/>
        <v>0</v>
      </c>
      <c r="AJ16" s="111">
        <f t="shared" si="2"/>
        <v>0</v>
      </c>
      <c r="AK16" s="111">
        <f t="shared" si="2"/>
        <v>0</v>
      </c>
      <c r="AL16" s="111">
        <f t="shared" si="2"/>
        <v>0</v>
      </c>
      <c r="AM16" s="111">
        <f t="shared" si="2"/>
        <v>0</v>
      </c>
      <c r="AN16" s="111">
        <f t="shared" si="2"/>
        <v>0</v>
      </c>
      <c r="AO16" s="111">
        <f t="shared" si="2"/>
        <v>0</v>
      </c>
      <c r="AP16" s="111">
        <f t="shared" si="2"/>
        <v>0</v>
      </c>
      <c r="AQ16" s="111">
        <f t="shared" si="2"/>
        <v>0</v>
      </c>
      <c r="AR16" s="111">
        <f t="shared" si="2"/>
        <v>0</v>
      </c>
      <c r="AS16" s="111">
        <f t="shared" si="2"/>
        <v>0</v>
      </c>
      <c r="AT16" s="111">
        <f t="shared" si="2"/>
        <v>0</v>
      </c>
      <c r="AU16" s="111">
        <f t="shared" si="2"/>
        <v>0</v>
      </c>
      <c r="AV16" s="111">
        <f t="shared" si="2"/>
        <v>0</v>
      </c>
      <c r="AW16" s="111">
        <f t="shared" si="2"/>
        <v>0</v>
      </c>
      <c r="AX16" s="111">
        <f t="shared" si="2"/>
        <v>0</v>
      </c>
      <c r="AY16" s="111">
        <f t="shared" si="2"/>
        <v>0</v>
      </c>
      <c r="AZ16" s="133"/>
    </row>
    <row r="17" spans="1:52" x14ac:dyDescent="0.2">
      <c r="A17" s="130"/>
      <c r="B17" s="137" t="s">
        <v>296</v>
      </c>
      <c r="C17" s="130">
        <v>0</v>
      </c>
      <c r="D17" s="119">
        <f>IF(C$20="Yes",C16,0)</f>
        <v>0</v>
      </c>
      <c r="E17" s="119">
        <f t="shared" si="2"/>
        <v>0</v>
      </c>
      <c r="F17" s="119">
        <f t="shared" si="2"/>
        <v>0</v>
      </c>
      <c r="G17" s="119">
        <f t="shared" si="2"/>
        <v>0</v>
      </c>
      <c r="H17" s="119">
        <f t="shared" si="2"/>
        <v>0</v>
      </c>
      <c r="I17" s="119">
        <f t="shared" si="2"/>
        <v>0</v>
      </c>
      <c r="J17" s="119">
        <f t="shared" si="2"/>
        <v>0</v>
      </c>
      <c r="K17" s="119">
        <f t="shared" si="2"/>
        <v>0</v>
      </c>
      <c r="L17" s="119">
        <f t="shared" si="2"/>
        <v>0</v>
      </c>
      <c r="M17" s="119">
        <f t="shared" si="2"/>
        <v>0</v>
      </c>
      <c r="N17" s="119">
        <f t="shared" si="2"/>
        <v>0</v>
      </c>
      <c r="O17" s="119">
        <f t="shared" si="2"/>
        <v>0</v>
      </c>
      <c r="P17" s="119">
        <f t="shared" si="2"/>
        <v>0</v>
      </c>
      <c r="Q17" s="119">
        <f t="shared" si="2"/>
        <v>0</v>
      </c>
      <c r="R17" s="119">
        <f t="shared" si="2"/>
        <v>0</v>
      </c>
      <c r="S17" s="119">
        <f t="shared" si="2"/>
        <v>0</v>
      </c>
      <c r="T17" s="119">
        <f t="shared" si="2"/>
        <v>0</v>
      </c>
      <c r="U17" s="119">
        <f t="shared" si="2"/>
        <v>0</v>
      </c>
      <c r="V17" s="119">
        <f t="shared" si="2"/>
        <v>0</v>
      </c>
      <c r="W17" s="119">
        <f t="shared" si="2"/>
        <v>0</v>
      </c>
      <c r="X17" s="119">
        <f t="shared" si="2"/>
        <v>0</v>
      </c>
      <c r="Y17" s="119">
        <f t="shared" si="2"/>
        <v>0</v>
      </c>
      <c r="Z17" s="119">
        <f t="shared" si="2"/>
        <v>0</v>
      </c>
      <c r="AA17" s="119">
        <f t="shared" si="2"/>
        <v>0</v>
      </c>
      <c r="AB17" s="119">
        <f t="shared" si="2"/>
        <v>0</v>
      </c>
      <c r="AC17" s="119">
        <f t="shared" si="2"/>
        <v>0</v>
      </c>
      <c r="AD17" s="119">
        <f t="shared" si="2"/>
        <v>0</v>
      </c>
      <c r="AE17" s="119">
        <f t="shared" si="2"/>
        <v>0</v>
      </c>
      <c r="AF17" s="119">
        <f t="shared" si="2"/>
        <v>0</v>
      </c>
      <c r="AG17" s="119">
        <f t="shared" si="2"/>
        <v>0</v>
      </c>
      <c r="AH17" s="119">
        <f t="shared" si="2"/>
        <v>0</v>
      </c>
      <c r="AI17" s="119">
        <f t="shared" si="2"/>
        <v>0</v>
      </c>
      <c r="AJ17" s="119">
        <f t="shared" si="2"/>
        <v>0</v>
      </c>
      <c r="AK17" s="119">
        <f t="shared" si="2"/>
        <v>0</v>
      </c>
      <c r="AL17" s="119">
        <f t="shared" si="2"/>
        <v>0</v>
      </c>
      <c r="AM17" s="119">
        <f t="shared" si="2"/>
        <v>0</v>
      </c>
      <c r="AN17" s="119">
        <f t="shared" si="2"/>
        <v>0</v>
      </c>
      <c r="AO17" s="119">
        <f t="shared" si="2"/>
        <v>0</v>
      </c>
      <c r="AP17" s="119">
        <f t="shared" si="2"/>
        <v>0</v>
      </c>
      <c r="AQ17" s="119">
        <f t="shared" si="2"/>
        <v>0</v>
      </c>
      <c r="AR17" s="119">
        <f t="shared" si="2"/>
        <v>0</v>
      </c>
      <c r="AS17" s="119">
        <f t="shared" si="2"/>
        <v>0</v>
      </c>
      <c r="AT17" s="119">
        <f t="shared" si="2"/>
        <v>0</v>
      </c>
      <c r="AU17" s="119">
        <f t="shared" si="2"/>
        <v>0</v>
      </c>
      <c r="AV17" s="119">
        <f t="shared" si="2"/>
        <v>0</v>
      </c>
      <c r="AW17" s="119">
        <f t="shared" si="2"/>
        <v>0</v>
      </c>
      <c r="AX17" s="119">
        <f t="shared" si="2"/>
        <v>0</v>
      </c>
      <c r="AY17" s="119">
        <f t="shared" si="2"/>
        <v>0</v>
      </c>
      <c r="AZ17" s="156">
        <f>SUM($D$17:$AY$17)</f>
        <v>0</v>
      </c>
    </row>
    <row r="18" spans="1:52" x14ac:dyDescent="0.2">
      <c r="A18" s="111"/>
      <c r="B18" s="158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  <c r="AO18" s="143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11"/>
    </row>
    <row r="19" spans="1:52" x14ac:dyDescent="0.2">
      <c r="A19" s="107" t="s">
        <v>116</v>
      </c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</row>
    <row r="20" spans="1:52" s="115" customFormat="1" x14ac:dyDescent="0.2">
      <c r="A20" s="120" t="s">
        <v>305</v>
      </c>
      <c r="B20" s="159" t="s">
        <v>306</v>
      </c>
      <c r="C20" s="122"/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 t="s">
        <v>313</v>
      </c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  <c r="AH20" s="122"/>
      <c r="AI20" s="122"/>
      <c r="AJ20" s="122"/>
      <c r="AK20" s="122"/>
      <c r="AL20" s="122"/>
      <c r="AM20" s="122"/>
      <c r="AN20" s="122"/>
      <c r="AO20" s="122"/>
      <c r="AP20" s="122"/>
      <c r="AQ20" s="122"/>
      <c r="AR20" s="122"/>
      <c r="AS20" s="122"/>
      <c r="AT20" s="122"/>
      <c r="AU20" s="122"/>
      <c r="AV20" s="122"/>
      <c r="AW20" s="122"/>
      <c r="AX20" s="122"/>
      <c r="AY20" s="122"/>
      <c r="AZ20" s="112"/>
    </row>
    <row r="21" spans="1:52" s="115" customFormat="1" x14ac:dyDescent="0.2">
      <c r="A21" s="160" t="s">
        <v>133</v>
      </c>
      <c r="B21" s="161">
        <f>shipping_manufacturing!$C$19/100</f>
        <v>0.72737680000000016</v>
      </c>
      <c r="C21" s="161" t="s">
        <v>293</v>
      </c>
      <c r="D21" s="111">
        <f>IF(C$20="Yes",0,SUM(C$13:C$16)*$B$21)</f>
        <v>140.38372240000004</v>
      </c>
      <c r="E21" s="111">
        <f t="shared" ref="E21:AY21" si="3">IF(D$20="Yes",0,SUM(D$13:D$16)*$B$21)</f>
        <v>0</v>
      </c>
      <c r="F21" s="111">
        <f t="shared" si="3"/>
        <v>0</v>
      </c>
      <c r="G21" s="111">
        <f t="shared" si="3"/>
        <v>0</v>
      </c>
      <c r="H21" s="111">
        <f t="shared" si="3"/>
        <v>0</v>
      </c>
      <c r="I21" s="111">
        <f t="shared" si="3"/>
        <v>123.29279827385241</v>
      </c>
      <c r="J21" s="111">
        <f t="shared" si="3"/>
        <v>123.29279827385241</v>
      </c>
      <c r="K21" s="111">
        <f t="shared" si="3"/>
        <v>123.29279827385241</v>
      </c>
      <c r="L21" s="111">
        <f t="shared" si="3"/>
        <v>123.29279827385241</v>
      </c>
      <c r="M21" s="111">
        <f t="shared" si="3"/>
        <v>98.634238619081941</v>
      </c>
      <c r="N21" s="111">
        <f t="shared" si="3"/>
        <v>98.634238619081941</v>
      </c>
      <c r="O21" s="111">
        <f t="shared" si="3"/>
        <v>98.634238619081941</v>
      </c>
      <c r="P21" s="111">
        <f t="shared" si="3"/>
        <v>98.634238619081941</v>
      </c>
      <c r="Q21" s="111">
        <f t="shared" si="3"/>
        <v>98.634238619081941</v>
      </c>
      <c r="R21" s="111">
        <f t="shared" si="3"/>
        <v>98.634238619081941</v>
      </c>
      <c r="S21" s="111">
        <f t="shared" si="3"/>
        <v>0</v>
      </c>
      <c r="T21" s="111">
        <f t="shared" si="3"/>
        <v>181.84420000000003</v>
      </c>
      <c r="U21" s="111">
        <f t="shared" si="3"/>
        <v>98.634238619081941</v>
      </c>
      <c r="V21" s="111">
        <f t="shared" si="3"/>
        <v>98.634238619081941</v>
      </c>
      <c r="W21" s="111">
        <f t="shared" si="3"/>
        <v>98.634238619081941</v>
      </c>
      <c r="X21" s="111">
        <f t="shared" si="3"/>
        <v>98.634238619081941</v>
      </c>
      <c r="Y21" s="111">
        <f t="shared" si="3"/>
        <v>98.634238619081941</v>
      </c>
      <c r="Z21" s="111">
        <f t="shared" si="3"/>
        <v>98.634238619081941</v>
      </c>
      <c r="AA21" s="111">
        <f t="shared" si="3"/>
        <v>98.634238619081941</v>
      </c>
      <c r="AB21" s="111">
        <f t="shared" si="3"/>
        <v>98.634238619081941</v>
      </c>
      <c r="AC21" s="111">
        <f t="shared" si="3"/>
        <v>98.634238619081941</v>
      </c>
      <c r="AD21" s="111">
        <f t="shared" si="3"/>
        <v>98.634238619081941</v>
      </c>
      <c r="AE21" s="111">
        <f t="shared" si="3"/>
        <v>98.634238619081941</v>
      </c>
      <c r="AF21" s="111">
        <f t="shared" si="3"/>
        <v>98.634238619081941</v>
      </c>
      <c r="AG21" s="111">
        <f t="shared" si="3"/>
        <v>98.634238619081941</v>
      </c>
      <c r="AH21" s="111">
        <f t="shared" si="3"/>
        <v>98.634238619081941</v>
      </c>
      <c r="AI21" s="111">
        <f t="shared" si="3"/>
        <v>98.634238619081941</v>
      </c>
      <c r="AJ21" s="111">
        <f t="shared" si="3"/>
        <v>98.634238619081941</v>
      </c>
      <c r="AK21" s="111">
        <f t="shared" si="3"/>
        <v>98.634238619081941</v>
      </c>
      <c r="AL21" s="111">
        <f t="shared" si="3"/>
        <v>98.634238619081941</v>
      </c>
      <c r="AM21" s="111">
        <f t="shared" si="3"/>
        <v>98.634238619081941</v>
      </c>
      <c r="AN21" s="111">
        <f t="shared" si="3"/>
        <v>98.634238619081941</v>
      </c>
      <c r="AO21" s="111">
        <f t="shared" si="3"/>
        <v>98.634238619081941</v>
      </c>
      <c r="AP21" s="111">
        <f t="shared" si="3"/>
        <v>98.634238619081941</v>
      </c>
      <c r="AQ21" s="111">
        <f t="shared" si="3"/>
        <v>98.634238619081941</v>
      </c>
      <c r="AR21" s="111">
        <f t="shared" si="3"/>
        <v>98.634238619081941</v>
      </c>
      <c r="AS21" s="111">
        <f t="shared" si="3"/>
        <v>98.634238619081941</v>
      </c>
      <c r="AT21" s="111">
        <f t="shared" si="3"/>
        <v>98.634238619081941</v>
      </c>
      <c r="AU21" s="111">
        <f t="shared" si="3"/>
        <v>98.634238619081941</v>
      </c>
      <c r="AV21" s="111">
        <f t="shared" si="3"/>
        <v>98.634238619081941</v>
      </c>
      <c r="AW21" s="111">
        <f t="shared" si="3"/>
        <v>98.634238619081941</v>
      </c>
      <c r="AX21" s="111">
        <f t="shared" si="3"/>
        <v>98.634238619081941</v>
      </c>
      <c r="AY21" s="111">
        <f t="shared" si="3"/>
        <v>98.634238619081941</v>
      </c>
      <c r="AZ21" s="162">
        <f>SUM($D21:$AY21)</f>
        <v>4464.8659444014384</v>
      </c>
    </row>
    <row r="22" spans="1:52" s="115" customFormat="1" x14ac:dyDescent="0.2">
      <c r="A22" s="163" t="s">
        <v>123</v>
      </c>
      <c r="B22" s="164">
        <f>1-$B$21</f>
        <v>0.27262319999999984</v>
      </c>
      <c r="C22" s="164" t="s">
        <v>293</v>
      </c>
      <c r="D22" s="119">
        <f>IF(C$20="Yes",0,SUM(C$13:C$16)*$B$22)</f>
        <v>52.616277599999968</v>
      </c>
      <c r="E22" s="119">
        <f t="shared" ref="E22:AY22" si="4">IF(D$20="Yes",0,SUM(D$13:D$16)*$B$22)</f>
        <v>0</v>
      </c>
      <c r="F22" s="119">
        <f t="shared" si="4"/>
        <v>0</v>
      </c>
      <c r="G22" s="119">
        <f t="shared" si="4"/>
        <v>0</v>
      </c>
      <c r="H22" s="119">
        <f t="shared" si="4"/>
        <v>0</v>
      </c>
      <c r="I22" s="119">
        <f t="shared" si="4"/>
        <v>46.210543424497587</v>
      </c>
      <c r="J22" s="119">
        <f t="shared" si="4"/>
        <v>46.210543424497587</v>
      </c>
      <c r="K22" s="119">
        <f t="shared" si="4"/>
        <v>46.210543424497587</v>
      </c>
      <c r="L22" s="119">
        <f t="shared" si="4"/>
        <v>46.210543424497587</v>
      </c>
      <c r="M22" s="119">
        <f t="shared" si="4"/>
        <v>36.968434739598074</v>
      </c>
      <c r="N22" s="119">
        <f t="shared" si="4"/>
        <v>36.968434739598074</v>
      </c>
      <c r="O22" s="119">
        <f t="shared" si="4"/>
        <v>36.968434739598074</v>
      </c>
      <c r="P22" s="119">
        <f t="shared" si="4"/>
        <v>36.968434739598074</v>
      </c>
      <c r="Q22" s="119">
        <f t="shared" si="4"/>
        <v>36.968434739598074</v>
      </c>
      <c r="R22" s="119">
        <f t="shared" si="4"/>
        <v>36.968434739598074</v>
      </c>
      <c r="S22" s="119">
        <f t="shared" si="4"/>
        <v>0</v>
      </c>
      <c r="T22" s="119">
        <f t="shared" si="4"/>
        <v>68.155799999999957</v>
      </c>
      <c r="U22" s="119">
        <f t="shared" si="4"/>
        <v>36.968434739598074</v>
      </c>
      <c r="V22" s="119">
        <f t="shared" si="4"/>
        <v>36.968434739598074</v>
      </c>
      <c r="W22" s="119">
        <f t="shared" si="4"/>
        <v>36.968434739598074</v>
      </c>
      <c r="X22" s="119">
        <f t="shared" si="4"/>
        <v>36.968434739598074</v>
      </c>
      <c r="Y22" s="119">
        <f t="shared" si="4"/>
        <v>36.968434739598074</v>
      </c>
      <c r="Z22" s="119">
        <f t="shared" si="4"/>
        <v>36.968434739598074</v>
      </c>
      <c r="AA22" s="119">
        <f t="shared" si="4"/>
        <v>36.968434739598074</v>
      </c>
      <c r="AB22" s="119">
        <f t="shared" si="4"/>
        <v>36.968434739598074</v>
      </c>
      <c r="AC22" s="119">
        <f t="shared" si="4"/>
        <v>36.968434739598074</v>
      </c>
      <c r="AD22" s="119">
        <f t="shared" si="4"/>
        <v>36.968434739598074</v>
      </c>
      <c r="AE22" s="119">
        <f t="shared" si="4"/>
        <v>36.968434739598074</v>
      </c>
      <c r="AF22" s="119">
        <f t="shared" si="4"/>
        <v>36.968434739598074</v>
      </c>
      <c r="AG22" s="119">
        <f t="shared" si="4"/>
        <v>36.968434739598074</v>
      </c>
      <c r="AH22" s="119">
        <f t="shared" si="4"/>
        <v>36.968434739598074</v>
      </c>
      <c r="AI22" s="119">
        <f t="shared" si="4"/>
        <v>36.968434739598074</v>
      </c>
      <c r="AJ22" s="119">
        <f t="shared" si="4"/>
        <v>36.968434739598074</v>
      </c>
      <c r="AK22" s="119">
        <f t="shared" si="4"/>
        <v>36.968434739598074</v>
      </c>
      <c r="AL22" s="119">
        <f t="shared" si="4"/>
        <v>36.968434739598074</v>
      </c>
      <c r="AM22" s="119">
        <f t="shared" si="4"/>
        <v>36.968434739598074</v>
      </c>
      <c r="AN22" s="119">
        <f t="shared" si="4"/>
        <v>36.968434739598074</v>
      </c>
      <c r="AO22" s="119">
        <f t="shared" si="4"/>
        <v>36.968434739598074</v>
      </c>
      <c r="AP22" s="119">
        <f t="shared" si="4"/>
        <v>36.968434739598074</v>
      </c>
      <c r="AQ22" s="119">
        <f t="shared" si="4"/>
        <v>36.968434739598074</v>
      </c>
      <c r="AR22" s="119">
        <f t="shared" si="4"/>
        <v>36.968434739598074</v>
      </c>
      <c r="AS22" s="119">
        <f t="shared" si="4"/>
        <v>36.968434739598074</v>
      </c>
      <c r="AT22" s="119">
        <f t="shared" si="4"/>
        <v>36.968434739598074</v>
      </c>
      <c r="AU22" s="119">
        <f t="shared" si="4"/>
        <v>36.968434739598074</v>
      </c>
      <c r="AV22" s="119">
        <f t="shared" si="4"/>
        <v>36.968434739598074</v>
      </c>
      <c r="AW22" s="119">
        <f t="shared" si="4"/>
        <v>36.968434739598074</v>
      </c>
      <c r="AX22" s="119">
        <f t="shared" si="4"/>
        <v>36.968434739598074</v>
      </c>
      <c r="AY22" s="119">
        <f t="shared" si="4"/>
        <v>36.968434739598074</v>
      </c>
      <c r="AZ22" s="146">
        <f t="shared" ref="AZ22:AZ30" si="5">SUM($D22:$AY22)</f>
        <v>1673.4463366631176</v>
      </c>
    </row>
    <row r="23" spans="1:52" x14ac:dyDescent="0.2">
      <c r="A23" s="165" t="s">
        <v>307</v>
      </c>
      <c r="B23" s="129">
        <v>2000</v>
      </c>
      <c r="C23" s="105" t="s">
        <v>293</v>
      </c>
      <c r="D23" s="105">
        <f>D$21*$B$23</f>
        <v>280767.44480000006</v>
      </c>
      <c r="E23" s="105">
        <f t="shared" ref="E23:AY23" si="6">E$21*$B$23</f>
        <v>0</v>
      </c>
      <c r="F23" s="105">
        <f t="shared" si="6"/>
        <v>0</v>
      </c>
      <c r="G23" s="105">
        <f t="shared" si="6"/>
        <v>0</v>
      </c>
      <c r="H23" s="105">
        <f t="shared" si="6"/>
        <v>0</v>
      </c>
      <c r="I23" s="105">
        <f t="shared" si="6"/>
        <v>246585.59654770483</v>
      </c>
      <c r="J23" s="105">
        <f t="shared" si="6"/>
        <v>246585.59654770483</v>
      </c>
      <c r="K23" s="105">
        <f t="shared" si="6"/>
        <v>246585.59654770483</v>
      </c>
      <c r="L23" s="105">
        <f t="shared" si="6"/>
        <v>246585.59654770483</v>
      </c>
      <c r="M23" s="105">
        <f t="shared" si="6"/>
        <v>197268.47723816388</v>
      </c>
      <c r="N23" s="105">
        <f t="shared" si="6"/>
        <v>197268.47723816388</v>
      </c>
      <c r="O23" s="105">
        <f t="shared" si="6"/>
        <v>197268.47723816388</v>
      </c>
      <c r="P23" s="105">
        <f t="shared" si="6"/>
        <v>197268.47723816388</v>
      </c>
      <c r="Q23" s="105">
        <f t="shared" si="6"/>
        <v>197268.47723816388</v>
      </c>
      <c r="R23" s="105">
        <f t="shared" si="6"/>
        <v>197268.47723816388</v>
      </c>
      <c r="S23" s="105">
        <f t="shared" si="6"/>
        <v>0</v>
      </c>
      <c r="T23" s="105">
        <f t="shared" si="6"/>
        <v>363688.40000000008</v>
      </c>
      <c r="U23" s="105">
        <f t="shared" si="6"/>
        <v>197268.47723816388</v>
      </c>
      <c r="V23" s="105">
        <f t="shared" si="6"/>
        <v>197268.47723816388</v>
      </c>
      <c r="W23" s="105">
        <f t="shared" si="6"/>
        <v>197268.47723816388</v>
      </c>
      <c r="X23" s="105">
        <f t="shared" si="6"/>
        <v>197268.47723816388</v>
      </c>
      <c r="Y23" s="105">
        <f t="shared" si="6"/>
        <v>197268.47723816388</v>
      </c>
      <c r="Z23" s="105">
        <f t="shared" si="6"/>
        <v>197268.47723816388</v>
      </c>
      <c r="AA23" s="105">
        <f t="shared" si="6"/>
        <v>197268.47723816388</v>
      </c>
      <c r="AB23" s="105">
        <f t="shared" si="6"/>
        <v>197268.47723816388</v>
      </c>
      <c r="AC23" s="105">
        <f t="shared" si="6"/>
        <v>197268.47723816388</v>
      </c>
      <c r="AD23" s="105">
        <f t="shared" si="6"/>
        <v>197268.47723816388</v>
      </c>
      <c r="AE23" s="105">
        <f t="shared" si="6"/>
        <v>197268.47723816388</v>
      </c>
      <c r="AF23" s="105">
        <f t="shared" si="6"/>
        <v>197268.47723816388</v>
      </c>
      <c r="AG23" s="105">
        <f t="shared" si="6"/>
        <v>197268.47723816388</v>
      </c>
      <c r="AH23" s="105">
        <f t="shared" si="6"/>
        <v>197268.47723816388</v>
      </c>
      <c r="AI23" s="105">
        <f t="shared" si="6"/>
        <v>197268.47723816388</v>
      </c>
      <c r="AJ23" s="105">
        <f t="shared" si="6"/>
        <v>197268.47723816388</v>
      </c>
      <c r="AK23" s="105">
        <f t="shared" si="6"/>
        <v>197268.47723816388</v>
      </c>
      <c r="AL23" s="105">
        <f t="shared" si="6"/>
        <v>197268.47723816388</v>
      </c>
      <c r="AM23" s="105">
        <f t="shared" si="6"/>
        <v>197268.47723816388</v>
      </c>
      <c r="AN23" s="105">
        <f t="shared" si="6"/>
        <v>197268.47723816388</v>
      </c>
      <c r="AO23" s="105">
        <f t="shared" si="6"/>
        <v>197268.47723816388</v>
      </c>
      <c r="AP23" s="105">
        <f t="shared" si="6"/>
        <v>197268.47723816388</v>
      </c>
      <c r="AQ23" s="105">
        <f t="shared" si="6"/>
        <v>197268.47723816388</v>
      </c>
      <c r="AR23" s="105">
        <f t="shared" si="6"/>
        <v>197268.47723816388</v>
      </c>
      <c r="AS23" s="105">
        <f t="shared" si="6"/>
        <v>197268.47723816388</v>
      </c>
      <c r="AT23" s="105">
        <f t="shared" si="6"/>
        <v>197268.47723816388</v>
      </c>
      <c r="AU23" s="105">
        <f t="shared" si="6"/>
        <v>197268.47723816388</v>
      </c>
      <c r="AV23" s="105">
        <f t="shared" si="6"/>
        <v>197268.47723816388</v>
      </c>
      <c r="AW23" s="105">
        <f t="shared" si="6"/>
        <v>197268.47723816388</v>
      </c>
      <c r="AX23" s="105">
        <f t="shared" si="6"/>
        <v>197268.47723816388</v>
      </c>
      <c r="AY23" s="105">
        <f t="shared" si="6"/>
        <v>197268.47723816388</v>
      </c>
      <c r="AZ23" s="144">
        <f t="shared" si="5"/>
        <v>8929731.8888028897</v>
      </c>
    </row>
    <row r="24" spans="1:52" s="115" customFormat="1" x14ac:dyDescent="0.2">
      <c r="A24" s="166" t="s">
        <v>308</v>
      </c>
      <c r="B24" s="167">
        <v>1000</v>
      </c>
      <c r="C24" s="161" t="s">
        <v>293</v>
      </c>
      <c r="D24" s="111">
        <f>D$22*$B$24</f>
        <v>52616.277599999965</v>
      </c>
      <c r="E24" s="111">
        <f t="shared" ref="E24:AY24" si="7">E$22*$B$24</f>
        <v>0</v>
      </c>
      <c r="F24" s="111">
        <f t="shared" si="7"/>
        <v>0</v>
      </c>
      <c r="G24" s="111">
        <f t="shared" si="7"/>
        <v>0</v>
      </c>
      <c r="H24" s="111">
        <f t="shared" si="7"/>
        <v>0</v>
      </c>
      <c r="I24" s="111">
        <f t="shared" si="7"/>
        <v>46210.543424497584</v>
      </c>
      <c r="J24" s="111">
        <f t="shared" si="7"/>
        <v>46210.543424497584</v>
      </c>
      <c r="K24" s="111">
        <f t="shared" si="7"/>
        <v>46210.543424497584</v>
      </c>
      <c r="L24" s="111">
        <f t="shared" si="7"/>
        <v>46210.543424497584</v>
      </c>
      <c r="M24" s="111">
        <f t="shared" si="7"/>
        <v>36968.434739598073</v>
      </c>
      <c r="N24" s="111">
        <f t="shared" si="7"/>
        <v>36968.434739598073</v>
      </c>
      <c r="O24" s="111">
        <f t="shared" si="7"/>
        <v>36968.434739598073</v>
      </c>
      <c r="P24" s="111">
        <f t="shared" si="7"/>
        <v>36968.434739598073</v>
      </c>
      <c r="Q24" s="111">
        <f t="shared" si="7"/>
        <v>36968.434739598073</v>
      </c>
      <c r="R24" s="111">
        <f t="shared" si="7"/>
        <v>36968.434739598073</v>
      </c>
      <c r="S24" s="111">
        <f t="shared" si="7"/>
        <v>0</v>
      </c>
      <c r="T24" s="111">
        <f t="shared" si="7"/>
        <v>68155.799999999959</v>
      </c>
      <c r="U24" s="111">
        <f t="shared" si="7"/>
        <v>36968.434739598073</v>
      </c>
      <c r="V24" s="111">
        <f t="shared" si="7"/>
        <v>36968.434739598073</v>
      </c>
      <c r="W24" s="111">
        <f t="shared" si="7"/>
        <v>36968.434739598073</v>
      </c>
      <c r="X24" s="111">
        <f t="shared" si="7"/>
        <v>36968.434739598073</v>
      </c>
      <c r="Y24" s="111">
        <f t="shared" si="7"/>
        <v>36968.434739598073</v>
      </c>
      <c r="Z24" s="111">
        <f t="shared" si="7"/>
        <v>36968.434739598073</v>
      </c>
      <c r="AA24" s="111">
        <f t="shared" si="7"/>
        <v>36968.434739598073</v>
      </c>
      <c r="AB24" s="111">
        <f t="shared" si="7"/>
        <v>36968.434739598073</v>
      </c>
      <c r="AC24" s="111">
        <f t="shared" si="7"/>
        <v>36968.434739598073</v>
      </c>
      <c r="AD24" s="111">
        <f t="shared" si="7"/>
        <v>36968.434739598073</v>
      </c>
      <c r="AE24" s="111">
        <f t="shared" si="7"/>
        <v>36968.434739598073</v>
      </c>
      <c r="AF24" s="111">
        <f t="shared" si="7"/>
        <v>36968.434739598073</v>
      </c>
      <c r="AG24" s="111">
        <f t="shared" si="7"/>
        <v>36968.434739598073</v>
      </c>
      <c r="AH24" s="111">
        <f t="shared" si="7"/>
        <v>36968.434739598073</v>
      </c>
      <c r="AI24" s="111">
        <f t="shared" si="7"/>
        <v>36968.434739598073</v>
      </c>
      <c r="AJ24" s="111">
        <f t="shared" si="7"/>
        <v>36968.434739598073</v>
      </c>
      <c r="AK24" s="111">
        <f t="shared" si="7"/>
        <v>36968.434739598073</v>
      </c>
      <c r="AL24" s="111">
        <f t="shared" si="7"/>
        <v>36968.434739598073</v>
      </c>
      <c r="AM24" s="111">
        <f t="shared" si="7"/>
        <v>36968.434739598073</v>
      </c>
      <c r="AN24" s="111">
        <f t="shared" si="7"/>
        <v>36968.434739598073</v>
      </c>
      <c r="AO24" s="111">
        <f t="shared" si="7"/>
        <v>36968.434739598073</v>
      </c>
      <c r="AP24" s="111">
        <f t="shared" si="7"/>
        <v>36968.434739598073</v>
      </c>
      <c r="AQ24" s="111">
        <f t="shared" si="7"/>
        <v>36968.434739598073</v>
      </c>
      <c r="AR24" s="111">
        <f t="shared" si="7"/>
        <v>36968.434739598073</v>
      </c>
      <c r="AS24" s="111">
        <f t="shared" si="7"/>
        <v>36968.434739598073</v>
      </c>
      <c r="AT24" s="111">
        <f t="shared" si="7"/>
        <v>36968.434739598073</v>
      </c>
      <c r="AU24" s="111">
        <f t="shared" si="7"/>
        <v>36968.434739598073</v>
      </c>
      <c r="AV24" s="111">
        <f t="shared" si="7"/>
        <v>36968.434739598073</v>
      </c>
      <c r="AW24" s="111">
        <f t="shared" si="7"/>
        <v>36968.434739598073</v>
      </c>
      <c r="AX24" s="111">
        <f t="shared" si="7"/>
        <v>36968.434739598073</v>
      </c>
      <c r="AY24" s="111">
        <f t="shared" si="7"/>
        <v>36968.434739598073</v>
      </c>
      <c r="AZ24" s="146">
        <f t="shared" si="5"/>
        <v>1673446.336663119</v>
      </c>
    </row>
    <row r="25" spans="1:52" x14ac:dyDescent="0.2">
      <c r="C25" s="143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11"/>
    </row>
    <row r="26" spans="1:52" x14ac:dyDescent="0.2">
      <c r="A26" s="168" t="s">
        <v>18</v>
      </c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11"/>
      <c r="AB26" s="111"/>
      <c r="AC26" s="111"/>
      <c r="AD26" s="111"/>
      <c r="AE26" s="111"/>
      <c r="AF26" s="111"/>
      <c r="AG26" s="111"/>
      <c r="AH26" s="111"/>
      <c r="AI26" s="111"/>
      <c r="AJ26" s="111"/>
      <c r="AK26" s="111"/>
      <c r="AL26" s="111"/>
      <c r="AM26" s="111"/>
      <c r="AN26" s="111"/>
      <c r="AO26" s="111"/>
      <c r="AP26" s="111"/>
      <c r="AQ26" s="111"/>
      <c r="AR26" s="111"/>
      <c r="AS26" s="111"/>
      <c r="AT26" s="111"/>
      <c r="AU26" s="111"/>
      <c r="AV26" s="111"/>
      <c r="AW26" s="111"/>
      <c r="AX26" s="111"/>
      <c r="AY26" s="111"/>
      <c r="AZ26" s="111"/>
    </row>
    <row r="27" spans="1:52" x14ac:dyDescent="0.2">
      <c r="B27" s="140" t="s">
        <v>309</v>
      </c>
      <c r="C27" s="129">
        <v>10</v>
      </c>
      <c r="D27" s="129">
        <f>C$27-C$28+C$29</f>
        <v>10</v>
      </c>
      <c r="E27" s="129">
        <f t="shared" ref="E27:AY27" si="8">D27-D28+D29</f>
        <v>10</v>
      </c>
      <c r="F27" s="129">
        <f t="shared" si="8"/>
        <v>17</v>
      </c>
      <c r="G27" s="129">
        <f t="shared" si="8"/>
        <v>17</v>
      </c>
      <c r="H27" s="129">
        <f t="shared" si="8"/>
        <v>17</v>
      </c>
      <c r="I27" s="129">
        <f t="shared" si="8"/>
        <v>17</v>
      </c>
      <c r="J27" s="129">
        <f t="shared" si="8"/>
        <v>11</v>
      </c>
      <c r="K27" s="129">
        <f t="shared" si="8"/>
        <v>11</v>
      </c>
      <c r="L27" s="129">
        <f t="shared" si="8"/>
        <v>11</v>
      </c>
      <c r="M27" s="129">
        <f t="shared" si="8"/>
        <v>11</v>
      </c>
      <c r="N27" s="129">
        <f t="shared" si="8"/>
        <v>12</v>
      </c>
      <c r="O27" s="129">
        <f t="shared" si="8"/>
        <v>12</v>
      </c>
      <c r="P27" s="129">
        <f t="shared" si="8"/>
        <v>12</v>
      </c>
      <c r="Q27" s="129">
        <f t="shared" si="8"/>
        <v>12</v>
      </c>
      <c r="R27" s="129">
        <f t="shared" si="8"/>
        <v>12</v>
      </c>
      <c r="S27" s="129">
        <f t="shared" si="8"/>
        <v>12</v>
      </c>
      <c r="T27" s="129">
        <f t="shared" si="8"/>
        <v>17</v>
      </c>
      <c r="U27" s="129">
        <f t="shared" si="8"/>
        <v>8</v>
      </c>
      <c r="V27" s="129">
        <f t="shared" si="8"/>
        <v>12</v>
      </c>
      <c r="W27" s="129">
        <f t="shared" si="8"/>
        <v>12</v>
      </c>
      <c r="X27" s="129">
        <f t="shared" si="8"/>
        <v>12</v>
      </c>
      <c r="Y27" s="129">
        <f t="shared" si="8"/>
        <v>12</v>
      </c>
      <c r="Z27" s="129">
        <f t="shared" si="8"/>
        <v>12</v>
      </c>
      <c r="AA27" s="129">
        <f t="shared" si="8"/>
        <v>12</v>
      </c>
      <c r="AB27" s="129">
        <f t="shared" si="8"/>
        <v>12</v>
      </c>
      <c r="AC27" s="129">
        <f t="shared" si="8"/>
        <v>12</v>
      </c>
      <c r="AD27" s="129">
        <f t="shared" si="8"/>
        <v>12</v>
      </c>
      <c r="AE27" s="129">
        <f t="shared" si="8"/>
        <v>12</v>
      </c>
      <c r="AF27" s="129">
        <f t="shared" si="8"/>
        <v>12</v>
      </c>
      <c r="AG27" s="129">
        <f t="shared" si="8"/>
        <v>12</v>
      </c>
      <c r="AH27" s="129">
        <f t="shared" si="8"/>
        <v>12</v>
      </c>
      <c r="AI27" s="129">
        <f t="shared" si="8"/>
        <v>12</v>
      </c>
      <c r="AJ27" s="129">
        <f t="shared" si="8"/>
        <v>12</v>
      </c>
      <c r="AK27" s="129">
        <f t="shared" si="8"/>
        <v>12</v>
      </c>
      <c r="AL27" s="129">
        <f t="shared" si="8"/>
        <v>12</v>
      </c>
      <c r="AM27" s="129">
        <f t="shared" si="8"/>
        <v>12</v>
      </c>
      <c r="AN27" s="129">
        <f t="shared" si="8"/>
        <v>12</v>
      </c>
      <c r="AO27" s="129">
        <f t="shared" si="8"/>
        <v>12</v>
      </c>
      <c r="AP27" s="129">
        <f t="shared" si="8"/>
        <v>12</v>
      </c>
      <c r="AQ27" s="129">
        <f t="shared" si="8"/>
        <v>12</v>
      </c>
      <c r="AR27" s="129">
        <f t="shared" si="8"/>
        <v>12</v>
      </c>
      <c r="AS27" s="129">
        <f t="shared" si="8"/>
        <v>12</v>
      </c>
      <c r="AT27" s="129">
        <f t="shared" si="8"/>
        <v>12</v>
      </c>
      <c r="AU27" s="129">
        <f t="shared" si="8"/>
        <v>12</v>
      </c>
      <c r="AV27" s="129">
        <f t="shared" si="8"/>
        <v>12</v>
      </c>
      <c r="AW27" s="129">
        <f t="shared" si="8"/>
        <v>12</v>
      </c>
      <c r="AX27" s="129">
        <f t="shared" si="8"/>
        <v>12</v>
      </c>
      <c r="AY27" s="169">
        <f t="shared" si="8"/>
        <v>12</v>
      </c>
      <c r="AZ27" s="111"/>
    </row>
    <row r="28" spans="1:52" x14ac:dyDescent="0.2">
      <c r="B28" s="170" t="s">
        <v>310</v>
      </c>
      <c r="C28" s="115">
        <v>7</v>
      </c>
      <c r="D28" s="115">
        <v>7</v>
      </c>
      <c r="E28" s="115">
        <v>0</v>
      </c>
      <c r="F28" s="115">
        <v>0</v>
      </c>
      <c r="G28" s="115">
        <v>0</v>
      </c>
      <c r="H28" s="115">
        <v>0</v>
      </c>
      <c r="I28" s="115">
        <v>6</v>
      </c>
      <c r="J28" s="115">
        <v>6</v>
      </c>
      <c r="K28" s="115">
        <v>6</v>
      </c>
      <c r="L28" s="115">
        <v>6</v>
      </c>
      <c r="M28" s="115">
        <v>5</v>
      </c>
      <c r="N28" s="115">
        <v>5</v>
      </c>
      <c r="O28" s="115">
        <v>5</v>
      </c>
      <c r="P28" s="115">
        <v>5</v>
      </c>
      <c r="Q28" s="115">
        <v>5</v>
      </c>
      <c r="R28" s="115">
        <v>5</v>
      </c>
      <c r="S28" s="115">
        <v>0</v>
      </c>
      <c r="T28" s="115">
        <v>9</v>
      </c>
      <c r="U28" s="115">
        <v>5</v>
      </c>
      <c r="V28" s="115">
        <v>5</v>
      </c>
      <c r="W28" s="115">
        <v>5</v>
      </c>
      <c r="X28" s="115">
        <v>5</v>
      </c>
      <c r="Y28" s="115">
        <v>5</v>
      </c>
      <c r="Z28" s="115">
        <v>5</v>
      </c>
      <c r="AA28" s="115">
        <v>5</v>
      </c>
      <c r="AB28" s="115">
        <v>5</v>
      </c>
      <c r="AC28" s="115">
        <v>5</v>
      </c>
      <c r="AD28" s="115">
        <v>5</v>
      </c>
      <c r="AE28" s="115">
        <v>5</v>
      </c>
      <c r="AF28" s="115">
        <v>5</v>
      </c>
      <c r="AG28" s="115">
        <v>5</v>
      </c>
      <c r="AH28" s="115">
        <v>5</v>
      </c>
      <c r="AI28" s="115">
        <v>5</v>
      </c>
      <c r="AJ28" s="115">
        <v>5</v>
      </c>
      <c r="AK28" s="115">
        <v>5</v>
      </c>
      <c r="AL28" s="115">
        <v>5</v>
      </c>
      <c r="AM28" s="115">
        <v>5</v>
      </c>
      <c r="AN28" s="115">
        <v>5</v>
      </c>
      <c r="AO28" s="115">
        <v>5</v>
      </c>
      <c r="AP28" s="115">
        <v>5</v>
      </c>
      <c r="AQ28" s="115">
        <v>5</v>
      </c>
      <c r="AR28" s="115">
        <v>5</v>
      </c>
      <c r="AS28" s="115">
        <v>5</v>
      </c>
      <c r="AT28" s="115">
        <v>5</v>
      </c>
      <c r="AU28" s="115">
        <v>5</v>
      </c>
      <c r="AV28" s="115">
        <v>5</v>
      </c>
      <c r="AW28" s="115">
        <v>5</v>
      </c>
      <c r="AX28" s="115">
        <v>5</v>
      </c>
      <c r="AY28" s="171">
        <v>5</v>
      </c>
      <c r="AZ28" s="111"/>
    </row>
    <row r="29" spans="1:52" x14ac:dyDescent="0.2">
      <c r="B29" s="141" t="s">
        <v>311</v>
      </c>
      <c r="C29" s="130">
        <v>7</v>
      </c>
      <c r="D29" s="130">
        <f>C$28</f>
        <v>7</v>
      </c>
      <c r="E29" s="130">
        <f t="shared" ref="E29:AY29" si="9">D$28</f>
        <v>7</v>
      </c>
      <c r="F29" s="130">
        <f t="shared" si="9"/>
        <v>0</v>
      </c>
      <c r="G29" s="130">
        <f t="shared" si="9"/>
        <v>0</v>
      </c>
      <c r="H29" s="130">
        <f t="shared" si="9"/>
        <v>0</v>
      </c>
      <c r="I29" s="130">
        <f t="shared" si="9"/>
        <v>0</v>
      </c>
      <c r="J29" s="130">
        <f t="shared" si="9"/>
        <v>6</v>
      </c>
      <c r="K29" s="130">
        <f t="shared" si="9"/>
        <v>6</v>
      </c>
      <c r="L29" s="130">
        <f t="shared" si="9"/>
        <v>6</v>
      </c>
      <c r="M29" s="130">
        <f t="shared" si="9"/>
        <v>6</v>
      </c>
      <c r="N29" s="130">
        <f t="shared" si="9"/>
        <v>5</v>
      </c>
      <c r="O29" s="130">
        <f t="shared" si="9"/>
        <v>5</v>
      </c>
      <c r="P29" s="130">
        <f t="shared" si="9"/>
        <v>5</v>
      </c>
      <c r="Q29" s="130">
        <f t="shared" si="9"/>
        <v>5</v>
      </c>
      <c r="R29" s="130">
        <f t="shared" si="9"/>
        <v>5</v>
      </c>
      <c r="S29" s="130">
        <f t="shared" si="9"/>
        <v>5</v>
      </c>
      <c r="T29" s="130">
        <f t="shared" si="9"/>
        <v>0</v>
      </c>
      <c r="U29" s="130">
        <f t="shared" si="9"/>
        <v>9</v>
      </c>
      <c r="V29" s="130">
        <f t="shared" si="9"/>
        <v>5</v>
      </c>
      <c r="W29" s="130">
        <f t="shared" si="9"/>
        <v>5</v>
      </c>
      <c r="X29" s="130">
        <f t="shared" si="9"/>
        <v>5</v>
      </c>
      <c r="Y29" s="130">
        <f t="shared" si="9"/>
        <v>5</v>
      </c>
      <c r="Z29" s="130">
        <f t="shared" si="9"/>
        <v>5</v>
      </c>
      <c r="AA29" s="130">
        <f t="shared" si="9"/>
        <v>5</v>
      </c>
      <c r="AB29" s="130">
        <f t="shared" si="9"/>
        <v>5</v>
      </c>
      <c r="AC29" s="130">
        <f t="shared" si="9"/>
        <v>5</v>
      </c>
      <c r="AD29" s="130">
        <f t="shared" si="9"/>
        <v>5</v>
      </c>
      <c r="AE29" s="130">
        <f t="shared" si="9"/>
        <v>5</v>
      </c>
      <c r="AF29" s="130">
        <f t="shared" si="9"/>
        <v>5</v>
      </c>
      <c r="AG29" s="130">
        <f t="shared" si="9"/>
        <v>5</v>
      </c>
      <c r="AH29" s="130">
        <f t="shared" si="9"/>
        <v>5</v>
      </c>
      <c r="AI29" s="130">
        <f t="shared" si="9"/>
        <v>5</v>
      </c>
      <c r="AJ29" s="130">
        <f t="shared" si="9"/>
        <v>5</v>
      </c>
      <c r="AK29" s="130">
        <f t="shared" si="9"/>
        <v>5</v>
      </c>
      <c r="AL29" s="130">
        <f t="shared" si="9"/>
        <v>5</v>
      </c>
      <c r="AM29" s="130">
        <f t="shared" si="9"/>
        <v>5</v>
      </c>
      <c r="AN29" s="130">
        <f t="shared" si="9"/>
        <v>5</v>
      </c>
      <c r="AO29" s="130">
        <f t="shared" si="9"/>
        <v>5</v>
      </c>
      <c r="AP29" s="130">
        <f t="shared" si="9"/>
        <v>5</v>
      </c>
      <c r="AQ29" s="130">
        <f t="shared" si="9"/>
        <v>5</v>
      </c>
      <c r="AR29" s="130">
        <f t="shared" si="9"/>
        <v>5</v>
      </c>
      <c r="AS29" s="130">
        <f t="shared" si="9"/>
        <v>5</v>
      </c>
      <c r="AT29" s="130">
        <f t="shared" si="9"/>
        <v>5</v>
      </c>
      <c r="AU29" s="130">
        <f t="shared" si="9"/>
        <v>5</v>
      </c>
      <c r="AV29" s="130">
        <f t="shared" si="9"/>
        <v>5</v>
      </c>
      <c r="AW29" s="130">
        <f t="shared" si="9"/>
        <v>5</v>
      </c>
      <c r="AX29" s="130">
        <f t="shared" si="9"/>
        <v>5</v>
      </c>
      <c r="AY29" s="172">
        <f t="shared" si="9"/>
        <v>5</v>
      </c>
      <c r="AZ29" s="173"/>
    </row>
    <row r="30" spans="1:52" x14ac:dyDescent="0.2">
      <c r="A30" s="174" t="s">
        <v>312</v>
      </c>
      <c r="B30" s="149">
        <v>10</v>
      </c>
      <c r="C30" s="122" t="s">
        <v>293</v>
      </c>
      <c r="D30" s="122">
        <f>D$27*$B$30</f>
        <v>100</v>
      </c>
      <c r="E30" s="122">
        <f t="shared" ref="E30:AY30" si="10">E$27*$B$30</f>
        <v>100</v>
      </c>
      <c r="F30" s="122">
        <f t="shared" si="10"/>
        <v>170</v>
      </c>
      <c r="G30" s="122">
        <f t="shared" si="10"/>
        <v>170</v>
      </c>
      <c r="H30" s="122">
        <f t="shared" si="10"/>
        <v>170</v>
      </c>
      <c r="I30" s="122">
        <f t="shared" si="10"/>
        <v>170</v>
      </c>
      <c r="J30" s="122">
        <f t="shared" si="10"/>
        <v>110</v>
      </c>
      <c r="K30" s="122">
        <f t="shared" si="10"/>
        <v>110</v>
      </c>
      <c r="L30" s="122">
        <f t="shared" si="10"/>
        <v>110</v>
      </c>
      <c r="M30" s="122">
        <f t="shared" si="10"/>
        <v>110</v>
      </c>
      <c r="N30" s="122">
        <f t="shared" si="10"/>
        <v>120</v>
      </c>
      <c r="O30" s="122">
        <f t="shared" si="10"/>
        <v>120</v>
      </c>
      <c r="P30" s="122">
        <f t="shared" si="10"/>
        <v>120</v>
      </c>
      <c r="Q30" s="122">
        <f t="shared" si="10"/>
        <v>120</v>
      </c>
      <c r="R30" s="122">
        <f>R$27*$B$30</f>
        <v>120</v>
      </c>
      <c r="S30" s="122">
        <f t="shared" si="10"/>
        <v>120</v>
      </c>
      <c r="T30" s="122">
        <f t="shared" si="10"/>
        <v>170</v>
      </c>
      <c r="U30" s="122">
        <f t="shared" si="10"/>
        <v>80</v>
      </c>
      <c r="V30" s="122">
        <f t="shared" si="10"/>
        <v>120</v>
      </c>
      <c r="W30" s="122">
        <f t="shared" si="10"/>
        <v>120</v>
      </c>
      <c r="X30" s="122">
        <f t="shared" si="10"/>
        <v>120</v>
      </c>
      <c r="Y30" s="122">
        <f t="shared" si="10"/>
        <v>120</v>
      </c>
      <c r="Z30" s="122">
        <f t="shared" si="10"/>
        <v>120</v>
      </c>
      <c r="AA30" s="122">
        <f t="shared" si="10"/>
        <v>120</v>
      </c>
      <c r="AB30" s="122">
        <f t="shared" si="10"/>
        <v>120</v>
      </c>
      <c r="AC30" s="122">
        <f t="shared" si="10"/>
        <v>120</v>
      </c>
      <c r="AD30" s="122">
        <f t="shared" si="10"/>
        <v>120</v>
      </c>
      <c r="AE30" s="122">
        <f>AE$27*$B$30</f>
        <v>120</v>
      </c>
      <c r="AF30" s="122">
        <f t="shared" si="10"/>
        <v>120</v>
      </c>
      <c r="AG30" s="122">
        <f t="shared" si="10"/>
        <v>120</v>
      </c>
      <c r="AH30" s="122">
        <f t="shared" si="10"/>
        <v>120</v>
      </c>
      <c r="AI30" s="122">
        <f t="shared" si="10"/>
        <v>120</v>
      </c>
      <c r="AJ30" s="122">
        <f t="shared" si="10"/>
        <v>120</v>
      </c>
      <c r="AK30" s="122">
        <f t="shared" si="10"/>
        <v>120</v>
      </c>
      <c r="AL30" s="122">
        <f t="shared" si="10"/>
        <v>120</v>
      </c>
      <c r="AM30" s="122">
        <f t="shared" si="10"/>
        <v>120</v>
      </c>
      <c r="AN30" s="122">
        <f t="shared" si="10"/>
        <v>120</v>
      </c>
      <c r="AO30" s="122">
        <f t="shared" si="10"/>
        <v>120</v>
      </c>
      <c r="AP30" s="122">
        <f t="shared" si="10"/>
        <v>120</v>
      </c>
      <c r="AQ30" s="122">
        <f t="shared" si="10"/>
        <v>120</v>
      </c>
      <c r="AR30" s="122">
        <f t="shared" si="10"/>
        <v>120</v>
      </c>
      <c r="AS30" s="122">
        <f t="shared" si="10"/>
        <v>120</v>
      </c>
      <c r="AT30" s="122">
        <f t="shared" si="10"/>
        <v>120</v>
      </c>
      <c r="AU30" s="122">
        <f t="shared" si="10"/>
        <v>120</v>
      </c>
      <c r="AV30" s="122">
        <f t="shared" si="10"/>
        <v>120</v>
      </c>
      <c r="AW30" s="122">
        <f t="shared" si="10"/>
        <v>120</v>
      </c>
      <c r="AX30" s="122">
        <f t="shared" si="10"/>
        <v>120</v>
      </c>
      <c r="AY30" s="122">
        <f t="shared" si="10"/>
        <v>120</v>
      </c>
      <c r="AZ30" s="146">
        <f t="shared" si="5"/>
        <v>5890</v>
      </c>
    </row>
    <row r="32" spans="1:52" x14ac:dyDescent="0.2">
      <c r="A32" s="107" t="s">
        <v>300</v>
      </c>
    </row>
    <row r="33" spans="1:52" x14ac:dyDescent="0.2">
      <c r="A33" s="140" t="s">
        <v>34</v>
      </c>
      <c r="B33" s="140" t="s">
        <v>342</v>
      </c>
      <c r="C33" s="129"/>
      <c r="D33" s="129">
        <f>D$21*shipping_manufacturing!$D$27/100</f>
        <v>140.38372240000004</v>
      </c>
      <c r="E33" s="129">
        <f>E$21*shipping_manufacturing!$D$27/100</f>
        <v>0</v>
      </c>
      <c r="F33" s="129">
        <f>F$21*shipping_manufacturing!$D$27/100</f>
        <v>0</v>
      </c>
      <c r="G33" s="129">
        <f>G$21*shipping_manufacturing!$D$27/100</f>
        <v>0</v>
      </c>
      <c r="H33" s="129">
        <f>H$21*shipping_manufacturing!$D$27/100</f>
        <v>0</v>
      </c>
      <c r="I33" s="129">
        <f>I$21*shipping_manufacturing!$D$27/100</f>
        <v>123.2927982738524</v>
      </c>
      <c r="J33" s="129">
        <f>J$21*shipping_manufacturing!$D$27/100</f>
        <v>123.2927982738524</v>
      </c>
      <c r="K33" s="129">
        <f>K$21*shipping_manufacturing!$D$27/100</f>
        <v>123.2927982738524</v>
      </c>
      <c r="L33" s="129">
        <f>L$21*shipping_manufacturing!$D$27/100</f>
        <v>123.2927982738524</v>
      </c>
      <c r="M33" s="129">
        <f>M$21*shipping_manufacturing!$D$27/100</f>
        <v>98.634238619081941</v>
      </c>
      <c r="N33" s="129">
        <f>N$21*shipping_manufacturing!$D$27/100</f>
        <v>98.634238619081941</v>
      </c>
      <c r="O33" s="129">
        <f>O$21*shipping_manufacturing!$D$27/100</f>
        <v>98.634238619081941</v>
      </c>
      <c r="P33" s="129">
        <f>P$21*shipping_manufacturing!$D$27/100</f>
        <v>98.634238619081941</v>
      </c>
      <c r="Q33" s="129">
        <f>Q$21*shipping_manufacturing!$D$27/100</f>
        <v>98.634238619081941</v>
      </c>
      <c r="R33" s="129">
        <f>R$21*shipping_manufacturing!$D$27/100</f>
        <v>98.634238619081941</v>
      </c>
      <c r="S33" s="129">
        <f>S$21*shipping_manufacturing!$D$27/100</f>
        <v>0</v>
      </c>
      <c r="T33" s="129">
        <f>T$21*shipping_manufacturing!$D$27/100</f>
        <v>181.84420000000003</v>
      </c>
      <c r="U33" s="129">
        <f>U$21*shipping_manufacturing!$D$27/100</f>
        <v>98.634238619081941</v>
      </c>
      <c r="V33" s="129">
        <f>V$21*shipping_manufacturing!$D$27/100</f>
        <v>98.634238619081941</v>
      </c>
      <c r="W33" s="129">
        <f>W$21*shipping_manufacturing!$D$27/100</f>
        <v>98.634238619081941</v>
      </c>
      <c r="X33" s="129">
        <f>X$21*shipping_manufacturing!$D$27/100</f>
        <v>98.634238619081941</v>
      </c>
      <c r="Y33" s="129">
        <f>Y$21*shipping_manufacturing!$D$27/100</f>
        <v>98.634238619081941</v>
      </c>
      <c r="Z33" s="129">
        <f>Z$21*shipping_manufacturing!$D$27/100</f>
        <v>98.634238619081941</v>
      </c>
      <c r="AA33" s="129">
        <f>AA$21*shipping_manufacturing!$D$27/100</f>
        <v>98.634238619081941</v>
      </c>
      <c r="AB33" s="129">
        <f>AB$21*shipping_manufacturing!$D$27/100</f>
        <v>98.634238619081941</v>
      </c>
      <c r="AC33" s="129">
        <f>AC$21*shipping_manufacturing!$D$27/100</f>
        <v>98.634238619081941</v>
      </c>
      <c r="AD33" s="129">
        <f>AD$21*shipping_manufacturing!$D$27/100</f>
        <v>98.634238619081941</v>
      </c>
      <c r="AE33" s="129">
        <f>AE$21*shipping_manufacturing!$D$27/100</f>
        <v>98.634238619081941</v>
      </c>
      <c r="AF33" s="129">
        <f>AF$21*shipping_manufacturing!$D$27/100</f>
        <v>98.634238619081941</v>
      </c>
      <c r="AG33" s="129">
        <f>AG$21*shipping_manufacturing!$D$27/100</f>
        <v>98.634238619081941</v>
      </c>
      <c r="AH33" s="129">
        <f>AH$21*shipping_manufacturing!$D$27/100</f>
        <v>98.634238619081941</v>
      </c>
      <c r="AI33" s="129">
        <f>AI$21*shipping_manufacturing!$D$27/100</f>
        <v>98.634238619081941</v>
      </c>
      <c r="AJ33" s="129">
        <f>AJ$21*shipping_manufacturing!$D$27/100</f>
        <v>98.634238619081941</v>
      </c>
      <c r="AK33" s="129">
        <f>AK$21*shipping_manufacturing!$D$27/100</f>
        <v>98.634238619081941</v>
      </c>
      <c r="AL33" s="129">
        <f>AL$21*shipping_manufacturing!$D$27/100</f>
        <v>98.634238619081941</v>
      </c>
      <c r="AM33" s="129">
        <f>AM$21*shipping_manufacturing!$D$27/100</f>
        <v>98.634238619081941</v>
      </c>
      <c r="AN33" s="129">
        <f>AN$21*shipping_manufacturing!$D$27/100</f>
        <v>98.634238619081941</v>
      </c>
      <c r="AO33" s="129">
        <f>AO$21*shipping_manufacturing!$D$27/100</f>
        <v>98.634238619081941</v>
      </c>
      <c r="AP33" s="129">
        <f>AP$21*shipping_manufacturing!$D$27/100</f>
        <v>98.634238619081941</v>
      </c>
      <c r="AQ33" s="129">
        <f>AQ$21*shipping_manufacturing!$D$27/100</f>
        <v>98.634238619081941</v>
      </c>
      <c r="AR33" s="129">
        <f>AR$21*shipping_manufacturing!$D$27/100</f>
        <v>98.634238619081941</v>
      </c>
      <c r="AS33" s="129">
        <f>AS$21*shipping_manufacturing!$D$27/100</f>
        <v>98.634238619081941</v>
      </c>
      <c r="AT33" s="129">
        <f>AT$21*shipping_manufacturing!$D$27/100</f>
        <v>98.634238619081941</v>
      </c>
      <c r="AU33" s="129">
        <f>AU$21*shipping_manufacturing!$D$27/100</f>
        <v>98.634238619081941</v>
      </c>
      <c r="AV33" s="129">
        <f>AV$21*shipping_manufacturing!$D$27/100</f>
        <v>98.634238619081941</v>
      </c>
      <c r="AW33" s="129">
        <f>AW$21*shipping_manufacturing!$D$27/100</f>
        <v>98.634238619081941</v>
      </c>
      <c r="AX33" s="129">
        <f>AX$21*shipping_manufacturing!$D$27/100</f>
        <v>98.634238619081941</v>
      </c>
      <c r="AY33" s="129">
        <f>AY$21*shipping_manufacturing!$D$27/100</f>
        <v>98.634238619081941</v>
      </c>
    </row>
    <row r="34" spans="1:52" x14ac:dyDescent="0.2">
      <c r="A34" s="118" t="s">
        <v>341</v>
      </c>
      <c r="B34" s="170" t="s">
        <v>343</v>
      </c>
      <c r="C34" s="115"/>
      <c r="D34" s="115">
        <f>D$22*shipping_manufacturing!$E$27/100</f>
        <v>52.616277599999968</v>
      </c>
      <c r="E34" s="115">
        <f>E$22*shipping_manufacturing!$E$27/100</f>
        <v>0</v>
      </c>
      <c r="F34" s="115">
        <f>F$22*shipping_manufacturing!$E$27/100</f>
        <v>0</v>
      </c>
      <c r="G34" s="115">
        <f>G$22*shipping_manufacturing!$E$27/100</f>
        <v>0</v>
      </c>
      <c r="H34" s="115">
        <f>H$22*shipping_manufacturing!$E$27/100</f>
        <v>0</v>
      </c>
      <c r="I34" s="115">
        <f>I$22*shipping_manufacturing!$E$27/100</f>
        <v>46.210543424497594</v>
      </c>
      <c r="J34" s="115">
        <f>J$22*shipping_manufacturing!$E$27/100</f>
        <v>46.210543424497594</v>
      </c>
      <c r="K34" s="115">
        <f>K$22*shipping_manufacturing!$E$27/100</f>
        <v>46.210543424497594</v>
      </c>
      <c r="L34" s="115">
        <f>L$22*shipping_manufacturing!$E$27/100</f>
        <v>46.210543424497594</v>
      </c>
      <c r="M34" s="115">
        <f>M$22*shipping_manufacturing!$E$27/100</f>
        <v>36.968434739598074</v>
      </c>
      <c r="N34" s="115">
        <f>N$22*shipping_manufacturing!$E$27/100</f>
        <v>36.968434739598074</v>
      </c>
      <c r="O34" s="115">
        <f>O$22*shipping_manufacturing!$E$27/100</f>
        <v>36.968434739598074</v>
      </c>
      <c r="P34" s="115">
        <f>P$22*shipping_manufacturing!$E$27/100</f>
        <v>36.968434739598074</v>
      </c>
      <c r="Q34" s="115">
        <f>Q$22*shipping_manufacturing!$E$27/100</f>
        <v>36.968434739598074</v>
      </c>
      <c r="R34" s="115">
        <f>R$22*shipping_manufacturing!$E$27/100</f>
        <v>36.968434739598074</v>
      </c>
      <c r="S34" s="115">
        <f>S$22*shipping_manufacturing!$E$27/100</f>
        <v>0</v>
      </c>
      <c r="T34" s="115">
        <f>T$22*shipping_manufacturing!$E$27/100</f>
        <v>68.155799999999957</v>
      </c>
      <c r="U34" s="115">
        <f>U$22*shipping_manufacturing!$E$27/100</f>
        <v>36.968434739598074</v>
      </c>
      <c r="V34" s="115">
        <f>V$22*shipping_manufacturing!$E$27/100</f>
        <v>36.968434739598074</v>
      </c>
      <c r="W34" s="115">
        <f>W$22*shipping_manufacturing!$E$27/100</f>
        <v>36.968434739598074</v>
      </c>
      <c r="X34" s="115">
        <f>X$22*shipping_manufacturing!$E$27/100</f>
        <v>36.968434739598074</v>
      </c>
      <c r="Y34" s="115">
        <f>Y$22*shipping_manufacturing!$E$27/100</f>
        <v>36.968434739598074</v>
      </c>
      <c r="Z34" s="115">
        <f>Z$22*shipping_manufacturing!$E$27/100</f>
        <v>36.968434739598074</v>
      </c>
      <c r="AA34" s="115">
        <f>AA$22*shipping_manufacturing!$E$27/100</f>
        <v>36.968434739598074</v>
      </c>
      <c r="AB34" s="115">
        <f>AB$22*shipping_manufacturing!$E$27/100</f>
        <v>36.968434739598074</v>
      </c>
      <c r="AC34" s="115">
        <f>AC$22*shipping_manufacturing!$E$27/100</f>
        <v>36.968434739598074</v>
      </c>
      <c r="AD34" s="115">
        <f>AD$22*shipping_manufacturing!$E$27/100</f>
        <v>36.968434739598074</v>
      </c>
      <c r="AE34" s="115">
        <f>AE$22*shipping_manufacturing!$E$27/100</f>
        <v>36.968434739598074</v>
      </c>
      <c r="AF34" s="115">
        <f>AF$22*shipping_manufacturing!$E$27/100</f>
        <v>36.968434739598074</v>
      </c>
      <c r="AG34" s="115">
        <f>AG$22*shipping_manufacturing!$E$27/100</f>
        <v>36.968434739598074</v>
      </c>
      <c r="AH34" s="115">
        <f>AH$22*shipping_manufacturing!$E$27/100</f>
        <v>36.968434739598074</v>
      </c>
      <c r="AI34" s="115">
        <f>AI$22*shipping_manufacturing!$E$27/100</f>
        <v>36.968434739598074</v>
      </c>
      <c r="AJ34" s="115">
        <f>AJ$22*shipping_manufacturing!$E$27/100</f>
        <v>36.968434739598074</v>
      </c>
      <c r="AK34" s="115">
        <f>AK$22*shipping_manufacturing!$E$27/100</f>
        <v>36.968434739598074</v>
      </c>
      <c r="AL34" s="115">
        <f>AL$22*shipping_manufacturing!$E$27/100</f>
        <v>36.968434739598074</v>
      </c>
      <c r="AM34" s="115">
        <f>AM$22*shipping_manufacturing!$E$27/100</f>
        <v>36.968434739598074</v>
      </c>
      <c r="AN34" s="115">
        <f>AN$22*shipping_manufacturing!$E$27/100</f>
        <v>36.968434739598074</v>
      </c>
      <c r="AO34" s="115">
        <f>AO$22*shipping_manufacturing!$E$27/100</f>
        <v>36.968434739598074</v>
      </c>
      <c r="AP34" s="115">
        <f>AP$22*shipping_manufacturing!$E$27/100</f>
        <v>36.968434739598074</v>
      </c>
      <c r="AQ34" s="115">
        <f>AQ$22*shipping_manufacturing!$E$27/100</f>
        <v>36.968434739598074</v>
      </c>
      <c r="AR34" s="115">
        <f>AR$22*shipping_manufacturing!$E$27/100</f>
        <v>36.968434739598074</v>
      </c>
      <c r="AS34" s="115">
        <f>AS$22*shipping_manufacturing!$E$27/100</f>
        <v>36.968434739598074</v>
      </c>
      <c r="AT34" s="115">
        <f>AT$22*shipping_manufacturing!$E$27/100</f>
        <v>36.968434739598074</v>
      </c>
      <c r="AU34" s="115">
        <f>AU$22*shipping_manufacturing!$E$27/100</f>
        <v>36.968434739598074</v>
      </c>
      <c r="AV34" s="115">
        <f>AV$22*shipping_manufacturing!$E$27/100</f>
        <v>36.968434739598074</v>
      </c>
      <c r="AW34" s="115">
        <f>AW$22*shipping_manufacturing!$E$27/100</f>
        <v>36.968434739598074</v>
      </c>
      <c r="AX34" s="115">
        <f>AX$22*shipping_manufacturing!$E$27/100</f>
        <v>36.968434739598074</v>
      </c>
      <c r="AY34" s="115">
        <f>AY$22*shipping_manufacturing!$E$27/100</f>
        <v>36.968434739598074</v>
      </c>
    </row>
    <row r="35" spans="1:52" x14ac:dyDescent="0.2">
      <c r="A35" s="115">
        <v>140</v>
      </c>
      <c r="B35" s="170" t="s">
        <v>344</v>
      </c>
      <c r="C35" s="115"/>
      <c r="D35" s="115">
        <f>SUM(D33:D34)</f>
        <v>193</v>
      </c>
      <c r="E35" s="115">
        <f t="shared" ref="E35:AY35" si="11">SUM(E33:E34)</f>
        <v>0</v>
      </c>
      <c r="F35" s="115">
        <f t="shared" si="11"/>
        <v>0</v>
      </c>
      <c r="G35" s="115">
        <f t="shared" si="11"/>
        <v>0</v>
      </c>
      <c r="H35" s="115">
        <f t="shared" si="11"/>
        <v>0</v>
      </c>
      <c r="I35" s="115">
        <f t="shared" si="11"/>
        <v>169.50334169835</v>
      </c>
      <c r="J35" s="115">
        <f t="shared" si="11"/>
        <v>169.50334169835</v>
      </c>
      <c r="K35" s="115">
        <f t="shared" si="11"/>
        <v>169.50334169835</v>
      </c>
      <c r="L35" s="115">
        <f t="shared" si="11"/>
        <v>169.50334169835</v>
      </c>
      <c r="M35" s="115">
        <f t="shared" si="11"/>
        <v>135.60267335868002</v>
      </c>
      <c r="N35" s="115">
        <f t="shared" si="11"/>
        <v>135.60267335868002</v>
      </c>
      <c r="O35" s="115">
        <f t="shared" si="11"/>
        <v>135.60267335868002</v>
      </c>
      <c r="P35" s="115">
        <f t="shared" si="11"/>
        <v>135.60267335868002</v>
      </c>
      <c r="Q35" s="115">
        <f t="shared" si="11"/>
        <v>135.60267335868002</v>
      </c>
      <c r="R35" s="115">
        <f t="shared" si="11"/>
        <v>135.60267335868002</v>
      </c>
      <c r="S35" s="115">
        <f t="shared" si="11"/>
        <v>0</v>
      </c>
      <c r="T35" s="115">
        <f t="shared" si="11"/>
        <v>250</v>
      </c>
      <c r="U35" s="115">
        <f t="shared" si="11"/>
        <v>135.60267335868002</v>
      </c>
      <c r="V35" s="115">
        <f t="shared" si="11"/>
        <v>135.60267335868002</v>
      </c>
      <c r="W35" s="115">
        <f t="shared" si="11"/>
        <v>135.60267335868002</v>
      </c>
      <c r="X35" s="115">
        <f t="shared" si="11"/>
        <v>135.60267335868002</v>
      </c>
      <c r="Y35" s="115">
        <f t="shared" si="11"/>
        <v>135.60267335868002</v>
      </c>
      <c r="Z35" s="115">
        <f t="shared" si="11"/>
        <v>135.60267335868002</v>
      </c>
      <c r="AA35" s="115">
        <f t="shared" si="11"/>
        <v>135.60267335868002</v>
      </c>
      <c r="AB35" s="115">
        <f t="shared" si="11"/>
        <v>135.60267335868002</v>
      </c>
      <c r="AC35" s="115">
        <f t="shared" si="11"/>
        <v>135.60267335868002</v>
      </c>
      <c r="AD35" s="115">
        <f t="shared" si="11"/>
        <v>135.60267335868002</v>
      </c>
      <c r="AE35" s="115">
        <f t="shared" si="11"/>
        <v>135.60267335868002</v>
      </c>
      <c r="AF35" s="115">
        <f t="shared" si="11"/>
        <v>135.60267335868002</v>
      </c>
      <c r="AG35" s="115">
        <f t="shared" si="11"/>
        <v>135.60267335868002</v>
      </c>
      <c r="AH35" s="115">
        <f t="shared" si="11"/>
        <v>135.60267335868002</v>
      </c>
      <c r="AI35" s="115">
        <f t="shared" si="11"/>
        <v>135.60267335868002</v>
      </c>
      <c r="AJ35" s="115">
        <f t="shared" si="11"/>
        <v>135.60267335868002</v>
      </c>
      <c r="AK35" s="115">
        <f t="shared" si="11"/>
        <v>135.60267335868002</v>
      </c>
      <c r="AL35" s="115">
        <f t="shared" si="11"/>
        <v>135.60267335868002</v>
      </c>
      <c r="AM35" s="115">
        <f t="shared" si="11"/>
        <v>135.60267335868002</v>
      </c>
      <c r="AN35" s="115">
        <f t="shared" si="11"/>
        <v>135.60267335868002</v>
      </c>
      <c r="AO35" s="115">
        <f t="shared" si="11"/>
        <v>135.60267335868002</v>
      </c>
      <c r="AP35" s="115">
        <f t="shared" si="11"/>
        <v>135.60267335868002</v>
      </c>
      <c r="AQ35" s="115">
        <f t="shared" si="11"/>
        <v>135.60267335868002</v>
      </c>
      <c r="AR35" s="115">
        <f t="shared" si="11"/>
        <v>135.60267335868002</v>
      </c>
      <c r="AS35" s="115">
        <f t="shared" si="11"/>
        <v>135.60267335868002</v>
      </c>
      <c r="AT35" s="115">
        <f t="shared" si="11"/>
        <v>135.60267335868002</v>
      </c>
      <c r="AU35" s="115">
        <f t="shared" si="11"/>
        <v>135.60267335868002</v>
      </c>
      <c r="AV35" s="115">
        <f t="shared" si="11"/>
        <v>135.60267335868002</v>
      </c>
      <c r="AW35" s="115">
        <f t="shared" si="11"/>
        <v>135.60267335868002</v>
      </c>
      <c r="AX35" s="115">
        <f t="shared" si="11"/>
        <v>135.60267335868002</v>
      </c>
      <c r="AY35" s="115">
        <f t="shared" si="11"/>
        <v>135.60267335868002</v>
      </c>
    </row>
    <row r="36" spans="1:52" x14ac:dyDescent="0.2">
      <c r="A36" s="115"/>
      <c r="B36" s="170" t="s">
        <v>345</v>
      </c>
      <c r="C36" s="115"/>
      <c r="D36" s="115">
        <v>140.38372240000001</v>
      </c>
      <c r="E36" s="115"/>
      <c r="F36" s="115"/>
      <c r="G36" s="115"/>
      <c r="H36" s="115"/>
      <c r="I36" s="115">
        <v>123.29279827385241</v>
      </c>
      <c r="J36" s="115">
        <v>123.29279827385241</v>
      </c>
      <c r="K36" s="115">
        <v>123.29279827385241</v>
      </c>
      <c r="L36" s="115">
        <v>123.29279827385241</v>
      </c>
      <c r="M36" s="115">
        <v>98.634238619081941</v>
      </c>
      <c r="N36" s="115">
        <v>98.634238619081941</v>
      </c>
      <c r="O36" s="115">
        <v>98.634238619081941</v>
      </c>
      <c r="P36" s="115">
        <v>98.634238619081941</v>
      </c>
      <c r="Q36" s="115">
        <v>98.634238619081941</v>
      </c>
      <c r="R36" s="115">
        <v>98.634238619081941</v>
      </c>
      <c r="S36" s="115"/>
      <c r="T36" s="115">
        <v>181.8442</v>
      </c>
      <c r="U36" s="115">
        <v>98.634238619081941</v>
      </c>
      <c r="V36" s="115">
        <v>98.634238619081941</v>
      </c>
      <c r="W36" s="115">
        <v>98.634238619081941</v>
      </c>
      <c r="X36" s="115">
        <v>98.634238619081941</v>
      </c>
      <c r="Y36" s="115">
        <v>98.634238619081941</v>
      </c>
      <c r="Z36" s="115">
        <v>98.634238619081941</v>
      </c>
      <c r="AA36" s="115">
        <v>98.634238619081941</v>
      </c>
      <c r="AB36" s="115">
        <v>98.634238619081941</v>
      </c>
      <c r="AC36" s="115">
        <v>98.634238619081941</v>
      </c>
      <c r="AD36" s="115">
        <v>98.634238619081941</v>
      </c>
      <c r="AE36" s="115">
        <v>98.634238619081941</v>
      </c>
      <c r="AF36" s="115">
        <v>98.634238619081941</v>
      </c>
      <c r="AG36" s="115">
        <v>98.634238619081941</v>
      </c>
      <c r="AH36" s="115">
        <v>98.634238619081941</v>
      </c>
      <c r="AI36" s="115">
        <v>98.634238619081941</v>
      </c>
      <c r="AJ36" s="115">
        <v>98.634238619081941</v>
      </c>
      <c r="AK36" s="115">
        <v>98.634238619081941</v>
      </c>
      <c r="AL36" s="115">
        <v>98.634238619081941</v>
      </c>
      <c r="AM36" s="115">
        <v>98.634238619081941</v>
      </c>
      <c r="AN36" s="115">
        <v>98.634238619081941</v>
      </c>
      <c r="AO36" s="115">
        <v>98.634238619081941</v>
      </c>
      <c r="AP36" s="115">
        <v>98.634238619081941</v>
      </c>
      <c r="AQ36" s="115">
        <v>98.634238619081941</v>
      </c>
      <c r="AR36" s="115">
        <v>98.634238619081941</v>
      </c>
      <c r="AS36" s="115">
        <v>98.634238619081941</v>
      </c>
      <c r="AT36" s="115">
        <v>98.634238619081941</v>
      </c>
      <c r="AU36" s="115">
        <v>98.634238619081941</v>
      </c>
      <c r="AV36" s="115">
        <v>98.634238619081941</v>
      </c>
      <c r="AW36" s="115">
        <v>98.634238619081941</v>
      </c>
      <c r="AX36" s="115">
        <v>98.634238619081941</v>
      </c>
      <c r="AY36" s="115">
        <v>98.634238619081941</v>
      </c>
    </row>
    <row r="37" spans="1:52" x14ac:dyDescent="0.2">
      <c r="A37" s="115"/>
      <c r="B37" s="170" t="s">
        <v>346</v>
      </c>
      <c r="C37" s="115"/>
      <c r="D37" s="115">
        <v>52.616277599999968</v>
      </c>
      <c r="E37" s="115"/>
      <c r="F37" s="115"/>
      <c r="G37" s="115"/>
      <c r="H37" s="115"/>
      <c r="I37" s="115">
        <v>46.210543424497594</v>
      </c>
      <c r="J37" s="115">
        <v>46.210543424497594</v>
      </c>
      <c r="K37" s="115">
        <v>46.210543424497594</v>
      </c>
      <c r="L37" s="115">
        <v>46.210543424497594</v>
      </c>
      <c r="M37" s="115">
        <v>36.968434739598074</v>
      </c>
      <c r="N37" s="115">
        <v>36.968434739598074</v>
      </c>
      <c r="O37" s="115">
        <v>36.968434739598074</v>
      </c>
      <c r="P37" s="115">
        <v>36.968434739598074</v>
      </c>
      <c r="Q37" s="115">
        <v>36.968434739598074</v>
      </c>
      <c r="R37" s="115">
        <v>36.968434739598074</v>
      </c>
      <c r="S37" s="115"/>
      <c r="T37" s="115">
        <v>68.155799999999957</v>
      </c>
      <c r="U37" s="115">
        <v>36.968434739598074</v>
      </c>
      <c r="V37" s="115">
        <v>36.968434739598074</v>
      </c>
      <c r="W37" s="115">
        <v>36.968434739598074</v>
      </c>
      <c r="X37" s="115">
        <v>36.968434739598074</v>
      </c>
      <c r="Y37" s="115">
        <v>36.968434739598074</v>
      </c>
      <c r="Z37" s="115">
        <v>36.968434739598074</v>
      </c>
      <c r="AA37" s="115">
        <v>36.968434739598074</v>
      </c>
      <c r="AB37" s="115">
        <v>36.968434739598074</v>
      </c>
      <c r="AC37" s="115">
        <v>36.968434739598074</v>
      </c>
      <c r="AD37" s="115">
        <v>36.968434739598074</v>
      </c>
      <c r="AE37" s="115">
        <v>36.968434739598074</v>
      </c>
      <c r="AF37" s="115">
        <v>36.968434739598074</v>
      </c>
      <c r="AG37" s="115">
        <v>36.968434739598074</v>
      </c>
      <c r="AH37" s="115">
        <v>36.968434739598074</v>
      </c>
      <c r="AI37" s="115">
        <v>36.968434739598074</v>
      </c>
      <c r="AJ37" s="115">
        <v>36.968434739598074</v>
      </c>
      <c r="AK37" s="115">
        <v>36.968434739598074</v>
      </c>
      <c r="AL37" s="115">
        <v>36.968434739598074</v>
      </c>
      <c r="AM37" s="115">
        <v>36.968434739598074</v>
      </c>
      <c r="AN37" s="115">
        <v>36.968434739598074</v>
      </c>
      <c r="AO37" s="115">
        <v>36.968434739598074</v>
      </c>
      <c r="AP37" s="115">
        <v>36.968434739598074</v>
      </c>
      <c r="AQ37" s="115">
        <v>36.968434739598074</v>
      </c>
      <c r="AR37" s="115">
        <v>36.968434739598074</v>
      </c>
      <c r="AS37" s="115">
        <v>36.968434739598074</v>
      </c>
      <c r="AT37" s="115">
        <v>36.968434739598074</v>
      </c>
      <c r="AU37" s="115">
        <v>36.968434739598074</v>
      </c>
      <c r="AV37" s="115">
        <v>36.968434739598074</v>
      </c>
      <c r="AW37" s="115">
        <v>36.968434739598074</v>
      </c>
      <c r="AX37" s="115">
        <v>36.968434739598074</v>
      </c>
      <c r="AY37" s="115">
        <v>36.968434739598074</v>
      </c>
    </row>
    <row r="38" spans="1:52" x14ac:dyDescent="0.2">
      <c r="A38" s="115"/>
      <c r="B38" s="170" t="s">
        <v>347</v>
      </c>
      <c r="C38" s="115"/>
      <c r="D38" s="115">
        <v>7</v>
      </c>
      <c r="E38" s="115"/>
      <c r="F38" s="115"/>
      <c r="G38" s="115"/>
      <c r="H38" s="115"/>
      <c r="I38" s="115">
        <v>6</v>
      </c>
      <c r="J38" s="115">
        <v>6</v>
      </c>
      <c r="K38" s="115">
        <v>6</v>
      </c>
      <c r="L38" s="115">
        <v>6</v>
      </c>
      <c r="M38" s="115">
        <v>5</v>
      </c>
      <c r="N38" s="115">
        <v>5</v>
      </c>
      <c r="O38" s="115">
        <v>5</v>
      </c>
      <c r="P38" s="115">
        <v>5</v>
      </c>
      <c r="Q38" s="115">
        <v>5</v>
      </c>
      <c r="R38" s="115">
        <v>5</v>
      </c>
      <c r="S38" s="115"/>
      <c r="T38" s="115">
        <v>9</v>
      </c>
      <c r="U38" s="115">
        <v>5</v>
      </c>
      <c r="V38" s="115">
        <v>5</v>
      </c>
      <c r="W38" s="115">
        <v>5</v>
      </c>
      <c r="X38" s="115">
        <v>5</v>
      </c>
      <c r="Y38" s="115">
        <v>5</v>
      </c>
      <c r="Z38" s="115">
        <v>5</v>
      </c>
      <c r="AA38" s="115">
        <v>5</v>
      </c>
      <c r="AB38" s="115">
        <v>5</v>
      </c>
      <c r="AC38" s="115">
        <v>5</v>
      </c>
      <c r="AD38" s="115">
        <v>5</v>
      </c>
      <c r="AE38" s="115">
        <v>5</v>
      </c>
      <c r="AF38" s="115">
        <v>5</v>
      </c>
      <c r="AG38" s="115">
        <v>5</v>
      </c>
      <c r="AH38" s="115">
        <v>5</v>
      </c>
      <c r="AI38" s="115">
        <v>5</v>
      </c>
      <c r="AJ38" s="115">
        <v>5</v>
      </c>
      <c r="AK38" s="115">
        <v>5</v>
      </c>
      <c r="AL38" s="115">
        <v>5</v>
      </c>
      <c r="AM38" s="115">
        <v>5</v>
      </c>
      <c r="AN38" s="115">
        <v>5</v>
      </c>
      <c r="AO38" s="115">
        <v>5</v>
      </c>
      <c r="AP38" s="115">
        <v>5</v>
      </c>
      <c r="AQ38" s="115">
        <v>5</v>
      </c>
      <c r="AR38" s="115">
        <v>5</v>
      </c>
      <c r="AS38" s="115">
        <v>5</v>
      </c>
      <c r="AT38" s="115">
        <v>5</v>
      </c>
      <c r="AU38" s="115">
        <v>5</v>
      </c>
      <c r="AV38" s="115">
        <v>5</v>
      </c>
      <c r="AW38" s="115">
        <v>5</v>
      </c>
      <c r="AX38" s="115">
        <v>5</v>
      </c>
      <c r="AY38" s="115">
        <v>5</v>
      </c>
    </row>
    <row r="39" spans="1:52" x14ac:dyDescent="0.2">
      <c r="A39" s="115"/>
      <c r="B39" s="170" t="s">
        <v>348</v>
      </c>
      <c r="C39" s="115"/>
      <c r="D39" s="115">
        <f>D33-D36</f>
        <v>0</v>
      </c>
      <c r="E39" s="115">
        <f t="shared" ref="E39:AY39" si="12">E33-E36</f>
        <v>0</v>
      </c>
      <c r="F39" s="115">
        <f t="shared" si="12"/>
        <v>0</v>
      </c>
      <c r="G39" s="115">
        <f t="shared" si="12"/>
        <v>0</v>
      </c>
      <c r="H39" s="115">
        <f t="shared" si="12"/>
        <v>0</v>
      </c>
      <c r="I39" s="115">
        <f t="shared" si="12"/>
        <v>0</v>
      </c>
      <c r="J39" s="115">
        <f t="shared" si="12"/>
        <v>0</v>
      </c>
      <c r="K39" s="115">
        <f t="shared" si="12"/>
        <v>0</v>
      </c>
      <c r="L39" s="115">
        <f t="shared" si="12"/>
        <v>0</v>
      </c>
      <c r="M39" s="115">
        <f t="shared" si="12"/>
        <v>0</v>
      </c>
      <c r="N39" s="115">
        <f t="shared" si="12"/>
        <v>0</v>
      </c>
      <c r="O39" s="115">
        <f t="shared" si="12"/>
        <v>0</v>
      </c>
      <c r="P39" s="115">
        <f t="shared" si="12"/>
        <v>0</v>
      </c>
      <c r="Q39" s="115">
        <f t="shared" si="12"/>
        <v>0</v>
      </c>
      <c r="R39" s="115">
        <f t="shared" si="12"/>
        <v>0</v>
      </c>
      <c r="S39" s="115">
        <f t="shared" si="12"/>
        <v>0</v>
      </c>
      <c r="T39" s="115">
        <f t="shared" si="12"/>
        <v>0</v>
      </c>
      <c r="U39" s="115">
        <f t="shared" si="12"/>
        <v>0</v>
      </c>
      <c r="V39" s="115">
        <f t="shared" si="12"/>
        <v>0</v>
      </c>
      <c r="W39" s="115">
        <f t="shared" si="12"/>
        <v>0</v>
      </c>
      <c r="X39" s="115">
        <f t="shared" si="12"/>
        <v>0</v>
      </c>
      <c r="Y39" s="115">
        <f t="shared" si="12"/>
        <v>0</v>
      </c>
      <c r="Z39" s="115">
        <f t="shared" si="12"/>
        <v>0</v>
      </c>
      <c r="AA39" s="115">
        <f t="shared" si="12"/>
        <v>0</v>
      </c>
      <c r="AB39" s="115">
        <f t="shared" si="12"/>
        <v>0</v>
      </c>
      <c r="AC39" s="115">
        <f t="shared" si="12"/>
        <v>0</v>
      </c>
      <c r="AD39" s="115">
        <f t="shared" si="12"/>
        <v>0</v>
      </c>
      <c r="AE39" s="115">
        <f t="shared" si="12"/>
        <v>0</v>
      </c>
      <c r="AF39" s="115">
        <f t="shared" si="12"/>
        <v>0</v>
      </c>
      <c r="AG39" s="115">
        <f t="shared" si="12"/>
        <v>0</v>
      </c>
      <c r="AH39" s="115">
        <f t="shared" si="12"/>
        <v>0</v>
      </c>
      <c r="AI39" s="115">
        <f t="shared" si="12"/>
        <v>0</v>
      </c>
      <c r="AJ39" s="115">
        <f t="shared" si="12"/>
        <v>0</v>
      </c>
      <c r="AK39" s="115">
        <f t="shared" si="12"/>
        <v>0</v>
      </c>
      <c r="AL39" s="115">
        <f t="shared" si="12"/>
        <v>0</v>
      </c>
      <c r="AM39" s="115">
        <f t="shared" si="12"/>
        <v>0</v>
      </c>
      <c r="AN39" s="115">
        <f t="shared" si="12"/>
        <v>0</v>
      </c>
      <c r="AO39" s="115">
        <f t="shared" si="12"/>
        <v>0</v>
      </c>
      <c r="AP39" s="115">
        <f t="shared" si="12"/>
        <v>0</v>
      </c>
      <c r="AQ39" s="115">
        <f t="shared" si="12"/>
        <v>0</v>
      </c>
      <c r="AR39" s="115">
        <f t="shared" si="12"/>
        <v>0</v>
      </c>
      <c r="AS39" s="115">
        <f t="shared" si="12"/>
        <v>0</v>
      </c>
      <c r="AT39" s="115">
        <f t="shared" si="12"/>
        <v>0</v>
      </c>
      <c r="AU39" s="115">
        <f t="shared" si="12"/>
        <v>0</v>
      </c>
      <c r="AV39" s="115">
        <f t="shared" si="12"/>
        <v>0</v>
      </c>
      <c r="AW39" s="115">
        <f t="shared" si="12"/>
        <v>0</v>
      </c>
      <c r="AX39" s="115">
        <f t="shared" si="12"/>
        <v>0</v>
      </c>
      <c r="AY39" s="115">
        <f t="shared" si="12"/>
        <v>0</v>
      </c>
    </row>
    <row r="40" spans="1:52" x14ac:dyDescent="0.2">
      <c r="A40" s="115"/>
      <c r="B40" s="170" t="s">
        <v>349</v>
      </c>
      <c r="C40" s="115"/>
      <c r="D40" s="115">
        <f>D34-D37</f>
        <v>0</v>
      </c>
      <c r="E40" s="115">
        <f t="shared" ref="E40:AY40" si="13">E34-E37</f>
        <v>0</v>
      </c>
      <c r="F40" s="115">
        <f t="shared" si="13"/>
        <v>0</v>
      </c>
      <c r="G40" s="115">
        <f t="shared" si="13"/>
        <v>0</v>
      </c>
      <c r="H40" s="115">
        <f t="shared" si="13"/>
        <v>0</v>
      </c>
      <c r="I40" s="115">
        <f t="shared" si="13"/>
        <v>0</v>
      </c>
      <c r="J40" s="115">
        <f t="shared" si="13"/>
        <v>0</v>
      </c>
      <c r="K40" s="115">
        <f t="shared" si="13"/>
        <v>0</v>
      </c>
      <c r="L40" s="115">
        <f t="shared" si="13"/>
        <v>0</v>
      </c>
      <c r="M40" s="115">
        <f t="shared" si="13"/>
        <v>0</v>
      </c>
      <c r="N40" s="115">
        <f t="shared" si="13"/>
        <v>0</v>
      </c>
      <c r="O40" s="115">
        <f t="shared" si="13"/>
        <v>0</v>
      </c>
      <c r="P40" s="115">
        <f t="shared" si="13"/>
        <v>0</v>
      </c>
      <c r="Q40" s="115">
        <f t="shared" si="13"/>
        <v>0</v>
      </c>
      <c r="R40" s="115">
        <f t="shared" si="13"/>
        <v>0</v>
      </c>
      <c r="S40" s="115">
        <f t="shared" si="13"/>
        <v>0</v>
      </c>
      <c r="T40" s="115">
        <f t="shared" si="13"/>
        <v>0</v>
      </c>
      <c r="U40" s="115">
        <f t="shared" si="13"/>
        <v>0</v>
      </c>
      <c r="V40" s="115">
        <f t="shared" si="13"/>
        <v>0</v>
      </c>
      <c r="W40" s="115">
        <f t="shared" si="13"/>
        <v>0</v>
      </c>
      <c r="X40" s="115">
        <f t="shared" si="13"/>
        <v>0</v>
      </c>
      <c r="Y40" s="115">
        <f t="shared" si="13"/>
        <v>0</v>
      </c>
      <c r="Z40" s="115">
        <f t="shared" si="13"/>
        <v>0</v>
      </c>
      <c r="AA40" s="115">
        <f t="shared" si="13"/>
        <v>0</v>
      </c>
      <c r="AB40" s="115">
        <f t="shared" si="13"/>
        <v>0</v>
      </c>
      <c r="AC40" s="115">
        <f t="shared" si="13"/>
        <v>0</v>
      </c>
      <c r="AD40" s="115">
        <f t="shared" si="13"/>
        <v>0</v>
      </c>
      <c r="AE40" s="115">
        <f t="shared" si="13"/>
        <v>0</v>
      </c>
      <c r="AF40" s="115">
        <f t="shared" si="13"/>
        <v>0</v>
      </c>
      <c r="AG40" s="115">
        <f t="shared" si="13"/>
        <v>0</v>
      </c>
      <c r="AH40" s="115">
        <f t="shared" si="13"/>
        <v>0</v>
      </c>
      <c r="AI40" s="115">
        <f t="shared" si="13"/>
        <v>0</v>
      </c>
      <c r="AJ40" s="115">
        <f t="shared" si="13"/>
        <v>0</v>
      </c>
      <c r="AK40" s="115">
        <f t="shared" si="13"/>
        <v>0</v>
      </c>
      <c r="AL40" s="115">
        <f t="shared" si="13"/>
        <v>0</v>
      </c>
      <c r="AM40" s="115">
        <f t="shared" si="13"/>
        <v>0</v>
      </c>
      <c r="AN40" s="115">
        <f t="shared" si="13"/>
        <v>0</v>
      </c>
      <c r="AO40" s="115">
        <f t="shared" si="13"/>
        <v>0</v>
      </c>
      <c r="AP40" s="115">
        <f t="shared" si="13"/>
        <v>0</v>
      </c>
      <c r="AQ40" s="115">
        <f t="shared" si="13"/>
        <v>0</v>
      </c>
      <c r="AR40" s="115">
        <f t="shared" si="13"/>
        <v>0</v>
      </c>
      <c r="AS40" s="115">
        <f t="shared" si="13"/>
        <v>0</v>
      </c>
      <c r="AT40" s="115">
        <f t="shared" si="13"/>
        <v>0</v>
      </c>
      <c r="AU40" s="115">
        <f t="shared" si="13"/>
        <v>0</v>
      </c>
      <c r="AV40" s="115">
        <f t="shared" si="13"/>
        <v>0</v>
      </c>
      <c r="AW40" s="115">
        <f t="shared" si="13"/>
        <v>0</v>
      </c>
      <c r="AX40" s="115">
        <f t="shared" si="13"/>
        <v>0</v>
      </c>
      <c r="AY40" s="115">
        <f t="shared" si="13"/>
        <v>0</v>
      </c>
    </row>
    <row r="41" spans="1:52" x14ac:dyDescent="0.2">
      <c r="A41" s="115"/>
      <c r="B41" s="170" t="s">
        <v>350</v>
      </c>
      <c r="C41" s="115"/>
      <c r="D41" s="115">
        <v>1</v>
      </c>
      <c r="E41" s="115">
        <v>1</v>
      </c>
      <c r="F41" s="115">
        <v>1</v>
      </c>
      <c r="G41" s="115">
        <v>1</v>
      </c>
      <c r="H41" s="115">
        <v>1</v>
      </c>
      <c r="I41" s="115">
        <v>1</v>
      </c>
      <c r="J41" s="115">
        <v>1</v>
      </c>
      <c r="K41" s="115">
        <v>1</v>
      </c>
      <c r="L41" s="115">
        <v>1</v>
      </c>
      <c r="M41" s="115">
        <v>2</v>
      </c>
      <c r="N41" s="115">
        <v>1</v>
      </c>
      <c r="O41" s="115">
        <v>2</v>
      </c>
      <c r="P41" s="115">
        <v>1</v>
      </c>
      <c r="Q41" s="115">
        <v>1</v>
      </c>
      <c r="R41" s="115">
        <v>3</v>
      </c>
      <c r="S41" s="115">
        <v>2</v>
      </c>
      <c r="T41" s="115">
        <v>1</v>
      </c>
      <c r="U41" s="115">
        <v>1</v>
      </c>
      <c r="V41" s="115">
        <v>1</v>
      </c>
      <c r="W41" s="115">
        <v>2</v>
      </c>
      <c r="X41" s="115">
        <v>1</v>
      </c>
      <c r="Y41" s="115">
        <v>3</v>
      </c>
      <c r="Z41" s="115">
        <v>2</v>
      </c>
      <c r="AA41" s="115">
        <v>1</v>
      </c>
      <c r="AB41" s="115">
        <v>2</v>
      </c>
      <c r="AC41" s="115">
        <v>2</v>
      </c>
      <c r="AD41" s="115">
        <v>1</v>
      </c>
      <c r="AE41" s="115">
        <v>1</v>
      </c>
      <c r="AF41" s="115">
        <v>1</v>
      </c>
      <c r="AG41" s="115">
        <v>1</v>
      </c>
      <c r="AH41" s="115">
        <v>1</v>
      </c>
      <c r="AI41" s="115">
        <v>1</v>
      </c>
      <c r="AJ41" s="115">
        <v>1</v>
      </c>
      <c r="AK41" s="115">
        <v>1</v>
      </c>
      <c r="AL41" s="115">
        <v>2</v>
      </c>
      <c r="AM41" s="115">
        <v>2</v>
      </c>
      <c r="AN41" s="115">
        <v>1</v>
      </c>
      <c r="AO41" s="115">
        <v>3</v>
      </c>
      <c r="AP41" s="115">
        <v>1</v>
      </c>
      <c r="AQ41" s="115">
        <v>1</v>
      </c>
      <c r="AR41" s="115">
        <v>2</v>
      </c>
      <c r="AS41" s="115">
        <v>1</v>
      </c>
      <c r="AT41" s="115">
        <v>3</v>
      </c>
      <c r="AU41" s="115">
        <v>1</v>
      </c>
      <c r="AV41" s="115">
        <v>1</v>
      </c>
      <c r="AW41" s="115">
        <v>2</v>
      </c>
      <c r="AX41" s="115">
        <v>1</v>
      </c>
      <c r="AY41" s="115">
        <v>1</v>
      </c>
    </row>
    <row r="42" spans="1:52" x14ac:dyDescent="0.2">
      <c r="A42" s="115"/>
      <c r="B42" s="183" t="s">
        <v>351</v>
      </c>
      <c r="C42" s="115"/>
      <c r="D42" s="115">
        <v>35280</v>
      </c>
      <c r="E42" s="115">
        <v>0</v>
      </c>
      <c r="F42" s="115">
        <v>0</v>
      </c>
      <c r="G42" s="115">
        <v>0</v>
      </c>
      <c r="H42" s="115">
        <v>0</v>
      </c>
      <c r="I42" s="115">
        <v>30240</v>
      </c>
      <c r="J42" s="115">
        <v>30240</v>
      </c>
      <c r="K42" s="115">
        <v>30240</v>
      </c>
      <c r="L42" s="115">
        <v>30240</v>
      </c>
      <c r="M42" s="115">
        <v>25200</v>
      </c>
      <c r="N42" s="115">
        <v>25200</v>
      </c>
      <c r="O42" s="115">
        <v>25200</v>
      </c>
      <c r="P42" s="115">
        <v>25200</v>
      </c>
      <c r="Q42" s="115">
        <v>25200</v>
      </c>
      <c r="R42" s="115">
        <v>25200</v>
      </c>
      <c r="S42" s="115">
        <v>0</v>
      </c>
      <c r="T42" s="115">
        <v>45360</v>
      </c>
      <c r="U42" s="115">
        <v>25200</v>
      </c>
      <c r="V42" s="115">
        <v>25200</v>
      </c>
      <c r="W42" s="115">
        <v>25200</v>
      </c>
      <c r="X42" s="115">
        <v>25200</v>
      </c>
      <c r="Y42" s="115">
        <v>25200</v>
      </c>
      <c r="Z42" s="115">
        <v>25200</v>
      </c>
      <c r="AA42" s="115">
        <v>25200</v>
      </c>
      <c r="AB42" s="115">
        <v>25200</v>
      </c>
      <c r="AC42" s="115">
        <v>25200</v>
      </c>
      <c r="AD42" s="115">
        <v>25200</v>
      </c>
      <c r="AE42" s="115">
        <v>25200</v>
      </c>
      <c r="AF42" s="115">
        <v>25200</v>
      </c>
      <c r="AG42" s="115">
        <v>25200</v>
      </c>
      <c r="AH42" s="115">
        <v>25200</v>
      </c>
      <c r="AI42" s="115">
        <v>25200</v>
      </c>
      <c r="AJ42" s="115">
        <v>25200</v>
      </c>
      <c r="AK42" s="115">
        <v>25200</v>
      </c>
      <c r="AL42" s="115">
        <v>25200</v>
      </c>
      <c r="AM42" s="115">
        <v>25200</v>
      </c>
      <c r="AN42" s="115">
        <v>25200</v>
      </c>
      <c r="AO42" s="115">
        <v>25200</v>
      </c>
      <c r="AP42" s="115">
        <v>25200</v>
      </c>
      <c r="AQ42" s="115">
        <v>25200</v>
      </c>
      <c r="AR42" s="115">
        <v>25200</v>
      </c>
      <c r="AS42" s="115">
        <v>25200</v>
      </c>
      <c r="AT42" s="115">
        <v>25200</v>
      </c>
      <c r="AU42" s="115">
        <v>25200</v>
      </c>
      <c r="AV42" s="115">
        <v>25200</v>
      </c>
      <c r="AW42" s="115">
        <v>25200</v>
      </c>
      <c r="AX42" s="115">
        <v>25200</v>
      </c>
      <c r="AY42" s="115">
        <v>25200</v>
      </c>
      <c r="AZ42" s="105">
        <f>SUM($D$42:$AY$42)</f>
        <v>1134000</v>
      </c>
    </row>
    <row r="43" spans="1:52" x14ac:dyDescent="0.2">
      <c r="A43" s="115"/>
      <c r="B43" s="183" t="s">
        <v>352</v>
      </c>
      <c r="C43" s="115"/>
      <c r="D43" s="115">
        <v>0</v>
      </c>
      <c r="E43" s="115">
        <v>0</v>
      </c>
      <c r="F43" s="115">
        <v>0</v>
      </c>
      <c r="G43" s="115">
        <v>0</v>
      </c>
      <c r="H43" s="115">
        <v>0</v>
      </c>
      <c r="I43" s="115">
        <v>0</v>
      </c>
      <c r="J43" s="115">
        <v>0</v>
      </c>
      <c r="K43" s="115">
        <v>0</v>
      </c>
      <c r="L43" s="115">
        <v>0</v>
      </c>
      <c r="M43" s="115">
        <v>0</v>
      </c>
      <c r="N43" s="115">
        <v>0</v>
      </c>
      <c r="O43" s="115">
        <v>0</v>
      </c>
      <c r="P43" s="115">
        <v>0</v>
      </c>
      <c r="Q43" s="115">
        <v>0</v>
      </c>
      <c r="R43" s="115">
        <v>0</v>
      </c>
      <c r="S43" s="115">
        <v>0</v>
      </c>
      <c r="T43" s="115">
        <v>0</v>
      </c>
      <c r="U43" s="115">
        <v>0</v>
      </c>
      <c r="V43" s="115">
        <v>0</v>
      </c>
      <c r="W43" s="115">
        <v>0</v>
      </c>
      <c r="X43" s="115">
        <v>0</v>
      </c>
      <c r="Y43" s="115">
        <v>0</v>
      </c>
      <c r="Z43" s="115">
        <v>0</v>
      </c>
      <c r="AA43" s="115">
        <v>0</v>
      </c>
      <c r="AB43" s="115">
        <v>0</v>
      </c>
      <c r="AC43" s="115">
        <v>0</v>
      </c>
      <c r="AD43" s="115">
        <v>0</v>
      </c>
      <c r="AE43" s="115">
        <v>0</v>
      </c>
      <c r="AF43" s="115">
        <v>0</v>
      </c>
      <c r="AG43" s="115">
        <v>0</v>
      </c>
      <c r="AH43" s="115">
        <v>0</v>
      </c>
      <c r="AI43" s="115">
        <v>0</v>
      </c>
      <c r="AJ43" s="115">
        <v>0</v>
      </c>
      <c r="AK43" s="115">
        <v>0</v>
      </c>
      <c r="AL43" s="115">
        <v>0</v>
      </c>
      <c r="AM43" s="115">
        <v>0</v>
      </c>
      <c r="AN43" s="115">
        <v>0</v>
      </c>
      <c r="AO43" s="115">
        <v>0</v>
      </c>
      <c r="AP43" s="115">
        <v>0</v>
      </c>
      <c r="AQ43" s="115">
        <v>0</v>
      </c>
      <c r="AR43" s="115">
        <v>0</v>
      </c>
      <c r="AS43" s="115">
        <v>0</v>
      </c>
      <c r="AT43" s="115">
        <v>0</v>
      </c>
      <c r="AU43" s="115">
        <v>0</v>
      </c>
      <c r="AV43" s="115">
        <v>0</v>
      </c>
      <c r="AW43" s="115">
        <v>0</v>
      </c>
      <c r="AX43" s="115">
        <v>0</v>
      </c>
      <c r="AY43" s="115">
        <v>0</v>
      </c>
      <c r="AZ43" s="105">
        <f>SUM($D$43:$AY$43)</f>
        <v>0</v>
      </c>
    </row>
    <row r="44" spans="1:52" x14ac:dyDescent="0.2">
      <c r="A44" s="140" t="s">
        <v>49</v>
      </c>
      <c r="B44" s="140" t="s">
        <v>342</v>
      </c>
      <c r="C44" s="129"/>
      <c r="D44" s="129">
        <f>D$21*shipping_manufacturing!$D$28/100</f>
        <v>0</v>
      </c>
      <c r="E44" s="129">
        <f>E$21*shipping_manufacturing!$D$28/100</f>
        <v>0</v>
      </c>
      <c r="F44" s="129">
        <f>F$21*shipping_manufacturing!$D$28/100</f>
        <v>0</v>
      </c>
      <c r="G44" s="129">
        <f>G$21*shipping_manufacturing!$D$28/100</f>
        <v>0</v>
      </c>
      <c r="H44" s="129">
        <f>H$21*shipping_manufacturing!$D$28/100</f>
        <v>0</v>
      </c>
      <c r="I44" s="129">
        <f>I$21*shipping_manufacturing!$D$28/100</f>
        <v>0</v>
      </c>
      <c r="J44" s="129">
        <f>J$21*shipping_manufacturing!$D$28/100</f>
        <v>0</v>
      </c>
      <c r="K44" s="129">
        <f>K$21*shipping_manufacturing!$D$28/100</f>
        <v>0</v>
      </c>
      <c r="L44" s="129">
        <f>L$21*shipping_manufacturing!$D$28/100</f>
        <v>0</v>
      </c>
      <c r="M44" s="129">
        <f>M$21*shipping_manufacturing!$D$28/100</f>
        <v>0</v>
      </c>
      <c r="N44" s="129">
        <f>N$21*shipping_manufacturing!$D$28/100</f>
        <v>0</v>
      </c>
      <c r="O44" s="129">
        <f>O$21*shipping_manufacturing!$D$28/100</f>
        <v>0</v>
      </c>
      <c r="P44" s="129">
        <f>P$21*shipping_manufacturing!$D$28/100</f>
        <v>0</v>
      </c>
      <c r="Q44" s="129">
        <f>Q$21*shipping_manufacturing!$D$28/100</f>
        <v>0</v>
      </c>
      <c r="R44" s="129">
        <f>R$21*shipping_manufacturing!$D$28/100</f>
        <v>0</v>
      </c>
      <c r="S44" s="129">
        <f>S$21*shipping_manufacturing!$D$28/100</f>
        <v>0</v>
      </c>
      <c r="T44" s="129">
        <f>T$21*shipping_manufacturing!$D$28/100</f>
        <v>0</v>
      </c>
      <c r="U44" s="129">
        <f>U$21*shipping_manufacturing!$D$28/100</f>
        <v>0</v>
      </c>
      <c r="V44" s="129">
        <f>V$21*shipping_manufacturing!$D$28/100</f>
        <v>0</v>
      </c>
      <c r="W44" s="129">
        <f>W$21*shipping_manufacturing!$D$28/100</f>
        <v>0</v>
      </c>
      <c r="X44" s="129">
        <f>X$21*shipping_manufacturing!$D$28/100</f>
        <v>0</v>
      </c>
      <c r="Y44" s="129">
        <f>Y$21*shipping_manufacturing!$D$28/100</f>
        <v>0</v>
      </c>
      <c r="Z44" s="129">
        <f>Z$21*shipping_manufacturing!$D$28/100</f>
        <v>0</v>
      </c>
      <c r="AA44" s="129">
        <f>AA$21*shipping_manufacturing!$D$28/100</f>
        <v>0</v>
      </c>
      <c r="AB44" s="129">
        <f>AB$21*shipping_manufacturing!$D$28/100</f>
        <v>0</v>
      </c>
      <c r="AC44" s="129">
        <f>AC$21*shipping_manufacturing!$D$28/100</f>
        <v>0</v>
      </c>
      <c r="AD44" s="129">
        <f>AD$21*shipping_manufacturing!$D$28/100</f>
        <v>0</v>
      </c>
      <c r="AE44" s="129">
        <f>AE$21*shipping_manufacturing!$D$28/100</f>
        <v>0</v>
      </c>
      <c r="AF44" s="129">
        <f>AF$21*shipping_manufacturing!$D$28/100</f>
        <v>0</v>
      </c>
      <c r="AG44" s="129">
        <f>AG$21*shipping_manufacturing!$D$28/100</f>
        <v>0</v>
      </c>
      <c r="AH44" s="129">
        <f>AH$21*shipping_manufacturing!$D$28/100</f>
        <v>0</v>
      </c>
      <c r="AI44" s="129">
        <f>AI$21*shipping_manufacturing!$D$28/100</f>
        <v>0</v>
      </c>
      <c r="AJ44" s="129">
        <f>AJ$21*shipping_manufacturing!$D$28/100</f>
        <v>0</v>
      </c>
      <c r="AK44" s="129">
        <f>AK$21*shipping_manufacturing!$D$28/100</f>
        <v>0</v>
      </c>
      <c r="AL44" s="129">
        <f>AL$21*shipping_manufacturing!$D$28/100</f>
        <v>0</v>
      </c>
      <c r="AM44" s="129">
        <f>AM$21*shipping_manufacturing!$D$28/100</f>
        <v>0</v>
      </c>
      <c r="AN44" s="129">
        <f>AN$21*shipping_manufacturing!$D$28/100</f>
        <v>0</v>
      </c>
      <c r="AO44" s="129">
        <f>AO$21*shipping_manufacturing!$D$28/100</f>
        <v>0</v>
      </c>
      <c r="AP44" s="129">
        <f>AP$21*shipping_manufacturing!$D$28/100</f>
        <v>0</v>
      </c>
      <c r="AQ44" s="129">
        <f>AQ$21*shipping_manufacturing!$D$28/100</f>
        <v>0</v>
      </c>
      <c r="AR44" s="129">
        <f>AR$21*shipping_manufacturing!$D$28/100</f>
        <v>0</v>
      </c>
      <c r="AS44" s="129">
        <f>AS$21*shipping_manufacturing!$D$28/100</f>
        <v>0</v>
      </c>
      <c r="AT44" s="129">
        <f>AT$21*shipping_manufacturing!$D$28/100</f>
        <v>0</v>
      </c>
      <c r="AU44" s="129">
        <f>AU$21*shipping_manufacturing!$D$28/100</f>
        <v>0</v>
      </c>
      <c r="AV44" s="129">
        <f>AV$21*shipping_manufacturing!$D$28/100</f>
        <v>0</v>
      </c>
      <c r="AW44" s="129">
        <f>AW$21*shipping_manufacturing!$D$28/100</f>
        <v>0</v>
      </c>
      <c r="AX44" s="129">
        <f>AX$21*shipping_manufacturing!$D$28/100</f>
        <v>0</v>
      </c>
      <c r="AY44" s="129">
        <f>AY$21*shipping_manufacturing!$D$28/100</f>
        <v>0</v>
      </c>
    </row>
    <row r="45" spans="1:52" x14ac:dyDescent="0.2">
      <c r="A45" s="118" t="s">
        <v>341</v>
      </c>
      <c r="B45" s="170" t="s">
        <v>343</v>
      </c>
      <c r="C45" s="115"/>
      <c r="D45" s="115">
        <f>D$22*shipping_manufacturing!$E$28/100</f>
        <v>0</v>
      </c>
      <c r="E45" s="115">
        <f>E$22*shipping_manufacturing!$E$28/100</f>
        <v>0</v>
      </c>
      <c r="F45" s="115">
        <f>F$22*shipping_manufacturing!$E$28/100</f>
        <v>0</v>
      </c>
      <c r="G45" s="115">
        <f>G$22*shipping_manufacturing!$E$28/100</f>
        <v>0</v>
      </c>
      <c r="H45" s="115">
        <f>H$22*shipping_manufacturing!$E$28/100</f>
        <v>0</v>
      </c>
      <c r="I45" s="115">
        <f>I$22*shipping_manufacturing!$E$28/100</f>
        <v>0</v>
      </c>
      <c r="J45" s="115">
        <f>J$22*shipping_manufacturing!$E$28/100</f>
        <v>0</v>
      </c>
      <c r="K45" s="115">
        <f>K$22*shipping_manufacturing!$E$28/100</f>
        <v>0</v>
      </c>
      <c r="L45" s="115">
        <f>L$22*shipping_manufacturing!$E$28/100</f>
        <v>0</v>
      </c>
      <c r="M45" s="115">
        <f>M$22*shipping_manufacturing!$E$28/100</f>
        <v>0</v>
      </c>
      <c r="N45" s="115">
        <f>N$22*shipping_manufacturing!$E$28/100</f>
        <v>0</v>
      </c>
      <c r="O45" s="115">
        <f>O$22*shipping_manufacturing!$E$28/100</f>
        <v>0</v>
      </c>
      <c r="P45" s="115">
        <f>P$22*shipping_manufacturing!$E$28/100</f>
        <v>0</v>
      </c>
      <c r="Q45" s="115">
        <f>Q$22*shipping_manufacturing!$E$28/100</f>
        <v>0</v>
      </c>
      <c r="R45" s="115">
        <f>R$22*shipping_manufacturing!$E$28/100</f>
        <v>0</v>
      </c>
      <c r="S45" s="115">
        <f>S$22*shipping_manufacturing!$E$28/100</f>
        <v>0</v>
      </c>
      <c r="T45" s="115">
        <f>T$22*shipping_manufacturing!$E$28/100</f>
        <v>0</v>
      </c>
      <c r="U45" s="115">
        <f>U$22*shipping_manufacturing!$E$28/100</f>
        <v>0</v>
      </c>
      <c r="V45" s="115">
        <f>V$22*shipping_manufacturing!$E$28/100</f>
        <v>0</v>
      </c>
      <c r="W45" s="115">
        <f>W$22*shipping_manufacturing!$E$28/100</f>
        <v>0</v>
      </c>
      <c r="X45" s="115">
        <f>X$22*shipping_manufacturing!$E$28/100</f>
        <v>0</v>
      </c>
      <c r="Y45" s="115">
        <f>Y$22*shipping_manufacturing!$E$28/100</f>
        <v>0</v>
      </c>
      <c r="Z45" s="115">
        <f>Z$22*shipping_manufacturing!$E$28/100</f>
        <v>0</v>
      </c>
      <c r="AA45" s="115">
        <f>AA$22*shipping_manufacturing!$E$28/100</f>
        <v>0</v>
      </c>
      <c r="AB45" s="115">
        <f>AB$22*shipping_manufacturing!$E$28/100</f>
        <v>0</v>
      </c>
      <c r="AC45" s="115">
        <f>AC$22*shipping_manufacturing!$E$28/100</f>
        <v>0</v>
      </c>
      <c r="AD45" s="115">
        <f>AD$22*shipping_manufacturing!$E$28/100</f>
        <v>0</v>
      </c>
      <c r="AE45" s="115">
        <f>AE$22*shipping_manufacturing!$E$28/100</f>
        <v>0</v>
      </c>
      <c r="AF45" s="115">
        <f>AF$22*shipping_manufacturing!$E$28/100</f>
        <v>0</v>
      </c>
      <c r="AG45" s="115">
        <f>AG$22*shipping_manufacturing!$E$28/100</f>
        <v>0</v>
      </c>
      <c r="AH45" s="115">
        <f>AH$22*shipping_manufacturing!$E$28/100</f>
        <v>0</v>
      </c>
      <c r="AI45" s="115">
        <f>AI$22*shipping_manufacturing!$E$28/100</f>
        <v>0</v>
      </c>
      <c r="AJ45" s="115">
        <f>AJ$22*shipping_manufacturing!$E$28/100</f>
        <v>0</v>
      </c>
      <c r="AK45" s="115">
        <f>AK$22*shipping_manufacturing!$E$28/100</f>
        <v>0</v>
      </c>
      <c r="AL45" s="115">
        <f>AL$22*shipping_manufacturing!$E$28/100</f>
        <v>0</v>
      </c>
      <c r="AM45" s="115">
        <f>AM$22*shipping_manufacturing!$E$28/100</f>
        <v>0</v>
      </c>
      <c r="AN45" s="115">
        <f>AN$22*shipping_manufacturing!$E$28/100</f>
        <v>0</v>
      </c>
      <c r="AO45" s="115">
        <f>AO$22*shipping_manufacturing!$E$28/100</f>
        <v>0</v>
      </c>
      <c r="AP45" s="115">
        <f>AP$22*shipping_manufacturing!$E$28/100</f>
        <v>0</v>
      </c>
      <c r="AQ45" s="115">
        <f>AQ$22*shipping_manufacturing!$E$28/100</f>
        <v>0</v>
      </c>
      <c r="AR45" s="115">
        <f>AR$22*shipping_manufacturing!$E$28/100</f>
        <v>0</v>
      </c>
      <c r="AS45" s="115">
        <f>AS$22*shipping_manufacturing!$E$28/100</f>
        <v>0</v>
      </c>
      <c r="AT45" s="115">
        <f>AT$22*shipping_manufacturing!$E$28/100</f>
        <v>0</v>
      </c>
      <c r="AU45" s="115">
        <f>AU$22*shipping_manufacturing!$E$28/100</f>
        <v>0</v>
      </c>
      <c r="AV45" s="115">
        <f>AV$22*shipping_manufacturing!$E$28/100</f>
        <v>0</v>
      </c>
      <c r="AW45" s="115">
        <f>AW$22*shipping_manufacturing!$E$28/100</f>
        <v>0</v>
      </c>
      <c r="AX45" s="115">
        <f>AX$22*shipping_manufacturing!$E$28/100</f>
        <v>0</v>
      </c>
      <c r="AY45" s="115">
        <f>AY$22*shipping_manufacturing!$E$28/100</f>
        <v>0</v>
      </c>
    </row>
    <row r="46" spans="1:52" x14ac:dyDescent="0.2">
      <c r="A46" s="115">
        <v>1518</v>
      </c>
      <c r="B46" s="170" t="s">
        <v>344</v>
      </c>
      <c r="C46" s="115"/>
      <c r="D46" s="115">
        <f>SUM(D44:D45)</f>
        <v>0</v>
      </c>
      <c r="E46" s="115">
        <f t="shared" ref="E46:AY46" si="14">SUM(E44:E45)</f>
        <v>0</v>
      </c>
      <c r="F46" s="115">
        <f t="shared" si="14"/>
        <v>0</v>
      </c>
      <c r="G46" s="115">
        <f t="shared" si="14"/>
        <v>0</v>
      </c>
      <c r="H46" s="115">
        <f t="shared" si="14"/>
        <v>0</v>
      </c>
      <c r="I46" s="115">
        <f t="shared" si="14"/>
        <v>0</v>
      </c>
      <c r="J46" s="115">
        <f t="shared" si="14"/>
        <v>0</v>
      </c>
      <c r="K46" s="115">
        <f t="shared" si="14"/>
        <v>0</v>
      </c>
      <c r="L46" s="115">
        <f t="shared" si="14"/>
        <v>0</v>
      </c>
      <c r="M46" s="115">
        <f t="shared" si="14"/>
        <v>0</v>
      </c>
      <c r="N46" s="115">
        <f t="shared" si="14"/>
        <v>0</v>
      </c>
      <c r="O46" s="115">
        <f t="shared" si="14"/>
        <v>0</v>
      </c>
      <c r="P46" s="115">
        <f t="shared" si="14"/>
        <v>0</v>
      </c>
      <c r="Q46" s="115">
        <f t="shared" si="14"/>
        <v>0</v>
      </c>
      <c r="R46" s="115">
        <f t="shared" si="14"/>
        <v>0</v>
      </c>
      <c r="S46" s="115">
        <f t="shared" si="14"/>
        <v>0</v>
      </c>
      <c r="T46" s="115">
        <f t="shared" si="14"/>
        <v>0</v>
      </c>
      <c r="U46" s="115">
        <f t="shared" si="14"/>
        <v>0</v>
      </c>
      <c r="V46" s="115">
        <f t="shared" si="14"/>
        <v>0</v>
      </c>
      <c r="W46" s="115">
        <f t="shared" si="14"/>
        <v>0</v>
      </c>
      <c r="X46" s="115">
        <f t="shared" si="14"/>
        <v>0</v>
      </c>
      <c r="Y46" s="115">
        <f t="shared" si="14"/>
        <v>0</v>
      </c>
      <c r="Z46" s="115">
        <f t="shared" si="14"/>
        <v>0</v>
      </c>
      <c r="AA46" s="115">
        <f t="shared" si="14"/>
        <v>0</v>
      </c>
      <c r="AB46" s="115">
        <f t="shared" si="14"/>
        <v>0</v>
      </c>
      <c r="AC46" s="115">
        <f t="shared" si="14"/>
        <v>0</v>
      </c>
      <c r="AD46" s="115">
        <f t="shared" si="14"/>
        <v>0</v>
      </c>
      <c r="AE46" s="115">
        <f t="shared" si="14"/>
        <v>0</v>
      </c>
      <c r="AF46" s="115">
        <f t="shared" si="14"/>
        <v>0</v>
      </c>
      <c r="AG46" s="115">
        <f t="shared" si="14"/>
        <v>0</v>
      </c>
      <c r="AH46" s="115">
        <f t="shared" si="14"/>
        <v>0</v>
      </c>
      <c r="AI46" s="115">
        <f t="shared" si="14"/>
        <v>0</v>
      </c>
      <c r="AJ46" s="115">
        <f t="shared" si="14"/>
        <v>0</v>
      </c>
      <c r="AK46" s="115">
        <f t="shared" si="14"/>
        <v>0</v>
      </c>
      <c r="AL46" s="115">
        <f t="shared" si="14"/>
        <v>0</v>
      </c>
      <c r="AM46" s="115">
        <f t="shared" si="14"/>
        <v>0</v>
      </c>
      <c r="AN46" s="115">
        <f t="shared" si="14"/>
        <v>0</v>
      </c>
      <c r="AO46" s="115">
        <f t="shared" si="14"/>
        <v>0</v>
      </c>
      <c r="AP46" s="115">
        <f t="shared" si="14"/>
        <v>0</v>
      </c>
      <c r="AQ46" s="115">
        <f t="shared" si="14"/>
        <v>0</v>
      </c>
      <c r="AR46" s="115">
        <f t="shared" si="14"/>
        <v>0</v>
      </c>
      <c r="AS46" s="115">
        <f t="shared" si="14"/>
        <v>0</v>
      </c>
      <c r="AT46" s="115">
        <f t="shared" si="14"/>
        <v>0</v>
      </c>
      <c r="AU46" s="115">
        <f t="shared" si="14"/>
        <v>0</v>
      </c>
      <c r="AV46" s="115">
        <f t="shared" si="14"/>
        <v>0</v>
      </c>
      <c r="AW46" s="115">
        <f t="shared" si="14"/>
        <v>0</v>
      </c>
      <c r="AX46" s="115">
        <f t="shared" si="14"/>
        <v>0</v>
      </c>
      <c r="AY46" s="115">
        <f t="shared" si="14"/>
        <v>0</v>
      </c>
    </row>
    <row r="47" spans="1:52" x14ac:dyDescent="0.2">
      <c r="A47" s="115"/>
      <c r="B47" s="170" t="s">
        <v>345</v>
      </c>
      <c r="C47" s="115"/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</row>
    <row r="48" spans="1:52" x14ac:dyDescent="0.2">
      <c r="A48" s="115"/>
      <c r="B48" s="170" t="s">
        <v>346</v>
      </c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</row>
    <row r="49" spans="1:52" x14ac:dyDescent="0.2">
      <c r="A49" s="115"/>
      <c r="B49" s="170" t="s">
        <v>347</v>
      </c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</row>
    <row r="50" spans="1:52" x14ac:dyDescent="0.2">
      <c r="A50" s="115"/>
      <c r="B50" s="170" t="s">
        <v>348</v>
      </c>
      <c r="C50" s="115"/>
      <c r="D50" s="115">
        <f>D44-D47</f>
        <v>0</v>
      </c>
      <c r="E50" s="115">
        <f t="shared" ref="E50:AY50" si="15">E44-E47</f>
        <v>0</v>
      </c>
      <c r="F50" s="115">
        <f t="shared" si="15"/>
        <v>0</v>
      </c>
      <c r="G50" s="115">
        <f t="shared" si="15"/>
        <v>0</v>
      </c>
      <c r="H50" s="115">
        <f t="shared" si="15"/>
        <v>0</v>
      </c>
      <c r="I50" s="115">
        <f t="shared" si="15"/>
        <v>0</v>
      </c>
      <c r="J50" s="115">
        <f t="shared" si="15"/>
        <v>0</v>
      </c>
      <c r="K50" s="115">
        <f t="shared" si="15"/>
        <v>0</v>
      </c>
      <c r="L50" s="115">
        <f t="shared" si="15"/>
        <v>0</v>
      </c>
      <c r="M50" s="115">
        <f t="shared" si="15"/>
        <v>0</v>
      </c>
      <c r="N50" s="115">
        <f t="shared" si="15"/>
        <v>0</v>
      </c>
      <c r="O50" s="115">
        <f t="shared" si="15"/>
        <v>0</v>
      </c>
      <c r="P50" s="115">
        <f t="shared" si="15"/>
        <v>0</v>
      </c>
      <c r="Q50" s="115">
        <f t="shared" si="15"/>
        <v>0</v>
      </c>
      <c r="R50" s="115">
        <f t="shared" si="15"/>
        <v>0</v>
      </c>
      <c r="S50" s="115">
        <f t="shared" si="15"/>
        <v>0</v>
      </c>
      <c r="T50" s="115">
        <f t="shared" si="15"/>
        <v>0</v>
      </c>
      <c r="U50" s="115">
        <f t="shared" si="15"/>
        <v>0</v>
      </c>
      <c r="V50" s="115">
        <f t="shared" si="15"/>
        <v>0</v>
      </c>
      <c r="W50" s="115">
        <f t="shared" si="15"/>
        <v>0</v>
      </c>
      <c r="X50" s="115">
        <f t="shared" si="15"/>
        <v>0</v>
      </c>
      <c r="Y50" s="115">
        <f t="shared" si="15"/>
        <v>0</v>
      </c>
      <c r="Z50" s="115">
        <f t="shared" si="15"/>
        <v>0</v>
      </c>
      <c r="AA50" s="115">
        <f t="shared" si="15"/>
        <v>0</v>
      </c>
      <c r="AB50" s="115">
        <f t="shared" si="15"/>
        <v>0</v>
      </c>
      <c r="AC50" s="115">
        <f t="shared" si="15"/>
        <v>0</v>
      </c>
      <c r="AD50" s="115">
        <f t="shared" si="15"/>
        <v>0</v>
      </c>
      <c r="AE50" s="115">
        <f t="shared" si="15"/>
        <v>0</v>
      </c>
      <c r="AF50" s="115">
        <f t="shared" si="15"/>
        <v>0</v>
      </c>
      <c r="AG50" s="115">
        <f t="shared" si="15"/>
        <v>0</v>
      </c>
      <c r="AH50" s="115">
        <f t="shared" si="15"/>
        <v>0</v>
      </c>
      <c r="AI50" s="115">
        <f t="shared" si="15"/>
        <v>0</v>
      </c>
      <c r="AJ50" s="115">
        <f t="shared" si="15"/>
        <v>0</v>
      </c>
      <c r="AK50" s="115">
        <f t="shared" si="15"/>
        <v>0</v>
      </c>
      <c r="AL50" s="115">
        <f t="shared" si="15"/>
        <v>0</v>
      </c>
      <c r="AM50" s="115">
        <f t="shared" si="15"/>
        <v>0</v>
      </c>
      <c r="AN50" s="115">
        <f t="shared" si="15"/>
        <v>0</v>
      </c>
      <c r="AO50" s="115">
        <f t="shared" si="15"/>
        <v>0</v>
      </c>
      <c r="AP50" s="115">
        <f t="shared" si="15"/>
        <v>0</v>
      </c>
      <c r="AQ50" s="115">
        <f t="shared" si="15"/>
        <v>0</v>
      </c>
      <c r="AR50" s="115">
        <f t="shared" si="15"/>
        <v>0</v>
      </c>
      <c r="AS50" s="115">
        <f t="shared" si="15"/>
        <v>0</v>
      </c>
      <c r="AT50" s="115">
        <f t="shared" si="15"/>
        <v>0</v>
      </c>
      <c r="AU50" s="115">
        <f t="shared" si="15"/>
        <v>0</v>
      </c>
      <c r="AV50" s="115">
        <f t="shared" si="15"/>
        <v>0</v>
      </c>
      <c r="AW50" s="115">
        <f t="shared" si="15"/>
        <v>0</v>
      </c>
      <c r="AX50" s="115">
        <f t="shared" si="15"/>
        <v>0</v>
      </c>
      <c r="AY50" s="115">
        <f t="shared" si="15"/>
        <v>0</v>
      </c>
    </row>
    <row r="51" spans="1:52" x14ac:dyDescent="0.2">
      <c r="A51" s="115"/>
      <c r="B51" s="170" t="s">
        <v>349</v>
      </c>
      <c r="C51" s="115"/>
      <c r="D51" s="115">
        <f>D45-D48</f>
        <v>0</v>
      </c>
      <c r="E51" s="115">
        <f t="shared" ref="E51:AY51" si="16">E45-E48</f>
        <v>0</v>
      </c>
      <c r="F51" s="115">
        <f t="shared" si="16"/>
        <v>0</v>
      </c>
      <c r="G51" s="115">
        <f t="shared" si="16"/>
        <v>0</v>
      </c>
      <c r="H51" s="115">
        <f t="shared" si="16"/>
        <v>0</v>
      </c>
      <c r="I51" s="115">
        <f t="shared" si="16"/>
        <v>0</v>
      </c>
      <c r="J51" s="115">
        <f t="shared" si="16"/>
        <v>0</v>
      </c>
      <c r="K51" s="115">
        <f t="shared" si="16"/>
        <v>0</v>
      </c>
      <c r="L51" s="115">
        <f t="shared" si="16"/>
        <v>0</v>
      </c>
      <c r="M51" s="115">
        <f t="shared" si="16"/>
        <v>0</v>
      </c>
      <c r="N51" s="115">
        <f t="shared" si="16"/>
        <v>0</v>
      </c>
      <c r="O51" s="115">
        <f t="shared" si="16"/>
        <v>0</v>
      </c>
      <c r="P51" s="115">
        <f t="shared" si="16"/>
        <v>0</v>
      </c>
      <c r="Q51" s="115">
        <f t="shared" si="16"/>
        <v>0</v>
      </c>
      <c r="R51" s="115">
        <f t="shared" si="16"/>
        <v>0</v>
      </c>
      <c r="S51" s="115">
        <f t="shared" si="16"/>
        <v>0</v>
      </c>
      <c r="T51" s="115">
        <f t="shared" si="16"/>
        <v>0</v>
      </c>
      <c r="U51" s="115">
        <f t="shared" si="16"/>
        <v>0</v>
      </c>
      <c r="V51" s="115">
        <f t="shared" si="16"/>
        <v>0</v>
      </c>
      <c r="W51" s="115">
        <f t="shared" si="16"/>
        <v>0</v>
      </c>
      <c r="X51" s="115">
        <f t="shared" si="16"/>
        <v>0</v>
      </c>
      <c r="Y51" s="115">
        <f t="shared" si="16"/>
        <v>0</v>
      </c>
      <c r="Z51" s="115">
        <f t="shared" si="16"/>
        <v>0</v>
      </c>
      <c r="AA51" s="115">
        <f t="shared" si="16"/>
        <v>0</v>
      </c>
      <c r="AB51" s="115">
        <f t="shared" si="16"/>
        <v>0</v>
      </c>
      <c r="AC51" s="115">
        <f t="shared" si="16"/>
        <v>0</v>
      </c>
      <c r="AD51" s="115">
        <f t="shared" si="16"/>
        <v>0</v>
      </c>
      <c r="AE51" s="115">
        <f t="shared" si="16"/>
        <v>0</v>
      </c>
      <c r="AF51" s="115">
        <f t="shared" si="16"/>
        <v>0</v>
      </c>
      <c r="AG51" s="115">
        <f t="shared" si="16"/>
        <v>0</v>
      </c>
      <c r="AH51" s="115">
        <f t="shared" si="16"/>
        <v>0</v>
      </c>
      <c r="AI51" s="115">
        <f t="shared" si="16"/>
        <v>0</v>
      </c>
      <c r="AJ51" s="115">
        <f t="shared" si="16"/>
        <v>0</v>
      </c>
      <c r="AK51" s="115">
        <f t="shared" si="16"/>
        <v>0</v>
      </c>
      <c r="AL51" s="115">
        <f t="shared" si="16"/>
        <v>0</v>
      </c>
      <c r="AM51" s="115">
        <f t="shared" si="16"/>
        <v>0</v>
      </c>
      <c r="AN51" s="115">
        <f t="shared" si="16"/>
        <v>0</v>
      </c>
      <c r="AO51" s="115">
        <f t="shared" si="16"/>
        <v>0</v>
      </c>
      <c r="AP51" s="115">
        <f t="shared" si="16"/>
        <v>0</v>
      </c>
      <c r="AQ51" s="115">
        <f t="shared" si="16"/>
        <v>0</v>
      </c>
      <c r="AR51" s="115">
        <f t="shared" si="16"/>
        <v>0</v>
      </c>
      <c r="AS51" s="115">
        <f t="shared" si="16"/>
        <v>0</v>
      </c>
      <c r="AT51" s="115">
        <f t="shared" si="16"/>
        <v>0</v>
      </c>
      <c r="AU51" s="115">
        <f t="shared" si="16"/>
        <v>0</v>
      </c>
      <c r="AV51" s="115">
        <f t="shared" si="16"/>
        <v>0</v>
      </c>
      <c r="AW51" s="115">
        <f t="shared" si="16"/>
        <v>0</v>
      </c>
      <c r="AX51" s="115">
        <f t="shared" si="16"/>
        <v>0</v>
      </c>
      <c r="AY51" s="115">
        <f t="shared" si="16"/>
        <v>0</v>
      </c>
    </row>
    <row r="52" spans="1:52" x14ac:dyDescent="0.2">
      <c r="A52" s="115"/>
      <c r="B52" s="170" t="s">
        <v>350</v>
      </c>
      <c r="C52" s="115"/>
      <c r="D52" s="115">
        <v>1</v>
      </c>
      <c r="E52" s="115">
        <v>1</v>
      </c>
      <c r="F52" s="115">
        <v>1</v>
      </c>
      <c r="G52" s="115">
        <v>2</v>
      </c>
      <c r="H52" s="115">
        <v>1</v>
      </c>
      <c r="I52" s="115">
        <v>1</v>
      </c>
      <c r="J52" s="115">
        <v>1</v>
      </c>
      <c r="K52" s="115">
        <v>1</v>
      </c>
      <c r="L52" s="115">
        <v>2</v>
      </c>
      <c r="M52" s="115">
        <v>1</v>
      </c>
      <c r="N52" s="115">
        <v>2</v>
      </c>
      <c r="O52" s="115">
        <v>1</v>
      </c>
      <c r="P52" s="115">
        <v>2</v>
      </c>
      <c r="Q52" s="115">
        <v>1</v>
      </c>
      <c r="R52" s="115">
        <v>2</v>
      </c>
      <c r="S52" s="115">
        <v>1</v>
      </c>
      <c r="T52" s="115">
        <v>2</v>
      </c>
      <c r="U52" s="115">
        <v>1</v>
      </c>
      <c r="V52" s="115">
        <v>2</v>
      </c>
      <c r="W52" s="115">
        <v>2</v>
      </c>
      <c r="X52" s="115">
        <v>1</v>
      </c>
      <c r="Y52" s="115">
        <v>2</v>
      </c>
      <c r="Z52" s="115">
        <v>1</v>
      </c>
      <c r="AA52" s="115">
        <v>1</v>
      </c>
      <c r="AB52" s="115">
        <v>3</v>
      </c>
      <c r="AC52" s="115">
        <v>1</v>
      </c>
      <c r="AD52" s="115">
        <v>2</v>
      </c>
      <c r="AE52" s="115">
        <v>1</v>
      </c>
      <c r="AF52" s="115">
        <v>1</v>
      </c>
      <c r="AG52" s="115">
        <v>3</v>
      </c>
      <c r="AH52" s="115">
        <v>1</v>
      </c>
      <c r="AI52" s="115">
        <v>1</v>
      </c>
      <c r="AJ52" s="115">
        <v>1</v>
      </c>
      <c r="AK52" s="115">
        <v>2</v>
      </c>
      <c r="AL52" s="115">
        <v>1</v>
      </c>
      <c r="AM52" s="115">
        <v>1</v>
      </c>
      <c r="AN52" s="115">
        <v>1</v>
      </c>
      <c r="AO52" s="115">
        <v>1</v>
      </c>
      <c r="AP52" s="115">
        <v>1</v>
      </c>
      <c r="AQ52" s="115">
        <v>1</v>
      </c>
      <c r="AR52" s="115">
        <v>2</v>
      </c>
      <c r="AS52" s="115">
        <v>1</v>
      </c>
      <c r="AT52" s="115">
        <v>2</v>
      </c>
      <c r="AU52" s="115">
        <v>3</v>
      </c>
      <c r="AV52" s="115">
        <v>1</v>
      </c>
      <c r="AW52" s="115">
        <v>1</v>
      </c>
      <c r="AX52" s="115">
        <v>2</v>
      </c>
      <c r="AY52" s="115">
        <v>1</v>
      </c>
    </row>
    <row r="53" spans="1:52" x14ac:dyDescent="0.2">
      <c r="A53" s="115"/>
      <c r="B53" s="183" t="s">
        <v>351</v>
      </c>
      <c r="C53" s="115"/>
      <c r="D53" s="115">
        <v>0</v>
      </c>
      <c r="E53" s="115">
        <v>0</v>
      </c>
      <c r="F53" s="115">
        <v>0</v>
      </c>
      <c r="G53" s="115">
        <v>0</v>
      </c>
      <c r="H53" s="115">
        <v>0</v>
      </c>
      <c r="I53" s="115">
        <v>0</v>
      </c>
      <c r="J53" s="115">
        <v>0</v>
      </c>
      <c r="K53" s="115">
        <v>0</v>
      </c>
      <c r="L53" s="115">
        <v>0</v>
      </c>
      <c r="M53" s="115">
        <v>0</v>
      </c>
      <c r="N53" s="115">
        <v>0</v>
      </c>
      <c r="O53" s="115">
        <v>0</v>
      </c>
      <c r="P53" s="115">
        <v>0</v>
      </c>
      <c r="Q53" s="115">
        <v>0</v>
      </c>
      <c r="R53" s="115">
        <v>0</v>
      </c>
      <c r="S53" s="115">
        <v>0</v>
      </c>
      <c r="T53" s="115">
        <v>0</v>
      </c>
      <c r="U53" s="115">
        <v>0</v>
      </c>
      <c r="V53" s="115">
        <v>0</v>
      </c>
      <c r="W53" s="115">
        <v>0</v>
      </c>
      <c r="X53" s="115">
        <v>0</v>
      </c>
      <c r="Y53" s="115">
        <v>0</v>
      </c>
      <c r="Z53" s="115">
        <v>0</v>
      </c>
      <c r="AA53" s="115">
        <v>0</v>
      </c>
      <c r="AB53" s="115">
        <v>0</v>
      </c>
      <c r="AC53" s="115">
        <v>0</v>
      </c>
      <c r="AD53" s="115">
        <v>0</v>
      </c>
      <c r="AE53" s="115">
        <v>0</v>
      </c>
      <c r="AF53" s="115">
        <v>0</v>
      </c>
      <c r="AG53" s="115">
        <v>0</v>
      </c>
      <c r="AH53" s="115">
        <v>0</v>
      </c>
      <c r="AI53" s="115">
        <v>0</v>
      </c>
      <c r="AJ53" s="115">
        <v>0</v>
      </c>
      <c r="AK53" s="115">
        <v>0</v>
      </c>
      <c r="AL53" s="115">
        <v>0</v>
      </c>
      <c r="AM53" s="115">
        <v>0</v>
      </c>
      <c r="AN53" s="115">
        <v>0</v>
      </c>
      <c r="AO53" s="115">
        <v>0</v>
      </c>
      <c r="AP53" s="115">
        <v>0</v>
      </c>
      <c r="AQ53" s="115">
        <v>0</v>
      </c>
      <c r="AR53" s="115">
        <v>0</v>
      </c>
      <c r="AS53" s="115">
        <v>0</v>
      </c>
      <c r="AT53" s="115">
        <v>0</v>
      </c>
      <c r="AU53" s="115">
        <v>0</v>
      </c>
      <c r="AV53" s="115">
        <v>0</v>
      </c>
      <c r="AW53" s="115">
        <v>0</v>
      </c>
      <c r="AX53" s="115">
        <v>0</v>
      </c>
      <c r="AY53" s="115">
        <v>0</v>
      </c>
      <c r="AZ53" s="105">
        <f>SUM($D$53:$AY$53)</f>
        <v>0</v>
      </c>
    </row>
    <row r="54" spans="1:52" x14ac:dyDescent="0.2">
      <c r="A54" s="115"/>
      <c r="B54" s="183" t="s">
        <v>352</v>
      </c>
      <c r="C54" s="115"/>
      <c r="D54" s="115">
        <v>0</v>
      </c>
      <c r="E54" s="115">
        <v>0</v>
      </c>
      <c r="F54" s="115">
        <v>0</v>
      </c>
      <c r="G54" s="115">
        <v>0</v>
      </c>
      <c r="H54" s="115">
        <v>0</v>
      </c>
      <c r="I54" s="115">
        <v>0</v>
      </c>
      <c r="J54" s="115">
        <v>0</v>
      </c>
      <c r="K54" s="115">
        <v>0</v>
      </c>
      <c r="L54" s="115">
        <v>0</v>
      </c>
      <c r="M54" s="115">
        <v>0</v>
      </c>
      <c r="N54" s="115">
        <v>0</v>
      </c>
      <c r="O54" s="115">
        <v>0</v>
      </c>
      <c r="P54" s="115">
        <v>0</v>
      </c>
      <c r="Q54" s="115">
        <v>0</v>
      </c>
      <c r="R54" s="115">
        <v>0</v>
      </c>
      <c r="S54" s="115">
        <v>0</v>
      </c>
      <c r="T54" s="115">
        <v>0</v>
      </c>
      <c r="U54" s="115">
        <v>0</v>
      </c>
      <c r="V54" s="115">
        <v>0</v>
      </c>
      <c r="W54" s="115">
        <v>0</v>
      </c>
      <c r="X54" s="115">
        <v>0</v>
      </c>
      <c r="Y54" s="115">
        <v>0</v>
      </c>
      <c r="Z54" s="115">
        <v>0</v>
      </c>
      <c r="AA54" s="115">
        <v>0</v>
      </c>
      <c r="AB54" s="115">
        <v>0</v>
      </c>
      <c r="AC54" s="115">
        <v>0</v>
      </c>
      <c r="AD54" s="115">
        <v>0</v>
      </c>
      <c r="AE54" s="115">
        <v>0</v>
      </c>
      <c r="AF54" s="115">
        <v>0</v>
      </c>
      <c r="AG54" s="115">
        <v>0</v>
      </c>
      <c r="AH54" s="115">
        <v>0</v>
      </c>
      <c r="AI54" s="115">
        <v>0</v>
      </c>
      <c r="AJ54" s="115">
        <v>0</v>
      </c>
      <c r="AK54" s="115">
        <v>0</v>
      </c>
      <c r="AL54" s="115">
        <v>0</v>
      </c>
      <c r="AM54" s="115">
        <v>0</v>
      </c>
      <c r="AN54" s="115">
        <v>0</v>
      </c>
      <c r="AO54" s="115">
        <v>0</v>
      </c>
      <c r="AP54" s="115">
        <v>0</v>
      </c>
      <c r="AQ54" s="115">
        <v>0</v>
      </c>
      <c r="AR54" s="115">
        <v>0</v>
      </c>
      <c r="AS54" s="115">
        <v>0</v>
      </c>
      <c r="AT54" s="115">
        <v>0</v>
      </c>
      <c r="AU54" s="115">
        <v>0</v>
      </c>
      <c r="AV54" s="115">
        <v>0</v>
      </c>
      <c r="AW54" s="115">
        <v>0</v>
      </c>
      <c r="AX54" s="115">
        <v>0</v>
      </c>
      <c r="AY54" s="115">
        <v>0</v>
      </c>
      <c r="AZ54" s="105">
        <f>SUM($D$54:$AY$54)</f>
        <v>0</v>
      </c>
    </row>
    <row r="55" spans="1:52" x14ac:dyDescent="0.2">
      <c r="A55" s="140" t="s">
        <v>57</v>
      </c>
      <c r="B55" s="140" t="s">
        <v>342</v>
      </c>
      <c r="C55" s="129"/>
      <c r="D55" s="129">
        <f>D$21*shipping_manufacturing!$D$29/100</f>
        <v>0</v>
      </c>
      <c r="E55" s="129">
        <f>E$21*shipping_manufacturing!$D$29/100</f>
        <v>0</v>
      </c>
      <c r="F55" s="129">
        <f>F$21*shipping_manufacturing!$D$29/100</f>
        <v>0</v>
      </c>
      <c r="G55" s="129">
        <f>G$21*shipping_manufacturing!$D$29/100</f>
        <v>0</v>
      </c>
      <c r="H55" s="129">
        <f>H$21*shipping_manufacturing!$D$29/100</f>
        <v>0</v>
      </c>
      <c r="I55" s="129">
        <f>I$21*shipping_manufacturing!$D$29/100</f>
        <v>0</v>
      </c>
      <c r="J55" s="129">
        <f>J$21*shipping_manufacturing!$D$29/100</f>
        <v>0</v>
      </c>
      <c r="K55" s="129">
        <f>K$21*shipping_manufacturing!$D$29/100</f>
        <v>0</v>
      </c>
      <c r="L55" s="129">
        <f>L$21*shipping_manufacturing!$D$29/100</f>
        <v>0</v>
      </c>
      <c r="M55" s="129">
        <f>M$21*shipping_manufacturing!$D$29/100</f>
        <v>0</v>
      </c>
      <c r="N55" s="129">
        <f>N$21*shipping_manufacturing!$D$29/100</f>
        <v>0</v>
      </c>
      <c r="O55" s="129">
        <f>O$21*shipping_manufacturing!$D$29/100</f>
        <v>0</v>
      </c>
      <c r="P55" s="129">
        <f>P$21*shipping_manufacturing!$D$29/100</f>
        <v>0</v>
      </c>
      <c r="Q55" s="129">
        <f>Q$21*shipping_manufacturing!$D$29/100</f>
        <v>0</v>
      </c>
      <c r="R55" s="129">
        <f>R$21*shipping_manufacturing!$D$29/100</f>
        <v>0</v>
      </c>
      <c r="S55" s="129">
        <f>S$21*shipping_manufacturing!$D$29/100</f>
        <v>0</v>
      </c>
      <c r="T55" s="129">
        <f>T$21*shipping_manufacturing!$D$29/100</f>
        <v>0</v>
      </c>
      <c r="U55" s="129">
        <f>U$21*shipping_manufacturing!$D$29/100</f>
        <v>0</v>
      </c>
      <c r="V55" s="129">
        <f>V$21*shipping_manufacturing!$D$29/100</f>
        <v>0</v>
      </c>
      <c r="W55" s="129">
        <f>W$21*shipping_manufacturing!$D$29/100</f>
        <v>0</v>
      </c>
      <c r="X55" s="129">
        <f>X$21*shipping_manufacturing!$D$29/100</f>
        <v>0</v>
      </c>
      <c r="Y55" s="129">
        <f>Y$21*shipping_manufacturing!$D$29/100</f>
        <v>0</v>
      </c>
      <c r="Z55" s="129">
        <f>Z$21*shipping_manufacturing!$D$29/100</f>
        <v>0</v>
      </c>
      <c r="AA55" s="129">
        <f>AA$21*shipping_manufacturing!$D$29/100</f>
        <v>0</v>
      </c>
      <c r="AB55" s="129">
        <f>AB$21*shipping_manufacturing!$D$29/100</f>
        <v>0</v>
      </c>
      <c r="AC55" s="129">
        <f>AC$21*shipping_manufacturing!$D$29/100</f>
        <v>0</v>
      </c>
      <c r="AD55" s="129">
        <f>AD$21*shipping_manufacturing!$D$29/100</f>
        <v>0</v>
      </c>
      <c r="AE55" s="129">
        <f>AE$21*shipping_manufacturing!$D$29/100</f>
        <v>0</v>
      </c>
      <c r="AF55" s="129">
        <f>AF$21*shipping_manufacturing!$D$29/100</f>
        <v>0</v>
      </c>
      <c r="AG55" s="129">
        <f>AG$21*shipping_manufacturing!$D$29/100</f>
        <v>0</v>
      </c>
      <c r="AH55" s="129">
        <f>AH$21*shipping_manufacturing!$D$29/100</f>
        <v>0</v>
      </c>
      <c r="AI55" s="129">
        <f>AI$21*shipping_manufacturing!$D$29/100</f>
        <v>0</v>
      </c>
      <c r="AJ55" s="129">
        <f>AJ$21*shipping_manufacturing!$D$29/100</f>
        <v>0</v>
      </c>
      <c r="AK55" s="129">
        <f>AK$21*shipping_manufacturing!$D$29/100</f>
        <v>0</v>
      </c>
      <c r="AL55" s="129">
        <f>AL$21*shipping_manufacturing!$D$29/100</f>
        <v>0</v>
      </c>
      <c r="AM55" s="129">
        <f>AM$21*shipping_manufacturing!$D$29/100</f>
        <v>0</v>
      </c>
      <c r="AN55" s="129">
        <f>AN$21*shipping_manufacturing!$D$29/100</f>
        <v>0</v>
      </c>
      <c r="AO55" s="129">
        <f>AO$21*shipping_manufacturing!$D$29/100</f>
        <v>0</v>
      </c>
      <c r="AP55" s="129">
        <f>AP$21*shipping_manufacturing!$D$29/100</f>
        <v>0</v>
      </c>
      <c r="AQ55" s="129">
        <f>AQ$21*shipping_manufacturing!$D$29/100</f>
        <v>0</v>
      </c>
      <c r="AR55" s="129">
        <f>AR$21*shipping_manufacturing!$D$29/100</f>
        <v>0</v>
      </c>
      <c r="AS55" s="129">
        <f>AS$21*shipping_manufacturing!$D$29/100</f>
        <v>0</v>
      </c>
      <c r="AT55" s="129">
        <f>AT$21*shipping_manufacturing!$D$29/100</f>
        <v>0</v>
      </c>
      <c r="AU55" s="129">
        <f>AU$21*shipping_manufacturing!$D$29/100</f>
        <v>0</v>
      </c>
      <c r="AV55" s="129">
        <f>AV$21*shipping_manufacturing!$D$29/100</f>
        <v>0</v>
      </c>
      <c r="AW55" s="129">
        <f>AW$21*shipping_manufacturing!$D$29/100</f>
        <v>0</v>
      </c>
      <c r="AX55" s="129">
        <f>AX$21*shipping_manufacturing!$D$29/100</f>
        <v>0</v>
      </c>
      <c r="AY55" s="129">
        <f>AY$21*shipping_manufacturing!$D$29/100</f>
        <v>0</v>
      </c>
    </row>
    <row r="56" spans="1:52" x14ac:dyDescent="0.2">
      <c r="A56" s="118" t="s">
        <v>341</v>
      </c>
      <c r="B56" s="170" t="s">
        <v>343</v>
      </c>
      <c r="C56" s="115"/>
      <c r="D56" s="115">
        <f>D$22*shipping_manufacturing!$E$29/100</f>
        <v>0</v>
      </c>
      <c r="E56" s="115">
        <f>E$22*shipping_manufacturing!$E$29/100</f>
        <v>0</v>
      </c>
      <c r="F56" s="115">
        <f>F$22*shipping_manufacturing!$E$29/100</f>
        <v>0</v>
      </c>
      <c r="G56" s="115">
        <f>G$22*shipping_manufacturing!$E$29/100</f>
        <v>0</v>
      </c>
      <c r="H56" s="115">
        <f>H$22*shipping_manufacturing!$E$29/100</f>
        <v>0</v>
      </c>
      <c r="I56" s="115">
        <f>I$22*shipping_manufacturing!$E$29/100</f>
        <v>0</v>
      </c>
      <c r="J56" s="115">
        <f>J$22*shipping_manufacturing!$E$29/100</f>
        <v>0</v>
      </c>
      <c r="K56" s="115">
        <f>K$22*shipping_manufacturing!$E$29/100</f>
        <v>0</v>
      </c>
      <c r="L56" s="115">
        <f>L$22*shipping_manufacturing!$E$29/100</f>
        <v>0</v>
      </c>
      <c r="M56" s="115">
        <f>M$22*shipping_manufacturing!$E$29/100</f>
        <v>0</v>
      </c>
      <c r="N56" s="115">
        <f>N$22*shipping_manufacturing!$E$29/100</f>
        <v>0</v>
      </c>
      <c r="O56" s="115">
        <f>O$22*shipping_manufacturing!$E$29/100</f>
        <v>0</v>
      </c>
      <c r="P56" s="115">
        <f>P$22*shipping_manufacturing!$E$29/100</f>
        <v>0</v>
      </c>
      <c r="Q56" s="115">
        <f>Q$22*shipping_manufacturing!$E$29/100</f>
        <v>0</v>
      </c>
      <c r="R56" s="115">
        <f>R$22*shipping_manufacturing!$E$29/100</f>
        <v>0</v>
      </c>
      <c r="S56" s="115">
        <f>S$22*shipping_manufacturing!$E$29/100</f>
        <v>0</v>
      </c>
      <c r="T56" s="115">
        <f>T$22*shipping_manufacturing!$E$29/100</f>
        <v>0</v>
      </c>
      <c r="U56" s="115">
        <f>U$22*shipping_manufacturing!$E$29/100</f>
        <v>0</v>
      </c>
      <c r="V56" s="115">
        <f>V$22*shipping_manufacturing!$E$29/100</f>
        <v>0</v>
      </c>
      <c r="W56" s="115">
        <f>W$22*shipping_manufacturing!$E$29/100</f>
        <v>0</v>
      </c>
      <c r="X56" s="115">
        <f>X$22*shipping_manufacturing!$E$29/100</f>
        <v>0</v>
      </c>
      <c r="Y56" s="115">
        <f>Y$22*shipping_manufacturing!$E$29/100</f>
        <v>0</v>
      </c>
      <c r="Z56" s="115">
        <f>Z$22*shipping_manufacturing!$E$29/100</f>
        <v>0</v>
      </c>
      <c r="AA56" s="115">
        <f>AA$22*shipping_manufacturing!$E$29/100</f>
        <v>0</v>
      </c>
      <c r="AB56" s="115">
        <f>AB$22*shipping_manufacturing!$E$29/100</f>
        <v>0</v>
      </c>
      <c r="AC56" s="115">
        <f>AC$22*shipping_manufacturing!$E$29/100</f>
        <v>0</v>
      </c>
      <c r="AD56" s="115">
        <f>AD$22*shipping_manufacturing!$E$29/100</f>
        <v>0</v>
      </c>
      <c r="AE56" s="115">
        <f>AE$22*shipping_manufacturing!$E$29/100</f>
        <v>0</v>
      </c>
      <c r="AF56" s="115">
        <f>AF$22*shipping_manufacturing!$E$29/100</f>
        <v>0</v>
      </c>
      <c r="AG56" s="115">
        <f>AG$22*shipping_manufacturing!$E$29/100</f>
        <v>0</v>
      </c>
      <c r="AH56" s="115">
        <f>AH$22*shipping_manufacturing!$E$29/100</f>
        <v>0</v>
      </c>
      <c r="AI56" s="115">
        <f>AI$22*shipping_manufacturing!$E$29/100</f>
        <v>0</v>
      </c>
      <c r="AJ56" s="115">
        <f>AJ$22*shipping_manufacturing!$E$29/100</f>
        <v>0</v>
      </c>
      <c r="AK56" s="115">
        <f>AK$22*shipping_manufacturing!$E$29/100</f>
        <v>0</v>
      </c>
      <c r="AL56" s="115">
        <f>AL$22*shipping_manufacturing!$E$29/100</f>
        <v>0</v>
      </c>
      <c r="AM56" s="115">
        <f>AM$22*shipping_manufacturing!$E$29/100</f>
        <v>0</v>
      </c>
      <c r="AN56" s="115">
        <f>AN$22*shipping_manufacturing!$E$29/100</f>
        <v>0</v>
      </c>
      <c r="AO56" s="115">
        <f>AO$22*shipping_manufacturing!$E$29/100</f>
        <v>0</v>
      </c>
      <c r="AP56" s="115">
        <f>AP$22*shipping_manufacturing!$E$29/100</f>
        <v>0</v>
      </c>
      <c r="AQ56" s="115">
        <f>AQ$22*shipping_manufacturing!$E$29/100</f>
        <v>0</v>
      </c>
      <c r="AR56" s="115">
        <f>AR$22*shipping_manufacturing!$E$29/100</f>
        <v>0</v>
      </c>
      <c r="AS56" s="115">
        <f>AS$22*shipping_manufacturing!$E$29/100</f>
        <v>0</v>
      </c>
      <c r="AT56" s="115">
        <f>AT$22*shipping_manufacturing!$E$29/100</f>
        <v>0</v>
      </c>
      <c r="AU56" s="115">
        <f>AU$22*shipping_manufacturing!$E$29/100</f>
        <v>0</v>
      </c>
      <c r="AV56" s="115">
        <f>AV$22*shipping_manufacturing!$E$29/100</f>
        <v>0</v>
      </c>
      <c r="AW56" s="115">
        <f>AW$22*shipping_manufacturing!$E$29/100</f>
        <v>0</v>
      </c>
      <c r="AX56" s="115">
        <f>AX$22*shipping_manufacturing!$E$29/100</f>
        <v>0</v>
      </c>
      <c r="AY56" s="115">
        <f>AY$22*shipping_manufacturing!$E$29/100</f>
        <v>0</v>
      </c>
    </row>
    <row r="57" spans="1:52" x14ac:dyDescent="0.2">
      <c r="A57" s="115">
        <v>1314</v>
      </c>
      <c r="B57" s="170" t="s">
        <v>344</v>
      </c>
      <c r="C57" s="115"/>
      <c r="D57" s="115">
        <f>SUM(D55:D56)</f>
        <v>0</v>
      </c>
      <c r="E57" s="115">
        <f t="shared" ref="E57:AY57" si="17">SUM(E55:E56)</f>
        <v>0</v>
      </c>
      <c r="F57" s="115">
        <f t="shared" si="17"/>
        <v>0</v>
      </c>
      <c r="G57" s="115">
        <f t="shared" si="17"/>
        <v>0</v>
      </c>
      <c r="H57" s="115">
        <f t="shared" si="17"/>
        <v>0</v>
      </c>
      <c r="I57" s="115">
        <f t="shared" si="17"/>
        <v>0</v>
      </c>
      <c r="J57" s="115">
        <f t="shared" si="17"/>
        <v>0</v>
      </c>
      <c r="K57" s="115">
        <f t="shared" si="17"/>
        <v>0</v>
      </c>
      <c r="L57" s="115">
        <f t="shared" si="17"/>
        <v>0</v>
      </c>
      <c r="M57" s="115">
        <f t="shared" si="17"/>
        <v>0</v>
      </c>
      <c r="N57" s="115">
        <f t="shared" si="17"/>
        <v>0</v>
      </c>
      <c r="O57" s="115">
        <f t="shared" si="17"/>
        <v>0</v>
      </c>
      <c r="P57" s="115">
        <f t="shared" si="17"/>
        <v>0</v>
      </c>
      <c r="Q57" s="115">
        <f t="shared" si="17"/>
        <v>0</v>
      </c>
      <c r="R57" s="115">
        <f t="shared" si="17"/>
        <v>0</v>
      </c>
      <c r="S57" s="115">
        <f t="shared" si="17"/>
        <v>0</v>
      </c>
      <c r="T57" s="115">
        <f t="shared" si="17"/>
        <v>0</v>
      </c>
      <c r="U57" s="115">
        <f t="shared" si="17"/>
        <v>0</v>
      </c>
      <c r="V57" s="115">
        <f t="shared" si="17"/>
        <v>0</v>
      </c>
      <c r="W57" s="115">
        <f t="shared" si="17"/>
        <v>0</v>
      </c>
      <c r="X57" s="115">
        <f t="shared" si="17"/>
        <v>0</v>
      </c>
      <c r="Y57" s="115">
        <f t="shared" si="17"/>
        <v>0</v>
      </c>
      <c r="Z57" s="115">
        <f t="shared" si="17"/>
        <v>0</v>
      </c>
      <c r="AA57" s="115">
        <f t="shared" si="17"/>
        <v>0</v>
      </c>
      <c r="AB57" s="115">
        <f t="shared" si="17"/>
        <v>0</v>
      </c>
      <c r="AC57" s="115">
        <f t="shared" si="17"/>
        <v>0</v>
      </c>
      <c r="AD57" s="115">
        <f t="shared" si="17"/>
        <v>0</v>
      </c>
      <c r="AE57" s="115">
        <f t="shared" si="17"/>
        <v>0</v>
      </c>
      <c r="AF57" s="115">
        <f t="shared" si="17"/>
        <v>0</v>
      </c>
      <c r="AG57" s="115">
        <f t="shared" si="17"/>
        <v>0</v>
      </c>
      <c r="AH57" s="115">
        <f t="shared" si="17"/>
        <v>0</v>
      </c>
      <c r="AI57" s="115">
        <f t="shared" si="17"/>
        <v>0</v>
      </c>
      <c r="AJ57" s="115">
        <f t="shared" si="17"/>
        <v>0</v>
      </c>
      <c r="AK57" s="115">
        <f t="shared" si="17"/>
        <v>0</v>
      </c>
      <c r="AL57" s="115">
        <f t="shared" si="17"/>
        <v>0</v>
      </c>
      <c r="AM57" s="115">
        <f t="shared" si="17"/>
        <v>0</v>
      </c>
      <c r="AN57" s="115">
        <f t="shared" si="17"/>
        <v>0</v>
      </c>
      <c r="AO57" s="115">
        <f t="shared" si="17"/>
        <v>0</v>
      </c>
      <c r="AP57" s="115">
        <f t="shared" si="17"/>
        <v>0</v>
      </c>
      <c r="AQ57" s="115">
        <f t="shared" si="17"/>
        <v>0</v>
      </c>
      <c r="AR57" s="115">
        <f t="shared" si="17"/>
        <v>0</v>
      </c>
      <c r="AS57" s="115">
        <f t="shared" si="17"/>
        <v>0</v>
      </c>
      <c r="AT57" s="115">
        <f t="shared" si="17"/>
        <v>0</v>
      </c>
      <c r="AU57" s="115">
        <f t="shared" si="17"/>
        <v>0</v>
      </c>
      <c r="AV57" s="115">
        <f t="shared" si="17"/>
        <v>0</v>
      </c>
      <c r="AW57" s="115">
        <f t="shared" si="17"/>
        <v>0</v>
      </c>
      <c r="AX57" s="115">
        <f t="shared" si="17"/>
        <v>0</v>
      </c>
      <c r="AY57" s="115">
        <f t="shared" si="17"/>
        <v>0</v>
      </c>
    </row>
    <row r="58" spans="1:52" x14ac:dyDescent="0.2">
      <c r="A58" s="115"/>
      <c r="B58" s="170" t="s">
        <v>345</v>
      </c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</row>
    <row r="59" spans="1:52" x14ac:dyDescent="0.2">
      <c r="A59" s="115"/>
      <c r="B59" s="170" t="s">
        <v>346</v>
      </c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</row>
    <row r="60" spans="1:52" x14ac:dyDescent="0.2">
      <c r="A60" s="115"/>
      <c r="B60" s="170" t="s">
        <v>347</v>
      </c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</row>
    <row r="61" spans="1:52" x14ac:dyDescent="0.2">
      <c r="A61" s="115"/>
      <c r="B61" s="170" t="s">
        <v>348</v>
      </c>
      <c r="C61" s="115"/>
      <c r="D61" s="115">
        <f>D55-D58</f>
        <v>0</v>
      </c>
      <c r="E61" s="115">
        <f t="shared" ref="E61:AY61" si="18">E55-E58</f>
        <v>0</v>
      </c>
      <c r="F61" s="115">
        <f t="shared" si="18"/>
        <v>0</v>
      </c>
      <c r="G61" s="115">
        <f t="shared" si="18"/>
        <v>0</v>
      </c>
      <c r="H61" s="115">
        <f t="shared" si="18"/>
        <v>0</v>
      </c>
      <c r="I61" s="115">
        <f t="shared" si="18"/>
        <v>0</v>
      </c>
      <c r="J61" s="115">
        <f t="shared" si="18"/>
        <v>0</v>
      </c>
      <c r="K61" s="115">
        <f t="shared" si="18"/>
        <v>0</v>
      </c>
      <c r="L61" s="115">
        <f t="shared" si="18"/>
        <v>0</v>
      </c>
      <c r="M61" s="115">
        <f t="shared" si="18"/>
        <v>0</v>
      </c>
      <c r="N61" s="115">
        <f t="shared" si="18"/>
        <v>0</v>
      </c>
      <c r="O61" s="115">
        <f t="shared" si="18"/>
        <v>0</v>
      </c>
      <c r="P61" s="115">
        <f t="shared" si="18"/>
        <v>0</v>
      </c>
      <c r="Q61" s="115">
        <f t="shared" si="18"/>
        <v>0</v>
      </c>
      <c r="R61" s="115">
        <f t="shared" si="18"/>
        <v>0</v>
      </c>
      <c r="S61" s="115">
        <f t="shared" si="18"/>
        <v>0</v>
      </c>
      <c r="T61" s="115">
        <f t="shared" si="18"/>
        <v>0</v>
      </c>
      <c r="U61" s="115">
        <f t="shared" si="18"/>
        <v>0</v>
      </c>
      <c r="V61" s="115">
        <f t="shared" si="18"/>
        <v>0</v>
      </c>
      <c r="W61" s="115">
        <f t="shared" si="18"/>
        <v>0</v>
      </c>
      <c r="X61" s="115">
        <f t="shared" si="18"/>
        <v>0</v>
      </c>
      <c r="Y61" s="115">
        <f t="shared" si="18"/>
        <v>0</v>
      </c>
      <c r="Z61" s="115">
        <f t="shared" si="18"/>
        <v>0</v>
      </c>
      <c r="AA61" s="115">
        <f t="shared" si="18"/>
        <v>0</v>
      </c>
      <c r="AB61" s="115">
        <f t="shared" si="18"/>
        <v>0</v>
      </c>
      <c r="AC61" s="115">
        <f t="shared" si="18"/>
        <v>0</v>
      </c>
      <c r="AD61" s="115">
        <f t="shared" si="18"/>
        <v>0</v>
      </c>
      <c r="AE61" s="115">
        <f t="shared" si="18"/>
        <v>0</v>
      </c>
      <c r="AF61" s="115">
        <f t="shared" si="18"/>
        <v>0</v>
      </c>
      <c r="AG61" s="115">
        <f t="shared" si="18"/>
        <v>0</v>
      </c>
      <c r="AH61" s="115">
        <f t="shared" si="18"/>
        <v>0</v>
      </c>
      <c r="AI61" s="115">
        <f t="shared" si="18"/>
        <v>0</v>
      </c>
      <c r="AJ61" s="115">
        <f t="shared" si="18"/>
        <v>0</v>
      </c>
      <c r="AK61" s="115">
        <f t="shared" si="18"/>
        <v>0</v>
      </c>
      <c r="AL61" s="115">
        <f t="shared" si="18"/>
        <v>0</v>
      </c>
      <c r="AM61" s="115">
        <f t="shared" si="18"/>
        <v>0</v>
      </c>
      <c r="AN61" s="115">
        <f t="shared" si="18"/>
        <v>0</v>
      </c>
      <c r="AO61" s="115">
        <f t="shared" si="18"/>
        <v>0</v>
      </c>
      <c r="AP61" s="115">
        <f t="shared" si="18"/>
        <v>0</v>
      </c>
      <c r="AQ61" s="115">
        <f t="shared" si="18"/>
        <v>0</v>
      </c>
      <c r="AR61" s="115">
        <f t="shared" si="18"/>
        <v>0</v>
      </c>
      <c r="AS61" s="115">
        <f t="shared" si="18"/>
        <v>0</v>
      </c>
      <c r="AT61" s="115">
        <f t="shared" si="18"/>
        <v>0</v>
      </c>
      <c r="AU61" s="115">
        <f t="shared" si="18"/>
        <v>0</v>
      </c>
      <c r="AV61" s="115">
        <f t="shared" si="18"/>
        <v>0</v>
      </c>
      <c r="AW61" s="115">
        <f t="shared" si="18"/>
        <v>0</v>
      </c>
      <c r="AX61" s="115">
        <f t="shared" si="18"/>
        <v>0</v>
      </c>
      <c r="AY61" s="115">
        <f t="shared" si="18"/>
        <v>0</v>
      </c>
    </row>
    <row r="62" spans="1:52" x14ac:dyDescent="0.2">
      <c r="A62" s="115"/>
      <c r="B62" s="170" t="s">
        <v>349</v>
      </c>
      <c r="C62" s="115"/>
      <c r="D62" s="115">
        <f>D56-D59</f>
        <v>0</v>
      </c>
      <c r="E62" s="115">
        <f t="shared" ref="E62:AY62" si="19">E56-E59</f>
        <v>0</v>
      </c>
      <c r="F62" s="115">
        <f t="shared" si="19"/>
        <v>0</v>
      </c>
      <c r="G62" s="115">
        <f t="shared" si="19"/>
        <v>0</v>
      </c>
      <c r="H62" s="115">
        <f t="shared" si="19"/>
        <v>0</v>
      </c>
      <c r="I62" s="115">
        <f t="shared" si="19"/>
        <v>0</v>
      </c>
      <c r="J62" s="115">
        <f t="shared" si="19"/>
        <v>0</v>
      </c>
      <c r="K62" s="115">
        <f t="shared" si="19"/>
        <v>0</v>
      </c>
      <c r="L62" s="115">
        <f t="shared" si="19"/>
        <v>0</v>
      </c>
      <c r="M62" s="115">
        <f t="shared" si="19"/>
        <v>0</v>
      </c>
      <c r="N62" s="115">
        <f t="shared" si="19"/>
        <v>0</v>
      </c>
      <c r="O62" s="115">
        <f t="shared" si="19"/>
        <v>0</v>
      </c>
      <c r="P62" s="115">
        <f t="shared" si="19"/>
        <v>0</v>
      </c>
      <c r="Q62" s="115">
        <f t="shared" si="19"/>
        <v>0</v>
      </c>
      <c r="R62" s="115">
        <f t="shared" si="19"/>
        <v>0</v>
      </c>
      <c r="S62" s="115">
        <f t="shared" si="19"/>
        <v>0</v>
      </c>
      <c r="T62" s="115">
        <f t="shared" si="19"/>
        <v>0</v>
      </c>
      <c r="U62" s="115">
        <f t="shared" si="19"/>
        <v>0</v>
      </c>
      <c r="V62" s="115">
        <f t="shared" si="19"/>
        <v>0</v>
      </c>
      <c r="W62" s="115">
        <f t="shared" si="19"/>
        <v>0</v>
      </c>
      <c r="X62" s="115">
        <f t="shared" si="19"/>
        <v>0</v>
      </c>
      <c r="Y62" s="115">
        <f t="shared" si="19"/>
        <v>0</v>
      </c>
      <c r="Z62" s="115">
        <f t="shared" si="19"/>
        <v>0</v>
      </c>
      <c r="AA62" s="115">
        <f t="shared" si="19"/>
        <v>0</v>
      </c>
      <c r="AB62" s="115">
        <f t="shared" si="19"/>
        <v>0</v>
      </c>
      <c r="AC62" s="115">
        <f t="shared" si="19"/>
        <v>0</v>
      </c>
      <c r="AD62" s="115">
        <f t="shared" si="19"/>
        <v>0</v>
      </c>
      <c r="AE62" s="115">
        <f t="shared" si="19"/>
        <v>0</v>
      </c>
      <c r="AF62" s="115">
        <f t="shared" si="19"/>
        <v>0</v>
      </c>
      <c r="AG62" s="115">
        <f t="shared" si="19"/>
        <v>0</v>
      </c>
      <c r="AH62" s="115">
        <f t="shared" si="19"/>
        <v>0</v>
      </c>
      <c r="AI62" s="115">
        <f t="shared" si="19"/>
        <v>0</v>
      </c>
      <c r="AJ62" s="115">
        <f t="shared" si="19"/>
        <v>0</v>
      </c>
      <c r="AK62" s="115">
        <f t="shared" si="19"/>
        <v>0</v>
      </c>
      <c r="AL62" s="115">
        <f t="shared" si="19"/>
        <v>0</v>
      </c>
      <c r="AM62" s="115">
        <f t="shared" si="19"/>
        <v>0</v>
      </c>
      <c r="AN62" s="115">
        <f t="shared" si="19"/>
        <v>0</v>
      </c>
      <c r="AO62" s="115">
        <f t="shared" si="19"/>
        <v>0</v>
      </c>
      <c r="AP62" s="115">
        <f t="shared" si="19"/>
        <v>0</v>
      </c>
      <c r="AQ62" s="115">
        <f t="shared" si="19"/>
        <v>0</v>
      </c>
      <c r="AR62" s="115">
        <f t="shared" si="19"/>
        <v>0</v>
      </c>
      <c r="AS62" s="115">
        <f t="shared" si="19"/>
        <v>0</v>
      </c>
      <c r="AT62" s="115">
        <f t="shared" si="19"/>
        <v>0</v>
      </c>
      <c r="AU62" s="115">
        <f t="shared" si="19"/>
        <v>0</v>
      </c>
      <c r="AV62" s="115">
        <f t="shared" si="19"/>
        <v>0</v>
      </c>
      <c r="AW62" s="115">
        <f t="shared" si="19"/>
        <v>0</v>
      </c>
      <c r="AX62" s="115">
        <f t="shared" si="19"/>
        <v>0</v>
      </c>
      <c r="AY62" s="115">
        <f t="shared" si="19"/>
        <v>0</v>
      </c>
    </row>
    <row r="63" spans="1:52" x14ac:dyDescent="0.2">
      <c r="A63" s="115"/>
      <c r="B63" s="170" t="s">
        <v>350</v>
      </c>
      <c r="C63" s="115"/>
      <c r="D63" s="115">
        <v>1</v>
      </c>
      <c r="E63" s="115">
        <v>2</v>
      </c>
      <c r="F63" s="115">
        <v>2</v>
      </c>
      <c r="G63" s="115">
        <v>2</v>
      </c>
      <c r="H63" s="115">
        <v>2</v>
      </c>
      <c r="I63" s="115">
        <v>1</v>
      </c>
      <c r="J63" s="115">
        <v>3</v>
      </c>
      <c r="K63" s="115">
        <v>1</v>
      </c>
      <c r="L63" s="115">
        <v>1</v>
      </c>
      <c r="M63" s="115">
        <v>3</v>
      </c>
      <c r="N63" s="115">
        <v>2</v>
      </c>
      <c r="O63" s="115">
        <v>1</v>
      </c>
      <c r="P63" s="115">
        <v>1</v>
      </c>
      <c r="Q63" s="115">
        <v>1</v>
      </c>
      <c r="R63" s="115">
        <v>1</v>
      </c>
      <c r="S63" s="115">
        <v>1</v>
      </c>
      <c r="T63" s="115">
        <v>2</v>
      </c>
      <c r="U63" s="115">
        <v>2</v>
      </c>
      <c r="V63" s="115">
        <v>2</v>
      </c>
      <c r="W63" s="115">
        <v>1</v>
      </c>
      <c r="X63" s="115">
        <v>1</v>
      </c>
      <c r="Y63" s="115">
        <v>1</v>
      </c>
      <c r="Z63" s="115">
        <v>1</v>
      </c>
      <c r="AA63" s="115">
        <v>1</v>
      </c>
      <c r="AB63" s="115">
        <v>2</v>
      </c>
      <c r="AC63" s="115">
        <v>1</v>
      </c>
      <c r="AD63" s="115">
        <v>1</v>
      </c>
      <c r="AE63" s="115">
        <v>2</v>
      </c>
      <c r="AF63" s="115">
        <v>2</v>
      </c>
      <c r="AG63" s="115">
        <v>1</v>
      </c>
      <c r="AH63" s="115">
        <v>1</v>
      </c>
      <c r="AI63" s="115">
        <v>1</v>
      </c>
      <c r="AJ63" s="115">
        <v>1</v>
      </c>
      <c r="AK63" s="115">
        <v>1</v>
      </c>
      <c r="AL63" s="115">
        <v>3</v>
      </c>
      <c r="AM63" s="115">
        <v>2</v>
      </c>
      <c r="AN63" s="115">
        <v>2</v>
      </c>
      <c r="AO63" s="115">
        <v>1</v>
      </c>
      <c r="AP63" s="115">
        <v>2</v>
      </c>
      <c r="AQ63" s="115">
        <v>3</v>
      </c>
      <c r="AR63" s="115">
        <v>1</v>
      </c>
      <c r="AS63" s="115">
        <v>3</v>
      </c>
      <c r="AT63" s="115">
        <v>1</v>
      </c>
      <c r="AU63" s="115">
        <v>3</v>
      </c>
      <c r="AV63" s="115">
        <v>1</v>
      </c>
      <c r="AW63" s="115">
        <v>1</v>
      </c>
      <c r="AX63" s="115">
        <v>2</v>
      </c>
      <c r="AY63" s="115">
        <v>3</v>
      </c>
    </row>
    <row r="64" spans="1:52" x14ac:dyDescent="0.2">
      <c r="A64" s="115"/>
      <c r="B64" s="183" t="s">
        <v>351</v>
      </c>
      <c r="C64" s="115"/>
      <c r="D64" s="115">
        <v>0</v>
      </c>
      <c r="E64" s="115">
        <v>0</v>
      </c>
      <c r="F64" s="115">
        <v>0</v>
      </c>
      <c r="G64" s="115">
        <v>0</v>
      </c>
      <c r="H64" s="115">
        <v>0</v>
      </c>
      <c r="I64" s="115">
        <v>0</v>
      </c>
      <c r="J64" s="115">
        <v>0</v>
      </c>
      <c r="K64" s="115">
        <v>0</v>
      </c>
      <c r="L64" s="115">
        <v>0</v>
      </c>
      <c r="M64" s="115">
        <v>0</v>
      </c>
      <c r="N64" s="115">
        <v>0</v>
      </c>
      <c r="O64" s="115">
        <v>0</v>
      </c>
      <c r="P64" s="115">
        <v>0</v>
      </c>
      <c r="Q64" s="115">
        <v>0</v>
      </c>
      <c r="R64" s="115">
        <v>0</v>
      </c>
      <c r="S64" s="115">
        <v>0</v>
      </c>
      <c r="T64" s="115">
        <v>0</v>
      </c>
      <c r="U64" s="115">
        <v>0</v>
      </c>
      <c r="V64" s="115">
        <v>0</v>
      </c>
      <c r="W64" s="115">
        <v>0</v>
      </c>
      <c r="X64" s="115">
        <v>0</v>
      </c>
      <c r="Y64" s="115">
        <v>0</v>
      </c>
      <c r="Z64" s="115">
        <v>0</v>
      </c>
      <c r="AA64" s="115">
        <v>0</v>
      </c>
      <c r="AB64" s="115">
        <v>0</v>
      </c>
      <c r="AC64" s="115">
        <v>0</v>
      </c>
      <c r="AD64" s="115">
        <v>0</v>
      </c>
      <c r="AE64" s="115">
        <v>0</v>
      </c>
      <c r="AF64" s="115">
        <v>0</v>
      </c>
      <c r="AG64" s="115">
        <v>0</v>
      </c>
      <c r="AH64" s="115">
        <v>0</v>
      </c>
      <c r="AI64" s="115">
        <v>0</v>
      </c>
      <c r="AJ64" s="115">
        <v>0</v>
      </c>
      <c r="AK64" s="115">
        <v>0</v>
      </c>
      <c r="AL64" s="115">
        <v>0</v>
      </c>
      <c r="AM64" s="115">
        <v>0</v>
      </c>
      <c r="AN64" s="115">
        <v>0</v>
      </c>
      <c r="AO64" s="115">
        <v>0</v>
      </c>
      <c r="AP64" s="115">
        <v>0</v>
      </c>
      <c r="AQ64" s="115">
        <v>0</v>
      </c>
      <c r="AR64" s="115">
        <v>0</v>
      </c>
      <c r="AS64" s="115">
        <v>0</v>
      </c>
      <c r="AT64" s="115">
        <v>0</v>
      </c>
      <c r="AU64" s="115">
        <v>0</v>
      </c>
      <c r="AV64" s="115">
        <v>0</v>
      </c>
      <c r="AW64" s="115">
        <v>0</v>
      </c>
      <c r="AX64" s="115">
        <v>0</v>
      </c>
      <c r="AY64" s="115">
        <v>0</v>
      </c>
      <c r="AZ64" s="105">
        <f>SUM($D$64:$AY$64)</f>
        <v>0</v>
      </c>
    </row>
    <row r="65" spans="1:52" x14ac:dyDescent="0.2">
      <c r="A65" s="115"/>
      <c r="B65" s="183" t="s">
        <v>352</v>
      </c>
      <c r="C65" s="115"/>
      <c r="D65" s="115">
        <v>0</v>
      </c>
      <c r="E65" s="115">
        <v>0</v>
      </c>
      <c r="F65" s="115">
        <v>0</v>
      </c>
      <c r="G65" s="115">
        <v>0</v>
      </c>
      <c r="H65" s="115">
        <v>0</v>
      </c>
      <c r="I65" s="115">
        <v>0</v>
      </c>
      <c r="J65" s="115">
        <v>0</v>
      </c>
      <c r="K65" s="115">
        <v>0</v>
      </c>
      <c r="L65" s="115">
        <v>0</v>
      </c>
      <c r="M65" s="115">
        <v>0</v>
      </c>
      <c r="N65" s="115">
        <v>0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15">
        <v>0</v>
      </c>
      <c r="V65" s="115">
        <v>0</v>
      </c>
      <c r="W65" s="115">
        <v>0</v>
      </c>
      <c r="X65" s="115">
        <v>0</v>
      </c>
      <c r="Y65" s="115">
        <v>0</v>
      </c>
      <c r="Z65" s="115">
        <v>0</v>
      </c>
      <c r="AA65" s="115">
        <v>0</v>
      </c>
      <c r="AB65" s="115">
        <v>0</v>
      </c>
      <c r="AC65" s="115">
        <v>0</v>
      </c>
      <c r="AD65" s="115">
        <v>0</v>
      </c>
      <c r="AE65" s="115">
        <v>0</v>
      </c>
      <c r="AF65" s="115">
        <v>0</v>
      </c>
      <c r="AG65" s="115">
        <v>0</v>
      </c>
      <c r="AH65" s="115">
        <v>0</v>
      </c>
      <c r="AI65" s="115">
        <v>0</v>
      </c>
      <c r="AJ65" s="115">
        <v>0</v>
      </c>
      <c r="AK65" s="115">
        <v>0</v>
      </c>
      <c r="AL65" s="115">
        <v>0</v>
      </c>
      <c r="AM65" s="115">
        <v>0</v>
      </c>
      <c r="AN65" s="115">
        <v>0</v>
      </c>
      <c r="AO65" s="115">
        <v>0</v>
      </c>
      <c r="AP65" s="115">
        <v>0</v>
      </c>
      <c r="AQ65" s="115">
        <v>0</v>
      </c>
      <c r="AR65" s="115">
        <v>0</v>
      </c>
      <c r="AS65" s="115">
        <v>0</v>
      </c>
      <c r="AT65" s="115">
        <v>0</v>
      </c>
      <c r="AU65" s="115">
        <v>0</v>
      </c>
      <c r="AV65" s="115">
        <v>0</v>
      </c>
      <c r="AW65" s="115">
        <v>0</v>
      </c>
      <c r="AX65" s="115">
        <v>0</v>
      </c>
      <c r="AY65" s="115">
        <v>0</v>
      </c>
      <c r="AZ65" s="105">
        <f>SUM($D$65:$AY$65)</f>
        <v>0</v>
      </c>
    </row>
    <row r="66" spans="1:52" x14ac:dyDescent="0.2">
      <c r="A66" s="140" t="s">
        <v>70</v>
      </c>
      <c r="B66" s="140" t="s">
        <v>342</v>
      </c>
      <c r="C66" s="129"/>
      <c r="D66" s="129">
        <f>D$21*shipping_manufacturing!$D$30/100</f>
        <v>0</v>
      </c>
      <c r="E66" s="129">
        <f>E$21*shipping_manufacturing!$D$30/100</f>
        <v>0</v>
      </c>
      <c r="F66" s="129">
        <f>F$21*shipping_manufacturing!$D$30/100</f>
        <v>0</v>
      </c>
      <c r="G66" s="129">
        <f>G$21*shipping_manufacturing!$D$30/100</f>
        <v>0</v>
      </c>
      <c r="H66" s="129">
        <f>H$21*shipping_manufacturing!$D$30/100</f>
        <v>0</v>
      </c>
      <c r="I66" s="129">
        <f>I$21*shipping_manufacturing!$D$30/100</f>
        <v>0</v>
      </c>
      <c r="J66" s="129">
        <f>J$21*shipping_manufacturing!$D$30/100</f>
        <v>0</v>
      </c>
      <c r="K66" s="129">
        <f>K$21*shipping_manufacturing!$D$30/100</f>
        <v>0</v>
      </c>
      <c r="L66" s="129">
        <f>L$21*shipping_manufacturing!$D$30/100</f>
        <v>0</v>
      </c>
      <c r="M66" s="129">
        <f>M$21*shipping_manufacturing!$D$30/100</f>
        <v>0</v>
      </c>
      <c r="N66" s="129">
        <f>N$21*shipping_manufacturing!$D$30/100</f>
        <v>0</v>
      </c>
      <c r="O66" s="129">
        <f>O$21*shipping_manufacturing!$D$30/100</f>
        <v>0</v>
      </c>
      <c r="P66" s="129">
        <f>P$21*shipping_manufacturing!$D$30/100</f>
        <v>0</v>
      </c>
      <c r="Q66" s="129">
        <f>Q$21*shipping_manufacturing!$D$30/100</f>
        <v>0</v>
      </c>
      <c r="R66" s="129">
        <f>R$21*shipping_manufacturing!$D$30/100</f>
        <v>0</v>
      </c>
      <c r="S66" s="129">
        <f>S$21*shipping_manufacturing!$D$30/100</f>
        <v>0</v>
      </c>
      <c r="T66" s="129">
        <f>T$21*shipping_manufacturing!$D$30/100</f>
        <v>0</v>
      </c>
      <c r="U66" s="129">
        <f>U$21*shipping_manufacturing!$D$30/100</f>
        <v>0</v>
      </c>
      <c r="V66" s="129">
        <f>V$21*shipping_manufacturing!$D$30/100</f>
        <v>0</v>
      </c>
      <c r="W66" s="129">
        <f>W$21*shipping_manufacturing!$D$30/100</f>
        <v>0</v>
      </c>
      <c r="X66" s="129">
        <f>X$21*shipping_manufacturing!$D$30/100</f>
        <v>0</v>
      </c>
      <c r="Y66" s="129">
        <f>Y$21*shipping_manufacturing!$D$30/100</f>
        <v>0</v>
      </c>
      <c r="Z66" s="129">
        <f>Z$21*shipping_manufacturing!$D$30/100</f>
        <v>0</v>
      </c>
      <c r="AA66" s="129">
        <f>AA$21*shipping_manufacturing!$D$30/100</f>
        <v>0</v>
      </c>
      <c r="AB66" s="129">
        <f>AB$21*shipping_manufacturing!$D$30/100</f>
        <v>0</v>
      </c>
      <c r="AC66" s="129">
        <f>AC$21*shipping_manufacturing!$D$30/100</f>
        <v>0</v>
      </c>
      <c r="AD66" s="129">
        <f>AD$21*shipping_manufacturing!$D$30/100</f>
        <v>0</v>
      </c>
      <c r="AE66" s="129">
        <f>AE$21*shipping_manufacturing!$D$30/100</f>
        <v>0</v>
      </c>
      <c r="AF66" s="129">
        <f>AF$21*shipping_manufacturing!$D$30/100</f>
        <v>0</v>
      </c>
      <c r="AG66" s="129">
        <f>AG$21*shipping_manufacturing!$D$30/100</f>
        <v>0</v>
      </c>
      <c r="AH66" s="129">
        <f>AH$21*shipping_manufacturing!$D$30/100</f>
        <v>0</v>
      </c>
      <c r="AI66" s="129">
        <f>AI$21*shipping_manufacturing!$D$30/100</f>
        <v>0</v>
      </c>
      <c r="AJ66" s="129">
        <f>AJ$21*shipping_manufacturing!$D$30/100</f>
        <v>0</v>
      </c>
      <c r="AK66" s="129">
        <f>AK$21*shipping_manufacturing!$D$30/100</f>
        <v>0</v>
      </c>
      <c r="AL66" s="129">
        <f>AL$21*shipping_manufacturing!$D$30/100</f>
        <v>0</v>
      </c>
      <c r="AM66" s="129">
        <f>AM$21*shipping_manufacturing!$D$30/100</f>
        <v>0</v>
      </c>
      <c r="AN66" s="129">
        <f>AN$21*shipping_manufacturing!$D$30/100</f>
        <v>0</v>
      </c>
      <c r="AO66" s="129">
        <f>AO$21*shipping_manufacturing!$D$30/100</f>
        <v>0</v>
      </c>
      <c r="AP66" s="129">
        <f>AP$21*shipping_manufacturing!$D$30/100</f>
        <v>0</v>
      </c>
      <c r="AQ66" s="129">
        <f>AQ$21*shipping_manufacturing!$D$30/100</f>
        <v>0</v>
      </c>
      <c r="AR66" s="129">
        <f>AR$21*shipping_manufacturing!$D$30/100</f>
        <v>0</v>
      </c>
      <c r="AS66" s="129">
        <f>AS$21*shipping_manufacturing!$D$30/100</f>
        <v>0</v>
      </c>
      <c r="AT66" s="129">
        <f>AT$21*shipping_manufacturing!$D$30/100</f>
        <v>0</v>
      </c>
      <c r="AU66" s="129">
        <f>AU$21*shipping_manufacturing!$D$30/100</f>
        <v>0</v>
      </c>
      <c r="AV66" s="129">
        <f>AV$21*shipping_manufacturing!$D$30/100</f>
        <v>0</v>
      </c>
      <c r="AW66" s="129">
        <f>AW$21*shipping_manufacturing!$D$30/100</f>
        <v>0</v>
      </c>
      <c r="AX66" s="129">
        <f>AX$21*shipping_manufacturing!$D$30/100</f>
        <v>0</v>
      </c>
      <c r="AY66" s="129">
        <f>AY$21*shipping_manufacturing!$D$30/100</f>
        <v>0</v>
      </c>
    </row>
    <row r="67" spans="1:52" x14ac:dyDescent="0.2">
      <c r="A67" s="118" t="s">
        <v>341</v>
      </c>
      <c r="B67" s="170" t="s">
        <v>343</v>
      </c>
      <c r="C67" s="115"/>
      <c r="D67" s="115">
        <f>D$22*shipping_manufacturing!$E$30/100</f>
        <v>0</v>
      </c>
      <c r="E67" s="115">
        <f>E$22*shipping_manufacturing!$E$30/100</f>
        <v>0</v>
      </c>
      <c r="F67" s="115">
        <f>F$22*shipping_manufacturing!$E$30/100</f>
        <v>0</v>
      </c>
      <c r="G67" s="115">
        <f>G$22*shipping_manufacturing!$E$30/100</f>
        <v>0</v>
      </c>
      <c r="H67" s="115">
        <f>H$22*shipping_manufacturing!$E$30/100</f>
        <v>0</v>
      </c>
      <c r="I67" s="115">
        <f>I$22*shipping_manufacturing!$E$30/100</f>
        <v>0</v>
      </c>
      <c r="J67" s="115">
        <f>J$22*shipping_manufacturing!$E$30/100</f>
        <v>0</v>
      </c>
      <c r="K67" s="115">
        <f>K$22*shipping_manufacturing!$E$30/100</f>
        <v>0</v>
      </c>
      <c r="L67" s="115">
        <f>L$22*shipping_manufacturing!$E$30/100</f>
        <v>0</v>
      </c>
      <c r="M67" s="115">
        <f>M$22*shipping_manufacturing!$E$30/100</f>
        <v>0</v>
      </c>
      <c r="N67" s="115">
        <f>N$22*shipping_manufacturing!$E$30/100</f>
        <v>0</v>
      </c>
      <c r="O67" s="115">
        <f>O$22*shipping_manufacturing!$E$30/100</f>
        <v>0</v>
      </c>
      <c r="P67" s="115">
        <f>P$22*shipping_manufacturing!$E$30/100</f>
        <v>0</v>
      </c>
      <c r="Q67" s="115">
        <f>Q$22*shipping_manufacturing!$E$30/100</f>
        <v>0</v>
      </c>
      <c r="R67" s="115">
        <f>R$22*shipping_manufacturing!$E$30/100</f>
        <v>0</v>
      </c>
      <c r="S67" s="115">
        <f>S$22*shipping_manufacturing!$E$30/100</f>
        <v>0</v>
      </c>
      <c r="T67" s="115">
        <f>T$22*shipping_manufacturing!$E$30/100</f>
        <v>0</v>
      </c>
      <c r="U67" s="115">
        <f>U$22*shipping_manufacturing!$E$30/100</f>
        <v>0</v>
      </c>
      <c r="V67" s="115">
        <f>V$22*shipping_manufacturing!$E$30/100</f>
        <v>0</v>
      </c>
      <c r="W67" s="115">
        <f>W$22*shipping_manufacturing!$E$30/100</f>
        <v>0</v>
      </c>
      <c r="X67" s="115">
        <f>X$22*shipping_manufacturing!$E$30/100</f>
        <v>0</v>
      </c>
      <c r="Y67" s="115">
        <f>Y$22*shipping_manufacturing!$E$30/100</f>
        <v>0</v>
      </c>
      <c r="Z67" s="115">
        <f>Z$22*shipping_manufacturing!$E$30/100</f>
        <v>0</v>
      </c>
      <c r="AA67" s="115">
        <f>AA$22*shipping_manufacturing!$E$30/100</f>
        <v>0</v>
      </c>
      <c r="AB67" s="115">
        <f>AB$22*shipping_manufacturing!$E$30/100</f>
        <v>0</v>
      </c>
      <c r="AC67" s="115">
        <f>AC$22*shipping_manufacturing!$E$30/100</f>
        <v>0</v>
      </c>
      <c r="AD67" s="115">
        <f>AD$22*shipping_manufacturing!$E$30/100</f>
        <v>0</v>
      </c>
      <c r="AE67" s="115">
        <f>AE$22*shipping_manufacturing!$E$30/100</f>
        <v>0</v>
      </c>
      <c r="AF67" s="115">
        <f>AF$22*shipping_manufacturing!$E$30/100</f>
        <v>0</v>
      </c>
      <c r="AG67" s="115">
        <f>AG$22*shipping_manufacturing!$E$30/100</f>
        <v>0</v>
      </c>
      <c r="AH67" s="115">
        <f>AH$22*shipping_manufacturing!$E$30/100</f>
        <v>0</v>
      </c>
      <c r="AI67" s="115">
        <f>AI$22*shipping_manufacturing!$E$30/100</f>
        <v>0</v>
      </c>
      <c r="AJ67" s="115">
        <f>AJ$22*shipping_manufacturing!$E$30/100</f>
        <v>0</v>
      </c>
      <c r="AK67" s="115">
        <f>AK$22*shipping_manufacturing!$E$30/100</f>
        <v>0</v>
      </c>
      <c r="AL67" s="115">
        <f>AL$22*shipping_manufacturing!$E$30/100</f>
        <v>0</v>
      </c>
      <c r="AM67" s="115">
        <f>AM$22*shipping_manufacturing!$E$30/100</f>
        <v>0</v>
      </c>
      <c r="AN67" s="115">
        <f>AN$22*shipping_manufacturing!$E$30/100</f>
        <v>0</v>
      </c>
      <c r="AO67" s="115">
        <f>AO$22*shipping_manufacturing!$E$30/100</f>
        <v>0</v>
      </c>
      <c r="AP67" s="115">
        <f>AP$22*shipping_manufacturing!$E$30/100</f>
        <v>0</v>
      </c>
      <c r="AQ67" s="115">
        <f>AQ$22*shipping_manufacturing!$E$30/100</f>
        <v>0</v>
      </c>
      <c r="AR67" s="115">
        <f>AR$22*shipping_manufacturing!$E$30/100</f>
        <v>0</v>
      </c>
      <c r="AS67" s="115">
        <f>AS$22*shipping_manufacturing!$E$30/100</f>
        <v>0</v>
      </c>
      <c r="AT67" s="115">
        <f>AT$22*shipping_manufacturing!$E$30/100</f>
        <v>0</v>
      </c>
      <c r="AU67" s="115">
        <f>AU$22*shipping_manufacturing!$E$30/100</f>
        <v>0</v>
      </c>
      <c r="AV67" s="115">
        <f>AV$22*shipping_manufacturing!$E$30/100</f>
        <v>0</v>
      </c>
      <c r="AW67" s="115">
        <f>AW$22*shipping_manufacturing!$E$30/100</f>
        <v>0</v>
      </c>
      <c r="AX67" s="115">
        <f>AX$22*shipping_manufacturing!$E$30/100</f>
        <v>0</v>
      </c>
      <c r="AY67" s="115">
        <f>AY$22*shipping_manufacturing!$E$30/100</f>
        <v>0</v>
      </c>
    </row>
    <row r="68" spans="1:52" x14ac:dyDescent="0.2">
      <c r="A68" s="115">
        <v>1043</v>
      </c>
      <c r="B68" s="170" t="s">
        <v>344</v>
      </c>
      <c r="C68" s="115"/>
      <c r="D68" s="115">
        <f>SUM(D66:D67)</f>
        <v>0</v>
      </c>
      <c r="E68" s="115">
        <f t="shared" ref="E68:AY68" si="20">SUM(E66:E67)</f>
        <v>0</v>
      </c>
      <c r="F68" s="115">
        <f t="shared" si="20"/>
        <v>0</v>
      </c>
      <c r="G68" s="115">
        <f t="shared" si="20"/>
        <v>0</v>
      </c>
      <c r="H68" s="115">
        <f t="shared" si="20"/>
        <v>0</v>
      </c>
      <c r="I68" s="115">
        <f t="shared" si="20"/>
        <v>0</v>
      </c>
      <c r="J68" s="115">
        <f t="shared" si="20"/>
        <v>0</v>
      </c>
      <c r="K68" s="115">
        <f t="shared" si="20"/>
        <v>0</v>
      </c>
      <c r="L68" s="115">
        <f t="shared" si="20"/>
        <v>0</v>
      </c>
      <c r="M68" s="115">
        <f t="shared" si="20"/>
        <v>0</v>
      </c>
      <c r="N68" s="115">
        <f t="shared" si="20"/>
        <v>0</v>
      </c>
      <c r="O68" s="115">
        <f t="shared" si="20"/>
        <v>0</v>
      </c>
      <c r="P68" s="115">
        <f t="shared" si="20"/>
        <v>0</v>
      </c>
      <c r="Q68" s="115">
        <f t="shared" si="20"/>
        <v>0</v>
      </c>
      <c r="R68" s="115">
        <f t="shared" si="20"/>
        <v>0</v>
      </c>
      <c r="S68" s="115">
        <f t="shared" si="20"/>
        <v>0</v>
      </c>
      <c r="T68" s="115">
        <f t="shared" si="20"/>
        <v>0</v>
      </c>
      <c r="U68" s="115">
        <f t="shared" si="20"/>
        <v>0</v>
      </c>
      <c r="V68" s="115">
        <f t="shared" si="20"/>
        <v>0</v>
      </c>
      <c r="W68" s="115">
        <f t="shared" si="20"/>
        <v>0</v>
      </c>
      <c r="X68" s="115">
        <f t="shared" si="20"/>
        <v>0</v>
      </c>
      <c r="Y68" s="115">
        <f t="shared" si="20"/>
        <v>0</v>
      </c>
      <c r="Z68" s="115">
        <f t="shared" si="20"/>
        <v>0</v>
      </c>
      <c r="AA68" s="115">
        <f t="shared" si="20"/>
        <v>0</v>
      </c>
      <c r="AB68" s="115">
        <f t="shared" si="20"/>
        <v>0</v>
      </c>
      <c r="AC68" s="115">
        <f t="shared" si="20"/>
        <v>0</v>
      </c>
      <c r="AD68" s="115">
        <f t="shared" si="20"/>
        <v>0</v>
      </c>
      <c r="AE68" s="115">
        <f t="shared" si="20"/>
        <v>0</v>
      </c>
      <c r="AF68" s="115">
        <f t="shared" si="20"/>
        <v>0</v>
      </c>
      <c r="AG68" s="115">
        <f t="shared" si="20"/>
        <v>0</v>
      </c>
      <c r="AH68" s="115">
        <f t="shared" si="20"/>
        <v>0</v>
      </c>
      <c r="AI68" s="115">
        <f t="shared" si="20"/>
        <v>0</v>
      </c>
      <c r="AJ68" s="115">
        <f t="shared" si="20"/>
        <v>0</v>
      </c>
      <c r="AK68" s="115">
        <f t="shared" si="20"/>
        <v>0</v>
      </c>
      <c r="AL68" s="115">
        <f t="shared" si="20"/>
        <v>0</v>
      </c>
      <c r="AM68" s="115">
        <f t="shared" si="20"/>
        <v>0</v>
      </c>
      <c r="AN68" s="115">
        <f t="shared" si="20"/>
        <v>0</v>
      </c>
      <c r="AO68" s="115">
        <f t="shared" si="20"/>
        <v>0</v>
      </c>
      <c r="AP68" s="115">
        <f t="shared" si="20"/>
        <v>0</v>
      </c>
      <c r="AQ68" s="115">
        <f t="shared" si="20"/>
        <v>0</v>
      </c>
      <c r="AR68" s="115">
        <f t="shared" si="20"/>
        <v>0</v>
      </c>
      <c r="AS68" s="115">
        <f t="shared" si="20"/>
        <v>0</v>
      </c>
      <c r="AT68" s="115">
        <f t="shared" si="20"/>
        <v>0</v>
      </c>
      <c r="AU68" s="115">
        <f t="shared" si="20"/>
        <v>0</v>
      </c>
      <c r="AV68" s="115">
        <f t="shared" si="20"/>
        <v>0</v>
      </c>
      <c r="AW68" s="115">
        <f t="shared" si="20"/>
        <v>0</v>
      </c>
      <c r="AX68" s="115">
        <f t="shared" si="20"/>
        <v>0</v>
      </c>
      <c r="AY68" s="115">
        <f t="shared" si="20"/>
        <v>0</v>
      </c>
    </row>
    <row r="69" spans="1:52" x14ac:dyDescent="0.2">
      <c r="A69" s="115"/>
      <c r="B69" s="170" t="s">
        <v>345</v>
      </c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</row>
    <row r="70" spans="1:52" x14ac:dyDescent="0.2">
      <c r="A70" s="115"/>
      <c r="B70" s="170" t="s">
        <v>346</v>
      </c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</row>
    <row r="71" spans="1:52" x14ac:dyDescent="0.2">
      <c r="A71" s="115"/>
      <c r="B71" s="170" t="s">
        <v>347</v>
      </c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</row>
    <row r="72" spans="1:52" x14ac:dyDescent="0.2">
      <c r="A72" s="115"/>
      <c r="B72" s="170" t="s">
        <v>348</v>
      </c>
      <c r="C72" s="115"/>
      <c r="D72" s="115">
        <f>D66-D69</f>
        <v>0</v>
      </c>
      <c r="E72" s="115">
        <f t="shared" ref="E72:AY72" si="21">E66-E69</f>
        <v>0</v>
      </c>
      <c r="F72" s="115">
        <f t="shared" si="21"/>
        <v>0</v>
      </c>
      <c r="G72" s="115">
        <f t="shared" si="21"/>
        <v>0</v>
      </c>
      <c r="H72" s="115">
        <f t="shared" si="21"/>
        <v>0</v>
      </c>
      <c r="I72" s="115">
        <f t="shared" si="21"/>
        <v>0</v>
      </c>
      <c r="J72" s="115">
        <f t="shared" si="21"/>
        <v>0</v>
      </c>
      <c r="K72" s="115">
        <f t="shared" si="21"/>
        <v>0</v>
      </c>
      <c r="L72" s="115">
        <f t="shared" si="21"/>
        <v>0</v>
      </c>
      <c r="M72" s="115">
        <f t="shared" si="21"/>
        <v>0</v>
      </c>
      <c r="N72" s="115">
        <f t="shared" si="21"/>
        <v>0</v>
      </c>
      <c r="O72" s="115">
        <f t="shared" si="21"/>
        <v>0</v>
      </c>
      <c r="P72" s="115">
        <f t="shared" si="21"/>
        <v>0</v>
      </c>
      <c r="Q72" s="115">
        <f t="shared" si="21"/>
        <v>0</v>
      </c>
      <c r="R72" s="115">
        <f t="shared" si="21"/>
        <v>0</v>
      </c>
      <c r="S72" s="115">
        <f t="shared" si="21"/>
        <v>0</v>
      </c>
      <c r="T72" s="115">
        <f t="shared" si="21"/>
        <v>0</v>
      </c>
      <c r="U72" s="115">
        <f t="shared" si="21"/>
        <v>0</v>
      </c>
      <c r="V72" s="115">
        <f t="shared" si="21"/>
        <v>0</v>
      </c>
      <c r="W72" s="115">
        <f t="shared" si="21"/>
        <v>0</v>
      </c>
      <c r="X72" s="115">
        <f t="shared" si="21"/>
        <v>0</v>
      </c>
      <c r="Y72" s="115">
        <f t="shared" si="21"/>
        <v>0</v>
      </c>
      <c r="Z72" s="115">
        <f t="shared" si="21"/>
        <v>0</v>
      </c>
      <c r="AA72" s="115">
        <f t="shared" si="21"/>
        <v>0</v>
      </c>
      <c r="AB72" s="115">
        <f t="shared" si="21"/>
        <v>0</v>
      </c>
      <c r="AC72" s="115">
        <f t="shared" si="21"/>
        <v>0</v>
      </c>
      <c r="AD72" s="115">
        <f t="shared" si="21"/>
        <v>0</v>
      </c>
      <c r="AE72" s="115">
        <f t="shared" si="21"/>
        <v>0</v>
      </c>
      <c r="AF72" s="115">
        <f t="shared" si="21"/>
        <v>0</v>
      </c>
      <c r="AG72" s="115">
        <f t="shared" si="21"/>
        <v>0</v>
      </c>
      <c r="AH72" s="115">
        <f t="shared" si="21"/>
        <v>0</v>
      </c>
      <c r="AI72" s="115">
        <f t="shared" si="21"/>
        <v>0</v>
      </c>
      <c r="AJ72" s="115">
        <f t="shared" si="21"/>
        <v>0</v>
      </c>
      <c r="AK72" s="115">
        <f t="shared" si="21"/>
        <v>0</v>
      </c>
      <c r="AL72" s="115">
        <f t="shared" si="21"/>
        <v>0</v>
      </c>
      <c r="AM72" s="115">
        <f t="shared" si="21"/>
        <v>0</v>
      </c>
      <c r="AN72" s="115">
        <f t="shared" si="21"/>
        <v>0</v>
      </c>
      <c r="AO72" s="115">
        <f t="shared" si="21"/>
        <v>0</v>
      </c>
      <c r="AP72" s="115">
        <f t="shared" si="21"/>
        <v>0</v>
      </c>
      <c r="AQ72" s="115">
        <f t="shared" si="21"/>
        <v>0</v>
      </c>
      <c r="AR72" s="115">
        <f t="shared" si="21"/>
        <v>0</v>
      </c>
      <c r="AS72" s="115">
        <f t="shared" si="21"/>
        <v>0</v>
      </c>
      <c r="AT72" s="115">
        <f t="shared" si="21"/>
        <v>0</v>
      </c>
      <c r="AU72" s="115">
        <f t="shared" si="21"/>
        <v>0</v>
      </c>
      <c r="AV72" s="115">
        <f t="shared" si="21"/>
        <v>0</v>
      </c>
      <c r="AW72" s="115">
        <f t="shared" si="21"/>
        <v>0</v>
      </c>
      <c r="AX72" s="115">
        <f t="shared" si="21"/>
        <v>0</v>
      </c>
      <c r="AY72" s="115">
        <f t="shared" si="21"/>
        <v>0</v>
      </c>
    </row>
    <row r="73" spans="1:52" x14ac:dyDescent="0.2">
      <c r="A73" s="115"/>
      <c r="B73" s="170" t="s">
        <v>349</v>
      </c>
      <c r="C73" s="115"/>
      <c r="D73" s="115">
        <f>D67-D70</f>
        <v>0</v>
      </c>
      <c r="E73" s="115">
        <f t="shared" ref="E73:AY73" si="22">E67-E70</f>
        <v>0</v>
      </c>
      <c r="F73" s="115">
        <f t="shared" si="22"/>
        <v>0</v>
      </c>
      <c r="G73" s="115">
        <f t="shared" si="22"/>
        <v>0</v>
      </c>
      <c r="H73" s="115">
        <f t="shared" si="22"/>
        <v>0</v>
      </c>
      <c r="I73" s="115">
        <f t="shared" si="22"/>
        <v>0</v>
      </c>
      <c r="J73" s="115">
        <f t="shared" si="22"/>
        <v>0</v>
      </c>
      <c r="K73" s="115">
        <f t="shared" si="22"/>
        <v>0</v>
      </c>
      <c r="L73" s="115">
        <f t="shared" si="22"/>
        <v>0</v>
      </c>
      <c r="M73" s="115">
        <f t="shared" si="22"/>
        <v>0</v>
      </c>
      <c r="N73" s="115">
        <f t="shared" si="22"/>
        <v>0</v>
      </c>
      <c r="O73" s="115">
        <f t="shared" si="22"/>
        <v>0</v>
      </c>
      <c r="P73" s="115">
        <f t="shared" si="22"/>
        <v>0</v>
      </c>
      <c r="Q73" s="115">
        <f t="shared" si="22"/>
        <v>0</v>
      </c>
      <c r="R73" s="115">
        <f t="shared" si="22"/>
        <v>0</v>
      </c>
      <c r="S73" s="115">
        <f t="shared" si="22"/>
        <v>0</v>
      </c>
      <c r="T73" s="115">
        <f t="shared" si="22"/>
        <v>0</v>
      </c>
      <c r="U73" s="115">
        <f t="shared" si="22"/>
        <v>0</v>
      </c>
      <c r="V73" s="115">
        <f t="shared" si="22"/>
        <v>0</v>
      </c>
      <c r="W73" s="115">
        <f t="shared" si="22"/>
        <v>0</v>
      </c>
      <c r="X73" s="115">
        <f t="shared" si="22"/>
        <v>0</v>
      </c>
      <c r="Y73" s="115">
        <f t="shared" si="22"/>
        <v>0</v>
      </c>
      <c r="Z73" s="115">
        <f t="shared" si="22"/>
        <v>0</v>
      </c>
      <c r="AA73" s="115">
        <f t="shared" si="22"/>
        <v>0</v>
      </c>
      <c r="AB73" s="115">
        <f t="shared" si="22"/>
        <v>0</v>
      </c>
      <c r="AC73" s="115">
        <f t="shared" si="22"/>
        <v>0</v>
      </c>
      <c r="AD73" s="115">
        <f t="shared" si="22"/>
        <v>0</v>
      </c>
      <c r="AE73" s="115">
        <f t="shared" si="22"/>
        <v>0</v>
      </c>
      <c r="AF73" s="115">
        <f t="shared" si="22"/>
        <v>0</v>
      </c>
      <c r="AG73" s="115">
        <f t="shared" si="22"/>
        <v>0</v>
      </c>
      <c r="AH73" s="115">
        <f t="shared" si="22"/>
        <v>0</v>
      </c>
      <c r="AI73" s="115">
        <f t="shared" si="22"/>
        <v>0</v>
      </c>
      <c r="AJ73" s="115">
        <f t="shared" si="22"/>
        <v>0</v>
      </c>
      <c r="AK73" s="115">
        <f t="shared" si="22"/>
        <v>0</v>
      </c>
      <c r="AL73" s="115">
        <f t="shared" si="22"/>
        <v>0</v>
      </c>
      <c r="AM73" s="115">
        <f t="shared" si="22"/>
        <v>0</v>
      </c>
      <c r="AN73" s="115">
        <f t="shared" si="22"/>
        <v>0</v>
      </c>
      <c r="AO73" s="115">
        <f t="shared" si="22"/>
        <v>0</v>
      </c>
      <c r="AP73" s="115">
        <f t="shared" si="22"/>
        <v>0</v>
      </c>
      <c r="AQ73" s="115">
        <f t="shared" si="22"/>
        <v>0</v>
      </c>
      <c r="AR73" s="115">
        <f t="shared" si="22"/>
        <v>0</v>
      </c>
      <c r="AS73" s="115">
        <f t="shared" si="22"/>
        <v>0</v>
      </c>
      <c r="AT73" s="115">
        <f t="shared" si="22"/>
        <v>0</v>
      </c>
      <c r="AU73" s="115">
        <f t="shared" si="22"/>
        <v>0</v>
      </c>
      <c r="AV73" s="115">
        <f t="shared" si="22"/>
        <v>0</v>
      </c>
      <c r="AW73" s="115">
        <f t="shared" si="22"/>
        <v>0</v>
      </c>
      <c r="AX73" s="115">
        <f t="shared" si="22"/>
        <v>0</v>
      </c>
      <c r="AY73" s="115">
        <f t="shared" si="22"/>
        <v>0</v>
      </c>
    </row>
    <row r="74" spans="1:52" x14ac:dyDescent="0.2">
      <c r="A74" s="115"/>
      <c r="B74" s="170" t="s">
        <v>350</v>
      </c>
      <c r="C74" s="115"/>
      <c r="D74" s="115">
        <v>3</v>
      </c>
      <c r="E74" s="115">
        <v>1</v>
      </c>
      <c r="F74" s="115">
        <v>1</v>
      </c>
      <c r="G74" s="115">
        <v>1</v>
      </c>
      <c r="H74" s="115">
        <v>2</v>
      </c>
      <c r="I74" s="115">
        <v>1</v>
      </c>
      <c r="J74" s="115">
        <v>1</v>
      </c>
      <c r="K74" s="115">
        <v>2</v>
      </c>
      <c r="L74" s="115">
        <v>1</v>
      </c>
      <c r="M74" s="115">
        <v>3</v>
      </c>
      <c r="N74" s="115">
        <v>1</v>
      </c>
      <c r="O74" s="115">
        <v>1</v>
      </c>
      <c r="P74" s="115">
        <v>2</v>
      </c>
      <c r="Q74" s="115">
        <v>1</v>
      </c>
      <c r="R74" s="115">
        <v>3</v>
      </c>
      <c r="S74" s="115">
        <v>2</v>
      </c>
      <c r="T74" s="115">
        <v>2</v>
      </c>
      <c r="U74" s="115">
        <v>2</v>
      </c>
      <c r="V74" s="115">
        <v>2</v>
      </c>
      <c r="W74" s="115">
        <v>1</v>
      </c>
      <c r="X74" s="115">
        <v>1</v>
      </c>
      <c r="Y74" s="115">
        <v>2</v>
      </c>
      <c r="Z74" s="115">
        <v>1</v>
      </c>
      <c r="AA74" s="115">
        <v>1</v>
      </c>
      <c r="AB74" s="115">
        <v>2</v>
      </c>
      <c r="AC74" s="115">
        <v>1</v>
      </c>
      <c r="AD74" s="115">
        <v>1</v>
      </c>
      <c r="AE74" s="115">
        <v>1</v>
      </c>
      <c r="AF74" s="115">
        <v>1</v>
      </c>
      <c r="AG74" s="115">
        <v>1</v>
      </c>
      <c r="AH74" s="115">
        <v>2</v>
      </c>
      <c r="AI74" s="115">
        <v>2</v>
      </c>
      <c r="AJ74" s="115">
        <v>1</v>
      </c>
      <c r="AK74" s="115">
        <v>1</v>
      </c>
      <c r="AL74" s="115">
        <v>1</v>
      </c>
      <c r="AM74" s="115">
        <v>3</v>
      </c>
      <c r="AN74" s="115">
        <v>2</v>
      </c>
      <c r="AO74" s="115">
        <v>1</v>
      </c>
      <c r="AP74" s="115">
        <v>2</v>
      </c>
      <c r="AQ74" s="115">
        <v>1</v>
      </c>
      <c r="AR74" s="115">
        <v>1</v>
      </c>
      <c r="AS74" s="115">
        <v>1</v>
      </c>
      <c r="AT74" s="115">
        <v>1</v>
      </c>
      <c r="AU74" s="115">
        <v>1</v>
      </c>
      <c r="AV74" s="115">
        <v>2</v>
      </c>
      <c r="AW74" s="115">
        <v>1</v>
      </c>
      <c r="AX74" s="115">
        <v>1</v>
      </c>
      <c r="AY74" s="115">
        <v>2</v>
      </c>
    </row>
    <row r="75" spans="1:52" x14ac:dyDescent="0.2">
      <c r="A75" s="115"/>
      <c r="B75" s="183" t="s">
        <v>351</v>
      </c>
      <c r="C75" s="115"/>
      <c r="D75" s="115">
        <v>0</v>
      </c>
      <c r="E75" s="115">
        <v>0</v>
      </c>
      <c r="F75" s="115">
        <v>0</v>
      </c>
      <c r="G75" s="115">
        <v>0</v>
      </c>
      <c r="H75" s="115">
        <v>0</v>
      </c>
      <c r="I75" s="115">
        <v>0</v>
      </c>
      <c r="J75" s="115">
        <v>0</v>
      </c>
      <c r="K75" s="115">
        <v>0</v>
      </c>
      <c r="L75" s="115">
        <v>0</v>
      </c>
      <c r="M75" s="115">
        <v>0</v>
      </c>
      <c r="N75" s="115">
        <v>0</v>
      </c>
      <c r="O75" s="115">
        <v>0</v>
      </c>
      <c r="P75" s="115">
        <v>0</v>
      </c>
      <c r="Q75" s="115">
        <v>0</v>
      </c>
      <c r="R75" s="115">
        <v>0</v>
      </c>
      <c r="S75" s="115">
        <v>0</v>
      </c>
      <c r="T75" s="115">
        <v>0</v>
      </c>
      <c r="U75" s="115">
        <v>0</v>
      </c>
      <c r="V75" s="115">
        <v>0</v>
      </c>
      <c r="W75" s="115">
        <v>0</v>
      </c>
      <c r="X75" s="115">
        <v>0</v>
      </c>
      <c r="Y75" s="115">
        <v>0</v>
      </c>
      <c r="Z75" s="115">
        <v>0</v>
      </c>
      <c r="AA75" s="115">
        <v>0</v>
      </c>
      <c r="AB75" s="115">
        <v>0</v>
      </c>
      <c r="AC75" s="115">
        <v>0</v>
      </c>
      <c r="AD75" s="115">
        <v>0</v>
      </c>
      <c r="AE75" s="115">
        <v>0</v>
      </c>
      <c r="AF75" s="115">
        <v>0</v>
      </c>
      <c r="AG75" s="115">
        <v>0</v>
      </c>
      <c r="AH75" s="115">
        <v>0</v>
      </c>
      <c r="AI75" s="115">
        <v>0</v>
      </c>
      <c r="AJ75" s="115">
        <v>0</v>
      </c>
      <c r="AK75" s="115">
        <v>0</v>
      </c>
      <c r="AL75" s="115">
        <v>0</v>
      </c>
      <c r="AM75" s="115">
        <v>0</v>
      </c>
      <c r="AN75" s="115">
        <v>0</v>
      </c>
      <c r="AO75" s="115">
        <v>0</v>
      </c>
      <c r="AP75" s="115">
        <v>0</v>
      </c>
      <c r="AQ75" s="115">
        <v>0</v>
      </c>
      <c r="AR75" s="115">
        <v>0</v>
      </c>
      <c r="AS75" s="115">
        <v>0</v>
      </c>
      <c r="AT75" s="115">
        <v>0</v>
      </c>
      <c r="AU75" s="115">
        <v>0</v>
      </c>
      <c r="AV75" s="115">
        <v>0</v>
      </c>
      <c r="AW75" s="115">
        <v>0</v>
      </c>
      <c r="AX75" s="115">
        <v>0</v>
      </c>
      <c r="AY75" s="115">
        <v>0</v>
      </c>
      <c r="AZ75" s="105">
        <f>SUM($D$75:$AY$75)</f>
        <v>0</v>
      </c>
    </row>
    <row r="76" spans="1:52" x14ac:dyDescent="0.2">
      <c r="A76" s="130"/>
      <c r="B76" s="145" t="s">
        <v>352</v>
      </c>
      <c r="C76" s="130"/>
      <c r="D76" s="130">
        <v>0</v>
      </c>
      <c r="E76" s="130">
        <v>0</v>
      </c>
      <c r="F76" s="130">
        <v>0</v>
      </c>
      <c r="G76" s="130">
        <v>0</v>
      </c>
      <c r="H76" s="130">
        <v>0</v>
      </c>
      <c r="I76" s="130">
        <v>0</v>
      </c>
      <c r="J76" s="130">
        <v>0</v>
      </c>
      <c r="K76" s="130">
        <v>0</v>
      </c>
      <c r="L76" s="130">
        <v>0</v>
      </c>
      <c r="M76" s="130">
        <v>0</v>
      </c>
      <c r="N76" s="130">
        <v>0</v>
      </c>
      <c r="O76" s="130">
        <v>0</v>
      </c>
      <c r="P76" s="130">
        <v>0</v>
      </c>
      <c r="Q76" s="130">
        <v>0</v>
      </c>
      <c r="R76" s="130">
        <v>0</v>
      </c>
      <c r="S76" s="130">
        <v>0</v>
      </c>
      <c r="T76" s="130">
        <v>0</v>
      </c>
      <c r="U76" s="130">
        <v>0</v>
      </c>
      <c r="V76" s="130">
        <v>0</v>
      </c>
      <c r="W76" s="130">
        <v>0</v>
      </c>
      <c r="X76" s="130">
        <v>0</v>
      </c>
      <c r="Y76" s="130">
        <v>0</v>
      </c>
      <c r="Z76" s="130">
        <v>0</v>
      </c>
      <c r="AA76" s="130">
        <v>0</v>
      </c>
      <c r="AB76" s="130">
        <v>0</v>
      </c>
      <c r="AC76" s="130">
        <v>0</v>
      </c>
      <c r="AD76" s="130">
        <v>0</v>
      </c>
      <c r="AE76" s="130">
        <v>0</v>
      </c>
      <c r="AF76" s="130">
        <v>0</v>
      </c>
      <c r="AG76" s="130">
        <v>0</v>
      </c>
      <c r="AH76" s="130">
        <v>0</v>
      </c>
      <c r="AI76" s="130">
        <v>0</v>
      </c>
      <c r="AJ76" s="130">
        <v>0</v>
      </c>
      <c r="AK76" s="130">
        <v>0</v>
      </c>
      <c r="AL76" s="130">
        <v>0</v>
      </c>
      <c r="AM76" s="130">
        <v>0</v>
      </c>
      <c r="AN76" s="130">
        <v>0</v>
      </c>
      <c r="AO76" s="130">
        <v>0</v>
      </c>
      <c r="AP76" s="130">
        <v>0</v>
      </c>
      <c r="AQ76" s="130">
        <v>0</v>
      </c>
      <c r="AR76" s="130">
        <v>0</v>
      </c>
      <c r="AS76" s="130">
        <v>0</v>
      </c>
      <c r="AT76" s="130">
        <v>0</v>
      </c>
      <c r="AU76" s="130">
        <v>0</v>
      </c>
      <c r="AV76" s="130">
        <v>0</v>
      </c>
      <c r="AW76" s="130">
        <v>0</v>
      </c>
      <c r="AX76" s="130">
        <v>0</v>
      </c>
      <c r="AY76" s="130">
        <v>0</v>
      </c>
      <c r="AZ76" s="105">
        <f>SUM($D$76:$AY$76)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76"/>
  <sheetViews>
    <sheetView workbookViewId="0">
      <pane xSplit="2" ySplit="6" topLeftCell="C18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5" customWidth="1"/>
    <col min="2" max="2" width="17.7109375" style="105" customWidth="1"/>
    <col min="3" max="51" width="9.140625" style="105"/>
    <col min="52" max="52" width="10.7109375" style="105" customWidth="1"/>
    <col min="53" max="16384" width="9.140625" style="105"/>
  </cols>
  <sheetData>
    <row r="1" spans="1:52" x14ac:dyDescent="0.2">
      <c r="A1" s="107" t="s">
        <v>118</v>
      </c>
    </row>
    <row r="2" spans="1:52" x14ac:dyDescent="0.2">
      <c r="A2" s="105" t="s">
        <v>303</v>
      </c>
      <c r="B2" s="112" t="s">
        <v>8</v>
      </c>
      <c r="E2" s="115"/>
    </row>
    <row r="3" spans="1:52" x14ac:dyDescent="0.2">
      <c r="A3" s="105" t="s">
        <v>286</v>
      </c>
      <c r="B3" s="112">
        <v>750</v>
      </c>
      <c r="E3" s="115"/>
    </row>
    <row r="4" spans="1:52" x14ac:dyDescent="0.2">
      <c r="A4" s="107"/>
      <c r="C4" s="116" t="s">
        <v>287</v>
      </c>
    </row>
    <row r="5" spans="1:52" x14ac:dyDescent="0.2">
      <c r="B5" s="111"/>
      <c r="C5" s="117">
        <v>0</v>
      </c>
      <c r="D5" s="117">
        <v>1</v>
      </c>
      <c r="E5" s="117">
        <v>2</v>
      </c>
      <c r="F5" s="117">
        <v>3</v>
      </c>
      <c r="G5" s="117">
        <v>4</v>
      </c>
      <c r="H5" s="117">
        <v>5</v>
      </c>
      <c r="I5" s="117">
        <v>6</v>
      </c>
      <c r="J5" s="117">
        <v>7</v>
      </c>
      <c r="K5" s="117">
        <v>8</v>
      </c>
      <c r="L5" s="117">
        <v>9</v>
      </c>
      <c r="M5" s="117">
        <v>10</v>
      </c>
      <c r="N5" s="117">
        <v>11</v>
      </c>
      <c r="O5" s="117">
        <v>12</v>
      </c>
      <c r="P5" s="117">
        <v>13</v>
      </c>
      <c r="Q5" s="117">
        <v>14</v>
      </c>
      <c r="R5" s="117">
        <v>15</v>
      </c>
      <c r="S5" s="117">
        <v>16</v>
      </c>
      <c r="T5" s="117">
        <v>17</v>
      </c>
      <c r="U5" s="117">
        <v>18</v>
      </c>
      <c r="V5" s="117">
        <v>19</v>
      </c>
      <c r="W5" s="117">
        <v>20</v>
      </c>
      <c r="X5" s="117">
        <v>21</v>
      </c>
      <c r="Y5" s="117">
        <v>22</v>
      </c>
      <c r="Z5" s="117">
        <v>23</v>
      </c>
      <c r="AA5" s="117">
        <v>24</v>
      </c>
      <c r="AB5" s="117">
        <v>25</v>
      </c>
      <c r="AC5" s="117">
        <v>26</v>
      </c>
      <c r="AD5" s="117">
        <v>27</v>
      </c>
      <c r="AE5" s="117">
        <v>28</v>
      </c>
      <c r="AF5" s="117">
        <v>29</v>
      </c>
      <c r="AG5" s="117">
        <v>30</v>
      </c>
      <c r="AH5" s="117">
        <v>31</v>
      </c>
      <c r="AI5" s="117">
        <v>32</v>
      </c>
      <c r="AJ5" s="117">
        <v>33</v>
      </c>
      <c r="AK5" s="117">
        <v>34</v>
      </c>
      <c r="AL5" s="117">
        <v>35</v>
      </c>
      <c r="AM5" s="117">
        <v>36</v>
      </c>
      <c r="AN5" s="117">
        <v>37</v>
      </c>
      <c r="AO5" s="117">
        <v>38</v>
      </c>
      <c r="AP5" s="117">
        <v>39</v>
      </c>
      <c r="AQ5" s="117">
        <v>40</v>
      </c>
      <c r="AR5" s="117">
        <v>41</v>
      </c>
      <c r="AS5" s="117">
        <v>42</v>
      </c>
      <c r="AT5" s="117">
        <v>43</v>
      </c>
      <c r="AU5" s="117">
        <v>44</v>
      </c>
      <c r="AV5" s="117">
        <v>45</v>
      </c>
      <c r="AW5" s="117">
        <v>46</v>
      </c>
      <c r="AX5" s="117">
        <v>47</v>
      </c>
      <c r="AY5" s="117">
        <v>48</v>
      </c>
    </row>
    <row r="6" spans="1:52" x14ac:dyDescent="0.2">
      <c r="A6" s="107" t="s">
        <v>304</v>
      </c>
      <c r="B6" s="119"/>
      <c r="C6" s="118" t="s">
        <v>288</v>
      </c>
      <c r="D6" s="117" t="s">
        <v>289</v>
      </c>
      <c r="E6" s="117" t="s">
        <v>289</v>
      </c>
      <c r="F6" s="117" t="s">
        <v>289</v>
      </c>
      <c r="G6" s="117" t="s">
        <v>289</v>
      </c>
      <c r="H6" s="117" t="s">
        <v>289</v>
      </c>
      <c r="I6" s="117" t="s">
        <v>289</v>
      </c>
      <c r="J6" s="117" t="s">
        <v>289</v>
      </c>
      <c r="K6" s="117" t="s">
        <v>289</v>
      </c>
      <c r="L6" s="117" t="s">
        <v>289</v>
      </c>
      <c r="M6" s="117" t="s">
        <v>289</v>
      </c>
      <c r="N6" s="117" t="s">
        <v>289</v>
      </c>
      <c r="O6" s="117" t="s">
        <v>289</v>
      </c>
      <c r="P6" s="117" t="s">
        <v>289</v>
      </c>
      <c r="Q6" s="117" t="s">
        <v>289</v>
      </c>
      <c r="R6" s="117" t="s">
        <v>289</v>
      </c>
      <c r="S6" s="117" t="s">
        <v>289</v>
      </c>
      <c r="T6" s="117" t="s">
        <v>289</v>
      </c>
      <c r="U6" s="117" t="s">
        <v>289</v>
      </c>
      <c r="V6" s="117" t="s">
        <v>289</v>
      </c>
      <c r="W6" s="117" t="s">
        <v>289</v>
      </c>
      <c r="X6" s="117" t="s">
        <v>289</v>
      </c>
      <c r="Y6" s="117" t="s">
        <v>289</v>
      </c>
      <c r="Z6" s="117" t="s">
        <v>289</v>
      </c>
      <c r="AA6" s="117" t="s">
        <v>289</v>
      </c>
      <c r="AB6" s="117" t="s">
        <v>289</v>
      </c>
      <c r="AC6" s="117" t="s">
        <v>289</v>
      </c>
      <c r="AD6" s="117" t="s">
        <v>289</v>
      </c>
      <c r="AE6" s="117" t="s">
        <v>289</v>
      </c>
      <c r="AF6" s="117" t="s">
        <v>289</v>
      </c>
      <c r="AG6" s="117" t="s">
        <v>289</v>
      </c>
      <c r="AH6" s="117" t="s">
        <v>289</v>
      </c>
      <c r="AI6" s="117" t="s">
        <v>289</v>
      </c>
      <c r="AJ6" s="117" t="s">
        <v>289</v>
      </c>
      <c r="AK6" s="117" t="s">
        <v>289</v>
      </c>
      <c r="AL6" s="117" t="s">
        <v>289</v>
      </c>
      <c r="AM6" s="117" t="s">
        <v>289</v>
      </c>
      <c r="AN6" s="117" t="s">
        <v>289</v>
      </c>
      <c r="AO6" s="117" t="s">
        <v>289</v>
      </c>
      <c r="AP6" s="117" t="s">
        <v>289</v>
      </c>
      <c r="AQ6" s="117" t="s">
        <v>289</v>
      </c>
      <c r="AR6" s="117" t="s">
        <v>289</v>
      </c>
      <c r="AS6" s="117" t="s">
        <v>289</v>
      </c>
      <c r="AT6" s="117" t="s">
        <v>289</v>
      </c>
      <c r="AU6" s="117" t="s">
        <v>289</v>
      </c>
      <c r="AV6" s="117" t="s">
        <v>289</v>
      </c>
      <c r="AW6" s="117" t="s">
        <v>289</v>
      </c>
      <c r="AX6" s="117" t="s">
        <v>289</v>
      </c>
      <c r="AY6" s="116" t="s">
        <v>290</v>
      </c>
      <c r="AZ6" s="147" t="s">
        <v>150</v>
      </c>
    </row>
    <row r="7" spans="1:52" x14ac:dyDescent="0.2">
      <c r="A7" s="120" t="s">
        <v>125</v>
      </c>
      <c r="B7" s="148">
        <v>1</v>
      </c>
      <c r="C7" s="149" t="s">
        <v>293</v>
      </c>
      <c r="D7" s="149">
        <v>0</v>
      </c>
      <c r="E7" s="149">
        <v>0</v>
      </c>
      <c r="F7" s="149">
        <v>0</v>
      </c>
      <c r="G7" s="149">
        <v>0</v>
      </c>
      <c r="H7" s="149">
        <v>347.94155963581557</v>
      </c>
      <c r="I7" s="149">
        <v>347.94155963581557</v>
      </c>
      <c r="J7" s="149">
        <v>347.94155963581557</v>
      </c>
      <c r="K7" s="149">
        <v>347.94155963581557</v>
      </c>
      <c r="L7" s="149">
        <v>347.94155963581557</v>
      </c>
      <c r="M7" s="149">
        <v>347.94155963581557</v>
      </c>
      <c r="N7" s="149">
        <v>347.94155963581557</v>
      </c>
      <c r="O7" s="149">
        <v>347.94155963581557</v>
      </c>
      <c r="P7" s="149">
        <v>347.94155963581557</v>
      </c>
      <c r="Q7" s="149">
        <v>347.94155963581557</v>
      </c>
      <c r="R7" s="149">
        <v>347.94155963581557</v>
      </c>
      <c r="S7" s="149">
        <v>347.94155963581557</v>
      </c>
      <c r="T7" s="149">
        <v>347.94155963581557</v>
      </c>
      <c r="U7" s="149">
        <v>347.94155963581557</v>
      </c>
      <c r="V7" s="149">
        <v>347.94155963581557</v>
      </c>
      <c r="W7" s="149">
        <v>347.94155963581557</v>
      </c>
      <c r="X7" s="149">
        <v>347.94155963581557</v>
      </c>
      <c r="Y7" s="149">
        <v>347.94155963581557</v>
      </c>
      <c r="Z7" s="149">
        <v>347.94155963581557</v>
      </c>
      <c r="AA7" s="149">
        <v>347.94155963581557</v>
      </c>
      <c r="AB7" s="149">
        <v>347.94155963581557</v>
      </c>
      <c r="AC7" s="149">
        <v>347.94155963581557</v>
      </c>
      <c r="AD7" s="149">
        <v>347.94155963581557</v>
      </c>
      <c r="AE7" s="149">
        <v>347.94155963581557</v>
      </c>
      <c r="AF7" s="149">
        <v>347.94155963581557</v>
      </c>
      <c r="AG7" s="149">
        <v>347.94155963581557</v>
      </c>
      <c r="AH7" s="149">
        <v>347.94155963581557</v>
      </c>
      <c r="AI7" s="149">
        <v>347.94155963581557</v>
      </c>
      <c r="AJ7" s="149">
        <v>347.94155963581557</v>
      </c>
      <c r="AK7" s="149">
        <v>347.94155963581557</v>
      </c>
      <c r="AL7" s="149">
        <v>347.94155963581557</v>
      </c>
      <c r="AM7" s="149">
        <v>347.94155963581557</v>
      </c>
      <c r="AN7" s="149">
        <v>347.94155963581557</v>
      </c>
      <c r="AO7" s="149">
        <v>347.94155963581557</v>
      </c>
      <c r="AP7" s="149">
        <v>347.94155963581557</v>
      </c>
      <c r="AQ7" s="149">
        <v>347.94155963581557</v>
      </c>
      <c r="AR7" s="149">
        <v>347.94155963581557</v>
      </c>
      <c r="AS7" s="149">
        <v>347.94155963581557</v>
      </c>
      <c r="AT7" s="149">
        <v>347.94155963581557</v>
      </c>
      <c r="AU7" s="149">
        <v>347.94155963581557</v>
      </c>
      <c r="AV7" s="149">
        <v>347.94155963581557</v>
      </c>
      <c r="AW7" s="149">
        <v>347.94155963581557</v>
      </c>
      <c r="AX7" s="149">
        <v>347.94155963581557</v>
      </c>
      <c r="AY7" s="149">
        <v>347.94155963581557</v>
      </c>
      <c r="AZ7" s="111"/>
    </row>
    <row r="8" spans="1:52" x14ac:dyDescent="0.2">
      <c r="A8" s="150"/>
      <c r="B8" s="151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150"/>
      <c r="AY8" s="150"/>
      <c r="AZ8" s="152"/>
    </row>
    <row r="9" spans="1:52" x14ac:dyDescent="0.2">
      <c r="A9" s="107" t="s">
        <v>294</v>
      </c>
      <c r="B9" s="153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11"/>
      <c r="AD9" s="111"/>
      <c r="AE9" s="111"/>
      <c r="AF9" s="111"/>
      <c r="AG9" s="111"/>
      <c r="AH9" s="111"/>
      <c r="AI9" s="111"/>
      <c r="AJ9" s="111"/>
      <c r="AK9" s="111"/>
      <c r="AL9" s="111"/>
      <c r="AM9" s="111"/>
      <c r="AN9" s="111"/>
      <c r="AO9" s="111"/>
      <c r="AP9" s="111"/>
      <c r="AQ9" s="111"/>
      <c r="AR9" s="111"/>
      <c r="AS9" s="111"/>
      <c r="AT9" s="111"/>
      <c r="AU9" s="111"/>
      <c r="AV9" s="111"/>
      <c r="AW9" s="111"/>
      <c r="AX9" s="111"/>
      <c r="AY9" s="111"/>
      <c r="AZ9" s="111"/>
    </row>
    <row r="10" spans="1:52" x14ac:dyDescent="0.2">
      <c r="A10" s="154" t="s">
        <v>125</v>
      </c>
      <c r="B10" s="155">
        <v>1</v>
      </c>
      <c r="C10" s="149" t="s">
        <v>293</v>
      </c>
      <c r="D10" s="149">
        <f t="shared" ref="D10:AY10" si="0">MAX(SUM(D$14:D$16)+D$7-$B$3,0)</f>
        <v>0</v>
      </c>
      <c r="E10" s="149">
        <f t="shared" si="0"/>
        <v>0</v>
      </c>
      <c r="F10" s="149">
        <f t="shared" si="0"/>
        <v>0</v>
      </c>
      <c r="G10" s="149">
        <f t="shared" si="0"/>
        <v>0</v>
      </c>
      <c r="H10" s="149">
        <f t="shared" si="0"/>
        <v>0</v>
      </c>
      <c r="I10" s="149">
        <f t="shared" si="0"/>
        <v>0</v>
      </c>
      <c r="J10" s="149">
        <f t="shared" si="0"/>
        <v>0</v>
      </c>
      <c r="K10" s="149">
        <f t="shared" si="0"/>
        <v>0</v>
      </c>
      <c r="L10" s="149">
        <f t="shared" si="0"/>
        <v>0</v>
      </c>
      <c r="M10" s="149">
        <f t="shared" si="0"/>
        <v>0</v>
      </c>
      <c r="N10" s="149">
        <f t="shared" si="0"/>
        <v>0</v>
      </c>
      <c r="O10" s="149">
        <f t="shared" si="0"/>
        <v>0</v>
      </c>
      <c r="P10" s="149">
        <f t="shared" si="0"/>
        <v>0</v>
      </c>
      <c r="Q10" s="149">
        <f t="shared" si="0"/>
        <v>0</v>
      </c>
      <c r="R10" s="149">
        <f t="shared" si="0"/>
        <v>0</v>
      </c>
      <c r="S10" s="149">
        <f t="shared" si="0"/>
        <v>0</v>
      </c>
      <c r="T10" s="149">
        <f t="shared" si="0"/>
        <v>0</v>
      </c>
      <c r="U10" s="149">
        <f t="shared" si="0"/>
        <v>0</v>
      </c>
      <c r="V10" s="149">
        <f t="shared" si="0"/>
        <v>0</v>
      </c>
      <c r="W10" s="149">
        <f t="shared" si="0"/>
        <v>0</v>
      </c>
      <c r="X10" s="149">
        <f t="shared" si="0"/>
        <v>0</v>
      </c>
      <c r="Y10" s="149">
        <f t="shared" si="0"/>
        <v>0</v>
      </c>
      <c r="Z10" s="149">
        <f t="shared" si="0"/>
        <v>0</v>
      </c>
      <c r="AA10" s="149">
        <f t="shared" si="0"/>
        <v>0</v>
      </c>
      <c r="AB10" s="149">
        <f t="shared" si="0"/>
        <v>0</v>
      </c>
      <c r="AC10" s="149">
        <f t="shared" si="0"/>
        <v>0</v>
      </c>
      <c r="AD10" s="149">
        <f t="shared" si="0"/>
        <v>0</v>
      </c>
      <c r="AE10" s="149">
        <f t="shared" si="0"/>
        <v>0</v>
      </c>
      <c r="AF10" s="149">
        <f t="shared" si="0"/>
        <v>0</v>
      </c>
      <c r="AG10" s="149">
        <f t="shared" si="0"/>
        <v>0</v>
      </c>
      <c r="AH10" s="149">
        <f t="shared" si="0"/>
        <v>0</v>
      </c>
      <c r="AI10" s="149">
        <f t="shared" si="0"/>
        <v>0</v>
      </c>
      <c r="AJ10" s="149">
        <f t="shared" si="0"/>
        <v>0</v>
      </c>
      <c r="AK10" s="149">
        <f t="shared" si="0"/>
        <v>0</v>
      </c>
      <c r="AL10" s="149">
        <f t="shared" si="0"/>
        <v>0</v>
      </c>
      <c r="AM10" s="149">
        <f t="shared" si="0"/>
        <v>0</v>
      </c>
      <c r="AN10" s="149">
        <f t="shared" si="0"/>
        <v>0</v>
      </c>
      <c r="AO10" s="149">
        <f t="shared" si="0"/>
        <v>0</v>
      </c>
      <c r="AP10" s="149">
        <f t="shared" si="0"/>
        <v>0</v>
      </c>
      <c r="AQ10" s="149">
        <f t="shared" si="0"/>
        <v>0</v>
      </c>
      <c r="AR10" s="149">
        <f t="shared" si="0"/>
        <v>0</v>
      </c>
      <c r="AS10" s="149">
        <f t="shared" si="0"/>
        <v>0</v>
      </c>
      <c r="AT10" s="149">
        <f t="shared" si="0"/>
        <v>0</v>
      </c>
      <c r="AU10" s="149">
        <f t="shared" si="0"/>
        <v>0</v>
      </c>
      <c r="AV10" s="149">
        <f t="shared" si="0"/>
        <v>0</v>
      </c>
      <c r="AW10" s="149">
        <f t="shared" si="0"/>
        <v>0</v>
      </c>
      <c r="AX10" s="149">
        <f t="shared" si="0"/>
        <v>0</v>
      </c>
      <c r="AY10" s="149">
        <f t="shared" si="0"/>
        <v>0</v>
      </c>
      <c r="AZ10" s="156">
        <f>SUM($D10:$AY10)</f>
        <v>0</v>
      </c>
    </row>
    <row r="11" spans="1:52" x14ac:dyDescent="0.2">
      <c r="C11" s="115"/>
    </row>
    <row r="12" spans="1:52" x14ac:dyDescent="0.2">
      <c r="A12" s="157" t="s">
        <v>295</v>
      </c>
      <c r="B12" s="151"/>
      <c r="C12" s="115"/>
    </row>
    <row r="13" spans="1:52" x14ac:dyDescent="0.2">
      <c r="A13" s="127" t="s">
        <v>125</v>
      </c>
      <c r="B13" s="128">
        <v>1</v>
      </c>
      <c r="C13" s="129">
        <v>701.83446184941897</v>
      </c>
      <c r="D13" s="143">
        <f t="shared" ref="D13:AY13" si="1">D$7-D$10</f>
        <v>0</v>
      </c>
      <c r="E13" s="143">
        <f t="shared" si="1"/>
        <v>0</v>
      </c>
      <c r="F13" s="143">
        <f t="shared" si="1"/>
        <v>0</v>
      </c>
      <c r="G13" s="143">
        <f t="shared" si="1"/>
        <v>0</v>
      </c>
      <c r="H13" s="143">
        <f t="shared" si="1"/>
        <v>347.94155963581557</v>
      </c>
      <c r="I13" s="143">
        <f t="shared" si="1"/>
        <v>347.94155963581557</v>
      </c>
      <c r="J13" s="143">
        <f t="shared" si="1"/>
        <v>347.94155963581557</v>
      </c>
      <c r="K13" s="143">
        <f t="shared" si="1"/>
        <v>347.94155963581557</v>
      </c>
      <c r="L13" s="143">
        <f t="shared" si="1"/>
        <v>347.94155963581557</v>
      </c>
      <c r="M13" s="143">
        <f t="shared" si="1"/>
        <v>347.94155963581557</v>
      </c>
      <c r="N13" s="143">
        <f t="shared" si="1"/>
        <v>347.94155963581557</v>
      </c>
      <c r="O13" s="143">
        <f t="shared" si="1"/>
        <v>347.94155963581557</v>
      </c>
      <c r="P13" s="143">
        <f t="shared" si="1"/>
        <v>347.94155963581557</v>
      </c>
      <c r="Q13" s="143">
        <f t="shared" si="1"/>
        <v>347.94155963581557</v>
      </c>
      <c r="R13" s="143">
        <f t="shared" si="1"/>
        <v>347.94155963581557</v>
      </c>
      <c r="S13" s="143">
        <f t="shared" si="1"/>
        <v>347.94155963581557</v>
      </c>
      <c r="T13" s="143">
        <f t="shared" si="1"/>
        <v>347.94155963581557</v>
      </c>
      <c r="U13" s="143">
        <f t="shared" si="1"/>
        <v>347.94155963581557</v>
      </c>
      <c r="V13" s="143">
        <f t="shared" si="1"/>
        <v>347.94155963581557</v>
      </c>
      <c r="W13" s="143">
        <f t="shared" si="1"/>
        <v>347.94155963581557</v>
      </c>
      <c r="X13" s="143">
        <f t="shared" si="1"/>
        <v>347.94155963581557</v>
      </c>
      <c r="Y13" s="143">
        <f t="shared" si="1"/>
        <v>347.94155963581557</v>
      </c>
      <c r="Z13" s="143">
        <f t="shared" si="1"/>
        <v>347.94155963581557</v>
      </c>
      <c r="AA13" s="143">
        <f t="shared" si="1"/>
        <v>347.94155963581557</v>
      </c>
      <c r="AB13" s="143">
        <f t="shared" si="1"/>
        <v>347.94155963581557</v>
      </c>
      <c r="AC13" s="143">
        <f t="shared" si="1"/>
        <v>347.94155963581557</v>
      </c>
      <c r="AD13" s="143">
        <f t="shared" si="1"/>
        <v>347.94155963581557</v>
      </c>
      <c r="AE13" s="143">
        <f t="shared" si="1"/>
        <v>347.94155963581557</v>
      </c>
      <c r="AF13" s="143">
        <f t="shared" si="1"/>
        <v>347.94155963581557</v>
      </c>
      <c r="AG13" s="143">
        <f t="shared" si="1"/>
        <v>347.94155963581557</v>
      </c>
      <c r="AH13" s="143">
        <f t="shared" si="1"/>
        <v>347.94155963581557</v>
      </c>
      <c r="AI13" s="143">
        <f t="shared" si="1"/>
        <v>347.94155963581557</v>
      </c>
      <c r="AJ13" s="143">
        <f t="shared" si="1"/>
        <v>347.94155963581557</v>
      </c>
      <c r="AK13" s="143">
        <f t="shared" si="1"/>
        <v>347.94155963581557</v>
      </c>
      <c r="AL13" s="143">
        <f t="shared" si="1"/>
        <v>347.94155963581557</v>
      </c>
      <c r="AM13" s="143">
        <f t="shared" si="1"/>
        <v>347.94155963581557</v>
      </c>
      <c r="AN13" s="143">
        <f t="shared" si="1"/>
        <v>347.94155963581557</v>
      </c>
      <c r="AO13" s="143">
        <f t="shared" si="1"/>
        <v>347.94155963581557</v>
      </c>
      <c r="AP13" s="143">
        <f t="shared" si="1"/>
        <v>347.94155963581557</v>
      </c>
      <c r="AQ13" s="143">
        <f t="shared" si="1"/>
        <v>347.94155963581557</v>
      </c>
      <c r="AR13" s="143">
        <f t="shared" si="1"/>
        <v>347.94155963581557</v>
      </c>
      <c r="AS13" s="143">
        <f t="shared" si="1"/>
        <v>347.94155963581557</v>
      </c>
      <c r="AT13" s="143">
        <f t="shared" si="1"/>
        <v>347.94155963581557</v>
      </c>
      <c r="AU13" s="143">
        <f t="shared" si="1"/>
        <v>347.94155963581557</v>
      </c>
      <c r="AV13" s="143">
        <f t="shared" si="1"/>
        <v>347.94155963581557</v>
      </c>
      <c r="AW13" s="143">
        <f t="shared" si="1"/>
        <v>347.94155963581557</v>
      </c>
      <c r="AX13" s="143">
        <f t="shared" si="1"/>
        <v>347.94155963581557</v>
      </c>
      <c r="AY13" s="143">
        <f t="shared" si="1"/>
        <v>347.94155963581557</v>
      </c>
      <c r="AZ13" s="114"/>
    </row>
    <row r="14" spans="1:52" x14ac:dyDescent="0.2">
      <c r="A14" s="115"/>
      <c r="B14" s="125">
        <v>2</v>
      </c>
      <c r="C14" s="115">
        <v>0</v>
      </c>
      <c r="D14" s="111">
        <f>IF(C$20="Yes",C13,0)</f>
        <v>0</v>
      </c>
      <c r="E14" s="111">
        <f t="shared" ref="E14:AY17" si="2">IF(D$20="Yes",D13,0)</f>
        <v>0</v>
      </c>
      <c r="F14" s="111">
        <f t="shared" si="2"/>
        <v>0</v>
      </c>
      <c r="G14" s="111">
        <f t="shared" si="2"/>
        <v>0</v>
      </c>
      <c r="H14" s="111">
        <f t="shared" si="2"/>
        <v>0</v>
      </c>
      <c r="I14" s="111">
        <f t="shared" si="2"/>
        <v>0</v>
      </c>
      <c r="J14" s="111">
        <f t="shared" si="2"/>
        <v>0</v>
      </c>
      <c r="K14" s="111">
        <f t="shared" si="2"/>
        <v>0</v>
      </c>
      <c r="L14" s="111">
        <f t="shared" si="2"/>
        <v>347.94155963581557</v>
      </c>
      <c r="M14" s="111">
        <f t="shared" si="2"/>
        <v>0</v>
      </c>
      <c r="N14" s="111">
        <f t="shared" si="2"/>
        <v>0</v>
      </c>
      <c r="O14" s="111">
        <f t="shared" si="2"/>
        <v>0</v>
      </c>
      <c r="P14" s="111">
        <f t="shared" si="2"/>
        <v>0</v>
      </c>
      <c r="Q14" s="111">
        <f t="shared" si="2"/>
        <v>0</v>
      </c>
      <c r="R14" s="111">
        <f t="shared" si="2"/>
        <v>0</v>
      </c>
      <c r="S14" s="111">
        <f t="shared" si="2"/>
        <v>0</v>
      </c>
      <c r="T14" s="111">
        <f t="shared" si="2"/>
        <v>0</v>
      </c>
      <c r="U14" s="111">
        <f t="shared" si="2"/>
        <v>0</v>
      </c>
      <c r="V14" s="111">
        <f t="shared" si="2"/>
        <v>0</v>
      </c>
      <c r="W14" s="111">
        <f t="shared" si="2"/>
        <v>0</v>
      </c>
      <c r="X14" s="111">
        <f t="shared" si="2"/>
        <v>0</v>
      </c>
      <c r="Y14" s="111">
        <f t="shared" si="2"/>
        <v>0</v>
      </c>
      <c r="Z14" s="111">
        <f t="shared" si="2"/>
        <v>0</v>
      </c>
      <c r="AA14" s="111">
        <f t="shared" si="2"/>
        <v>0</v>
      </c>
      <c r="AB14" s="111">
        <f t="shared" si="2"/>
        <v>0</v>
      </c>
      <c r="AC14" s="111">
        <f t="shared" si="2"/>
        <v>0</v>
      </c>
      <c r="AD14" s="111">
        <f t="shared" si="2"/>
        <v>0</v>
      </c>
      <c r="AE14" s="111">
        <f t="shared" si="2"/>
        <v>347.94155963581557</v>
      </c>
      <c r="AF14" s="111">
        <f t="shared" si="2"/>
        <v>0</v>
      </c>
      <c r="AG14" s="111">
        <f t="shared" si="2"/>
        <v>0</v>
      </c>
      <c r="AH14" s="111">
        <f t="shared" si="2"/>
        <v>0</v>
      </c>
      <c r="AI14" s="111">
        <f t="shared" si="2"/>
        <v>0</v>
      </c>
      <c r="AJ14" s="111">
        <f t="shared" si="2"/>
        <v>0</v>
      </c>
      <c r="AK14" s="111">
        <f t="shared" si="2"/>
        <v>0</v>
      </c>
      <c r="AL14" s="111">
        <f t="shared" si="2"/>
        <v>0</v>
      </c>
      <c r="AM14" s="111">
        <f t="shared" si="2"/>
        <v>0</v>
      </c>
      <c r="AN14" s="111">
        <f t="shared" si="2"/>
        <v>0</v>
      </c>
      <c r="AO14" s="111">
        <f t="shared" si="2"/>
        <v>0</v>
      </c>
      <c r="AP14" s="111">
        <f t="shared" si="2"/>
        <v>0</v>
      </c>
      <c r="AQ14" s="111">
        <f t="shared" si="2"/>
        <v>0</v>
      </c>
      <c r="AR14" s="111">
        <f t="shared" si="2"/>
        <v>0</v>
      </c>
      <c r="AS14" s="111">
        <f t="shared" si="2"/>
        <v>347.94155963581557</v>
      </c>
      <c r="AT14" s="111">
        <f t="shared" si="2"/>
        <v>0</v>
      </c>
      <c r="AU14" s="111">
        <f t="shared" si="2"/>
        <v>0</v>
      </c>
      <c r="AV14" s="111">
        <f t="shared" si="2"/>
        <v>0</v>
      </c>
      <c r="AW14" s="111">
        <f t="shared" si="2"/>
        <v>0</v>
      </c>
      <c r="AX14" s="111">
        <f t="shared" si="2"/>
        <v>0</v>
      </c>
      <c r="AY14" s="111">
        <f t="shared" si="2"/>
        <v>0</v>
      </c>
      <c r="AZ14" s="114"/>
    </row>
    <row r="15" spans="1:52" x14ac:dyDescent="0.2">
      <c r="A15" s="115"/>
      <c r="B15" s="132">
        <v>3</v>
      </c>
      <c r="C15" s="115">
        <v>0</v>
      </c>
      <c r="D15" s="111">
        <f>IF(C$20="Yes",C14,0)</f>
        <v>0</v>
      </c>
      <c r="E15" s="111">
        <f t="shared" si="2"/>
        <v>0</v>
      </c>
      <c r="F15" s="111">
        <f t="shared" si="2"/>
        <v>0</v>
      </c>
      <c r="G15" s="111">
        <f t="shared" si="2"/>
        <v>0</v>
      </c>
      <c r="H15" s="111">
        <f t="shared" si="2"/>
        <v>0</v>
      </c>
      <c r="I15" s="111">
        <f t="shared" si="2"/>
        <v>0</v>
      </c>
      <c r="J15" s="111">
        <f t="shared" si="2"/>
        <v>0</v>
      </c>
      <c r="K15" s="111">
        <f t="shared" si="2"/>
        <v>0</v>
      </c>
      <c r="L15" s="111">
        <f t="shared" si="2"/>
        <v>0</v>
      </c>
      <c r="M15" s="111">
        <f t="shared" si="2"/>
        <v>0</v>
      </c>
      <c r="N15" s="111">
        <f t="shared" si="2"/>
        <v>0</v>
      </c>
      <c r="O15" s="111">
        <f t="shared" si="2"/>
        <v>0</v>
      </c>
      <c r="P15" s="111">
        <f t="shared" si="2"/>
        <v>0</v>
      </c>
      <c r="Q15" s="111">
        <f t="shared" si="2"/>
        <v>0</v>
      </c>
      <c r="R15" s="111">
        <f t="shared" si="2"/>
        <v>0</v>
      </c>
      <c r="S15" s="111">
        <f t="shared" si="2"/>
        <v>0</v>
      </c>
      <c r="T15" s="111">
        <f t="shared" si="2"/>
        <v>0</v>
      </c>
      <c r="U15" s="111">
        <f t="shared" si="2"/>
        <v>0</v>
      </c>
      <c r="V15" s="111">
        <f t="shared" si="2"/>
        <v>0</v>
      </c>
      <c r="W15" s="111">
        <f t="shared" si="2"/>
        <v>0</v>
      </c>
      <c r="X15" s="111">
        <f t="shared" si="2"/>
        <v>0</v>
      </c>
      <c r="Y15" s="111">
        <f t="shared" si="2"/>
        <v>0</v>
      </c>
      <c r="Z15" s="111">
        <f t="shared" si="2"/>
        <v>0</v>
      </c>
      <c r="AA15" s="111">
        <f t="shared" si="2"/>
        <v>0</v>
      </c>
      <c r="AB15" s="111">
        <f t="shared" si="2"/>
        <v>0</v>
      </c>
      <c r="AC15" s="111">
        <f t="shared" si="2"/>
        <v>0</v>
      </c>
      <c r="AD15" s="111">
        <f t="shared" si="2"/>
        <v>0</v>
      </c>
      <c r="AE15" s="111">
        <f t="shared" si="2"/>
        <v>0</v>
      </c>
      <c r="AF15" s="111">
        <f t="shared" si="2"/>
        <v>0</v>
      </c>
      <c r="AG15" s="111">
        <f t="shared" si="2"/>
        <v>0</v>
      </c>
      <c r="AH15" s="111">
        <f t="shared" si="2"/>
        <v>0</v>
      </c>
      <c r="AI15" s="111">
        <f t="shared" si="2"/>
        <v>0</v>
      </c>
      <c r="AJ15" s="111">
        <f t="shared" si="2"/>
        <v>0</v>
      </c>
      <c r="AK15" s="111">
        <f t="shared" si="2"/>
        <v>0</v>
      </c>
      <c r="AL15" s="111">
        <f t="shared" si="2"/>
        <v>0</v>
      </c>
      <c r="AM15" s="111">
        <f t="shared" si="2"/>
        <v>0</v>
      </c>
      <c r="AN15" s="111">
        <f t="shared" si="2"/>
        <v>0</v>
      </c>
      <c r="AO15" s="111">
        <f t="shared" si="2"/>
        <v>0</v>
      </c>
      <c r="AP15" s="111">
        <f t="shared" si="2"/>
        <v>0</v>
      </c>
      <c r="AQ15" s="111">
        <f t="shared" si="2"/>
        <v>0</v>
      </c>
      <c r="AR15" s="111">
        <f t="shared" si="2"/>
        <v>0</v>
      </c>
      <c r="AS15" s="111">
        <f t="shared" si="2"/>
        <v>0</v>
      </c>
      <c r="AT15" s="111">
        <f t="shared" si="2"/>
        <v>0</v>
      </c>
      <c r="AU15" s="111">
        <f t="shared" si="2"/>
        <v>0</v>
      </c>
      <c r="AV15" s="111">
        <f t="shared" si="2"/>
        <v>0</v>
      </c>
      <c r="AW15" s="111">
        <f t="shared" si="2"/>
        <v>0</v>
      </c>
      <c r="AX15" s="111">
        <f t="shared" si="2"/>
        <v>0</v>
      </c>
      <c r="AY15" s="111">
        <f t="shared" si="2"/>
        <v>0</v>
      </c>
      <c r="AZ15" s="114"/>
    </row>
    <row r="16" spans="1:52" x14ac:dyDescent="0.2">
      <c r="A16" s="115"/>
      <c r="B16" s="135">
        <v>4</v>
      </c>
      <c r="C16" s="115">
        <v>0</v>
      </c>
      <c r="D16" s="111">
        <f>IF(C$20="Yes",C15,0)</f>
        <v>0</v>
      </c>
      <c r="E16" s="111">
        <f t="shared" si="2"/>
        <v>0</v>
      </c>
      <c r="F16" s="111">
        <f t="shared" si="2"/>
        <v>0</v>
      </c>
      <c r="G16" s="111">
        <f t="shared" si="2"/>
        <v>0</v>
      </c>
      <c r="H16" s="111">
        <f t="shared" si="2"/>
        <v>0</v>
      </c>
      <c r="I16" s="111">
        <f t="shared" si="2"/>
        <v>0</v>
      </c>
      <c r="J16" s="111">
        <f t="shared" si="2"/>
        <v>0</v>
      </c>
      <c r="K16" s="111">
        <f t="shared" si="2"/>
        <v>0</v>
      </c>
      <c r="L16" s="111">
        <f t="shared" si="2"/>
        <v>0</v>
      </c>
      <c r="M16" s="111">
        <f t="shared" si="2"/>
        <v>0</v>
      </c>
      <c r="N16" s="111">
        <f t="shared" si="2"/>
        <v>0</v>
      </c>
      <c r="O16" s="111">
        <f t="shared" si="2"/>
        <v>0</v>
      </c>
      <c r="P16" s="111">
        <f t="shared" si="2"/>
        <v>0</v>
      </c>
      <c r="Q16" s="111">
        <f t="shared" si="2"/>
        <v>0</v>
      </c>
      <c r="R16" s="111">
        <f t="shared" si="2"/>
        <v>0</v>
      </c>
      <c r="S16" s="111">
        <f t="shared" si="2"/>
        <v>0</v>
      </c>
      <c r="T16" s="111">
        <f t="shared" si="2"/>
        <v>0</v>
      </c>
      <c r="U16" s="111">
        <f t="shared" si="2"/>
        <v>0</v>
      </c>
      <c r="V16" s="111">
        <f t="shared" si="2"/>
        <v>0</v>
      </c>
      <c r="W16" s="111">
        <f t="shared" si="2"/>
        <v>0</v>
      </c>
      <c r="X16" s="111">
        <f t="shared" si="2"/>
        <v>0</v>
      </c>
      <c r="Y16" s="111">
        <f t="shared" si="2"/>
        <v>0</v>
      </c>
      <c r="Z16" s="111">
        <f t="shared" si="2"/>
        <v>0</v>
      </c>
      <c r="AA16" s="111">
        <f t="shared" si="2"/>
        <v>0</v>
      </c>
      <c r="AB16" s="111">
        <f t="shared" si="2"/>
        <v>0</v>
      </c>
      <c r="AC16" s="111">
        <f t="shared" si="2"/>
        <v>0</v>
      </c>
      <c r="AD16" s="111">
        <f t="shared" si="2"/>
        <v>0</v>
      </c>
      <c r="AE16" s="111">
        <f t="shared" si="2"/>
        <v>0</v>
      </c>
      <c r="AF16" s="111">
        <f t="shared" si="2"/>
        <v>0</v>
      </c>
      <c r="AG16" s="111">
        <f t="shared" si="2"/>
        <v>0</v>
      </c>
      <c r="AH16" s="111">
        <f t="shared" si="2"/>
        <v>0</v>
      </c>
      <c r="AI16" s="111">
        <f t="shared" si="2"/>
        <v>0</v>
      </c>
      <c r="AJ16" s="111">
        <f t="shared" si="2"/>
        <v>0</v>
      </c>
      <c r="AK16" s="111">
        <f t="shared" si="2"/>
        <v>0</v>
      </c>
      <c r="AL16" s="111">
        <f t="shared" si="2"/>
        <v>0</v>
      </c>
      <c r="AM16" s="111">
        <f t="shared" si="2"/>
        <v>0</v>
      </c>
      <c r="AN16" s="111">
        <f t="shared" si="2"/>
        <v>0</v>
      </c>
      <c r="AO16" s="111">
        <f t="shared" si="2"/>
        <v>0</v>
      </c>
      <c r="AP16" s="111">
        <f t="shared" si="2"/>
        <v>0</v>
      </c>
      <c r="AQ16" s="111">
        <f t="shared" si="2"/>
        <v>0</v>
      </c>
      <c r="AR16" s="111">
        <f t="shared" si="2"/>
        <v>0</v>
      </c>
      <c r="AS16" s="111">
        <f t="shared" si="2"/>
        <v>0</v>
      </c>
      <c r="AT16" s="111">
        <f t="shared" si="2"/>
        <v>0</v>
      </c>
      <c r="AU16" s="111">
        <f t="shared" si="2"/>
        <v>0</v>
      </c>
      <c r="AV16" s="111">
        <f t="shared" si="2"/>
        <v>0</v>
      </c>
      <c r="AW16" s="111">
        <f t="shared" si="2"/>
        <v>0</v>
      </c>
      <c r="AX16" s="111">
        <f t="shared" si="2"/>
        <v>0</v>
      </c>
      <c r="AY16" s="111">
        <f t="shared" si="2"/>
        <v>0</v>
      </c>
      <c r="AZ16" s="133"/>
    </row>
    <row r="17" spans="1:52" x14ac:dyDescent="0.2">
      <c r="A17" s="130"/>
      <c r="B17" s="137" t="s">
        <v>296</v>
      </c>
      <c r="C17" s="130">
        <v>0</v>
      </c>
      <c r="D17" s="119">
        <f>IF(C$20="Yes",C16,0)</f>
        <v>0</v>
      </c>
      <c r="E17" s="119">
        <f t="shared" si="2"/>
        <v>0</v>
      </c>
      <c r="F17" s="119">
        <f t="shared" si="2"/>
        <v>0</v>
      </c>
      <c r="G17" s="119">
        <f t="shared" si="2"/>
        <v>0</v>
      </c>
      <c r="H17" s="119">
        <f t="shared" si="2"/>
        <v>0</v>
      </c>
      <c r="I17" s="119">
        <f t="shared" si="2"/>
        <v>0</v>
      </c>
      <c r="J17" s="119">
        <f t="shared" si="2"/>
        <v>0</v>
      </c>
      <c r="K17" s="119">
        <f t="shared" si="2"/>
        <v>0</v>
      </c>
      <c r="L17" s="119">
        <f t="shared" si="2"/>
        <v>0</v>
      </c>
      <c r="M17" s="119">
        <f t="shared" si="2"/>
        <v>0</v>
      </c>
      <c r="N17" s="119">
        <f t="shared" si="2"/>
        <v>0</v>
      </c>
      <c r="O17" s="119">
        <f t="shared" si="2"/>
        <v>0</v>
      </c>
      <c r="P17" s="119">
        <f t="shared" si="2"/>
        <v>0</v>
      </c>
      <c r="Q17" s="119">
        <f t="shared" si="2"/>
        <v>0</v>
      </c>
      <c r="R17" s="119">
        <f t="shared" si="2"/>
        <v>0</v>
      </c>
      <c r="S17" s="119">
        <f t="shared" si="2"/>
        <v>0</v>
      </c>
      <c r="T17" s="119">
        <f t="shared" si="2"/>
        <v>0</v>
      </c>
      <c r="U17" s="119">
        <f t="shared" si="2"/>
        <v>0</v>
      </c>
      <c r="V17" s="119">
        <f t="shared" si="2"/>
        <v>0</v>
      </c>
      <c r="W17" s="119">
        <f t="shared" si="2"/>
        <v>0</v>
      </c>
      <c r="X17" s="119">
        <f t="shared" si="2"/>
        <v>0</v>
      </c>
      <c r="Y17" s="119">
        <f t="shared" si="2"/>
        <v>0</v>
      </c>
      <c r="Z17" s="119">
        <f t="shared" si="2"/>
        <v>0</v>
      </c>
      <c r="AA17" s="119">
        <f t="shared" si="2"/>
        <v>0</v>
      </c>
      <c r="AB17" s="119">
        <f t="shared" si="2"/>
        <v>0</v>
      </c>
      <c r="AC17" s="119">
        <f t="shared" si="2"/>
        <v>0</v>
      </c>
      <c r="AD17" s="119">
        <f t="shared" si="2"/>
        <v>0</v>
      </c>
      <c r="AE17" s="119">
        <f t="shared" si="2"/>
        <v>0</v>
      </c>
      <c r="AF17" s="119">
        <f t="shared" si="2"/>
        <v>0</v>
      </c>
      <c r="AG17" s="119">
        <f t="shared" si="2"/>
        <v>0</v>
      </c>
      <c r="AH17" s="119">
        <f t="shared" si="2"/>
        <v>0</v>
      </c>
      <c r="AI17" s="119">
        <f t="shared" si="2"/>
        <v>0</v>
      </c>
      <c r="AJ17" s="119">
        <f t="shared" si="2"/>
        <v>0</v>
      </c>
      <c r="AK17" s="119">
        <f t="shared" si="2"/>
        <v>0</v>
      </c>
      <c r="AL17" s="119">
        <f t="shared" si="2"/>
        <v>0</v>
      </c>
      <c r="AM17" s="119">
        <f t="shared" si="2"/>
        <v>0</v>
      </c>
      <c r="AN17" s="119">
        <f t="shared" si="2"/>
        <v>0</v>
      </c>
      <c r="AO17" s="119">
        <f t="shared" si="2"/>
        <v>0</v>
      </c>
      <c r="AP17" s="119">
        <f t="shared" si="2"/>
        <v>0</v>
      </c>
      <c r="AQ17" s="119">
        <f t="shared" si="2"/>
        <v>0</v>
      </c>
      <c r="AR17" s="119">
        <f t="shared" si="2"/>
        <v>0</v>
      </c>
      <c r="AS17" s="119">
        <f t="shared" si="2"/>
        <v>0</v>
      </c>
      <c r="AT17" s="119">
        <f t="shared" si="2"/>
        <v>0</v>
      </c>
      <c r="AU17" s="119">
        <f t="shared" si="2"/>
        <v>0</v>
      </c>
      <c r="AV17" s="119">
        <f t="shared" si="2"/>
        <v>0</v>
      </c>
      <c r="AW17" s="119">
        <f t="shared" si="2"/>
        <v>0</v>
      </c>
      <c r="AX17" s="119">
        <f t="shared" si="2"/>
        <v>0</v>
      </c>
      <c r="AY17" s="119">
        <f t="shared" si="2"/>
        <v>0</v>
      </c>
      <c r="AZ17" s="156">
        <f>SUM($D$17:$AY$17)</f>
        <v>0</v>
      </c>
    </row>
    <row r="18" spans="1:52" x14ac:dyDescent="0.2">
      <c r="A18" s="111"/>
      <c r="B18" s="158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  <c r="AO18" s="143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11"/>
    </row>
    <row r="19" spans="1:52" x14ac:dyDescent="0.2">
      <c r="A19" s="107" t="s">
        <v>116</v>
      </c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</row>
    <row r="20" spans="1:52" s="115" customFormat="1" x14ac:dyDescent="0.2">
      <c r="A20" s="120" t="s">
        <v>305</v>
      </c>
      <c r="B20" s="159" t="s">
        <v>306</v>
      </c>
      <c r="C20" s="122"/>
      <c r="D20" s="122"/>
      <c r="E20" s="122"/>
      <c r="F20" s="122"/>
      <c r="G20" s="122"/>
      <c r="H20" s="122"/>
      <c r="I20" s="122"/>
      <c r="J20" s="122"/>
      <c r="K20" s="122" t="s">
        <v>313</v>
      </c>
      <c r="L20" s="122"/>
      <c r="M20" s="122"/>
      <c r="N20" s="122"/>
      <c r="O20" s="122"/>
      <c r="P20" s="122"/>
      <c r="Q20" s="122"/>
      <c r="R20" s="122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 t="s">
        <v>313</v>
      </c>
      <c r="AE20" s="122"/>
      <c r="AF20" s="122"/>
      <c r="AG20" s="122"/>
      <c r="AH20" s="122"/>
      <c r="AI20" s="122"/>
      <c r="AJ20" s="122"/>
      <c r="AK20" s="122"/>
      <c r="AL20" s="122"/>
      <c r="AM20" s="122"/>
      <c r="AN20" s="122"/>
      <c r="AO20" s="122"/>
      <c r="AP20" s="122"/>
      <c r="AQ20" s="122"/>
      <c r="AR20" s="122" t="s">
        <v>313</v>
      </c>
      <c r="AS20" s="122"/>
      <c r="AT20" s="122"/>
      <c r="AU20" s="122"/>
      <c r="AV20" s="122"/>
      <c r="AW20" s="122"/>
      <c r="AX20" s="122"/>
      <c r="AY20" s="122"/>
      <c r="AZ20" s="112"/>
    </row>
    <row r="21" spans="1:52" s="115" customFormat="1" x14ac:dyDescent="0.2">
      <c r="A21" s="160" t="s">
        <v>133</v>
      </c>
      <c r="B21" s="161">
        <f>shipping_manufacturing!$E$19/100</f>
        <v>0.58069579999999998</v>
      </c>
      <c r="C21" s="161" t="s">
        <v>293</v>
      </c>
      <c r="D21" s="111">
        <f>IF(C$20="Yes",0,SUM(C$13:C$16)*$B$21)</f>
        <v>407.55232429121781</v>
      </c>
      <c r="E21" s="111">
        <f t="shared" ref="E21:AY21" si="3">IF(D$20="Yes",0,SUM(D$13:D$16)*$B$21)</f>
        <v>0</v>
      </c>
      <c r="F21" s="111">
        <f t="shared" si="3"/>
        <v>0</v>
      </c>
      <c r="G21" s="111">
        <f t="shared" si="3"/>
        <v>0</v>
      </c>
      <c r="H21" s="111">
        <f t="shared" si="3"/>
        <v>0</v>
      </c>
      <c r="I21" s="111">
        <f t="shared" si="3"/>
        <v>202.04820232596762</v>
      </c>
      <c r="J21" s="111">
        <f t="shared" si="3"/>
        <v>202.04820232596762</v>
      </c>
      <c r="K21" s="111">
        <f t="shared" si="3"/>
        <v>202.04820232596762</v>
      </c>
      <c r="L21" s="111">
        <f t="shared" si="3"/>
        <v>0</v>
      </c>
      <c r="M21" s="111">
        <f t="shared" si="3"/>
        <v>404.09640465193525</v>
      </c>
      <c r="N21" s="111">
        <f t="shared" si="3"/>
        <v>202.04820232596762</v>
      </c>
      <c r="O21" s="111">
        <f t="shared" si="3"/>
        <v>202.04820232596762</v>
      </c>
      <c r="P21" s="111">
        <f t="shared" si="3"/>
        <v>202.04820232596762</v>
      </c>
      <c r="Q21" s="111">
        <f t="shared" si="3"/>
        <v>202.04820232596762</v>
      </c>
      <c r="R21" s="111">
        <f t="shared" si="3"/>
        <v>202.04820232596762</v>
      </c>
      <c r="S21" s="111">
        <f t="shared" si="3"/>
        <v>202.04820232596762</v>
      </c>
      <c r="T21" s="111">
        <f t="shared" si="3"/>
        <v>202.04820232596762</v>
      </c>
      <c r="U21" s="111">
        <f t="shared" si="3"/>
        <v>202.04820232596762</v>
      </c>
      <c r="V21" s="111">
        <f t="shared" si="3"/>
        <v>202.04820232596762</v>
      </c>
      <c r="W21" s="111">
        <f t="shared" si="3"/>
        <v>202.04820232596762</v>
      </c>
      <c r="X21" s="111">
        <f t="shared" si="3"/>
        <v>202.04820232596762</v>
      </c>
      <c r="Y21" s="111">
        <f t="shared" si="3"/>
        <v>202.04820232596762</v>
      </c>
      <c r="Z21" s="111">
        <f t="shared" si="3"/>
        <v>202.04820232596762</v>
      </c>
      <c r="AA21" s="111">
        <f t="shared" si="3"/>
        <v>202.04820232596762</v>
      </c>
      <c r="AB21" s="111">
        <f t="shared" si="3"/>
        <v>202.04820232596762</v>
      </c>
      <c r="AC21" s="111">
        <f t="shared" si="3"/>
        <v>202.04820232596762</v>
      </c>
      <c r="AD21" s="111">
        <f t="shared" si="3"/>
        <v>202.04820232596762</v>
      </c>
      <c r="AE21" s="111">
        <f t="shared" si="3"/>
        <v>0</v>
      </c>
      <c r="AF21" s="111">
        <f t="shared" si="3"/>
        <v>404.09640465193525</v>
      </c>
      <c r="AG21" s="111">
        <f t="shared" si="3"/>
        <v>202.04820232596762</v>
      </c>
      <c r="AH21" s="111">
        <f t="shared" si="3"/>
        <v>202.04820232596762</v>
      </c>
      <c r="AI21" s="111">
        <f t="shared" si="3"/>
        <v>202.04820232596762</v>
      </c>
      <c r="AJ21" s="111">
        <f t="shared" si="3"/>
        <v>202.04820232596762</v>
      </c>
      <c r="AK21" s="111">
        <f t="shared" si="3"/>
        <v>202.04820232596762</v>
      </c>
      <c r="AL21" s="111">
        <f t="shared" si="3"/>
        <v>202.04820232596762</v>
      </c>
      <c r="AM21" s="111">
        <f t="shared" si="3"/>
        <v>202.04820232596762</v>
      </c>
      <c r="AN21" s="111">
        <f t="shared" si="3"/>
        <v>202.04820232596762</v>
      </c>
      <c r="AO21" s="111">
        <f t="shared" si="3"/>
        <v>202.04820232596762</v>
      </c>
      <c r="AP21" s="111">
        <f t="shared" si="3"/>
        <v>202.04820232596762</v>
      </c>
      <c r="AQ21" s="111">
        <f t="shared" si="3"/>
        <v>202.04820232596762</v>
      </c>
      <c r="AR21" s="111">
        <f t="shared" si="3"/>
        <v>202.04820232596762</v>
      </c>
      <c r="AS21" s="111">
        <f t="shared" si="3"/>
        <v>0</v>
      </c>
      <c r="AT21" s="111">
        <f t="shared" si="3"/>
        <v>404.09640465193525</v>
      </c>
      <c r="AU21" s="111">
        <f t="shared" si="3"/>
        <v>202.04820232596762</v>
      </c>
      <c r="AV21" s="111">
        <f t="shared" si="3"/>
        <v>202.04820232596762</v>
      </c>
      <c r="AW21" s="111">
        <f t="shared" si="3"/>
        <v>202.04820232596762</v>
      </c>
      <c r="AX21" s="111">
        <f t="shared" si="3"/>
        <v>202.04820232596762</v>
      </c>
      <c r="AY21" s="111">
        <f t="shared" si="3"/>
        <v>202.04820232596762</v>
      </c>
      <c r="AZ21" s="162">
        <f>SUM($D21:$AY21)</f>
        <v>9095.625024307823</v>
      </c>
    </row>
    <row r="22" spans="1:52" s="115" customFormat="1" x14ac:dyDescent="0.2">
      <c r="A22" s="163" t="s">
        <v>123</v>
      </c>
      <c r="B22" s="164">
        <f>1-$B$21</f>
        <v>0.41930420000000002</v>
      </c>
      <c r="C22" s="164" t="s">
        <v>293</v>
      </c>
      <c r="D22" s="119">
        <f>IF(C$20="Yes",0,SUM(C$13:C$16)*$B$22)</f>
        <v>294.28213755820116</v>
      </c>
      <c r="E22" s="119">
        <f t="shared" ref="E22:AY22" si="4">IF(D$20="Yes",0,SUM(D$13:D$16)*$B$22)</f>
        <v>0</v>
      </c>
      <c r="F22" s="119">
        <f t="shared" si="4"/>
        <v>0</v>
      </c>
      <c r="G22" s="119">
        <f t="shared" si="4"/>
        <v>0</v>
      </c>
      <c r="H22" s="119">
        <f t="shared" si="4"/>
        <v>0</v>
      </c>
      <c r="I22" s="119">
        <f t="shared" si="4"/>
        <v>145.89335730984794</v>
      </c>
      <c r="J22" s="119">
        <f t="shared" si="4"/>
        <v>145.89335730984794</v>
      </c>
      <c r="K22" s="119">
        <f t="shared" si="4"/>
        <v>145.89335730984794</v>
      </c>
      <c r="L22" s="119">
        <f t="shared" si="4"/>
        <v>0</v>
      </c>
      <c r="M22" s="119">
        <f t="shared" si="4"/>
        <v>291.78671461969589</v>
      </c>
      <c r="N22" s="119">
        <f t="shared" si="4"/>
        <v>145.89335730984794</v>
      </c>
      <c r="O22" s="119">
        <f t="shared" si="4"/>
        <v>145.89335730984794</v>
      </c>
      <c r="P22" s="119">
        <f t="shared" si="4"/>
        <v>145.89335730984794</v>
      </c>
      <c r="Q22" s="119">
        <f t="shared" si="4"/>
        <v>145.89335730984794</v>
      </c>
      <c r="R22" s="119">
        <f t="shared" si="4"/>
        <v>145.89335730984794</v>
      </c>
      <c r="S22" s="119">
        <f t="shared" si="4"/>
        <v>145.89335730984794</v>
      </c>
      <c r="T22" s="119">
        <f t="shared" si="4"/>
        <v>145.89335730984794</v>
      </c>
      <c r="U22" s="119">
        <f t="shared" si="4"/>
        <v>145.89335730984794</v>
      </c>
      <c r="V22" s="119">
        <f t="shared" si="4"/>
        <v>145.89335730984794</v>
      </c>
      <c r="W22" s="119">
        <f t="shared" si="4"/>
        <v>145.89335730984794</v>
      </c>
      <c r="X22" s="119">
        <f t="shared" si="4"/>
        <v>145.89335730984794</v>
      </c>
      <c r="Y22" s="119">
        <f t="shared" si="4"/>
        <v>145.89335730984794</v>
      </c>
      <c r="Z22" s="119">
        <f t="shared" si="4"/>
        <v>145.89335730984794</v>
      </c>
      <c r="AA22" s="119">
        <f t="shared" si="4"/>
        <v>145.89335730984794</v>
      </c>
      <c r="AB22" s="119">
        <f t="shared" si="4"/>
        <v>145.89335730984794</v>
      </c>
      <c r="AC22" s="119">
        <f t="shared" si="4"/>
        <v>145.89335730984794</v>
      </c>
      <c r="AD22" s="119">
        <f t="shared" si="4"/>
        <v>145.89335730984794</v>
      </c>
      <c r="AE22" s="119">
        <f t="shared" si="4"/>
        <v>0</v>
      </c>
      <c r="AF22" s="119">
        <f t="shared" si="4"/>
        <v>291.78671461969589</v>
      </c>
      <c r="AG22" s="119">
        <f t="shared" si="4"/>
        <v>145.89335730984794</v>
      </c>
      <c r="AH22" s="119">
        <f t="shared" si="4"/>
        <v>145.89335730984794</v>
      </c>
      <c r="AI22" s="119">
        <f t="shared" si="4"/>
        <v>145.89335730984794</v>
      </c>
      <c r="AJ22" s="119">
        <f t="shared" si="4"/>
        <v>145.89335730984794</v>
      </c>
      <c r="AK22" s="119">
        <f t="shared" si="4"/>
        <v>145.89335730984794</v>
      </c>
      <c r="AL22" s="119">
        <f t="shared" si="4"/>
        <v>145.89335730984794</v>
      </c>
      <c r="AM22" s="119">
        <f t="shared" si="4"/>
        <v>145.89335730984794</v>
      </c>
      <c r="AN22" s="119">
        <f t="shared" si="4"/>
        <v>145.89335730984794</v>
      </c>
      <c r="AO22" s="119">
        <f t="shared" si="4"/>
        <v>145.89335730984794</v>
      </c>
      <c r="AP22" s="119">
        <f t="shared" si="4"/>
        <v>145.89335730984794</v>
      </c>
      <c r="AQ22" s="119">
        <f t="shared" si="4"/>
        <v>145.89335730984794</v>
      </c>
      <c r="AR22" s="119">
        <f t="shared" si="4"/>
        <v>145.89335730984794</v>
      </c>
      <c r="AS22" s="119">
        <f t="shared" si="4"/>
        <v>0</v>
      </c>
      <c r="AT22" s="119">
        <f t="shared" si="4"/>
        <v>291.78671461969589</v>
      </c>
      <c r="AU22" s="119">
        <f t="shared" si="4"/>
        <v>145.89335730984794</v>
      </c>
      <c r="AV22" s="119">
        <f t="shared" si="4"/>
        <v>145.89335730984794</v>
      </c>
      <c r="AW22" s="119">
        <f t="shared" si="4"/>
        <v>145.89335730984794</v>
      </c>
      <c r="AX22" s="119">
        <f t="shared" si="4"/>
        <v>145.89335730984794</v>
      </c>
      <c r="AY22" s="119">
        <f t="shared" si="4"/>
        <v>145.89335730984794</v>
      </c>
      <c r="AZ22" s="146">
        <f t="shared" ref="AZ22:AZ30" si="5">SUM($D22:$AY22)</f>
        <v>6567.6965018816572</v>
      </c>
    </row>
    <row r="23" spans="1:52" x14ac:dyDescent="0.2">
      <c r="A23" s="165" t="s">
        <v>307</v>
      </c>
      <c r="B23" s="129">
        <v>2000</v>
      </c>
      <c r="C23" s="105" t="s">
        <v>293</v>
      </c>
      <c r="D23" s="105">
        <f>D$21*$B$23</f>
        <v>815104.64858243568</v>
      </c>
      <c r="E23" s="105">
        <f t="shared" ref="E23:AY23" si="6">E$21*$B$23</f>
        <v>0</v>
      </c>
      <c r="F23" s="105">
        <f t="shared" si="6"/>
        <v>0</v>
      </c>
      <c r="G23" s="105">
        <f t="shared" si="6"/>
        <v>0</v>
      </c>
      <c r="H23" s="105">
        <f t="shared" si="6"/>
        <v>0</v>
      </c>
      <c r="I23" s="105">
        <f t="shared" si="6"/>
        <v>404096.40465193527</v>
      </c>
      <c r="J23" s="105">
        <f t="shared" si="6"/>
        <v>404096.40465193527</v>
      </c>
      <c r="K23" s="105">
        <f t="shared" si="6"/>
        <v>404096.40465193527</v>
      </c>
      <c r="L23" s="105">
        <f t="shared" si="6"/>
        <v>0</v>
      </c>
      <c r="M23" s="105">
        <f t="shared" si="6"/>
        <v>808192.80930387054</v>
      </c>
      <c r="N23" s="105">
        <f t="shared" si="6"/>
        <v>404096.40465193527</v>
      </c>
      <c r="O23" s="105">
        <f t="shared" si="6"/>
        <v>404096.40465193527</v>
      </c>
      <c r="P23" s="105">
        <f t="shared" si="6"/>
        <v>404096.40465193527</v>
      </c>
      <c r="Q23" s="105">
        <f t="shared" si="6"/>
        <v>404096.40465193527</v>
      </c>
      <c r="R23" s="105">
        <f t="shared" si="6"/>
        <v>404096.40465193527</v>
      </c>
      <c r="S23" s="105">
        <f t="shared" si="6"/>
        <v>404096.40465193527</v>
      </c>
      <c r="T23" s="105">
        <f t="shared" si="6"/>
        <v>404096.40465193527</v>
      </c>
      <c r="U23" s="105">
        <f t="shared" si="6"/>
        <v>404096.40465193527</v>
      </c>
      <c r="V23" s="105">
        <f t="shared" si="6"/>
        <v>404096.40465193527</v>
      </c>
      <c r="W23" s="105">
        <f t="shared" si="6"/>
        <v>404096.40465193527</v>
      </c>
      <c r="X23" s="105">
        <f t="shared" si="6"/>
        <v>404096.40465193527</v>
      </c>
      <c r="Y23" s="105">
        <f t="shared" si="6"/>
        <v>404096.40465193527</v>
      </c>
      <c r="Z23" s="105">
        <f t="shared" si="6"/>
        <v>404096.40465193527</v>
      </c>
      <c r="AA23" s="105">
        <f t="shared" si="6"/>
        <v>404096.40465193527</v>
      </c>
      <c r="AB23" s="105">
        <f t="shared" si="6"/>
        <v>404096.40465193527</v>
      </c>
      <c r="AC23" s="105">
        <f t="shared" si="6"/>
        <v>404096.40465193527</v>
      </c>
      <c r="AD23" s="105">
        <f t="shared" si="6"/>
        <v>404096.40465193527</v>
      </c>
      <c r="AE23" s="105">
        <f t="shared" si="6"/>
        <v>0</v>
      </c>
      <c r="AF23" s="105">
        <f t="shared" si="6"/>
        <v>808192.80930387054</v>
      </c>
      <c r="AG23" s="105">
        <f t="shared" si="6"/>
        <v>404096.40465193527</v>
      </c>
      <c r="AH23" s="105">
        <f t="shared" si="6"/>
        <v>404096.40465193527</v>
      </c>
      <c r="AI23" s="105">
        <f t="shared" si="6"/>
        <v>404096.40465193527</v>
      </c>
      <c r="AJ23" s="105">
        <f t="shared" si="6"/>
        <v>404096.40465193527</v>
      </c>
      <c r="AK23" s="105">
        <f t="shared" si="6"/>
        <v>404096.40465193527</v>
      </c>
      <c r="AL23" s="105">
        <f t="shared" si="6"/>
        <v>404096.40465193527</v>
      </c>
      <c r="AM23" s="105">
        <f t="shared" si="6"/>
        <v>404096.40465193527</v>
      </c>
      <c r="AN23" s="105">
        <f t="shared" si="6"/>
        <v>404096.40465193527</v>
      </c>
      <c r="AO23" s="105">
        <f t="shared" si="6"/>
        <v>404096.40465193527</v>
      </c>
      <c r="AP23" s="105">
        <f t="shared" si="6"/>
        <v>404096.40465193527</v>
      </c>
      <c r="AQ23" s="105">
        <f t="shared" si="6"/>
        <v>404096.40465193527</v>
      </c>
      <c r="AR23" s="105">
        <f t="shared" si="6"/>
        <v>404096.40465193527</v>
      </c>
      <c r="AS23" s="105">
        <f t="shared" si="6"/>
        <v>0</v>
      </c>
      <c r="AT23" s="105">
        <f t="shared" si="6"/>
        <v>808192.80930387054</v>
      </c>
      <c r="AU23" s="105">
        <f t="shared" si="6"/>
        <v>404096.40465193527</v>
      </c>
      <c r="AV23" s="105">
        <f t="shared" si="6"/>
        <v>404096.40465193527</v>
      </c>
      <c r="AW23" s="105">
        <f t="shared" si="6"/>
        <v>404096.40465193527</v>
      </c>
      <c r="AX23" s="105">
        <f t="shared" si="6"/>
        <v>404096.40465193527</v>
      </c>
      <c r="AY23" s="105">
        <f t="shared" si="6"/>
        <v>404096.40465193527</v>
      </c>
      <c r="AZ23" s="144">
        <f t="shared" si="5"/>
        <v>18191250.048615668</v>
      </c>
    </row>
    <row r="24" spans="1:52" s="115" customFormat="1" x14ac:dyDescent="0.2">
      <c r="A24" s="166" t="s">
        <v>308</v>
      </c>
      <c r="B24" s="167">
        <v>1000</v>
      </c>
      <c r="C24" s="161" t="s">
        <v>293</v>
      </c>
      <c r="D24" s="111">
        <f>D$22*$B$24</f>
        <v>294282.13755820115</v>
      </c>
      <c r="E24" s="111">
        <f t="shared" ref="E24:AY24" si="7">E$22*$B$24</f>
        <v>0</v>
      </c>
      <c r="F24" s="111">
        <f t="shared" si="7"/>
        <v>0</v>
      </c>
      <c r="G24" s="111">
        <f t="shared" si="7"/>
        <v>0</v>
      </c>
      <c r="H24" s="111">
        <f t="shared" si="7"/>
        <v>0</v>
      </c>
      <c r="I24" s="111">
        <f t="shared" si="7"/>
        <v>145893.35730984795</v>
      </c>
      <c r="J24" s="111">
        <f t="shared" si="7"/>
        <v>145893.35730984795</v>
      </c>
      <c r="K24" s="111">
        <f t="shared" si="7"/>
        <v>145893.35730984795</v>
      </c>
      <c r="L24" s="111">
        <f t="shared" si="7"/>
        <v>0</v>
      </c>
      <c r="M24" s="111">
        <f t="shared" si="7"/>
        <v>291786.71461969591</v>
      </c>
      <c r="N24" s="111">
        <f t="shared" si="7"/>
        <v>145893.35730984795</v>
      </c>
      <c r="O24" s="111">
        <f t="shared" si="7"/>
        <v>145893.35730984795</v>
      </c>
      <c r="P24" s="111">
        <f t="shared" si="7"/>
        <v>145893.35730984795</v>
      </c>
      <c r="Q24" s="111">
        <f t="shared" si="7"/>
        <v>145893.35730984795</v>
      </c>
      <c r="R24" s="111">
        <f t="shared" si="7"/>
        <v>145893.35730984795</v>
      </c>
      <c r="S24" s="111">
        <f t="shared" si="7"/>
        <v>145893.35730984795</v>
      </c>
      <c r="T24" s="111">
        <f t="shared" si="7"/>
        <v>145893.35730984795</v>
      </c>
      <c r="U24" s="111">
        <f t="shared" si="7"/>
        <v>145893.35730984795</v>
      </c>
      <c r="V24" s="111">
        <f t="shared" si="7"/>
        <v>145893.35730984795</v>
      </c>
      <c r="W24" s="111">
        <f t="shared" si="7"/>
        <v>145893.35730984795</v>
      </c>
      <c r="X24" s="111">
        <f t="shared" si="7"/>
        <v>145893.35730984795</v>
      </c>
      <c r="Y24" s="111">
        <f t="shared" si="7"/>
        <v>145893.35730984795</v>
      </c>
      <c r="Z24" s="111">
        <f t="shared" si="7"/>
        <v>145893.35730984795</v>
      </c>
      <c r="AA24" s="111">
        <f t="shared" si="7"/>
        <v>145893.35730984795</v>
      </c>
      <c r="AB24" s="111">
        <f t="shared" si="7"/>
        <v>145893.35730984795</v>
      </c>
      <c r="AC24" s="111">
        <f t="shared" si="7"/>
        <v>145893.35730984795</v>
      </c>
      <c r="AD24" s="111">
        <f t="shared" si="7"/>
        <v>145893.35730984795</v>
      </c>
      <c r="AE24" s="111">
        <f t="shared" si="7"/>
        <v>0</v>
      </c>
      <c r="AF24" s="111">
        <f t="shared" si="7"/>
        <v>291786.71461969591</v>
      </c>
      <c r="AG24" s="111">
        <f t="shared" si="7"/>
        <v>145893.35730984795</v>
      </c>
      <c r="AH24" s="111">
        <f t="shared" si="7"/>
        <v>145893.35730984795</v>
      </c>
      <c r="AI24" s="111">
        <f t="shared" si="7"/>
        <v>145893.35730984795</v>
      </c>
      <c r="AJ24" s="111">
        <f t="shared" si="7"/>
        <v>145893.35730984795</v>
      </c>
      <c r="AK24" s="111">
        <f t="shared" si="7"/>
        <v>145893.35730984795</v>
      </c>
      <c r="AL24" s="111">
        <f t="shared" si="7"/>
        <v>145893.35730984795</v>
      </c>
      <c r="AM24" s="111">
        <f t="shared" si="7"/>
        <v>145893.35730984795</v>
      </c>
      <c r="AN24" s="111">
        <f t="shared" si="7"/>
        <v>145893.35730984795</v>
      </c>
      <c r="AO24" s="111">
        <f t="shared" si="7"/>
        <v>145893.35730984795</v>
      </c>
      <c r="AP24" s="111">
        <f t="shared" si="7"/>
        <v>145893.35730984795</v>
      </c>
      <c r="AQ24" s="111">
        <f t="shared" si="7"/>
        <v>145893.35730984795</v>
      </c>
      <c r="AR24" s="111">
        <f t="shared" si="7"/>
        <v>145893.35730984795</v>
      </c>
      <c r="AS24" s="111">
        <f t="shared" si="7"/>
        <v>0</v>
      </c>
      <c r="AT24" s="111">
        <f t="shared" si="7"/>
        <v>291786.71461969591</v>
      </c>
      <c r="AU24" s="111">
        <f t="shared" si="7"/>
        <v>145893.35730984795</v>
      </c>
      <c r="AV24" s="111">
        <f t="shared" si="7"/>
        <v>145893.35730984795</v>
      </c>
      <c r="AW24" s="111">
        <f t="shared" si="7"/>
        <v>145893.35730984795</v>
      </c>
      <c r="AX24" s="111">
        <f t="shared" si="7"/>
        <v>145893.35730984795</v>
      </c>
      <c r="AY24" s="111">
        <f t="shared" si="7"/>
        <v>145893.35730984795</v>
      </c>
      <c r="AZ24" s="146">
        <f t="shared" si="5"/>
        <v>6567696.5018816674</v>
      </c>
    </row>
    <row r="25" spans="1:52" x14ac:dyDescent="0.2">
      <c r="C25" s="143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11"/>
    </row>
    <row r="26" spans="1:52" x14ac:dyDescent="0.2">
      <c r="A26" s="168" t="s">
        <v>18</v>
      </c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11"/>
      <c r="AB26" s="111"/>
      <c r="AC26" s="111"/>
      <c r="AD26" s="111"/>
      <c r="AE26" s="111"/>
      <c r="AF26" s="111"/>
      <c r="AG26" s="111"/>
      <c r="AH26" s="111"/>
      <c r="AI26" s="111"/>
      <c r="AJ26" s="111"/>
      <c r="AK26" s="111"/>
      <c r="AL26" s="111"/>
      <c r="AM26" s="111"/>
      <c r="AN26" s="111"/>
      <c r="AO26" s="111"/>
      <c r="AP26" s="111"/>
      <c r="AQ26" s="111"/>
      <c r="AR26" s="111"/>
      <c r="AS26" s="111"/>
      <c r="AT26" s="111"/>
      <c r="AU26" s="111"/>
      <c r="AV26" s="111"/>
      <c r="AW26" s="111"/>
      <c r="AX26" s="111"/>
      <c r="AY26" s="111"/>
      <c r="AZ26" s="111"/>
    </row>
    <row r="27" spans="1:52" x14ac:dyDescent="0.2">
      <c r="B27" s="140" t="s">
        <v>309</v>
      </c>
      <c r="C27" s="129">
        <v>26</v>
      </c>
      <c r="D27" s="129">
        <f>C$27-C$28+C$29</f>
        <v>26</v>
      </c>
      <c r="E27" s="129">
        <f t="shared" ref="E27:AY27" si="8">D27-D28+D29</f>
        <v>26</v>
      </c>
      <c r="F27" s="129">
        <f t="shared" si="8"/>
        <v>50</v>
      </c>
      <c r="G27" s="129">
        <f t="shared" si="8"/>
        <v>50</v>
      </c>
      <c r="H27" s="129">
        <f t="shared" si="8"/>
        <v>50</v>
      </c>
      <c r="I27" s="129">
        <f t="shared" si="8"/>
        <v>50</v>
      </c>
      <c r="J27" s="129">
        <f t="shared" si="8"/>
        <v>38</v>
      </c>
      <c r="K27" s="129">
        <f t="shared" si="8"/>
        <v>38</v>
      </c>
      <c r="L27" s="129">
        <f t="shared" si="8"/>
        <v>38</v>
      </c>
      <c r="M27" s="129">
        <f t="shared" si="8"/>
        <v>50</v>
      </c>
      <c r="N27" s="129">
        <f t="shared" si="8"/>
        <v>26</v>
      </c>
      <c r="O27" s="129">
        <f t="shared" si="8"/>
        <v>38</v>
      </c>
      <c r="P27" s="129">
        <f t="shared" si="8"/>
        <v>38</v>
      </c>
      <c r="Q27" s="129">
        <f t="shared" si="8"/>
        <v>38</v>
      </c>
      <c r="R27" s="129">
        <f t="shared" si="8"/>
        <v>38</v>
      </c>
      <c r="S27" s="129">
        <f t="shared" si="8"/>
        <v>38</v>
      </c>
      <c r="T27" s="129">
        <f t="shared" si="8"/>
        <v>38</v>
      </c>
      <c r="U27" s="129">
        <f t="shared" si="8"/>
        <v>38</v>
      </c>
      <c r="V27" s="129">
        <f t="shared" si="8"/>
        <v>38</v>
      </c>
      <c r="W27" s="129">
        <f t="shared" si="8"/>
        <v>38</v>
      </c>
      <c r="X27" s="129">
        <f t="shared" si="8"/>
        <v>38</v>
      </c>
      <c r="Y27" s="129">
        <f t="shared" si="8"/>
        <v>38</v>
      </c>
      <c r="Z27" s="129">
        <f t="shared" si="8"/>
        <v>38</v>
      </c>
      <c r="AA27" s="129">
        <f t="shared" si="8"/>
        <v>38</v>
      </c>
      <c r="AB27" s="129">
        <f t="shared" si="8"/>
        <v>38</v>
      </c>
      <c r="AC27" s="129">
        <f t="shared" si="8"/>
        <v>38</v>
      </c>
      <c r="AD27" s="129">
        <f t="shared" si="8"/>
        <v>38</v>
      </c>
      <c r="AE27" s="129">
        <f t="shared" si="8"/>
        <v>38</v>
      </c>
      <c r="AF27" s="129">
        <f t="shared" si="8"/>
        <v>50</v>
      </c>
      <c r="AG27" s="129">
        <f t="shared" si="8"/>
        <v>26</v>
      </c>
      <c r="AH27" s="129">
        <f t="shared" si="8"/>
        <v>38</v>
      </c>
      <c r="AI27" s="129">
        <f t="shared" si="8"/>
        <v>38</v>
      </c>
      <c r="AJ27" s="129">
        <f t="shared" si="8"/>
        <v>38</v>
      </c>
      <c r="AK27" s="129">
        <f t="shared" si="8"/>
        <v>38</v>
      </c>
      <c r="AL27" s="129">
        <f t="shared" si="8"/>
        <v>38</v>
      </c>
      <c r="AM27" s="129">
        <f t="shared" si="8"/>
        <v>38</v>
      </c>
      <c r="AN27" s="129">
        <f t="shared" si="8"/>
        <v>38</v>
      </c>
      <c r="AO27" s="129">
        <f t="shared" si="8"/>
        <v>38</v>
      </c>
      <c r="AP27" s="129">
        <f t="shared" si="8"/>
        <v>38</v>
      </c>
      <c r="AQ27" s="129">
        <f t="shared" si="8"/>
        <v>38</v>
      </c>
      <c r="AR27" s="129">
        <f t="shared" si="8"/>
        <v>38</v>
      </c>
      <c r="AS27" s="129">
        <f t="shared" si="8"/>
        <v>38</v>
      </c>
      <c r="AT27" s="129">
        <f t="shared" si="8"/>
        <v>50</v>
      </c>
      <c r="AU27" s="129">
        <f t="shared" si="8"/>
        <v>26</v>
      </c>
      <c r="AV27" s="129">
        <f t="shared" si="8"/>
        <v>38</v>
      </c>
      <c r="AW27" s="129">
        <f t="shared" si="8"/>
        <v>38</v>
      </c>
      <c r="AX27" s="129">
        <f t="shared" si="8"/>
        <v>38</v>
      </c>
      <c r="AY27" s="169">
        <f t="shared" si="8"/>
        <v>38</v>
      </c>
      <c r="AZ27" s="111"/>
    </row>
    <row r="28" spans="1:52" x14ac:dyDescent="0.2">
      <c r="B28" s="170" t="s">
        <v>310</v>
      </c>
      <c r="C28" s="115">
        <v>24</v>
      </c>
      <c r="D28" s="115">
        <v>24</v>
      </c>
      <c r="E28" s="115">
        <v>0</v>
      </c>
      <c r="F28" s="115">
        <v>0</v>
      </c>
      <c r="G28" s="115">
        <v>0</v>
      </c>
      <c r="H28" s="115">
        <v>0</v>
      </c>
      <c r="I28" s="115">
        <v>12</v>
      </c>
      <c r="J28" s="115">
        <v>12</v>
      </c>
      <c r="K28" s="115">
        <v>12</v>
      </c>
      <c r="L28" s="115">
        <v>0</v>
      </c>
      <c r="M28" s="115">
        <v>24</v>
      </c>
      <c r="N28" s="115">
        <v>12</v>
      </c>
      <c r="O28" s="115">
        <v>12</v>
      </c>
      <c r="P28" s="115">
        <v>12</v>
      </c>
      <c r="Q28" s="115">
        <v>12</v>
      </c>
      <c r="R28" s="115">
        <v>12</v>
      </c>
      <c r="S28" s="115">
        <v>12</v>
      </c>
      <c r="T28" s="115">
        <v>12</v>
      </c>
      <c r="U28" s="115">
        <v>12</v>
      </c>
      <c r="V28" s="115">
        <v>12</v>
      </c>
      <c r="W28" s="115">
        <v>12</v>
      </c>
      <c r="X28" s="115">
        <v>12</v>
      </c>
      <c r="Y28" s="115">
        <v>12</v>
      </c>
      <c r="Z28" s="115">
        <v>12</v>
      </c>
      <c r="AA28" s="115">
        <v>12</v>
      </c>
      <c r="AB28" s="115">
        <v>12</v>
      </c>
      <c r="AC28" s="115">
        <v>12</v>
      </c>
      <c r="AD28" s="115">
        <v>12</v>
      </c>
      <c r="AE28" s="115">
        <v>0</v>
      </c>
      <c r="AF28" s="115">
        <v>24</v>
      </c>
      <c r="AG28" s="115">
        <v>12</v>
      </c>
      <c r="AH28" s="115">
        <v>12</v>
      </c>
      <c r="AI28" s="115">
        <v>12</v>
      </c>
      <c r="AJ28" s="115">
        <v>12</v>
      </c>
      <c r="AK28" s="115">
        <v>12</v>
      </c>
      <c r="AL28" s="115">
        <v>12</v>
      </c>
      <c r="AM28" s="115">
        <v>12</v>
      </c>
      <c r="AN28" s="115">
        <v>12</v>
      </c>
      <c r="AO28" s="115">
        <v>12</v>
      </c>
      <c r="AP28" s="115">
        <v>12</v>
      </c>
      <c r="AQ28" s="115">
        <v>12</v>
      </c>
      <c r="AR28" s="115">
        <v>12</v>
      </c>
      <c r="AS28" s="115">
        <v>0</v>
      </c>
      <c r="AT28" s="115">
        <v>24</v>
      </c>
      <c r="AU28" s="115">
        <v>12</v>
      </c>
      <c r="AV28" s="115">
        <v>12</v>
      </c>
      <c r="AW28" s="115">
        <v>12</v>
      </c>
      <c r="AX28" s="115">
        <v>12</v>
      </c>
      <c r="AY28" s="171">
        <v>12</v>
      </c>
      <c r="AZ28" s="111"/>
    </row>
    <row r="29" spans="1:52" x14ac:dyDescent="0.2">
      <c r="B29" s="141" t="s">
        <v>311</v>
      </c>
      <c r="C29" s="130">
        <v>24</v>
      </c>
      <c r="D29" s="130">
        <f>C$28</f>
        <v>24</v>
      </c>
      <c r="E29" s="130">
        <f t="shared" ref="E29:AY29" si="9">D$28</f>
        <v>24</v>
      </c>
      <c r="F29" s="130">
        <f t="shared" si="9"/>
        <v>0</v>
      </c>
      <c r="G29" s="130">
        <f t="shared" si="9"/>
        <v>0</v>
      </c>
      <c r="H29" s="130">
        <f t="shared" si="9"/>
        <v>0</v>
      </c>
      <c r="I29" s="130">
        <f t="shared" si="9"/>
        <v>0</v>
      </c>
      <c r="J29" s="130">
        <f t="shared" si="9"/>
        <v>12</v>
      </c>
      <c r="K29" s="130">
        <f t="shared" si="9"/>
        <v>12</v>
      </c>
      <c r="L29" s="130">
        <f t="shared" si="9"/>
        <v>12</v>
      </c>
      <c r="M29" s="130">
        <f t="shared" si="9"/>
        <v>0</v>
      </c>
      <c r="N29" s="130">
        <f t="shared" si="9"/>
        <v>24</v>
      </c>
      <c r="O29" s="130">
        <f t="shared" si="9"/>
        <v>12</v>
      </c>
      <c r="P29" s="130">
        <f t="shared" si="9"/>
        <v>12</v>
      </c>
      <c r="Q29" s="130">
        <f t="shared" si="9"/>
        <v>12</v>
      </c>
      <c r="R29" s="130">
        <f t="shared" si="9"/>
        <v>12</v>
      </c>
      <c r="S29" s="130">
        <f t="shared" si="9"/>
        <v>12</v>
      </c>
      <c r="T29" s="130">
        <f t="shared" si="9"/>
        <v>12</v>
      </c>
      <c r="U29" s="130">
        <f t="shared" si="9"/>
        <v>12</v>
      </c>
      <c r="V29" s="130">
        <f t="shared" si="9"/>
        <v>12</v>
      </c>
      <c r="W29" s="130">
        <f t="shared" si="9"/>
        <v>12</v>
      </c>
      <c r="X29" s="130">
        <f t="shared" si="9"/>
        <v>12</v>
      </c>
      <c r="Y29" s="130">
        <f t="shared" si="9"/>
        <v>12</v>
      </c>
      <c r="Z29" s="130">
        <f t="shared" si="9"/>
        <v>12</v>
      </c>
      <c r="AA29" s="130">
        <f t="shared" si="9"/>
        <v>12</v>
      </c>
      <c r="AB29" s="130">
        <f t="shared" si="9"/>
        <v>12</v>
      </c>
      <c r="AC29" s="130">
        <f t="shared" si="9"/>
        <v>12</v>
      </c>
      <c r="AD29" s="130">
        <f t="shared" si="9"/>
        <v>12</v>
      </c>
      <c r="AE29" s="130">
        <f t="shared" si="9"/>
        <v>12</v>
      </c>
      <c r="AF29" s="130">
        <f t="shared" si="9"/>
        <v>0</v>
      </c>
      <c r="AG29" s="130">
        <f t="shared" si="9"/>
        <v>24</v>
      </c>
      <c r="AH29" s="130">
        <f t="shared" si="9"/>
        <v>12</v>
      </c>
      <c r="AI29" s="130">
        <f t="shared" si="9"/>
        <v>12</v>
      </c>
      <c r="AJ29" s="130">
        <f t="shared" si="9"/>
        <v>12</v>
      </c>
      <c r="AK29" s="130">
        <f t="shared" si="9"/>
        <v>12</v>
      </c>
      <c r="AL29" s="130">
        <f t="shared" si="9"/>
        <v>12</v>
      </c>
      <c r="AM29" s="130">
        <f t="shared" si="9"/>
        <v>12</v>
      </c>
      <c r="AN29" s="130">
        <f t="shared" si="9"/>
        <v>12</v>
      </c>
      <c r="AO29" s="130">
        <f t="shared" si="9"/>
        <v>12</v>
      </c>
      <c r="AP29" s="130">
        <f t="shared" si="9"/>
        <v>12</v>
      </c>
      <c r="AQ29" s="130">
        <f t="shared" si="9"/>
        <v>12</v>
      </c>
      <c r="AR29" s="130">
        <f t="shared" si="9"/>
        <v>12</v>
      </c>
      <c r="AS29" s="130">
        <f t="shared" si="9"/>
        <v>12</v>
      </c>
      <c r="AT29" s="130">
        <f t="shared" si="9"/>
        <v>0</v>
      </c>
      <c r="AU29" s="130">
        <f t="shared" si="9"/>
        <v>24</v>
      </c>
      <c r="AV29" s="130">
        <f t="shared" si="9"/>
        <v>12</v>
      </c>
      <c r="AW29" s="130">
        <f t="shared" si="9"/>
        <v>12</v>
      </c>
      <c r="AX29" s="130">
        <f t="shared" si="9"/>
        <v>12</v>
      </c>
      <c r="AY29" s="172">
        <f t="shared" si="9"/>
        <v>12</v>
      </c>
      <c r="AZ29" s="173"/>
    </row>
    <row r="30" spans="1:52" x14ac:dyDescent="0.2">
      <c r="A30" s="174" t="s">
        <v>312</v>
      </c>
      <c r="B30" s="149">
        <v>10</v>
      </c>
      <c r="C30" s="122" t="s">
        <v>293</v>
      </c>
      <c r="D30" s="122">
        <f>D$27*$B$30</f>
        <v>260</v>
      </c>
      <c r="E30" s="122">
        <f t="shared" ref="E30:AY30" si="10">E$27*$B$30</f>
        <v>260</v>
      </c>
      <c r="F30" s="122">
        <f t="shared" si="10"/>
        <v>500</v>
      </c>
      <c r="G30" s="122">
        <f t="shared" si="10"/>
        <v>500</v>
      </c>
      <c r="H30" s="122">
        <f t="shared" si="10"/>
        <v>500</v>
      </c>
      <c r="I30" s="122">
        <f t="shared" si="10"/>
        <v>500</v>
      </c>
      <c r="J30" s="122">
        <f t="shared" si="10"/>
        <v>380</v>
      </c>
      <c r="K30" s="122">
        <f t="shared" si="10"/>
        <v>380</v>
      </c>
      <c r="L30" s="122">
        <f t="shared" si="10"/>
        <v>380</v>
      </c>
      <c r="M30" s="122">
        <f t="shared" si="10"/>
        <v>500</v>
      </c>
      <c r="N30" s="122">
        <f t="shared" si="10"/>
        <v>260</v>
      </c>
      <c r="O30" s="122">
        <f t="shared" si="10"/>
        <v>380</v>
      </c>
      <c r="P30" s="122">
        <f t="shared" si="10"/>
        <v>380</v>
      </c>
      <c r="Q30" s="122">
        <f t="shared" si="10"/>
        <v>380</v>
      </c>
      <c r="R30" s="122">
        <f>R$27*$B$30</f>
        <v>380</v>
      </c>
      <c r="S30" s="122">
        <f t="shared" si="10"/>
        <v>380</v>
      </c>
      <c r="T30" s="122">
        <f t="shared" si="10"/>
        <v>380</v>
      </c>
      <c r="U30" s="122">
        <f t="shared" si="10"/>
        <v>380</v>
      </c>
      <c r="V30" s="122">
        <f t="shared" si="10"/>
        <v>380</v>
      </c>
      <c r="W30" s="122">
        <f t="shared" si="10"/>
        <v>380</v>
      </c>
      <c r="X30" s="122">
        <f t="shared" si="10"/>
        <v>380</v>
      </c>
      <c r="Y30" s="122">
        <f t="shared" si="10"/>
        <v>380</v>
      </c>
      <c r="Z30" s="122">
        <f t="shared" si="10"/>
        <v>380</v>
      </c>
      <c r="AA30" s="122">
        <f t="shared" si="10"/>
        <v>380</v>
      </c>
      <c r="AB30" s="122">
        <f t="shared" si="10"/>
        <v>380</v>
      </c>
      <c r="AC30" s="122">
        <f t="shared" si="10"/>
        <v>380</v>
      </c>
      <c r="AD30" s="122">
        <f t="shared" si="10"/>
        <v>380</v>
      </c>
      <c r="AE30" s="122">
        <f>AE$27*$B$30</f>
        <v>380</v>
      </c>
      <c r="AF30" s="122">
        <f t="shared" si="10"/>
        <v>500</v>
      </c>
      <c r="AG30" s="122">
        <f t="shared" si="10"/>
        <v>260</v>
      </c>
      <c r="AH30" s="122">
        <f t="shared" si="10"/>
        <v>380</v>
      </c>
      <c r="AI30" s="122">
        <f t="shared" si="10"/>
        <v>380</v>
      </c>
      <c r="AJ30" s="122">
        <f t="shared" si="10"/>
        <v>380</v>
      </c>
      <c r="AK30" s="122">
        <f t="shared" si="10"/>
        <v>380</v>
      </c>
      <c r="AL30" s="122">
        <f t="shared" si="10"/>
        <v>380</v>
      </c>
      <c r="AM30" s="122">
        <f t="shared" si="10"/>
        <v>380</v>
      </c>
      <c r="AN30" s="122">
        <f t="shared" si="10"/>
        <v>380</v>
      </c>
      <c r="AO30" s="122">
        <f t="shared" si="10"/>
        <v>380</v>
      </c>
      <c r="AP30" s="122">
        <f t="shared" si="10"/>
        <v>380</v>
      </c>
      <c r="AQ30" s="122">
        <f t="shared" si="10"/>
        <v>380</v>
      </c>
      <c r="AR30" s="122">
        <f t="shared" si="10"/>
        <v>380</v>
      </c>
      <c r="AS30" s="122">
        <f t="shared" si="10"/>
        <v>380</v>
      </c>
      <c r="AT30" s="122">
        <f t="shared" si="10"/>
        <v>500</v>
      </c>
      <c r="AU30" s="122">
        <f t="shared" si="10"/>
        <v>260</v>
      </c>
      <c r="AV30" s="122">
        <f t="shared" si="10"/>
        <v>380</v>
      </c>
      <c r="AW30" s="122">
        <f t="shared" si="10"/>
        <v>380</v>
      </c>
      <c r="AX30" s="122">
        <f t="shared" si="10"/>
        <v>380</v>
      </c>
      <c r="AY30" s="122">
        <f t="shared" si="10"/>
        <v>380</v>
      </c>
      <c r="AZ30" s="146">
        <f t="shared" si="5"/>
        <v>18480</v>
      </c>
    </row>
    <row r="32" spans="1:52" x14ac:dyDescent="0.2">
      <c r="A32" s="107" t="s">
        <v>300</v>
      </c>
    </row>
    <row r="33" spans="1:52" x14ac:dyDescent="0.2">
      <c r="A33" s="140" t="s">
        <v>34</v>
      </c>
      <c r="B33" s="140" t="s">
        <v>342</v>
      </c>
      <c r="C33" s="129"/>
      <c r="D33" s="129">
        <f>D$21*shipping_manufacturing!$F$27/100</f>
        <v>0</v>
      </c>
      <c r="E33" s="129">
        <f>E$21*shipping_manufacturing!$F$27/100</f>
        <v>0</v>
      </c>
      <c r="F33" s="129">
        <f>F$21*shipping_manufacturing!$F$27/100</f>
        <v>0</v>
      </c>
      <c r="G33" s="129">
        <f>G$21*shipping_manufacturing!$F$27/100</f>
        <v>0</v>
      </c>
      <c r="H33" s="129">
        <f>H$21*shipping_manufacturing!$F$27/100</f>
        <v>0</v>
      </c>
      <c r="I33" s="129">
        <f>I$21*shipping_manufacturing!$F$27/100</f>
        <v>0</v>
      </c>
      <c r="J33" s="129">
        <f>J$21*shipping_manufacturing!$F$27/100</f>
        <v>0</v>
      </c>
      <c r="K33" s="129">
        <f>K$21*shipping_manufacturing!$F$27/100</f>
        <v>0</v>
      </c>
      <c r="L33" s="129">
        <f>L$21*shipping_manufacturing!$F$27/100</f>
        <v>0</v>
      </c>
      <c r="M33" s="129">
        <f>M$21*shipping_manufacturing!$F$27/100</f>
        <v>0</v>
      </c>
      <c r="N33" s="129">
        <f>N$21*shipping_manufacturing!$F$27/100</f>
        <v>0</v>
      </c>
      <c r="O33" s="129">
        <f>O$21*shipping_manufacturing!$F$27/100</f>
        <v>0</v>
      </c>
      <c r="P33" s="129">
        <f>P$21*shipping_manufacturing!$F$27/100</f>
        <v>0</v>
      </c>
      <c r="Q33" s="129">
        <f>Q$21*shipping_manufacturing!$F$27/100</f>
        <v>0</v>
      </c>
      <c r="R33" s="129">
        <f>R$21*shipping_manufacturing!$F$27/100</f>
        <v>0</v>
      </c>
      <c r="S33" s="129">
        <f>S$21*shipping_manufacturing!$F$27/100</f>
        <v>0</v>
      </c>
      <c r="T33" s="129">
        <f>T$21*shipping_manufacturing!$F$27/100</f>
        <v>0</v>
      </c>
      <c r="U33" s="129">
        <f>U$21*shipping_manufacturing!$F$27/100</f>
        <v>0</v>
      </c>
      <c r="V33" s="129">
        <f>V$21*shipping_manufacturing!$F$27/100</f>
        <v>0</v>
      </c>
      <c r="W33" s="129">
        <f>W$21*shipping_manufacturing!$F$27/100</f>
        <v>0</v>
      </c>
      <c r="X33" s="129">
        <f>X$21*shipping_manufacturing!$F$27/100</f>
        <v>0</v>
      </c>
      <c r="Y33" s="129">
        <f>Y$21*shipping_manufacturing!$F$27/100</f>
        <v>0</v>
      </c>
      <c r="Z33" s="129">
        <f>Z$21*shipping_manufacturing!$F$27/100</f>
        <v>0</v>
      </c>
      <c r="AA33" s="129">
        <f>AA$21*shipping_manufacturing!$F$27/100</f>
        <v>0</v>
      </c>
      <c r="AB33" s="129">
        <f>AB$21*shipping_manufacturing!$F$27/100</f>
        <v>0</v>
      </c>
      <c r="AC33" s="129">
        <f>AC$21*shipping_manufacturing!$F$27/100</f>
        <v>0</v>
      </c>
      <c r="AD33" s="129">
        <f>AD$21*shipping_manufacturing!$F$27/100</f>
        <v>0</v>
      </c>
      <c r="AE33" s="129">
        <f>AE$21*shipping_manufacturing!$F$27/100</f>
        <v>0</v>
      </c>
      <c r="AF33" s="129">
        <f>AF$21*shipping_manufacturing!$F$27/100</f>
        <v>0</v>
      </c>
      <c r="AG33" s="129">
        <f>AG$21*shipping_manufacturing!$F$27/100</f>
        <v>0</v>
      </c>
      <c r="AH33" s="129">
        <f>AH$21*shipping_manufacturing!$F$27/100</f>
        <v>0</v>
      </c>
      <c r="AI33" s="129">
        <f>AI$21*shipping_manufacturing!$F$27/100</f>
        <v>0</v>
      </c>
      <c r="AJ33" s="129">
        <f>AJ$21*shipping_manufacturing!$F$27/100</f>
        <v>0</v>
      </c>
      <c r="AK33" s="129">
        <f>AK$21*shipping_manufacturing!$F$27/100</f>
        <v>0</v>
      </c>
      <c r="AL33" s="129">
        <f>AL$21*shipping_manufacturing!$F$27/100</f>
        <v>0</v>
      </c>
      <c r="AM33" s="129">
        <f>AM$21*shipping_manufacturing!$F$27/100</f>
        <v>0</v>
      </c>
      <c r="AN33" s="129">
        <f>AN$21*shipping_manufacturing!$F$27/100</f>
        <v>0</v>
      </c>
      <c r="AO33" s="129">
        <f>AO$21*shipping_manufacturing!$F$27/100</f>
        <v>0</v>
      </c>
      <c r="AP33" s="129">
        <f>AP$21*shipping_manufacturing!$F$27/100</f>
        <v>0</v>
      </c>
      <c r="AQ33" s="129">
        <f>AQ$21*shipping_manufacturing!$F$27/100</f>
        <v>0</v>
      </c>
      <c r="AR33" s="129">
        <f>AR$21*shipping_manufacturing!$F$27/100</f>
        <v>0</v>
      </c>
      <c r="AS33" s="129">
        <f>AS$21*shipping_manufacturing!$F$27/100</f>
        <v>0</v>
      </c>
      <c r="AT33" s="129">
        <f>AT$21*shipping_manufacturing!$F$27/100</f>
        <v>0</v>
      </c>
      <c r="AU33" s="129">
        <f>AU$21*shipping_manufacturing!$F$27/100</f>
        <v>0</v>
      </c>
      <c r="AV33" s="129">
        <f>AV$21*shipping_manufacturing!$F$27/100</f>
        <v>0</v>
      </c>
      <c r="AW33" s="129">
        <f>AW$21*shipping_manufacturing!$F$27/100</f>
        <v>0</v>
      </c>
      <c r="AX33" s="129">
        <f>AX$21*shipping_manufacturing!$F$27/100</f>
        <v>0</v>
      </c>
      <c r="AY33" s="129">
        <f>AY$21*shipping_manufacturing!$F$27/100</f>
        <v>0</v>
      </c>
    </row>
    <row r="34" spans="1:52" x14ac:dyDescent="0.2">
      <c r="A34" s="118" t="s">
        <v>341</v>
      </c>
      <c r="B34" s="170" t="s">
        <v>343</v>
      </c>
      <c r="C34" s="115"/>
      <c r="D34" s="115">
        <f>D$22*shipping_manufacturing!$G$27/100</f>
        <v>0</v>
      </c>
      <c r="E34" s="115">
        <f>E$22*shipping_manufacturing!$G$27/100</f>
        <v>0</v>
      </c>
      <c r="F34" s="115">
        <f>F$22*shipping_manufacturing!$G$27/100</f>
        <v>0</v>
      </c>
      <c r="G34" s="115">
        <f>G$22*shipping_manufacturing!$G$27/100</f>
        <v>0</v>
      </c>
      <c r="H34" s="115">
        <f>H$22*shipping_manufacturing!$G$27/100</f>
        <v>0</v>
      </c>
      <c r="I34" s="115">
        <f>I$22*shipping_manufacturing!$G$27/100</f>
        <v>0</v>
      </c>
      <c r="J34" s="115">
        <f>J$22*shipping_manufacturing!$G$27/100</f>
        <v>0</v>
      </c>
      <c r="K34" s="115">
        <f>K$22*shipping_manufacturing!$G$27/100</f>
        <v>0</v>
      </c>
      <c r="L34" s="115">
        <f>L$22*shipping_manufacturing!$G$27/100</f>
        <v>0</v>
      </c>
      <c r="M34" s="115">
        <f>M$22*shipping_manufacturing!$G$27/100</f>
        <v>0</v>
      </c>
      <c r="N34" s="115">
        <f>N$22*shipping_manufacturing!$G$27/100</f>
        <v>0</v>
      </c>
      <c r="O34" s="115">
        <f>O$22*shipping_manufacturing!$G$27/100</f>
        <v>0</v>
      </c>
      <c r="P34" s="115">
        <f>P$22*shipping_manufacturing!$G$27/100</f>
        <v>0</v>
      </c>
      <c r="Q34" s="115">
        <f>Q$22*shipping_manufacturing!$G$27/100</f>
        <v>0</v>
      </c>
      <c r="R34" s="115">
        <f>R$22*shipping_manufacturing!$G$27/100</f>
        <v>0</v>
      </c>
      <c r="S34" s="115">
        <f>S$22*shipping_manufacturing!$G$27/100</f>
        <v>0</v>
      </c>
      <c r="T34" s="115">
        <f>T$22*shipping_manufacturing!$G$27/100</f>
        <v>0</v>
      </c>
      <c r="U34" s="115">
        <f>U$22*shipping_manufacturing!$G$27/100</f>
        <v>0</v>
      </c>
      <c r="V34" s="115">
        <f>V$22*shipping_manufacturing!$G$27/100</f>
        <v>0</v>
      </c>
      <c r="W34" s="115">
        <f>W$22*shipping_manufacturing!$G$27/100</f>
        <v>0</v>
      </c>
      <c r="X34" s="115">
        <f>X$22*shipping_manufacturing!$G$27/100</f>
        <v>0</v>
      </c>
      <c r="Y34" s="115">
        <f>Y$22*shipping_manufacturing!$G$27/100</f>
        <v>0</v>
      </c>
      <c r="Z34" s="115">
        <f>Z$22*shipping_manufacturing!$G$27/100</f>
        <v>0</v>
      </c>
      <c r="AA34" s="115">
        <f>AA$22*shipping_manufacturing!$G$27/100</f>
        <v>0</v>
      </c>
      <c r="AB34" s="115">
        <f>AB$22*shipping_manufacturing!$G$27/100</f>
        <v>0</v>
      </c>
      <c r="AC34" s="115">
        <f>AC$22*shipping_manufacturing!$G$27/100</f>
        <v>0</v>
      </c>
      <c r="AD34" s="115">
        <f>AD$22*shipping_manufacturing!$G$27/100</f>
        <v>0</v>
      </c>
      <c r="AE34" s="115">
        <f>AE$22*shipping_manufacturing!$G$27/100</f>
        <v>0</v>
      </c>
      <c r="AF34" s="115">
        <f>AF$22*shipping_manufacturing!$G$27/100</f>
        <v>0</v>
      </c>
      <c r="AG34" s="115">
        <f>AG$22*shipping_manufacturing!$G$27/100</f>
        <v>0</v>
      </c>
      <c r="AH34" s="115">
        <f>AH$22*shipping_manufacturing!$G$27/100</f>
        <v>0</v>
      </c>
      <c r="AI34" s="115">
        <f>AI$22*shipping_manufacturing!$G$27/100</f>
        <v>0</v>
      </c>
      <c r="AJ34" s="115">
        <f>AJ$22*shipping_manufacturing!$G$27/100</f>
        <v>0</v>
      </c>
      <c r="AK34" s="115">
        <f>AK$22*shipping_manufacturing!$G$27/100</f>
        <v>0</v>
      </c>
      <c r="AL34" s="115">
        <f>AL$22*shipping_manufacturing!$G$27/100</f>
        <v>0</v>
      </c>
      <c r="AM34" s="115">
        <f>AM$22*shipping_manufacturing!$G$27/100</f>
        <v>0</v>
      </c>
      <c r="AN34" s="115">
        <f>AN$22*shipping_manufacturing!$G$27/100</f>
        <v>0</v>
      </c>
      <c r="AO34" s="115">
        <f>AO$22*shipping_manufacturing!$G$27/100</f>
        <v>0</v>
      </c>
      <c r="AP34" s="115">
        <f>AP$22*shipping_manufacturing!$G$27/100</f>
        <v>0</v>
      </c>
      <c r="AQ34" s="115">
        <f>AQ$22*shipping_manufacturing!$G$27/100</f>
        <v>0</v>
      </c>
      <c r="AR34" s="115">
        <f>AR$22*shipping_manufacturing!$G$27/100</f>
        <v>0</v>
      </c>
      <c r="AS34" s="115">
        <f>AS$22*shipping_manufacturing!$G$27/100</f>
        <v>0</v>
      </c>
      <c r="AT34" s="115">
        <f>AT$22*shipping_manufacturing!$G$27/100</f>
        <v>0</v>
      </c>
      <c r="AU34" s="115">
        <f>AU$22*shipping_manufacturing!$G$27/100</f>
        <v>0</v>
      </c>
      <c r="AV34" s="115">
        <f>AV$22*shipping_manufacturing!$G$27/100</f>
        <v>0</v>
      </c>
      <c r="AW34" s="115">
        <f>AW$22*shipping_manufacturing!$G$27/100</f>
        <v>0</v>
      </c>
      <c r="AX34" s="115">
        <f>AX$22*shipping_manufacturing!$G$27/100</f>
        <v>0</v>
      </c>
      <c r="AY34" s="115">
        <f>AY$22*shipping_manufacturing!$G$27/100</f>
        <v>0</v>
      </c>
    </row>
    <row r="35" spans="1:52" x14ac:dyDescent="0.2">
      <c r="A35" s="115">
        <v>1188</v>
      </c>
      <c r="B35" s="170" t="s">
        <v>344</v>
      </c>
      <c r="C35" s="115"/>
      <c r="D35" s="115">
        <f>SUM(D33:D34)</f>
        <v>0</v>
      </c>
      <c r="E35" s="115">
        <f t="shared" ref="E35:AY35" si="11">SUM(E33:E34)</f>
        <v>0</v>
      </c>
      <c r="F35" s="115">
        <f t="shared" si="11"/>
        <v>0</v>
      </c>
      <c r="G35" s="115">
        <f t="shared" si="11"/>
        <v>0</v>
      </c>
      <c r="H35" s="115">
        <f t="shared" si="11"/>
        <v>0</v>
      </c>
      <c r="I35" s="115">
        <f t="shared" si="11"/>
        <v>0</v>
      </c>
      <c r="J35" s="115">
        <f t="shared" si="11"/>
        <v>0</v>
      </c>
      <c r="K35" s="115">
        <f t="shared" si="11"/>
        <v>0</v>
      </c>
      <c r="L35" s="115">
        <f t="shared" si="11"/>
        <v>0</v>
      </c>
      <c r="M35" s="115">
        <f t="shared" si="11"/>
        <v>0</v>
      </c>
      <c r="N35" s="115">
        <f t="shared" si="11"/>
        <v>0</v>
      </c>
      <c r="O35" s="115">
        <f t="shared" si="11"/>
        <v>0</v>
      </c>
      <c r="P35" s="115">
        <f t="shared" si="11"/>
        <v>0</v>
      </c>
      <c r="Q35" s="115">
        <f t="shared" si="11"/>
        <v>0</v>
      </c>
      <c r="R35" s="115">
        <f t="shared" si="11"/>
        <v>0</v>
      </c>
      <c r="S35" s="115">
        <f t="shared" si="11"/>
        <v>0</v>
      </c>
      <c r="T35" s="115">
        <f t="shared" si="11"/>
        <v>0</v>
      </c>
      <c r="U35" s="115">
        <f t="shared" si="11"/>
        <v>0</v>
      </c>
      <c r="V35" s="115">
        <f t="shared" si="11"/>
        <v>0</v>
      </c>
      <c r="W35" s="115">
        <f t="shared" si="11"/>
        <v>0</v>
      </c>
      <c r="X35" s="115">
        <f t="shared" si="11"/>
        <v>0</v>
      </c>
      <c r="Y35" s="115">
        <f t="shared" si="11"/>
        <v>0</v>
      </c>
      <c r="Z35" s="115">
        <f t="shared" si="11"/>
        <v>0</v>
      </c>
      <c r="AA35" s="115">
        <f t="shared" si="11"/>
        <v>0</v>
      </c>
      <c r="AB35" s="115">
        <f t="shared" si="11"/>
        <v>0</v>
      </c>
      <c r="AC35" s="115">
        <f t="shared" si="11"/>
        <v>0</v>
      </c>
      <c r="AD35" s="115">
        <f t="shared" si="11"/>
        <v>0</v>
      </c>
      <c r="AE35" s="115">
        <f t="shared" si="11"/>
        <v>0</v>
      </c>
      <c r="AF35" s="115">
        <f t="shared" si="11"/>
        <v>0</v>
      </c>
      <c r="AG35" s="115">
        <f t="shared" si="11"/>
        <v>0</v>
      </c>
      <c r="AH35" s="115">
        <f t="shared" si="11"/>
        <v>0</v>
      </c>
      <c r="AI35" s="115">
        <f t="shared" si="11"/>
        <v>0</v>
      </c>
      <c r="AJ35" s="115">
        <f t="shared" si="11"/>
        <v>0</v>
      </c>
      <c r="AK35" s="115">
        <f t="shared" si="11"/>
        <v>0</v>
      </c>
      <c r="AL35" s="115">
        <f t="shared" si="11"/>
        <v>0</v>
      </c>
      <c r="AM35" s="115">
        <f t="shared" si="11"/>
        <v>0</v>
      </c>
      <c r="AN35" s="115">
        <f t="shared" si="11"/>
        <v>0</v>
      </c>
      <c r="AO35" s="115">
        <f t="shared" si="11"/>
        <v>0</v>
      </c>
      <c r="AP35" s="115">
        <f t="shared" si="11"/>
        <v>0</v>
      </c>
      <c r="AQ35" s="115">
        <f t="shared" si="11"/>
        <v>0</v>
      </c>
      <c r="AR35" s="115">
        <f t="shared" si="11"/>
        <v>0</v>
      </c>
      <c r="AS35" s="115">
        <f t="shared" si="11"/>
        <v>0</v>
      </c>
      <c r="AT35" s="115">
        <f t="shared" si="11"/>
        <v>0</v>
      </c>
      <c r="AU35" s="115">
        <f t="shared" si="11"/>
        <v>0</v>
      </c>
      <c r="AV35" s="115">
        <f t="shared" si="11"/>
        <v>0</v>
      </c>
      <c r="AW35" s="115">
        <f t="shared" si="11"/>
        <v>0</v>
      </c>
      <c r="AX35" s="115">
        <f t="shared" si="11"/>
        <v>0</v>
      </c>
      <c r="AY35" s="115">
        <f t="shared" si="11"/>
        <v>0</v>
      </c>
    </row>
    <row r="36" spans="1:52" x14ac:dyDescent="0.2">
      <c r="A36" s="115"/>
      <c r="B36" s="170" t="s">
        <v>345</v>
      </c>
      <c r="C36" s="115"/>
      <c r="D36" s="115"/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  <c r="AA36" s="115"/>
      <c r="AB36" s="115"/>
      <c r="AC36" s="115"/>
      <c r="AD36" s="115"/>
      <c r="AE36" s="115"/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</row>
    <row r="37" spans="1:52" x14ac:dyDescent="0.2">
      <c r="A37" s="115"/>
      <c r="B37" s="170" t="s">
        <v>346</v>
      </c>
      <c r="C37" s="115"/>
      <c r="D37" s="115"/>
      <c r="E37" s="115"/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  <c r="AA37" s="115"/>
      <c r="AB37" s="115"/>
      <c r="AC37" s="115"/>
      <c r="AD37" s="115"/>
      <c r="AE37" s="115"/>
      <c r="AF37" s="115"/>
      <c r="AG37" s="115"/>
      <c r="AH37" s="115"/>
      <c r="AI37" s="115"/>
      <c r="AJ37" s="115"/>
      <c r="AK37" s="115"/>
      <c r="AL37" s="115"/>
      <c r="AM37" s="115"/>
      <c r="AN37" s="115"/>
      <c r="AO37" s="115"/>
      <c r="AP37" s="115"/>
      <c r="AQ37" s="115"/>
      <c r="AR37" s="115"/>
      <c r="AS37" s="115"/>
      <c r="AT37" s="115"/>
      <c r="AU37" s="115"/>
      <c r="AV37" s="115"/>
      <c r="AW37" s="115"/>
      <c r="AX37" s="115"/>
      <c r="AY37" s="115"/>
    </row>
    <row r="38" spans="1:52" x14ac:dyDescent="0.2">
      <c r="A38" s="115"/>
      <c r="B38" s="170" t="s">
        <v>347</v>
      </c>
      <c r="C38" s="115"/>
      <c r="D38" s="115"/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  <c r="AH38" s="115"/>
      <c r="AI38" s="115"/>
      <c r="AJ38" s="115"/>
      <c r="AK38" s="115"/>
      <c r="AL38" s="115"/>
      <c r="AM38" s="115"/>
      <c r="AN38" s="115"/>
      <c r="AO38" s="115"/>
      <c r="AP38" s="115"/>
      <c r="AQ38" s="115"/>
      <c r="AR38" s="115"/>
      <c r="AS38" s="115"/>
      <c r="AT38" s="115"/>
      <c r="AU38" s="115"/>
      <c r="AV38" s="115"/>
      <c r="AW38" s="115"/>
      <c r="AX38" s="115"/>
      <c r="AY38" s="115"/>
    </row>
    <row r="39" spans="1:52" x14ac:dyDescent="0.2">
      <c r="A39" s="115"/>
      <c r="B39" s="170" t="s">
        <v>348</v>
      </c>
      <c r="C39" s="115"/>
      <c r="D39" s="115">
        <f>D33-D36</f>
        <v>0</v>
      </c>
      <c r="E39" s="115">
        <f t="shared" ref="E39:AY39" si="12">E33-E36</f>
        <v>0</v>
      </c>
      <c r="F39" s="115">
        <f t="shared" si="12"/>
        <v>0</v>
      </c>
      <c r="G39" s="115">
        <f t="shared" si="12"/>
        <v>0</v>
      </c>
      <c r="H39" s="115">
        <f t="shared" si="12"/>
        <v>0</v>
      </c>
      <c r="I39" s="115">
        <f t="shared" si="12"/>
        <v>0</v>
      </c>
      <c r="J39" s="115">
        <f t="shared" si="12"/>
        <v>0</v>
      </c>
      <c r="K39" s="115">
        <f t="shared" si="12"/>
        <v>0</v>
      </c>
      <c r="L39" s="115">
        <f t="shared" si="12"/>
        <v>0</v>
      </c>
      <c r="M39" s="115">
        <f t="shared" si="12"/>
        <v>0</v>
      </c>
      <c r="N39" s="115">
        <f t="shared" si="12"/>
        <v>0</v>
      </c>
      <c r="O39" s="115">
        <f t="shared" si="12"/>
        <v>0</v>
      </c>
      <c r="P39" s="115">
        <f t="shared" si="12"/>
        <v>0</v>
      </c>
      <c r="Q39" s="115">
        <f t="shared" si="12"/>
        <v>0</v>
      </c>
      <c r="R39" s="115">
        <f t="shared" si="12"/>
        <v>0</v>
      </c>
      <c r="S39" s="115">
        <f t="shared" si="12"/>
        <v>0</v>
      </c>
      <c r="T39" s="115">
        <f t="shared" si="12"/>
        <v>0</v>
      </c>
      <c r="U39" s="115">
        <f t="shared" si="12"/>
        <v>0</v>
      </c>
      <c r="V39" s="115">
        <f t="shared" si="12"/>
        <v>0</v>
      </c>
      <c r="W39" s="115">
        <f t="shared" si="12"/>
        <v>0</v>
      </c>
      <c r="X39" s="115">
        <f t="shared" si="12"/>
        <v>0</v>
      </c>
      <c r="Y39" s="115">
        <f t="shared" si="12"/>
        <v>0</v>
      </c>
      <c r="Z39" s="115">
        <f t="shared" si="12"/>
        <v>0</v>
      </c>
      <c r="AA39" s="115">
        <f t="shared" si="12"/>
        <v>0</v>
      </c>
      <c r="AB39" s="115">
        <f t="shared" si="12"/>
        <v>0</v>
      </c>
      <c r="AC39" s="115">
        <f t="shared" si="12"/>
        <v>0</v>
      </c>
      <c r="AD39" s="115">
        <f t="shared" si="12"/>
        <v>0</v>
      </c>
      <c r="AE39" s="115">
        <f t="shared" si="12"/>
        <v>0</v>
      </c>
      <c r="AF39" s="115">
        <f t="shared" si="12"/>
        <v>0</v>
      </c>
      <c r="AG39" s="115">
        <f t="shared" si="12"/>
        <v>0</v>
      </c>
      <c r="AH39" s="115">
        <f t="shared" si="12"/>
        <v>0</v>
      </c>
      <c r="AI39" s="115">
        <f t="shared" si="12"/>
        <v>0</v>
      </c>
      <c r="AJ39" s="115">
        <f t="shared" si="12"/>
        <v>0</v>
      </c>
      <c r="AK39" s="115">
        <f t="shared" si="12"/>
        <v>0</v>
      </c>
      <c r="AL39" s="115">
        <f t="shared" si="12"/>
        <v>0</v>
      </c>
      <c r="AM39" s="115">
        <f t="shared" si="12"/>
        <v>0</v>
      </c>
      <c r="AN39" s="115">
        <f t="shared" si="12"/>
        <v>0</v>
      </c>
      <c r="AO39" s="115">
        <f t="shared" si="12"/>
        <v>0</v>
      </c>
      <c r="AP39" s="115">
        <f t="shared" si="12"/>
        <v>0</v>
      </c>
      <c r="AQ39" s="115">
        <f t="shared" si="12"/>
        <v>0</v>
      </c>
      <c r="AR39" s="115">
        <f t="shared" si="12"/>
        <v>0</v>
      </c>
      <c r="AS39" s="115">
        <f t="shared" si="12"/>
        <v>0</v>
      </c>
      <c r="AT39" s="115">
        <f t="shared" si="12"/>
        <v>0</v>
      </c>
      <c r="AU39" s="115">
        <f t="shared" si="12"/>
        <v>0</v>
      </c>
      <c r="AV39" s="115">
        <f t="shared" si="12"/>
        <v>0</v>
      </c>
      <c r="AW39" s="115">
        <f t="shared" si="12"/>
        <v>0</v>
      </c>
      <c r="AX39" s="115">
        <f t="shared" si="12"/>
        <v>0</v>
      </c>
      <c r="AY39" s="115">
        <f t="shared" si="12"/>
        <v>0</v>
      </c>
    </row>
    <row r="40" spans="1:52" x14ac:dyDescent="0.2">
      <c r="A40" s="115"/>
      <c r="B40" s="170" t="s">
        <v>349</v>
      </c>
      <c r="C40" s="115"/>
      <c r="D40" s="115">
        <f>D34-D37</f>
        <v>0</v>
      </c>
      <c r="E40" s="115">
        <f t="shared" ref="E40:AY40" si="13">E34-E37</f>
        <v>0</v>
      </c>
      <c r="F40" s="115">
        <f t="shared" si="13"/>
        <v>0</v>
      </c>
      <c r="G40" s="115">
        <f t="shared" si="13"/>
        <v>0</v>
      </c>
      <c r="H40" s="115">
        <f t="shared" si="13"/>
        <v>0</v>
      </c>
      <c r="I40" s="115">
        <f t="shared" si="13"/>
        <v>0</v>
      </c>
      <c r="J40" s="115">
        <f t="shared" si="13"/>
        <v>0</v>
      </c>
      <c r="K40" s="115">
        <f t="shared" si="13"/>
        <v>0</v>
      </c>
      <c r="L40" s="115">
        <f t="shared" si="13"/>
        <v>0</v>
      </c>
      <c r="M40" s="115">
        <f t="shared" si="13"/>
        <v>0</v>
      </c>
      <c r="N40" s="115">
        <f t="shared" si="13"/>
        <v>0</v>
      </c>
      <c r="O40" s="115">
        <f t="shared" si="13"/>
        <v>0</v>
      </c>
      <c r="P40" s="115">
        <f t="shared" si="13"/>
        <v>0</v>
      </c>
      <c r="Q40" s="115">
        <f t="shared" si="13"/>
        <v>0</v>
      </c>
      <c r="R40" s="115">
        <f t="shared" si="13"/>
        <v>0</v>
      </c>
      <c r="S40" s="115">
        <f t="shared" si="13"/>
        <v>0</v>
      </c>
      <c r="T40" s="115">
        <f t="shared" si="13"/>
        <v>0</v>
      </c>
      <c r="U40" s="115">
        <f t="shared" si="13"/>
        <v>0</v>
      </c>
      <c r="V40" s="115">
        <f t="shared" si="13"/>
        <v>0</v>
      </c>
      <c r="W40" s="115">
        <f t="shared" si="13"/>
        <v>0</v>
      </c>
      <c r="X40" s="115">
        <f t="shared" si="13"/>
        <v>0</v>
      </c>
      <c r="Y40" s="115">
        <f t="shared" si="13"/>
        <v>0</v>
      </c>
      <c r="Z40" s="115">
        <f t="shared" si="13"/>
        <v>0</v>
      </c>
      <c r="AA40" s="115">
        <f t="shared" si="13"/>
        <v>0</v>
      </c>
      <c r="AB40" s="115">
        <f t="shared" si="13"/>
        <v>0</v>
      </c>
      <c r="AC40" s="115">
        <f t="shared" si="13"/>
        <v>0</v>
      </c>
      <c r="AD40" s="115">
        <f t="shared" si="13"/>
        <v>0</v>
      </c>
      <c r="AE40" s="115">
        <f t="shared" si="13"/>
        <v>0</v>
      </c>
      <c r="AF40" s="115">
        <f t="shared" si="13"/>
        <v>0</v>
      </c>
      <c r="AG40" s="115">
        <f t="shared" si="13"/>
        <v>0</v>
      </c>
      <c r="AH40" s="115">
        <f t="shared" si="13"/>
        <v>0</v>
      </c>
      <c r="AI40" s="115">
        <f t="shared" si="13"/>
        <v>0</v>
      </c>
      <c r="AJ40" s="115">
        <f t="shared" si="13"/>
        <v>0</v>
      </c>
      <c r="AK40" s="115">
        <f t="shared" si="13"/>
        <v>0</v>
      </c>
      <c r="AL40" s="115">
        <f t="shared" si="13"/>
        <v>0</v>
      </c>
      <c r="AM40" s="115">
        <f t="shared" si="13"/>
        <v>0</v>
      </c>
      <c r="AN40" s="115">
        <f t="shared" si="13"/>
        <v>0</v>
      </c>
      <c r="AO40" s="115">
        <f t="shared" si="13"/>
        <v>0</v>
      </c>
      <c r="AP40" s="115">
        <f t="shared" si="13"/>
        <v>0</v>
      </c>
      <c r="AQ40" s="115">
        <f t="shared" si="13"/>
        <v>0</v>
      </c>
      <c r="AR40" s="115">
        <f t="shared" si="13"/>
        <v>0</v>
      </c>
      <c r="AS40" s="115">
        <f t="shared" si="13"/>
        <v>0</v>
      </c>
      <c r="AT40" s="115">
        <f t="shared" si="13"/>
        <v>0</v>
      </c>
      <c r="AU40" s="115">
        <f t="shared" si="13"/>
        <v>0</v>
      </c>
      <c r="AV40" s="115">
        <f t="shared" si="13"/>
        <v>0</v>
      </c>
      <c r="AW40" s="115">
        <f t="shared" si="13"/>
        <v>0</v>
      </c>
      <c r="AX40" s="115">
        <f t="shared" si="13"/>
        <v>0</v>
      </c>
      <c r="AY40" s="115">
        <f t="shared" si="13"/>
        <v>0</v>
      </c>
    </row>
    <row r="41" spans="1:52" x14ac:dyDescent="0.2">
      <c r="A41" s="115"/>
      <c r="B41" s="170" t="s">
        <v>350</v>
      </c>
      <c r="C41" s="115"/>
      <c r="D41" s="115">
        <v>1</v>
      </c>
      <c r="E41" s="115">
        <v>1</v>
      </c>
      <c r="F41" s="115">
        <v>2</v>
      </c>
      <c r="G41" s="115">
        <v>2</v>
      </c>
      <c r="H41" s="115">
        <v>1</v>
      </c>
      <c r="I41" s="115">
        <v>2</v>
      </c>
      <c r="J41" s="115">
        <v>1</v>
      </c>
      <c r="K41" s="115">
        <v>1</v>
      </c>
      <c r="L41" s="115">
        <v>1</v>
      </c>
      <c r="M41" s="115">
        <v>1</v>
      </c>
      <c r="N41" s="115">
        <v>2</v>
      </c>
      <c r="O41" s="115">
        <v>1</v>
      </c>
      <c r="P41" s="115">
        <v>1</v>
      </c>
      <c r="Q41" s="115">
        <v>1</v>
      </c>
      <c r="R41" s="115">
        <v>1</v>
      </c>
      <c r="S41" s="115">
        <v>1</v>
      </c>
      <c r="T41" s="115">
        <v>1</v>
      </c>
      <c r="U41" s="115">
        <v>1</v>
      </c>
      <c r="V41" s="115">
        <v>2</v>
      </c>
      <c r="W41" s="115">
        <v>1</v>
      </c>
      <c r="X41" s="115">
        <v>2</v>
      </c>
      <c r="Y41" s="115">
        <v>2</v>
      </c>
      <c r="Z41" s="115">
        <v>2</v>
      </c>
      <c r="AA41" s="115">
        <v>2</v>
      </c>
      <c r="AB41" s="115">
        <v>1</v>
      </c>
      <c r="AC41" s="115">
        <v>1</v>
      </c>
      <c r="AD41" s="115">
        <v>3</v>
      </c>
      <c r="AE41" s="115">
        <v>1</v>
      </c>
      <c r="AF41" s="115">
        <v>1</v>
      </c>
      <c r="AG41" s="115">
        <v>1</v>
      </c>
      <c r="AH41" s="115">
        <v>1</v>
      </c>
      <c r="AI41" s="115">
        <v>1</v>
      </c>
      <c r="AJ41" s="115">
        <v>1</v>
      </c>
      <c r="AK41" s="115">
        <v>1</v>
      </c>
      <c r="AL41" s="115">
        <v>1</v>
      </c>
      <c r="AM41" s="115">
        <v>2</v>
      </c>
      <c r="AN41" s="115">
        <v>1</v>
      </c>
      <c r="AO41" s="115">
        <v>1</v>
      </c>
      <c r="AP41" s="115">
        <v>2</v>
      </c>
      <c r="AQ41" s="115">
        <v>2</v>
      </c>
      <c r="AR41" s="115">
        <v>1</v>
      </c>
      <c r="AS41" s="115">
        <v>3</v>
      </c>
      <c r="AT41" s="115">
        <v>3</v>
      </c>
      <c r="AU41" s="115">
        <v>1</v>
      </c>
      <c r="AV41" s="115">
        <v>3</v>
      </c>
      <c r="AW41" s="115">
        <v>1</v>
      </c>
      <c r="AX41" s="115">
        <v>2</v>
      </c>
      <c r="AY41" s="115">
        <v>2</v>
      </c>
    </row>
    <row r="42" spans="1:52" x14ac:dyDescent="0.2">
      <c r="A42" s="115"/>
      <c r="B42" s="183" t="s">
        <v>351</v>
      </c>
      <c r="C42" s="115"/>
      <c r="D42" s="115">
        <v>0</v>
      </c>
      <c r="E42" s="115">
        <v>0</v>
      </c>
      <c r="F42" s="115">
        <v>0</v>
      </c>
      <c r="G42" s="115">
        <v>0</v>
      </c>
      <c r="H42" s="115">
        <v>0</v>
      </c>
      <c r="I42" s="115">
        <v>0</v>
      </c>
      <c r="J42" s="115">
        <v>0</v>
      </c>
      <c r="K42" s="115">
        <v>0</v>
      </c>
      <c r="L42" s="115">
        <v>0</v>
      </c>
      <c r="M42" s="115">
        <v>0</v>
      </c>
      <c r="N42" s="115">
        <v>0</v>
      </c>
      <c r="O42" s="115">
        <v>0</v>
      </c>
      <c r="P42" s="115">
        <v>0</v>
      </c>
      <c r="Q42" s="115">
        <v>0</v>
      </c>
      <c r="R42" s="115">
        <v>0</v>
      </c>
      <c r="S42" s="115">
        <v>0</v>
      </c>
      <c r="T42" s="115">
        <v>0</v>
      </c>
      <c r="U42" s="115">
        <v>0</v>
      </c>
      <c r="V42" s="115">
        <v>0</v>
      </c>
      <c r="W42" s="115">
        <v>0</v>
      </c>
      <c r="X42" s="115">
        <v>0</v>
      </c>
      <c r="Y42" s="115">
        <v>0</v>
      </c>
      <c r="Z42" s="115">
        <v>0</v>
      </c>
      <c r="AA42" s="115">
        <v>0</v>
      </c>
      <c r="AB42" s="115">
        <v>0</v>
      </c>
      <c r="AC42" s="115">
        <v>0</v>
      </c>
      <c r="AD42" s="115">
        <v>0</v>
      </c>
      <c r="AE42" s="115">
        <v>0</v>
      </c>
      <c r="AF42" s="115">
        <v>0</v>
      </c>
      <c r="AG42" s="115">
        <v>0</v>
      </c>
      <c r="AH42" s="115">
        <v>0</v>
      </c>
      <c r="AI42" s="115">
        <v>0</v>
      </c>
      <c r="AJ42" s="115">
        <v>0</v>
      </c>
      <c r="AK42" s="115">
        <v>0</v>
      </c>
      <c r="AL42" s="115">
        <v>0</v>
      </c>
      <c r="AM42" s="115">
        <v>0</v>
      </c>
      <c r="AN42" s="115">
        <v>0</v>
      </c>
      <c r="AO42" s="115">
        <v>0</v>
      </c>
      <c r="AP42" s="115">
        <v>0</v>
      </c>
      <c r="AQ42" s="115">
        <v>0</v>
      </c>
      <c r="AR42" s="115">
        <v>0</v>
      </c>
      <c r="AS42" s="115">
        <v>0</v>
      </c>
      <c r="AT42" s="115">
        <v>0</v>
      </c>
      <c r="AU42" s="115">
        <v>0</v>
      </c>
      <c r="AV42" s="115">
        <v>0</v>
      </c>
      <c r="AW42" s="115">
        <v>0</v>
      </c>
      <c r="AX42" s="115">
        <v>0</v>
      </c>
      <c r="AY42" s="115">
        <v>0</v>
      </c>
      <c r="AZ42" s="105">
        <f>SUM($D$42:$AY$42)</f>
        <v>0</v>
      </c>
    </row>
    <row r="43" spans="1:52" x14ac:dyDescent="0.2">
      <c r="A43" s="115"/>
      <c r="B43" s="183" t="s">
        <v>352</v>
      </c>
      <c r="C43" s="115"/>
      <c r="D43" s="115">
        <v>0</v>
      </c>
      <c r="E43" s="115">
        <v>0</v>
      </c>
      <c r="F43" s="115">
        <v>0</v>
      </c>
      <c r="G43" s="115">
        <v>0</v>
      </c>
      <c r="H43" s="115">
        <v>0</v>
      </c>
      <c r="I43" s="115">
        <v>0</v>
      </c>
      <c r="J43" s="115">
        <v>0</v>
      </c>
      <c r="K43" s="115">
        <v>0</v>
      </c>
      <c r="L43" s="115">
        <v>0</v>
      </c>
      <c r="M43" s="115">
        <v>0</v>
      </c>
      <c r="N43" s="115">
        <v>0</v>
      </c>
      <c r="O43" s="115">
        <v>0</v>
      </c>
      <c r="P43" s="115">
        <v>0</v>
      </c>
      <c r="Q43" s="115">
        <v>0</v>
      </c>
      <c r="R43" s="115">
        <v>0</v>
      </c>
      <c r="S43" s="115">
        <v>0</v>
      </c>
      <c r="T43" s="115">
        <v>0</v>
      </c>
      <c r="U43" s="115">
        <v>0</v>
      </c>
      <c r="V43" s="115">
        <v>0</v>
      </c>
      <c r="W43" s="115">
        <v>0</v>
      </c>
      <c r="X43" s="115">
        <v>0</v>
      </c>
      <c r="Y43" s="115">
        <v>0</v>
      </c>
      <c r="Z43" s="115">
        <v>0</v>
      </c>
      <c r="AA43" s="115">
        <v>0</v>
      </c>
      <c r="AB43" s="115">
        <v>0</v>
      </c>
      <c r="AC43" s="115">
        <v>0</v>
      </c>
      <c r="AD43" s="115">
        <v>0</v>
      </c>
      <c r="AE43" s="115">
        <v>0</v>
      </c>
      <c r="AF43" s="115">
        <v>0</v>
      </c>
      <c r="AG43" s="115">
        <v>0</v>
      </c>
      <c r="AH43" s="115">
        <v>0</v>
      </c>
      <c r="AI43" s="115">
        <v>0</v>
      </c>
      <c r="AJ43" s="115">
        <v>0</v>
      </c>
      <c r="AK43" s="115">
        <v>0</v>
      </c>
      <c r="AL43" s="115">
        <v>0</v>
      </c>
      <c r="AM43" s="115">
        <v>0</v>
      </c>
      <c r="AN43" s="115">
        <v>0</v>
      </c>
      <c r="AO43" s="115">
        <v>0</v>
      </c>
      <c r="AP43" s="115">
        <v>0</v>
      </c>
      <c r="AQ43" s="115">
        <v>0</v>
      </c>
      <c r="AR43" s="115">
        <v>0</v>
      </c>
      <c r="AS43" s="115">
        <v>0</v>
      </c>
      <c r="AT43" s="115">
        <v>0</v>
      </c>
      <c r="AU43" s="115">
        <v>0</v>
      </c>
      <c r="AV43" s="115">
        <v>0</v>
      </c>
      <c r="AW43" s="115">
        <v>0</v>
      </c>
      <c r="AX43" s="115">
        <v>0</v>
      </c>
      <c r="AY43" s="115">
        <v>0</v>
      </c>
      <c r="AZ43" s="105">
        <f>SUM($D$43:$AY$43)</f>
        <v>0</v>
      </c>
    </row>
    <row r="44" spans="1:52" x14ac:dyDescent="0.2">
      <c r="A44" s="140" t="s">
        <v>49</v>
      </c>
      <c r="B44" s="140" t="s">
        <v>342</v>
      </c>
      <c r="C44" s="129"/>
      <c r="D44" s="129">
        <f>D$21*shipping_manufacturing!$F$28/100</f>
        <v>407.55232429121781</v>
      </c>
      <c r="E44" s="129">
        <f>E$21*shipping_manufacturing!$F$28/100</f>
        <v>0</v>
      </c>
      <c r="F44" s="129">
        <f>F$21*shipping_manufacturing!$F$28/100</f>
        <v>0</v>
      </c>
      <c r="G44" s="129">
        <f>G$21*shipping_manufacturing!$F$28/100</f>
        <v>0</v>
      </c>
      <c r="H44" s="129">
        <f>H$21*shipping_manufacturing!$F$28/100</f>
        <v>0</v>
      </c>
      <c r="I44" s="129">
        <f>I$21*shipping_manufacturing!$F$28/100</f>
        <v>202.04820232596762</v>
      </c>
      <c r="J44" s="129">
        <f>J$21*shipping_manufacturing!$F$28/100</f>
        <v>202.04820232596762</v>
      </c>
      <c r="K44" s="129">
        <f>K$21*shipping_manufacturing!$F$28/100</f>
        <v>202.04820232596762</v>
      </c>
      <c r="L44" s="129">
        <f>L$21*shipping_manufacturing!$F$28/100</f>
        <v>0</v>
      </c>
      <c r="M44" s="129">
        <f>M$21*shipping_manufacturing!$F$28/100</f>
        <v>404.09640465193525</v>
      </c>
      <c r="N44" s="129">
        <f>N$21*shipping_manufacturing!$F$28/100</f>
        <v>202.04820232596762</v>
      </c>
      <c r="O44" s="129">
        <f>O$21*shipping_manufacturing!$F$28/100</f>
        <v>202.04820232596762</v>
      </c>
      <c r="P44" s="129">
        <f>P$21*shipping_manufacturing!$F$28/100</f>
        <v>202.04820232596762</v>
      </c>
      <c r="Q44" s="129">
        <f>Q$21*shipping_manufacturing!$F$28/100</f>
        <v>202.04820232596762</v>
      </c>
      <c r="R44" s="129">
        <f>R$21*shipping_manufacturing!$F$28/100</f>
        <v>202.04820232596762</v>
      </c>
      <c r="S44" s="129">
        <f>S$21*shipping_manufacturing!$F$28/100</f>
        <v>202.04820232596762</v>
      </c>
      <c r="T44" s="129">
        <f>T$21*shipping_manufacturing!$F$28/100</f>
        <v>202.04820232596762</v>
      </c>
      <c r="U44" s="129">
        <f>U$21*shipping_manufacturing!$F$28/100</f>
        <v>202.04820232596762</v>
      </c>
      <c r="V44" s="129">
        <f>V$21*shipping_manufacturing!$F$28/100</f>
        <v>202.04820232596762</v>
      </c>
      <c r="W44" s="129">
        <f>W$21*shipping_manufacturing!$F$28/100</f>
        <v>202.04820232596762</v>
      </c>
      <c r="X44" s="129">
        <f>X$21*shipping_manufacturing!$F$28/100</f>
        <v>202.04820232596762</v>
      </c>
      <c r="Y44" s="129">
        <f>Y$21*shipping_manufacturing!$F$28/100</f>
        <v>202.04820232596762</v>
      </c>
      <c r="Z44" s="129">
        <f>Z$21*shipping_manufacturing!$F$28/100</f>
        <v>202.04820232596762</v>
      </c>
      <c r="AA44" s="129">
        <f>AA$21*shipping_manufacturing!$F$28/100</f>
        <v>202.04820232596762</v>
      </c>
      <c r="AB44" s="129">
        <f>AB$21*shipping_manufacturing!$F$28/100</f>
        <v>202.04820232596762</v>
      </c>
      <c r="AC44" s="129">
        <f>AC$21*shipping_manufacturing!$F$28/100</f>
        <v>202.04820232596762</v>
      </c>
      <c r="AD44" s="129">
        <f>AD$21*shipping_manufacturing!$F$28/100</f>
        <v>202.04820232596762</v>
      </c>
      <c r="AE44" s="129">
        <f>AE$21*shipping_manufacturing!$F$28/100</f>
        <v>0</v>
      </c>
      <c r="AF44" s="129">
        <f>AF$21*shipping_manufacturing!$F$28/100</f>
        <v>404.09640465193525</v>
      </c>
      <c r="AG44" s="129">
        <f>AG$21*shipping_manufacturing!$F$28/100</f>
        <v>202.04820232596762</v>
      </c>
      <c r="AH44" s="129">
        <f>AH$21*shipping_manufacturing!$F$28/100</f>
        <v>202.04820232596762</v>
      </c>
      <c r="AI44" s="129">
        <f>AI$21*shipping_manufacturing!$F$28/100</f>
        <v>202.04820232596762</v>
      </c>
      <c r="AJ44" s="129">
        <f>AJ$21*shipping_manufacturing!$F$28/100</f>
        <v>202.04820232596762</v>
      </c>
      <c r="AK44" s="129">
        <f>AK$21*shipping_manufacturing!$F$28/100</f>
        <v>202.04820232596762</v>
      </c>
      <c r="AL44" s="129">
        <f>AL$21*shipping_manufacturing!$F$28/100</f>
        <v>202.04820232596762</v>
      </c>
      <c r="AM44" s="129">
        <f>AM$21*shipping_manufacturing!$F$28/100</f>
        <v>202.04820232596762</v>
      </c>
      <c r="AN44" s="129">
        <f>AN$21*shipping_manufacturing!$F$28/100</f>
        <v>202.04820232596762</v>
      </c>
      <c r="AO44" s="129">
        <f>AO$21*shipping_manufacturing!$F$28/100</f>
        <v>202.04820232596762</v>
      </c>
      <c r="AP44" s="129">
        <f>AP$21*shipping_manufacturing!$F$28/100</f>
        <v>202.04820232596762</v>
      </c>
      <c r="AQ44" s="129">
        <f>AQ$21*shipping_manufacturing!$F$28/100</f>
        <v>202.04820232596762</v>
      </c>
      <c r="AR44" s="129">
        <f>AR$21*shipping_manufacturing!$F$28/100</f>
        <v>202.04820232596762</v>
      </c>
      <c r="AS44" s="129">
        <f>AS$21*shipping_manufacturing!$F$28/100</f>
        <v>0</v>
      </c>
      <c r="AT44" s="129">
        <f>AT$21*shipping_manufacturing!$F$28/100</f>
        <v>404.09640465193525</v>
      </c>
      <c r="AU44" s="129">
        <f>AU$21*shipping_manufacturing!$F$28/100</f>
        <v>202.04820232596762</v>
      </c>
      <c r="AV44" s="129">
        <f>AV$21*shipping_manufacturing!$F$28/100</f>
        <v>202.04820232596762</v>
      </c>
      <c r="AW44" s="129">
        <f>AW$21*shipping_manufacturing!$F$28/100</f>
        <v>202.04820232596762</v>
      </c>
      <c r="AX44" s="129">
        <f>AX$21*shipping_manufacturing!$F$28/100</f>
        <v>202.04820232596762</v>
      </c>
      <c r="AY44" s="129">
        <f>AY$21*shipping_manufacturing!$F$28/100</f>
        <v>202.04820232596762</v>
      </c>
    </row>
    <row r="45" spans="1:52" x14ac:dyDescent="0.2">
      <c r="A45" s="118" t="s">
        <v>341</v>
      </c>
      <c r="B45" s="170" t="s">
        <v>343</v>
      </c>
      <c r="C45" s="115"/>
      <c r="D45" s="115">
        <f>D$22*shipping_manufacturing!$G$28/100</f>
        <v>294.28213755820116</v>
      </c>
      <c r="E45" s="115">
        <f>E$22*shipping_manufacturing!$G$28/100</f>
        <v>0</v>
      </c>
      <c r="F45" s="115">
        <f>F$22*shipping_manufacturing!$G$28/100</f>
        <v>0</v>
      </c>
      <c r="G45" s="115">
        <f>G$22*shipping_manufacturing!$G$28/100</f>
        <v>0</v>
      </c>
      <c r="H45" s="115">
        <f>H$22*shipping_manufacturing!$G$28/100</f>
        <v>0</v>
      </c>
      <c r="I45" s="115">
        <f>I$22*shipping_manufacturing!$G$28/100</f>
        <v>145.89335730984794</v>
      </c>
      <c r="J45" s="115">
        <f>J$22*shipping_manufacturing!$G$28/100</f>
        <v>145.89335730984794</v>
      </c>
      <c r="K45" s="115">
        <f>K$22*shipping_manufacturing!$G$28/100</f>
        <v>145.89335730984794</v>
      </c>
      <c r="L45" s="115">
        <f>L$22*shipping_manufacturing!$G$28/100</f>
        <v>0</v>
      </c>
      <c r="M45" s="115">
        <f>M$22*shipping_manufacturing!$G$28/100</f>
        <v>291.78671461969589</v>
      </c>
      <c r="N45" s="115">
        <f>N$22*shipping_manufacturing!$G$28/100</f>
        <v>145.89335730984794</v>
      </c>
      <c r="O45" s="115">
        <f>O$22*shipping_manufacturing!$G$28/100</f>
        <v>145.89335730984794</v>
      </c>
      <c r="P45" s="115">
        <f>P$22*shipping_manufacturing!$G$28/100</f>
        <v>145.89335730984794</v>
      </c>
      <c r="Q45" s="115">
        <f>Q$22*shipping_manufacturing!$G$28/100</f>
        <v>145.89335730984794</v>
      </c>
      <c r="R45" s="115">
        <f>R$22*shipping_manufacturing!$G$28/100</f>
        <v>145.89335730984794</v>
      </c>
      <c r="S45" s="115">
        <f>S$22*shipping_manufacturing!$G$28/100</f>
        <v>145.89335730984794</v>
      </c>
      <c r="T45" s="115">
        <f>T$22*shipping_manufacturing!$G$28/100</f>
        <v>145.89335730984794</v>
      </c>
      <c r="U45" s="115">
        <f>U$22*shipping_manufacturing!$G$28/100</f>
        <v>145.89335730984794</v>
      </c>
      <c r="V45" s="115">
        <f>V$22*shipping_manufacturing!$G$28/100</f>
        <v>145.89335730984794</v>
      </c>
      <c r="W45" s="115">
        <f>W$22*shipping_manufacturing!$G$28/100</f>
        <v>145.89335730984794</v>
      </c>
      <c r="X45" s="115">
        <f>X$22*shipping_manufacturing!$G$28/100</f>
        <v>145.89335730984794</v>
      </c>
      <c r="Y45" s="115">
        <f>Y$22*shipping_manufacturing!$G$28/100</f>
        <v>145.89335730984794</v>
      </c>
      <c r="Z45" s="115">
        <f>Z$22*shipping_manufacturing!$G$28/100</f>
        <v>145.89335730984794</v>
      </c>
      <c r="AA45" s="115">
        <f>AA$22*shipping_manufacturing!$G$28/100</f>
        <v>145.89335730984794</v>
      </c>
      <c r="AB45" s="115">
        <f>AB$22*shipping_manufacturing!$G$28/100</f>
        <v>145.89335730984794</v>
      </c>
      <c r="AC45" s="115">
        <f>AC$22*shipping_manufacturing!$G$28/100</f>
        <v>145.89335730984794</v>
      </c>
      <c r="AD45" s="115">
        <f>AD$22*shipping_manufacturing!$G$28/100</f>
        <v>145.89335730984794</v>
      </c>
      <c r="AE45" s="115">
        <f>AE$22*shipping_manufacturing!$G$28/100</f>
        <v>0</v>
      </c>
      <c r="AF45" s="115">
        <f>AF$22*shipping_manufacturing!$G$28/100</f>
        <v>291.78671461969589</v>
      </c>
      <c r="AG45" s="115">
        <f>AG$22*shipping_manufacturing!$G$28/100</f>
        <v>145.89335730984794</v>
      </c>
      <c r="AH45" s="115">
        <f>AH$22*shipping_manufacturing!$G$28/100</f>
        <v>145.89335730984794</v>
      </c>
      <c r="AI45" s="115">
        <f>AI$22*shipping_manufacturing!$G$28/100</f>
        <v>145.89335730984794</v>
      </c>
      <c r="AJ45" s="115">
        <f>AJ$22*shipping_manufacturing!$G$28/100</f>
        <v>145.89335730984794</v>
      </c>
      <c r="AK45" s="115">
        <f>AK$22*shipping_manufacturing!$G$28/100</f>
        <v>145.89335730984794</v>
      </c>
      <c r="AL45" s="115">
        <f>AL$22*shipping_manufacturing!$G$28/100</f>
        <v>145.89335730984794</v>
      </c>
      <c r="AM45" s="115">
        <f>AM$22*shipping_manufacturing!$G$28/100</f>
        <v>145.89335730984794</v>
      </c>
      <c r="AN45" s="115">
        <f>AN$22*shipping_manufacturing!$G$28/100</f>
        <v>145.89335730984794</v>
      </c>
      <c r="AO45" s="115">
        <f>AO$22*shipping_manufacturing!$G$28/100</f>
        <v>145.89335730984794</v>
      </c>
      <c r="AP45" s="115">
        <f>AP$22*shipping_manufacturing!$G$28/100</f>
        <v>145.89335730984794</v>
      </c>
      <c r="AQ45" s="115">
        <f>AQ$22*shipping_manufacturing!$G$28/100</f>
        <v>145.89335730984794</v>
      </c>
      <c r="AR45" s="115">
        <f>AR$22*shipping_manufacturing!$G$28/100</f>
        <v>145.89335730984794</v>
      </c>
      <c r="AS45" s="115">
        <f>AS$22*shipping_manufacturing!$G$28/100</f>
        <v>0</v>
      </c>
      <c r="AT45" s="115">
        <f>AT$22*shipping_manufacturing!$G$28/100</f>
        <v>291.78671461969589</v>
      </c>
      <c r="AU45" s="115">
        <f>AU$22*shipping_manufacturing!$G$28/100</f>
        <v>145.89335730984794</v>
      </c>
      <c r="AV45" s="115">
        <f>AV$22*shipping_manufacturing!$G$28/100</f>
        <v>145.89335730984794</v>
      </c>
      <c r="AW45" s="115">
        <f>AW$22*shipping_manufacturing!$G$28/100</f>
        <v>145.89335730984794</v>
      </c>
      <c r="AX45" s="115">
        <f>AX$22*shipping_manufacturing!$G$28/100</f>
        <v>145.89335730984794</v>
      </c>
      <c r="AY45" s="115">
        <f>AY$22*shipping_manufacturing!$G$28/100</f>
        <v>145.89335730984794</v>
      </c>
    </row>
    <row r="46" spans="1:52" x14ac:dyDescent="0.2">
      <c r="A46" s="115">
        <v>317</v>
      </c>
      <c r="B46" s="170" t="s">
        <v>344</v>
      </c>
      <c r="C46" s="115"/>
      <c r="D46" s="115">
        <f>SUM(D44:D45)</f>
        <v>701.83446184941897</v>
      </c>
      <c r="E46" s="115">
        <f t="shared" ref="E46:AY46" si="14">SUM(E44:E45)</f>
        <v>0</v>
      </c>
      <c r="F46" s="115">
        <f t="shared" si="14"/>
        <v>0</v>
      </c>
      <c r="G46" s="115">
        <f t="shared" si="14"/>
        <v>0</v>
      </c>
      <c r="H46" s="115">
        <f t="shared" si="14"/>
        <v>0</v>
      </c>
      <c r="I46" s="115">
        <f t="shared" si="14"/>
        <v>347.94155963581557</v>
      </c>
      <c r="J46" s="115">
        <f t="shared" si="14"/>
        <v>347.94155963581557</v>
      </c>
      <c r="K46" s="115">
        <f t="shared" si="14"/>
        <v>347.94155963581557</v>
      </c>
      <c r="L46" s="115">
        <f t="shared" si="14"/>
        <v>0</v>
      </c>
      <c r="M46" s="115">
        <f t="shared" si="14"/>
        <v>695.88311927163113</v>
      </c>
      <c r="N46" s="115">
        <f t="shared" si="14"/>
        <v>347.94155963581557</v>
      </c>
      <c r="O46" s="115">
        <f t="shared" si="14"/>
        <v>347.94155963581557</v>
      </c>
      <c r="P46" s="115">
        <f t="shared" si="14"/>
        <v>347.94155963581557</v>
      </c>
      <c r="Q46" s="115">
        <f t="shared" si="14"/>
        <v>347.94155963581557</v>
      </c>
      <c r="R46" s="115">
        <f t="shared" si="14"/>
        <v>347.94155963581557</v>
      </c>
      <c r="S46" s="115">
        <f t="shared" si="14"/>
        <v>347.94155963581557</v>
      </c>
      <c r="T46" s="115">
        <f t="shared" si="14"/>
        <v>347.94155963581557</v>
      </c>
      <c r="U46" s="115">
        <f t="shared" si="14"/>
        <v>347.94155963581557</v>
      </c>
      <c r="V46" s="115">
        <f t="shared" si="14"/>
        <v>347.94155963581557</v>
      </c>
      <c r="W46" s="115">
        <f t="shared" si="14"/>
        <v>347.94155963581557</v>
      </c>
      <c r="X46" s="115">
        <f t="shared" si="14"/>
        <v>347.94155963581557</v>
      </c>
      <c r="Y46" s="115">
        <f t="shared" si="14"/>
        <v>347.94155963581557</v>
      </c>
      <c r="Z46" s="115">
        <f t="shared" si="14"/>
        <v>347.94155963581557</v>
      </c>
      <c r="AA46" s="115">
        <f t="shared" si="14"/>
        <v>347.94155963581557</v>
      </c>
      <c r="AB46" s="115">
        <f t="shared" si="14"/>
        <v>347.94155963581557</v>
      </c>
      <c r="AC46" s="115">
        <f t="shared" si="14"/>
        <v>347.94155963581557</v>
      </c>
      <c r="AD46" s="115">
        <f t="shared" si="14"/>
        <v>347.94155963581557</v>
      </c>
      <c r="AE46" s="115">
        <f t="shared" si="14"/>
        <v>0</v>
      </c>
      <c r="AF46" s="115">
        <f t="shared" si="14"/>
        <v>695.88311927163113</v>
      </c>
      <c r="AG46" s="115">
        <f t="shared" si="14"/>
        <v>347.94155963581557</v>
      </c>
      <c r="AH46" s="115">
        <f t="shared" si="14"/>
        <v>347.94155963581557</v>
      </c>
      <c r="AI46" s="115">
        <f t="shared" si="14"/>
        <v>347.94155963581557</v>
      </c>
      <c r="AJ46" s="115">
        <f t="shared" si="14"/>
        <v>347.94155963581557</v>
      </c>
      <c r="AK46" s="115">
        <f t="shared" si="14"/>
        <v>347.94155963581557</v>
      </c>
      <c r="AL46" s="115">
        <f t="shared" si="14"/>
        <v>347.94155963581557</v>
      </c>
      <c r="AM46" s="115">
        <f t="shared" si="14"/>
        <v>347.94155963581557</v>
      </c>
      <c r="AN46" s="115">
        <f t="shared" si="14"/>
        <v>347.94155963581557</v>
      </c>
      <c r="AO46" s="115">
        <f t="shared" si="14"/>
        <v>347.94155963581557</v>
      </c>
      <c r="AP46" s="115">
        <f t="shared" si="14"/>
        <v>347.94155963581557</v>
      </c>
      <c r="AQ46" s="115">
        <f t="shared" si="14"/>
        <v>347.94155963581557</v>
      </c>
      <c r="AR46" s="115">
        <f t="shared" si="14"/>
        <v>347.94155963581557</v>
      </c>
      <c r="AS46" s="115">
        <f t="shared" si="14"/>
        <v>0</v>
      </c>
      <c r="AT46" s="115">
        <f t="shared" si="14"/>
        <v>695.88311927163113</v>
      </c>
      <c r="AU46" s="115">
        <f t="shared" si="14"/>
        <v>347.94155963581557</v>
      </c>
      <c r="AV46" s="115">
        <f t="shared" si="14"/>
        <v>347.94155963581557</v>
      </c>
      <c r="AW46" s="115">
        <f t="shared" si="14"/>
        <v>347.94155963581557</v>
      </c>
      <c r="AX46" s="115">
        <f t="shared" si="14"/>
        <v>347.94155963581557</v>
      </c>
      <c r="AY46" s="115">
        <f t="shared" si="14"/>
        <v>347.94155963581557</v>
      </c>
    </row>
    <row r="47" spans="1:52" x14ac:dyDescent="0.2">
      <c r="A47" s="115"/>
      <c r="B47" s="170" t="s">
        <v>345</v>
      </c>
      <c r="C47" s="115"/>
      <c r="D47" s="115">
        <v>407.55232429121753</v>
      </c>
      <c r="E47" s="115"/>
      <c r="F47" s="115"/>
      <c r="G47" s="115"/>
      <c r="H47" s="115"/>
      <c r="I47" s="115">
        <v>202.04820232596759</v>
      </c>
      <c r="J47" s="115">
        <v>202.04820232596759</v>
      </c>
      <c r="K47" s="115">
        <v>202.04820232596759</v>
      </c>
      <c r="L47" s="115"/>
      <c r="M47" s="115">
        <v>404.09640465193496</v>
      </c>
      <c r="N47" s="115">
        <v>202.04820232596759</v>
      </c>
      <c r="O47" s="115">
        <v>202.04820232596759</v>
      </c>
      <c r="P47" s="115">
        <v>202.04820232596759</v>
      </c>
      <c r="Q47" s="115">
        <v>202.04820232596759</v>
      </c>
      <c r="R47" s="115">
        <v>202.04820232596759</v>
      </c>
      <c r="S47" s="115">
        <v>202.04820232596759</v>
      </c>
      <c r="T47" s="115">
        <v>202.04820232596759</v>
      </c>
      <c r="U47" s="115">
        <v>202.04820232596759</v>
      </c>
      <c r="V47" s="115">
        <v>202.04820232596759</v>
      </c>
      <c r="W47" s="115">
        <v>202.04820232596759</v>
      </c>
      <c r="X47" s="115">
        <v>202.04820232596759</v>
      </c>
      <c r="Y47" s="115">
        <v>202.04820232596759</v>
      </c>
      <c r="Z47" s="115">
        <v>202.04820232596759</v>
      </c>
      <c r="AA47" s="115">
        <v>202.04820232596759</v>
      </c>
      <c r="AB47" s="115">
        <v>202.04820232596759</v>
      </c>
      <c r="AC47" s="115">
        <v>202.04820232596759</v>
      </c>
      <c r="AD47" s="115">
        <v>202.04820232596759</v>
      </c>
      <c r="AE47" s="115"/>
      <c r="AF47" s="115">
        <v>404.09640465193496</v>
      </c>
      <c r="AG47" s="115">
        <v>202.04820232596759</v>
      </c>
      <c r="AH47" s="115">
        <v>202.04820232596759</v>
      </c>
      <c r="AI47" s="115">
        <v>202.04820232596759</v>
      </c>
      <c r="AJ47" s="115">
        <v>202.04820232596759</v>
      </c>
      <c r="AK47" s="115">
        <v>202.04820232596759</v>
      </c>
      <c r="AL47" s="115">
        <v>202.04820232596759</v>
      </c>
      <c r="AM47" s="115">
        <v>202.04820232596759</v>
      </c>
      <c r="AN47" s="115">
        <v>202.04820232596759</v>
      </c>
      <c r="AO47" s="115">
        <v>202.04820232596759</v>
      </c>
      <c r="AP47" s="115">
        <v>202.04820232596759</v>
      </c>
      <c r="AQ47" s="115">
        <v>202.04820232596759</v>
      </c>
      <c r="AR47" s="115">
        <v>202.04820232596759</v>
      </c>
      <c r="AS47" s="115"/>
      <c r="AT47" s="115">
        <v>404.09640465193496</v>
      </c>
      <c r="AU47" s="115">
        <v>202.04820232596759</v>
      </c>
      <c r="AV47" s="115">
        <v>202.04820232596759</v>
      </c>
      <c r="AW47" s="115">
        <v>202.04820232596759</v>
      </c>
      <c r="AX47" s="115">
        <v>202.04820232596759</v>
      </c>
      <c r="AY47" s="115">
        <v>202.04820232596759</v>
      </c>
    </row>
    <row r="48" spans="1:52" x14ac:dyDescent="0.2">
      <c r="A48" s="115"/>
      <c r="B48" s="170" t="s">
        <v>346</v>
      </c>
      <c r="C48" s="115"/>
      <c r="D48" s="115">
        <v>294.2821375582011</v>
      </c>
      <c r="E48" s="115"/>
      <c r="F48" s="115"/>
      <c r="G48" s="115"/>
      <c r="H48" s="115"/>
      <c r="I48" s="115">
        <v>145.89335730984794</v>
      </c>
      <c r="J48" s="115">
        <v>145.89335730984794</v>
      </c>
      <c r="K48" s="115">
        <v>145.89335730984794</v>
      </c>
      <c r="L48" s="115"/>
      <c r="M48" s="115">
        <v>291.786714619696</v>
      </c>
      <c r="N48" s="115">
        <v>145.89335730984794</v>
      </c>
      <c r="O48" s="115">
        <v>145.89335730984794</v>
      </c>
      <c r="P48" s="115">
        <v>145.89335730984794</v>
      </c>
      <c r="Q48" s="115">
        <v>145.89335730984794</v>
      </c>
      <c r="R48" s="115">
        <v>145.89335730984794</v>
      </c>
      <c r="S48" s="115">
        <v>145.89335730984794</v>
      </c>
      <c r="T48" s="115">
        <v>145.89335730984794</v>
      </c>
      <c r="U48" s="115">
        <v>145.89335730984794</v>
      </c>
      <c r="V48" s="115">
        <v>145.89335730984794</v>
      </c>
      <c r="W48" s="115">
        <v>145.89335730984794</v>
      </c>
      <c r="X48" s="115">
        <v>145.89335730984794</v>
      </c>
      <c r="Y48" s="115">
        <v>145.89335730984794</v>
      </c>
      <c r="Z48" s="115">
        <v>145.89335730984794</v>
      </c>
      <c r="AA48" s="115">
        <v>145.89335730984794</v>
      </c>
      <c r="AB48" s="115">
        <v>145.89335730984794</v>
      </c>
      <c r="AC48" s="115">
        <v>145.89335730984794</v>
      </c>
      <c r="AD48" s="115">
        <v>145.89335730984794</v>
      </c>
      <c r="AE48" s="115"/>
      <c r="AF48" s="115">
        <v>291.786714619696</v>
      </c>
      <c r="AG48" s="115">
        <v>145.89335730984794</v>
      </c>
      <c r="AH48" s="115">
        <v>145.89335730984794</v>
      </c>
      <c r="AI48" s="115">
        <v>145.89335730984794</v>
      </c>
      <c r="AJ48" s="115">
        <v>145.89335730984794</v>
      </c>
      <c r="AK48" s="115">
        <v>145.89335730984794</v>
      </c>
      <c r="AL48" s="115">
        <v>145.89335730984794</v>
      </c>
      <c r="AM48" s="115">
        <v>145.89335730984794</v>
      </c>
      <c r="AN48" s="115">
        <v>145.89335730984794</v>
      </c>
      <c r="AO48" s="115">
        <v>145.89335730984794</v>
      </c>
      <c r="AP48" s="115">
        <v>145.89335730984794</v>
      </c>
      <c r="AQ48" s="115">
        <v>145.89335730984794</v>
      </c>
      <c r="AR48" s="115">
        <v>145.89335730984794</v>
      </c>
      <c r="AS48" s="115"/>
      <c r="AT48" s="115">
        <v>291.786714619696</v>
      </c>
      <c r="AU48" s="115">
        <v>145.89335730984794</v>
      </c>
      <c r="AV48" s="115">
        <v>145.89335730984794</v>
      </c>
      <c r="AW48" s="115">
        <v>145.89335730984794</v>
      </c>
      <c r="AX48" s="115">
        <v>145.89335730984794</v>
      </c>
      <c r="AY48" s="115">
        <v>145.89335730984794</v>
      </c>
    </row>
    <row r="49" spans="1:52" x14ac:dyDescent="0.2">
      <c r="A49" s="115"/>
      <c r="B49" s="170" t="s">
        <v>347</v>
      </c>
      <c r="C49" s="115"/>
      <c r="D49" s="115">
        <v>24</v>
      </c>
      <c r="E49" s="115"/>
      <c r="F49" s="115"/>
      <c r="G49" s="115"/>
      <c r="H49" s="115"/>
      <c r="I49" s="115">
        <v>12</v>
      </c>
      <c r="J49" s="115">
        <v>12</v>
      </c>
      <c r="K49" s="115">
        <v>12</v>
      </c>
      <c r="L49" s="115"/>
      <c r="M49" s="115">
        <v>24</v>
      </c>
      <c r="N49" s="115">
        <v>12</v>
      </c>
      <c r="O49" s="115">
        <v>12</v>
      </c>
      <c r="P49" s="115">
        <v>12</v>
      </c>
      <c r="Q49" s="115">
        <v>12</v>
      </c>
      <c r="R49" s="115">
        <v>12</v>
      </c>
      <c r="S49" s="115">
        <v>12</v>
      </c>
      <c r="T49" s="115">
        <v>12</v>
      </c>
      <c r="U49" s="115">
        <v>12</v>
      </c>
      <c r="V49" s="115">
        <v>12</v>
      </c>
      <c r="W49" s="115">
        <v>12</v>
      </c>
      <c r="X49" s="115">
        <v>12</v>
      </c>
      <c r="Y49" s="115">
        <v>12</v>
      </c>
      <c r="Z49" s="115">
        <v>12</v>
      </c>
      <c r="AA49" s="115">
        <v>12</v>
      </c>
      <c r="AB49" s="115">
        <v>12</v>
      </c>
      <c r="AC49" s="115">
        <v>12</v>
      </c>
      <c r="AD49" s="115">
        <v>12</v>
      </c>
      <c r="AE49" s="115"/>
      <c r="AF49" s="115">
        <v>24</v>
      </c>
      <c r="AG49" s="115">
        <v>12</v>
      </c>
      <c r="AH49" s="115">
        <v>12</v>
      </c>
      <c r="AI49" s="115">
        <v>12</v>
      </c>
      <c r="AJ49" s="115">
        <v>12</v>
      </c>
      <c r="AK49" s="115">
        <v>12</v>
      </c>
      <c r="AL49" s="115">
        <v>12</v>
      </c>
      <c r="AM49" s="115">
        <v>12</v>
      </c>
      <c r="AN49" s="115">
        <v>12</v>
      </c>
      <c r="AO49" s="115">
        <v>12</v>
      </c>
      <c r="AP49" s="115">
        <v>12</v>
      </c>
      <c r="AQ49" s="115">
        <v>12</v>
      </c>
      <c r="AR49" s="115">
        <v>12</v>
      </c>
      <c r="AS49" s="115"/>
      <c r="AT49" s="115">
        <v>24</v>
      </c>
      <c r="AU49" s="115">
        <v>12</v>
      </c>
      <c r="AV49" s="115">
        <v>12</v>
      </c>
      <c r="AW49" s="115">
        <v>12</v>
      </c>
      <c r="AX49" s="115">
        <v>12</v>
      </c>
      <c r="AY49" s="115">
        <v>12</v>
      </c>
    </row>
    <row r="50" spans="1:52" x14ac:dyDescent="0.2">
      <c r="A50" s="115"/>
      <c r="B50" s="170" t="s">
        <v>348</v>
      </c>
      <c r="C50" s="115"/>
      <c r="D50" s="115">
        <f>D44-D47</f>
        <v>0</v>
      </c>
      <c r="E50" s="115">
        <f t="shared" ref="E50:AY50" si="15">E44-E47</f>
        <v>0</v>
      </c>
      <c r="F50" s="115">
        <f t="shared" si="15"/>
        <v>0</v>
      </c>
      <c r="G50" s="115">
        <f t="shared" si="15"/>
        <v>0</v>
      </c>
      <c r="H50" s="115">
        <f t="shared" si="15"/>
        <v>0</v>
      </c>
      <c r="I50" s="115">
        <f t="shared" si="15"/>
        <v>0</v>
      </c>
      <c r="J50" s="115">
        <f t="shared" si="15"/>
        <v>0</v>
      </c>
      <c r="K50" s="115">
        <f t="shared" si="15"/>
        <v>0</v>
      </c>
      <c r="L50" s="115">
        <f t="shared" si="15"/>
        <v>0</v>
      </c>
      <c r="M50" s="115">
        <f t="shared" si="15"/>
        <v>0</v>
      </c>
      <c r="N50" s="115">
        <f t="shared" si="15"/>
        <v>0</v>
      </c>
      <c r="O50" s="115">
        <f t="shared" si="15"/>
        <v>0</v>
      </c>
      <c r="P50" s="115">
        <f t="shared" si="15"/>
        <v>0</v>
      </c>
      <c r="Q50" s="115">
        <f t="shared" si="15"/>
        <v>0</v>
      </c>
      <c r="R50" s="115">
        <f t="shared" si="15"/>
        <v>0</v>
      </c>
      <c r="S50" s="115">
        <f t="shared" si="15"/>
        <v>0</v>
      </c>
      <c r="T50" s="115">
        <f t="shared" si="15"/>
        <v>0</v>
      </c>
      <c r="U50" s="115">
        <f t="shared" si="15"/>
        <v>0</v>
      </c>
      <c r="V50" s="115">
        <f t="shared" si="15"/>
        <v>0</v>
      </c>
      <c r="W50" s="115">
        <f t="shared" si="15"/>
        <v>0</v>
      </c>
      <c r="X50" s="115">
        <f t="shared" si="15"/>
        <v>0</v>
      </c>
      <c r="Y50" s="115">
        <f t="shared" si="15"/>
        <v>0</v>
      </c>
      <c r="Z50" s="115">
        <f t="shared" si="15"/>
        <v>0</v>
      </c>
      <c r="AA50" s="115">
        <f t="shared" si="15"/>
        <v>0</v>
      </c>
      <c r="AB50" s="115">
        <f t="shared" si="15"/>
        <v>0</v>
      </c>
      <c r="AC50" s="115">
        <f t="shared" si="15"/>
        <v>0</v>
      </c>
      <c r="AD50" s="115">
        <f t="shared" si="15"/>
        <v>0</v>
      </c>
      <c r="AE50" s="115">
        <f t="shared" si="15"/>
        <v>0</v>
      </c>
      <c r="AF50" s="115">
        <f t="shared" si="15"/>
        <v>0</v>
      </c>
      <c r="AG50" s="115">
        <f t="shared" si="15"/>
        <v>0</v>
      </c>
      <c r="AH50" s="115">
        <f t="shared" si="15"/>
        <v>0</v>
      </c>
      <c r="AI50" s="115">
        <f t="shared" si="15"/>
        <v>0</v>
      </c>
      <c r="AJ50" s="115">
        <f t="shared" si="15"/>
        <v>0</v>
      </c>
      <c r="AK50" s="115">
        <f t="shared" si="15"/>
        <v>0</v>
      </c>
      <c r="AL50" s="115">
        <f t="shared" si="15"/>
        <v>0</v>
      </c>
      <c r="AM50" s="115">
        <f t="shared" si="15"/>
        <v>0</v>
      </c>
      <c r="AN50" s="115">
        <f t="shared" si="15"/>
        <v>0</v>
      </c>
      <c r="AO50" s="115">
        <f t="shared" si="15"/>
        <v>0</v>
      </c>
      <c r="AP50" s="115">
        <f t="shared" si="15"/>
        <v>0</v>
      </c>
      <c r="AQ50" s="115">
        <f t="shared" si="15"/>
        <v>0</v>
      </c>
      <c r="AR50" s="115">
        <f t="shared" si="15"/>
        <v>0</v>
      </c>
      <c r="AS50" s="115">
        <f t="shared" si="15"/>
        <v>0</v>
      </c>
      <c r="AT50" s="115">
        <f t="shared" si="15"/>
        <v>0</v>
      </c>
      <c r="AU50" s="115">
        <f t="shared" si="15"/>
        <v>0</v>
      </c>
      <c r="AV50" s="115">
        <f t="shared" si="15"/>
        <v>0</v>
      </c>
      <c r="AW50" s="115">
        <f t="shared" si="15"/>
        <v>0</v>
      </c>
      <c r="AX50" s="115">
        <f t="shared" si="15"/>
        <v>0</v>
      </c>
      <c r="AY50" s="115">
        <f t="shared" si="15"/>
        <v>0</v>
      </c>
    </row>
    <row r="51" spans="1:52" x14ac:dyDescent="0.2">
      <c r="A51" s="115"/>
      <c r="B51" s="170" t="s">
        <v>349</v>
      </c>
      <c r="C51" s="115"/>
      <c r="D51" s="115">
        <f>D45-D48</f>
        <v>0</v>
      </c>
      <c r="E51" s="115">
        <f t="shared" ref="E51:AY51" si="16">E45-E48</f>
        <v>0</v>
      </c>
      <c r="F51" s="115">
        <f t="shared" si="16"/>
        <v>0</v>
      </c>
      <c r="G51" s="115">
        <f t="shared" si="16"/>
        <v>0</v>
      </c>
      <c r="H51" s="115">
        <f t="shared" si="16"/>
        <v>0</v>
      </c>
      <c r="I51" s="115">
        <f t="shared" si="16"/>
        <v>0</v>
      </c>
      <c r="J51" s="115">
        <f t="shared" si="16"/>
        <v>0</v>
      </c>
      <c r="K51" s="115">
        <f t="shared" si="16"/>
        <v>0</v>
      </c>
      <c r="L51" s="115">
        <f t="shared" si="16"/>
        <v>0</v>
      </c>
      <c r="M51" s="115">
        <f t="shared" si="16"/>
        <v>0</v>
      </c>
      <c r="N51" s="115">
        <f t="shared" si="16"/>
        <v>0</v>
      </c>
      <c r="O51" s="115">
        <f t="shared" si="16"/>
        <v>0</v>
      </c>
      <c r="P51" s="115">
        <f t="shared" si="16"/>
        <v>0</v>
      </c>
      <c r="Q51" s="115">
        <f t="shared" si="16"/>
        <v>0</v>
      </c>
      <c r="R51" s="115">
        <f t="shared" si="16"/>
        <v>0</v>
      </c>
      <c r="S51" s="115">
        <f t="shared" si="16"/>
        <v>0</v>
      </c>
      <c r="T51" s="115">
        <f t="shared" si="16"/>
        <v>0</v>
      </c>
      <c r="U51" s="115">
        <f t="shared" si="16"/>
        <v>0</v>
      </c>
      <c r="V51" s="115">
        <f t="shared" si="16"/>
        <v>0</v>
      </c>
      <c r="W51" s="115">
        <f t="shared" si="16"/>
        <v>0</v>
      </c>
      <c r="X51" s="115">
        <f t="shared" si="16"/>
        <v>0</v>
      </c>
      <c r="Y51" s="115">
        <f t="shared" si="16"/>
        <v>0</v>
      </c>
      <c r="Z51" s="115">
        <f t="shared" si="16"/>
        <v>0</v>
      </c>
      <c r="AA51" s="115">
        <f t="shared" si="16"/>
        <v>0</v>
      </c>
      <c r="AB51" s="115">
        <f t="shared" si="16"/>
        <v>0</v>
      </c>
      <c r="AC51" s="115">
        <f t="shared" si="16"/>
        <v>0</v>
      </c>
      <c r="AD51" s="115">
        <f t="shared" si="16"/>
        <v>0</v>
      </c>
      <c r="AE51" s="115">
        <f t="shared" si="16"/>
        <v>0</v>
      </c>
      <c r="AF51" s="115">
        <f t="shared" si="16"/>
        <v>0</v>
      </c>
      <c r="AG51" s="115">
        <f t="shared" si="16"/>
        <v>0</v>
      </c>
      <c r="AH51" s="115">
        <f t="shared" si="16"/>
        <v>0</v>
      </c>
      <c r="AI51" s="115">
        <f t="shared" si="16"/>
        <v>0</v>
      </c>
      <c r="AJ51" s="115">
        <f t="shared" si="16"/>
        <v>0</v>
      </c>
      <c r="AK51" s="115">
        <f t="shared" si="16"/>
        <v>0</v>
      </c>
      <c r="AL51" s="115">
        <f t="shared" si="16"/>
        <v>0</v>
      </c>
      <c r="AM51" s="115">
        <f t="shared" si="16"/>
        <v>0</v>
      </c>
      <c r="AN51" s="115">
        <f t="shared" si="16"/>
        <v>0</v>
      </c>
      <c r="AO51" s="115">
        <f t="shared" si="16"/>
        <v>0</v>
      </c>
      <c r="AP51" s="115">
        <f t="shared" si="16"/>
        <v>0</v>
      </c>
      <c r="AQ51" s="115">
        <f t="shared" si="16"/>
        <v>0</v>
      </c>
      <c r="AR51" s="115">
        <f t="shared" si="16"/>
        <v>0</v>
      </c>
      <c r="AS51" s="115">
        <f t="shared" si="16"/>
        <v>0</v>
      </c>
      <c r="AT51" s="115">
        <f t="shared" si="16"/>
        <v>0</v>
      </c>
      <c r="AU51" s="115">
        <f t="shared" si="16"/>
        <v>0</v>
      </c>
      <c r="AV51" s="115">
        <f t="shared" si="16"/>
        <v>0</v>
      </c>
      <c r="AW51" s="115">
        <f t="shared" si="16"/>
        <v>0</v>
      </c>
      <c r="AX51" s="115">
        <f t="shared" si="16"/>
        <v>0</v>
      </c>
      <c r="AY51" s="115">
        <f t="shared" si="16"/>
        <v>0</v>
      </c>
    </row>
    <row r="52" spans="1:52" x14ac:dyDescent="0.2">
      <c r="A52" s="115"/>
      <c r="B52" s="170" t="s">
        <v>350</v>
      </c>
      <c r="C52" s="115"/>
      <c r="D52" s="115">
        <v>1</v>
      </c>
      <c r="E52" s="115">
        <v>1</v>
      </c>
      <c r="F52" s="115">
        <v>1</v>
      </c>
      <c r="G52" s="115">
        <v>1</v>
      </c>
      <c r="H52" s="115">
        <v>1</v>
      </c>
      <c r="I52" s="115">
        <v>2</v>
      </c>
      <c r="J52" s="115">
        <v>1</v>
      </c>
      <c r="K52" s="115">
        <v>1</v>
      </c>
      <c r="L52" s="115">
        <v>1</v>
      </c>
      <c r="M52" s="115">
        <v>3</v>
      </c>
      <c r="N52" s="115">
        <v>1</v>
      </c>
      <c r="O52" s="115">
        <v>2</v>
      </c>
      <c r="P52" s="115">
        <v>1</v>
      </c>
      <c r="Q52" s="115">
        <v>3</v>
      </c>
      <c r="R52" s="115">
        <v>3</v>
      </c>
      <c r="S52" s="115">
        <v>2</v>
      </c>
      <c r="T52" s="115">
        <v>1</v>
      </c>
      <c r="U52" s="115">
        <v>3</v>
      </c>
      <c r="V52" s="115">
        <v>1</v>
      </c>
      <c r="W52" s="115">
        <v>1</v>
      </c>
      <c r="X52" s="115">
        <v>1</v>
      </c>
      <c r="Y52" s="115">
        <v>1</v>
      </c>
      <c r="Z52" s="115">
        <v>2</v>
      </c>
      <c r="AA52" s="115">
        <v>1</v>
      </c>
      <c r="AB52" s="115">
        <v>1</v>
      </c>
      <c r="AC52" s="115">
        <v>1</v>
      </c>
      <c r="AD52" s="115">
        <v>3</v>
      </c>
      <c r="AE52" s="115">
        <v>2</v>
      </c>
      <c r="AF52" s="115">
        <v>1</v>
      </c>
      <c r="AG52" s="115">
        <v>1</v>
      </c>
      <c r="AH52" s="115">
        <v>3</v>
      </c>
      <c r="AI52" s="115">
        <v>2</v>
      </c>
      <c r="AJ52" s="115">
        <v>1</v>
      </c>
      <c r="AK52" s="115">
        <v>1</v>
      </c>
      <c r="AL52" s="115">
        <v>1</v>
      </c>
      <c r="AM52" s="115">
        <v>1</v>
      </c>
      <c r="AN52" s="115">
        <v>2</v>
      </c>
      <c r="AO52" s="115">
        <v>1</v>
      </c>
      <c r="AP52" s="115">
        <v>1</v>
      </c>
      <c r="AQ52" s="115">
        <v>1</v>
      </c>
      <c r="AR52" s="115">
        <v>1</v>
      </c>
      <c r="AS52" s="115">
        <v>3</v>
      </c>
      <c r="AT52" s="115">
        <v>2</v>
      </c>
      <c r="AU52" s="115">
        <v>1</v>
      </c>
      <c r="AV52" s="115">
        <v>1</v>
      </c>
      <c r="AW52" s="115">
        <v>1</v>
      </c>
      <c r="AX52" s="115">
        <v>2</v>
      </c>
      <c r="AY52" s="115">
        <v>1</v>
      </c>
    </row>
    <row r="53" spans="1:52" x14ac:dyDescent="0.2">
      <c r="A53" s="115"/>
      <c r="B53" s="183" t="s">
        <v>351</v>
      </c>
      <c r="C53" s="115"/>
      <c r="D53" s="115">
        <v>273888</v>
      </c>
      <c r="E53" s="115">
        <v>0</v>
      </c>
      <c r="F53" s="115">
        <v>0</v>
      </c>
      <c r="G53" s="115">
        <v>0</v>
      </c>
      <c r="H53" s="115">
        <v>0</v>
      </c>
      <c r="I53" s="115">
        <v>136944</v>
      </c>
      <c r="J53" s="115">
        <v>136944</v>
      </c>
      <c r="K53" s="115">
        <v>136944</v>
      </c>
      <c r="L53" s="115">
        <v>0</v>
      </c>
      <c r="M53" s="115">
        <v>273888</v>
      </c>
      <c r="N53" s="115">
        <v>136944</v>
      </c>
      <c r="O53" s="115">
        <v>136944</v>
      </c>
      <c r="P53" s="115">
        <v>136944</v>
      </c>
      <c r="Q53" s="115">
        <v>136944</v>
      </c>
      <c r="R53" s="115">
        <v>136944</v>
      </c>
      <c r="S53" s="115">
        <v>136944</v>
      </c>
      <c r="T53" s="115">
        <v>136944</v>
      </c>
      <c r="U53" s="115">
        <v>136944</v>
      </c>
      <c r="V53" s="115">
        <v>136944</v>
      </c>
      <c r="W53" s="115">
        <v>136944</v>
      </c>
      <c r="X53" s="115">
        <v>136944</v>
      </c>
      <c r="Y53" s="115">
        <v>136944</v>
      </c>
      <c r="Z53" s="115">
        <v>136944</v>
      </c>
      <c r="AA53" s="115">
        <v>136944</v>
      </c>
      <c r="AB53" s="115">
        <v>136944</v>
      </c>
      <c r="AC53" s="115">
        <v>136944</v>
      </c>
      <c r="AD53" s="115">
        <v>136944</v>
      </c>
      <c r="AE53" s="115">
        <v>0</v>
      </c>
      <c r="AF53" s="115">
        <v>273888</v>
      </c>
      <c r="AG53" s="115">
        <v>136944</v>
      </c>
      <c r="AH53" s="115">
        <v>136944</v>
      </c>
      <c r="AI53" s="115">
        <v>136944</v>
      </c>
      <c r="AJ53" s="115">
        <v>136944</v>
      </c>
      <c r="AK53" s="115">
        <v>136944</v>
      </c>
      <c r="AL53" s="115">
        <v>136944</v>
      </c>
      <c r="AM53" s="115">
        <v>136944</v>
      </c>
      <c r="AN53" s="115">
        <v>136944</v>
      </c>
      <c r="AO53" s="115">
        <v>136944</v>
      </c>
      <c r="AP53" s="115">
        <v>136944</v>
      </c>
      <c r="AQ53" s="115">
        <v>136944</v>
      </c>
      <c r="AR53" s="115">
        <v>136944</v>
      </c>
      <c r="AS53" s="115">
        <v>0</v>
      </c>
      <c r="AT53" s="115">
        <v>273888</v>
      </c>
      <c r="AU53" s="115">
        <v>136944</v>
      </c>
      <c r="AV53" s="115">
        <v>136944</v>
      </c>
      <c r="AW53" s="115">
        <v>136944</v>
      </c>
      <c r="AX53" s="115">
        <v>136944</v>
      </c>
      <c r="AY53" s="115">
        <v>136944</v>
      </c>
      <c r="AZ53" s="105">
        <f>SUM($D$53:$AY$53)</f>
        <v>6162480</v>
      </c>
    </row>
    <row r="54" spans="1:52" x14ac:dyDescent="0.2">
      <c r="A54" s="115"/>
      <c r="B54" s="183" t="s">
        <v>352</v>
      </c>
      <c r="C54" s="115"/>
      <c r="D54" s="115">
        <v>0</v>
      </c>
      <c r="E54" s="115">
        <v>0</v>
      </c>
      <c r="F54" s="115">
        <v>0</v>
      </c>
      <c r="G54" s="115">
        <v>0</v>
      </c>
      <c r="H54" s="115">
        <v>0</v>
      </c>
      <c r="I54" s="115">
        <v>0</v>
      </c>
      <c r="J54" s="115">
        <v>0</v>
      </c>
      <c r="K54" s="115">
        <v>0</v>
      </c>
      <c r="L54" s="115">
        <v>0</v>
      </c>
      <c r="M54" s="115">
        <v>0</v>
      </c>
      <c r="N54" s="115">
        <v>0</v>
      </c>
      <c r="O54" s="115">
        <v>0</v>
      </c>
      <c r="P54" s="115">
        <v>0</v>
      </c>
      <c r="Q54" s="115">
        <v>0</v>
      </c>
      <c r="R54" s="115">
        <v>0</v>
      </c>
      <c r="S54" s="115">
        <v>0</v>
      </c>
      <c r="T54" s="115">
        <v>0</v>
      </c>
      <c r="U54" s="115">
        <v>0</v>
      </c>
      <c r="V54" s="115">
        <v>0</v>
      </c>
      <c r="W54" s="115">
        <v>0</v>
      </c>
      <c r="X54" s="115">
        <v>0</v>
      </c>
      <c r="Y54" s="115">
        <v>0</v>
      </c>
      <c r="Z54" s="115">
        <v>0</v>
      </c>
      <c r="AA54" s="115">
        <v>0</v>
      </c>
      <c r="AB54" s="115">
        <v>0</v>
      </c>
      <c r="AC54" s="115">
        <v>0</v>
      </c>
      <c r="AD54" s="115">
        <v>0</v>
      </c>
      <c r="AE54" s="115">
        <v>0</v>
      </c>
      <c r="AF54" s="115">
        <v>0</v>
      </c>
      <c r="AG54" s="115">
        <v>0</v>
      </c>
      <c r="AH54" s="115">
        <v>0</v>
      </c>
      <c r="AI54" s="115">
        <v>0</v>
      </c>
      <c r="AJ54" s="115">
        <v>0</v>
      </c>
      <c r="AK54" s="115">
        <v>0</v>
      </c>
      <c r="AL54" s="115">
        <v>0</v>
      </c>
      <c r="AM54" s="115">
        <v>0</v>
      </c>
      <c r="AN54" s="115">
        <v>0</v>
      </c>
      <c r="AO54" s="115">
        <v>0</v>
      </c>
      <c r="AP54" s="115">
        <v>0</v>
      </c>
      <c r="AQ54" s="115">
        <v>0</v>
      </c>
      <c r="AR54" s="115">
        <v>0</v>
      </c>
      <c r="AS54" s="115">
        <v>0</v>
      </c>
      <c r="AT54" s="115">
        <v>0</v>
      </c>
      <c r="AU54" s="115">
        <v>0</v>
      </c>
      <c r="AV54" s="115">
        <v>0</v>
      </c>
      <c r="AW54" s="115">
        <v>0</v>
      </c>
      <c r="AX54" s="115">
        <v>0</v>
      </c>
      <c r="AY54" s="115">
        <v>0</v>
      </c>
      <c r="AZ54" s="105">
        <f>SUM($D$54:$AY$54)</f>
        <v>0</v>
      </c>
    </row>
    <row r="55" spans="1:52" x14ac:dyDescent="0.2">
      <c r="A55" s="140" t="s">
        <v>57</v>
      </c>
      <c r="B55" s="140" t="s">
        <v>342</v>
      </c>
      <c r="C55" s="129"/>
      <c r="D55" s="129">
        <f>D$21*shipping_manufacturing!$F$29/100</f>
        <v>0</v>
      </c>
      <c r="E55" s="129">
        <f>E$21*shipping_manufacturing!$F$29/100</f>
        <v>0</v>
      </c>
      <c r="F55" s="129">
        <f>F$21*shipping_manufacturing!$F$29/100</f>
        <v>0</v>
      </c>
      <c r="G55" s="129">
        <f>G$21*shipping_manufacturing!$F$29/100</f>
        <v>0</v>
      </c>
      <c r="H55" s="129">
        <f>H$21*shipping_manufacturing!$F$29/100</f>
        <v>0</v>
      </c>
      <c r="I55" s="129">
        <f>I$21*shipping_manufacturing!$F$29/100</f>
        <v>0</v>
      </c>
      <c r="J55" s="129">
        <f>J$21*shipping_manufacturing!$F$29/100</f>
        <v>0</v>
      </c>
      <c r="K55" s="129">
        <f>K$21*shipping_manufacturing!$F$29/100</f>
        <v>0</v>
      </c>
      <c r="L55" s="129">
        <f>L$21*shipping_manufacturing!$F$29/100</f>
        <v>0</v>
      </c>
      <c r="M55" s="129">
        <f>M$21*shipping_manufacturing!$F$29/100</f>
        <v>0</v>
      </c>
      <c r="N55" s="129">
        <f>N$21*shipping_manufacturing!$F$29/100</f>
        <v>0</v>
      </c>
      <c r="O55" s="129">
        <f>O$21*shipping_manufacturing!$F$29/100</f>
        <v>0</v>
      </c>
      <c r="P55" s="129">
        <f>P$21*shipping_manufacturing!$F$29/100</f>
        <v>0</v>
      </c>
      <c r="Q55" s="129">
        <f>Q$21*shipping_manufacturing!$F$29/100</f>
        <v>0</v>
      </c>
      <c r="R55" s="129">
        <f>R$21*shipping_manufacturing!$F$29/100</f>
        <v>0</v>
      </c>
      <c r="S55" s="129">
        <f>S$21*shipping_manufacturing!$F$29/100</f>
        <v>0</v>
      </c>
      <c r="T55" s="129">
        <f>T$21*shipping_manufacturing!$F$29/100</f>
        <v>0</v>
      </c>
      <c r="U55" s="129">
        <f>U$21*shipping_manufacturing!$F$29/100</f>
        <v>0</v>
      </c>
      <c r="V55" s="129">
        <f>V$21*shipping_manufacturing!$F$29/100</f>
        <v>0</v>
      </c>
      <c r="W55" s="129">
        <f>W$21*shipping_manufacturing!$F$29/100</f>
        <v>0</v>
      </c>
      <c r="X55" s="129">
        <f>X$21*shipping_manufacturing!$F$29/100</f>
        <v>0</v>
      </c>
      <c r="Y55" s="129">
        <f>Y$21*shipping_manufacturing!$F$29/100</f>
        <v>0</v>
      </c>
      <c r="Z55" s="129">
        <f>Z$21*shipping_manufacturing!$F$29/100</f>
        <v>0</v>
      </c>
      <c r="AA55" s="129">
        <f>AA$21*shipping_manufacturing!$F$29/100</f>
        <v>0</v>
      </c>
      <c r="AB55" s="129">
        <f>AB$21*shipping_manufacturing!$F$29/100</f>
        <v>0</v>
      </c>
      <c r="AC55" s="129">
        <f>AC$21*shipping_manufacturing!$F$29/100</f>
        <v>0</v>
      </c>
      <c r="AD55" s="129">
        <f>AD$21*shipping_manufacturing!$F$29/100</f>
        <v>0</v>
      </c>
      <c r="AE55" s="129">
        <f>AE$21*shipping_manufacturing!$F$29/100</f>
        <v>0</v>
      </c>
      <c r="AF55" s="129">
        <f>AF$21*shipping_manufacturing!$F$29/100</f>
        <v>0</v>
      </c>
      <c r="AG55" s="129">
        <f>AG$21*shipping_manufacturing!$F$29/100</f>
        <v>0</v>
      </c>
      <c r="AH55" s="129">
        <f>AH$21*shipping_manufacturing!$F$29/100</f>
        <v>0</v>
      </c>
      <c r="AI55" s="129">
        <f>AI$21*shipping_manufacturing!$F$29/100</f>
        <v>0</v>
      </c>
      <c r="AJ55" s="129">
        <f>AJ$21*shipping_manufacturing!$F$29/100</f>
        <v>0</v>
      </c>
      <c r="AK55" s="129">
        <f>AK$21*shipping_manufacturing!$F$29/100</f>
        <v>0</v>
      </c>
      <c r="AL55" s="129">
        <f>AL$21*shipping_manufacturing!$F$29/100</f>
        <v>0</v>
      </c>
      <c r="AM55" s="129">
        <f>AM$21*shipping_manufacturing!$F$29/100</f>
        <v>0</v>
      </c>
      <c r="AN55" s="129">
        <f>AN$21*shipping_manufacturing!$F$29/100</f>
        <v>0</v>
      </c>
      <c r="AO55" s="129">
        <f>AO$21*shipping_manufacturing!$F$29/100</f>
        <v>0</v>
      </c>
      <c r="AP55" s="129">
        <f>AP$21*shipping_manufacturing!$F$29/100</f>
        <v>0</v>
      </c>
      <c r="AQ55" s="129">
        <f>AQ$21*shipping_manufacturing!$F$29/100</f>
        <v>0</v>
      </c>
      <c r="AR55" s="129">
        <f>AR$21*shipping_manufacturing!$F$29/100</f>
        <v>0</v>
      </c>
      <c r="AS55" s="129">
        <f>AS$21*shipping_manufacturing!$F$29/100</f>
        <v>0</v>
      </c>
      <c r="AT55" s="129">
        <f>AT$21*shipping_manufacturing!$F$29/100</f>
        <v>0</v>
      </c>
      <c r="AU55" s="129">
        <f>AU$21*shipping_manufacturing!$F$29/100</f>
        <v>0</v>
      </c>
      <c r="AV55" s="129">
        <f>AV$21*shipping_manufacturing!$F$29/100</f>
        <v>0</v>
      </c>
      <c r="AW55" s="129">
        <f>AW$21*shipping_manufacturing!$F$29/100</f>
        <v>0</v>
      </c>
      <c r="AX55" s="129">
        <f>AX$21*shipping_manufacturing!$F$29/100</f>
        <v>0</v>
      </c>
      <c r="AY55" s="129">
        <f>AY$21*shipping_manufacturing!$F$29/100</f>
        <v>0</v>
      </c>
    </row>
    <row r="56" spans="1:52" x14ac:dyDescent="0.2">
      <c r="A56" s="118" t="s">
        <v>341</v>
      </c>
      <c r="B56" s="170" t="s">
        <v>343</v>
      </c>
      <c r="C56" s="115"/>
      <c r="D56" s="115">
        <f>D$22*shipping_manufacturing!$G$29/100</f>
        <v>0</v>
      </c>
      <c r="E56" s="115">
        <f>E$22*shipping_manufacturing!$G$29/100</f>
        <v>0</v>
      </c>
      <c r="F56" s="115">
        <f>F$22*shipping_manufacturing!$G$29/100</f>
        <v>0</v>
      </c>
      <c r="G56" s="115">
        <f>G$22*shipping_manufacturing!$G$29/100</f>
        <v>0</v>
      </c>
      <c r="H56" s="115">
        <f>H$22*shipping_manufacturing!$G$29/100</f>
        <v>0</v>
      </c>
      <c r="I56" s="115">
        <f>I$22*shipping_manufacturing!$G$29/100</f>
        <v>0</v>
      </c>
      <c r="J56" s="115">
        <f>J$22*shipping_manufacturing!$G$29/100</f>
        <v>0</v>
      </c>
      <c r="K56" s="115">
        <f>K$22*shipping_manufacturing!$G$29/100</f>
        <v>0</v>
      </c>
      <c r="L56" s="115">
        <f>L$22*shipping_manufacturing!$G$29/100</f>
        <v>0</v>
      </c>
      <c r="M56" s="115">
        <f>M$22*shipping_manufacturing!$G$29/100</f>
        <v>0</v>
      </c>
      <c r="N56" s="115">
        <f>N$22*shipping_manufacturing!$G$29/100</f>
        <v>0</v>
      </c>
      <c r="O56" s="115">
        <f>O$22*shipping_manufacturing!$G$29/100</f>
        <v>0</v>
      </c>
      <c r="P56" s="115">
        <f>P$22*shipping_manufacturing!$G$29/100</f>
        <v>0</v>
      </c>
      <c r="Q56" s="115">
        <f>Q$22*shipping_manufacturing!$G$29/100</f>
        <v>0</v>
      </c>
      <c r="R56" s="115">
        <f>R$22*shipping_manufacturing!$G$29/100</f>
        <v>0</v>
      </c>
      <c r="S56" s="115">
        <f>S$22*shipping_manufacturing!$G$29/100</f>
        <v>0</v>
      </c>
      <c r="T56" s="115">
        <f>T$22*shipping_manufacturing!$G$29/100</f>
        <v>0</v>
      </c>
      <c r="U56" s="115">
        <f>U$22*shipping_manufacturing!$G$29/100</f>
        <v>0</v>
      </c>
      <c r="V56" s="115">
        <f>V$22*shipping_manufacturing!$G$29/100</f>
        <v>0</v>
      </c>
      <c r="W56" s="115">
        <f>W$22*shipping_manufacturing!$G$29/100</f>
        <v>0</v>
      </c>
      <c r="X56" s="115">
        <f>X$22*shipping_manufacturing!$G$29/100</f>
        <v>0</v>
      </c>
      <c r="Y56" s="115">
        <f>Y$22*shipping_manufacturing!$G$29/100</f>
        <v>0</v>
      </c>
      <c r="Z56" s="115">
        <f>Z$22*shipping_manufacturing!$G$29/100</f>
        <v>0</v>
      </c>
      <c r="AA56" s="115">
        <f>AA$22*shipping_manufacturing!$G$29/100</f>
        <v>0</v>
      </c>
      <c r="AB56" s="115">
        <f>AB$22*shipping_manufacturing!$G$29/100</f>
        <v>0</v>
      </c>
      <c r="AC56" s="115">
        <f>AC$22*shipping_manufacturing!$G$29/100</f>
        <v>0</v>
      </c>
      <c r="AD56" s="115">
        <f>AD$22*shipping_manufacturing!$G$29/100</f>
        <v>0</v>
      </c>
      <c r="AE56" s="115">
        <f>AE$22*shipping_manufacturing!$G$29/100</f>
        <v>0</v>
      </c>
      <c r="AF56" s="115">
        <f>AF$22*shipping_manufacturing!$G$29/100</f>
        <v>0</v>
      </c>
      <c r="AG56" s="115">
        <f>AG$22*shipping_manufacturing!$G$29/100</f>
        <v>0</v>
      </c>
      <c r="AH56" s="115">
        <f>AH$22*shipping_manufacturing!$G$29/100</f>
        <v>0</v>
      </c>
      <c r="AI56" s="115">
        <f>AI$22*shipping_manufacturing!$G$29/100</f>
        <v>0</v>
      </c>
      <c r="AJ56" s="115">
        <f>AJ$22*shipping_manufacturing!$G$29/100</f>
        <v>0</v>
      </c>
      <c r="AK56" s="115">
        <f>AK$22*shipping_manufacturing!$G$29/100</f>
        <v>0</v>
      </c>
      <c r="AL56" s="115">
        <f>AL$22*shipping_manufacturing!$G$29/100</f>
        <v>0</v>
      </c>
      <c r="AM56" s="115">
        <f>AM$22*shipping_manufacturing!$G$29/100</f>
        <v>0</v>
      </c>
      <c r="AN56" s="115">
        <f>AN$22*shipping_manufacturing!$G$29/100</f>
        <v>0</v>
      </c>
      <c r="AO56" s="115">
        <f>AO$22*shipping_manufacturing!$G$29/100</f>
        <v>0</v>
      </c>
      <c r="AP56" s="115">
        <f>AP$22*shipping_manufacturing!$G$29/100</f>
        <v>0</v>
      </c>
      <c r="AQ56" s="115">
        <f>AQ$22*shipping_manufacturing!$G$29/100</f>
        <v>0</v>
      </c>
      <c r="AR56" s="115">
        <f>AR$22*shipping_manufacturing!$G$29/100</f>
        <v>0</v>
      </c>
      <c r="AS56" s="115">
        <f>AS$22*shipping_manufacturing!$G$29/100</f>
        <v>0</v>
      </c>
      <c r="AT56" s="115">
        <f>AT$22*shipping_manufacturing!$G$29/100</f>
        <v>0</v>
      </c>
      <c r="AU56" s="115">
        <f>AU$22*shipping_manufacturing!$G$29/100</f>
        <v>0</v>
      </c>
      <c r="AV56" s="115">
        <f>AV$22*shipping_manufacturing!$G$29/100</f>
        <v>0</v>
      </c>
      <c r="AW56" s="115">
        <f>AW$22*shipping_manufacturing!$G$29/100</f>
        <v>0</v>
      </c>
      <c r="AX56" s="115">
        <f>AX$22*shipping_manufacturing!$G$29/100</f>
        <v>0</v>
      </c>
      <c r="AY56" s="115">
        <f>AY$22*shipping_manufacturing!$G$29/100</f>
        <v>0</v>
      </c>
    </row>
    <row r="57" spans="1:52" x14ac:dyDescent="0.2">
      <c r="A57" s="115">
        <v>2486</v>
      </c>
      <c r="B57" s="170" t="s">
        <v>344</v>
      </c>
      <c r="C57" s="115"/>
      <c r="D57" s="115">
        <f>SUM(D55:D56)</f>
        <v>0</v>
      </c>
      <c r="E57" s="115">
        <f t="shared" ref="E57:AY57" si="17">SUM(E55:E56)</f>
        <v>0</v>
      </c>
      <c r="F57" s="115">
        <f t="shared" si="17"/>
        <v>0</v>
      </c>
      <c r="G57" s="115">
        <f t="shared" si="17"/>
        <v>0</v>
      </c>
      <c r="H57" s="115">
        <f t="shared" si="17"/>
        <v>0</v>
      </c>
      <c r="I57" s="115">
        <f t="shared" si="17"/>
        <v>0</v>
      </c>
      <c r="J57" s="115">
        <f t="shared" si="17"/>
        <v>0</v>
      </c>
      <c r="K57" s="115">
        <f t="shared" si="17"/>
        <v>0</v>
      </c>
      <c r="L57" s="115">
        <f t="shared" si="17"/>
        <v>0</v>
      </c>
      <c r="M57" s="115">
        <f t="shared" si="17"/>
        <v>0</v>
      </c>
      <c r="N57" s="115">
        <f t="shared" si="17"/>
        <v>0</v>
      </c>
      <c r="O57" s="115">
        <f t="shared" si="17"/>
        <v>0</v>
      </c>
      <c r="P57" s="115">
        <f t="shared" si="17"/>
        <v>0</v>
      </c>
      <c r="Q57" s="115">
        <f t="shared" si="17"/>
        <v>0</v>
      </c>
      <c r="R57" s="115">
        <f t="shared" si="17"/>
        <v>0</v>
      </c>
      <c r="S57" s="115">
        <f t="shared" si="17"/>
        <v>0</v>
      </c>
      <c r="T57" s="115">
        <f t="shared" si="17"/>
        <v>0</v>
      </c>
      <c r="U57" s="115">
        <f t="shared" si="17"/>
        <v>0</v>
      </c>
      <c r="V57" s="115">
        <f t="shared" si="17"/>
        <v>0</v>
      </c>
      <c r="W57" s="115">
        <f t="shared" si="17"/>
        <v>0</v>
      </c>
      <c r="X57" s="115">
        <f t="shared" si="17"/>
        <v>0</v>
      </c>
      <c r="Y57" s="115">
        <f t="shared" si="17"/>
        <v>0</v>
      </c>
      <c r="Z57" s="115">
        <f t="shared" si="17"/>
        <v>0</v>
      </c>
      <c r="AA57" s="115">
        <f t="shared" si="17"/>
        <v>0</v>
      </c>
      <c r="AB57" s="115">
        <f t="shared" si="17"/>
        <v>0</v>
      </c>
      <c r="AC57" s="115">
        <f t="shared" si="17"/>
        <v>0</v>
      </c>
      <c r="AD57" s="115">
        <f t="shared" si="17"/>
        <v>0</v>
      </c>
      <c r="AE57" s="115">
        <f t="shared" si="17"/>
        <v>0</v>
      </c>
      <c r="AF57" s="115">
        <f t="shared" si="17"/>
        <v>0</v>
      </c>
      <c r="AG57" s="115">
        <f t="shared" si="17"/>
        <v>0</v>
      </c>
      <c r="AH57" s="115">
        <f t="shared" si="17"/>
        <v>0</v>
      </c>
      <c r="AI57" s="115">
        <f t="shared" si="17"/>
        <v>0</v>
      </c>
      <c r="AJ57" s="115">
        <f t="shared" si="17"/>
        <v>0</v>
      </c>
      <c r="AK57" s="115">
        <f t="shared" si="17"/>
        <v>0</v>
      </c>
      <c r="AL57" s="115">
        <f t="shared" si="17"/>
        <v>0</v>
      </c>
      <c r="AM57" s="115">
        <f t="shared" si="17"/>
        <v>0</v>
      </c>
      <c r="AN57" s="115">
        <f t="shared" si="17"/>
        <v>0</v>
      </c>
      <c r="AO57" s="115">
        <f t="shared" si="17"/>
        <v>0</v>
      </c>
      <c r="AP57" s="115">
        <f t="shared" si="17"/>
        <v>0</v>
      </c>
      <c r="AQ57" s="115">
        <f t="shared" si="17"/>
        <v>0</v>
      </c>
      <c r="AR57" s="115">
        <f t="shared" si="17"/>
        <v>0</v>
      </c>
      <c r="AS57" s="115">
        <f t="shared" si="17"/>
        <v>0</v>
      </c>
      <c r="AT57" s="115">
        <f t="shared" si="17"/>
        <v>0</v>
      </c>
      <c r="AU57" s="115">
        <f t="shared" si="17"/>
        <v>0</v>
      </c>
      <c r="AV57" s="115">
        <f t="shared" si="17"/>
        <v>0</v>
      </c>
      <c r="AW57" s="115">
        <f t="shared" si="17"/>
        <v>0</v>
      </c>
      <c r="AX57" s="115">
        <f t="shared" si="17"/>
        <v>0</v>
      </c>
      <c r="AY57" s="115">
        <f t="shared" si="17"/>
        <v>0</v>
      </c>
    </row>
    <row r="58" spans="1:52" x14ac:dyDescent="0.2">
      <c r="A58" s="115"/>
      <c r="B58" s="170" t="s">
        <v>345</v>
      </c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</row>
    <row r="59" spans="1:52" x14ac:dyDescent="0.2">
      <c r="A59" s="115"/>
      <c r="B59" s="170" t="s">
        <v>346</v>
      </c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</row>
    <row r="60" spans="1:52" x14ac:dyDescent="0.2">
      <c r="A60" s="115"/>
      <c r="B60" s="170" t="s">
        <v>347</v>
      </c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</row>
    <row r="61" spans="1:52" x14ac:dyDescent="0.2">
      <c r="A61" s="115"/>
      <c r="B61" s="170" t="s">
        <v>348</v>
      </c>
      <c r="C61" s="115"/>
      <c r="D61" s="115">
        <f>D55-D58</f>
        <v>0</v>
      </c>
      <c r="E61" s="115">
        <f t="shared" ref="E61:AY61" si="18">E55-E58</f>
        <v>0</v>
      </c>
      <c r="F61" s="115">
        <f t="shared" si="18"/>
        <v>0</v>
      </c>
      <c r="G61" s="115">
        <f t="shared" si="18"/>
        <v>0</v>
      </c>
      <c r="H61" s="115">
        <f t="shared" si="18"/>
        <v>0</v>
      </c>
      <c r="I61" s="115">
        <f t="shared" si="18"/>
        <v>0</v>
      </c>
      <c r="J61" s="115">
        <f t="shared" si="18"/>
        <v>0</v>
      </c>
      <c r="K61" s="115">
        <f t="shared" si="18"/>
        <v>0</v>
      </c>
      <c r="L61" s="115">
        <f t="shared" si="18"/>
        <v>0</v>
      </c>
      <c r="M61" s="115">
        <f t="shared" si="18"/>
        <v>0</v>
      </c>
      <c r="N61" s="115">
        <f t="shared" si="18"/>
        <v>0</v>
      </c>
      <c r="O61" s="115">
        <f t="shared" si="18"/>
        <v>0</v>
      </c>
      <c r="P61" s="115">
        <f t="shared" si="18"/>
        <v>0</v>
      </c>
      <c r="Q61" s="115">
        <f t="shared" si="18"/>
        <v>0</v>
      </c>
      <c r="R61" s="115">
        <f t="shared" si="18"/>
        <v>0</v>
      </c>
      <c r="S61" s="115">
        <f t="shared" si="18"/>
        <v>0</v>
      </c>
      <c r="T61" s="115">
        <f t="shared" si="18"/>
        <v>0</v>
      </c>
      <c r="U61" s="115">
        <f t="shared" si="18"/>
        <v>0</v>
      </c>
      <c r="V61" s="115">
        <f t="shared" si="18"/>
        <v>0</v>
      </c>
      <c r="W61" s="115">
        <f t="shared" si="18"/>
        <v>0</v>
      </c>
      <c r="X61" s="115">
        <f t="shared" si="18"/>
        <v>0</v>
      </c>
      <c r="Y61" s="115">
        <f t="shared" si="18"/>
        <v>0</v>
      </c>
      <c r="Z61" s="115">
        <f t="shared" si="18"/>
        <v>0</v>
      </c>
      <c r="AA61" s="115">
        <f t="shared" si="18"/>
        <v>0</v>
      </c>
      <c r="AB61" s="115">
        <f t="shared" si="18"/>
        <v>0</v>
      </c>
      <c r="AC61" s="115">
        <f t="shared" si="18"/>
        <v>0</v>
      </c>
      <c r="AD61" s="115">
        <f t="shared" si="18"/>
        <v>0</v>
      </c>
      <c r="AE61" s="115">
        <f t="shared" si="18"/>
        <v>0</v>
      </c>
      <c r="AF61" s="115">
        <f t="shared" si="18"/>
        <v>0</v>
      </c>
      <c r="AG61" s="115">
        <f t="shared" si="18"/>
        <v>0</v>
      </c>
      <c r="AH61" s="115">
        <f t="shared" si="18"/>
        <v>0</v>
      </c>
      <c r="AI61" s="115">
        <f t="shared" si="18"/>
        <v>0</v>
      </c>
      <c r="AJ61" s="115">
        <f t="shared" si="18"/>
        <v>0</v>
      </c>
      <c r="AK61" s="115">
        <f t="shared" si="18"/>
        <v>0</v>
      </c>
      <c r="AL61" s="115">
        <f t="shared" si="18"/>
        <v>0</v>
      </c>
      <c r="AM61" s="115">
        <f t="shared" si="18"/>
        <v>0</v>
      </c>
      <c r="AN61" s="115">
        <f t="shared" si="18"/>
        <v>0</v>
      </c>
      <c r="AO61" s="115">
        <f t="shared" si="18"/>
        <v>0</v>
      </c>
      <c r="AP61" s="115">
        <f t="shared" si="18"/>
        <v>0</v>
      </c>
      <c r="AQ61" s="115">
        <f t="shared" si="18"/>
        <v>0</v>
      </c>
      <c r="AR61" s="115">
        <f t="shared" si="18"/>
        <v>0</v>
      </c>
      <c r="AS61" s="115">
        <f t="shared" si="18"/>
        <v>0</v>
      </c>
      <c r="AT61" s="115">
        <f t="shared" si="18"/>
        <v>0</v>
      </c>
      <c r="AU61" s="115">
        <f t="shared" si="18"/>
        <v>0</v>
      </c>
      <c r="AV61" s="115">
        <f t="shared" si="18"/>
        <v>0</v>
      </c>
      <c r="AW61" s="115">
        <f t="shared" si="18"/>
        <v>0</v>
      </c>
      <c r="AX61" s="115">
        <f t="shared" si="18"/>
        <v>0</v>
      </c>
      <c r="AY61" s="115">
        <f t="shared" si="18"/>
        <v>0</v>
      </c>
    </row>
    <row r="62" spans="1:52" x14ac:dyDescent="0.2">
      <c r="A62" s="115"/>
      <c r="B62" s="170" t="s">
        <v>349</v>
      </c>
      <c r="C62" s="115"/>
      <c r="D62" s="115">
        <f>D56-D59</f>
        <v>0</v>
      </c>
      <c r="E62" s="115">
        <f t="shared" ref="E62:AY62" si="19">E56-E59</f>
        <v>0</v>
      </c>
      <c r="F62" s="115">
        <f t="shared" si="19"/>
        <v>0</v>
      </c>
      <c r="G62" s="115">
        <f t="shared" si="19"/>
        <v>0</v>
      </c>
      <c r="H62" s="115">
        <f t="shared" si="19"/>
        <v>0</v>
      </c>
      <c r="I62" s="115">
        <f t="shared" si="19"/>
        <v>0</v>
      </c>
      <c r="J62" s="115">
        <f t="shared" si="19"/>
        <v>0</v>
      </c>
      <c r="K62" s="115">
        <f t="shared" si="19"/>
        <v>0</v>
      </c>
      <c r="L62" s="115">
        <f t="shared" si="19"/>
        <v>0</v>
      </c>
      <c r="M62" s="115">
        <f t="shared" si="19"/>
        <v>0</v>
      </c>
      <c r="N62" s="115">
        <f t="shared" si="19"/>
        <v>0</v>
      </c>
      <c r="O62" s="115">
        <f t="shared" si="19"/>
        <v>0</v>
      </c>
      <c r="P62" s="115">
        <f t="shared" si="19"/>
        <v>0</v>
      </c>
      <c r="Q62" s="115">
        <f t="shared" si="19"/>
        <v>0</v>
      </c>
      <c r="R62" s="115">
        <f t="shared" si="19"/>
        <v>0</v>
      </c>
      <c r="S62" s="115">
        <f t="shared" si="19"/>
        <v>0</v>
      </c>
      <c r="T62" s="115">
        <f t="shared" si="19"/>
        <v>0</v>
      </c>
      <c r="U62" s="115">
        <f t="shared" si="19"/>
        <v>0</v>
      </c>
      <c r="V62" s="115">
        <f t="shared" si="19"/>
        <v>0</v>
      </c>
      <c r="W62" s="115">
        <f t="shared" si="19"/>
        <v>0</v>
      </c>
      <c r="X62" s="115">
        <f t="shared" si="19"/>
        <v>0</v>
      </c>
      <c r="Y62" s="115">
        <f t="shared" si="19"/>
        <v>0</v>
      </c>
      <c r="Z62" s="115">
        <f t="shared" si="19"/>
        <v>0</v>
      </c>
      <c r="AA62" s="115">
        <f t="shared" si="19"/>
        <v>0</v>
      </c>
      <c r="AB62" s="115">
        <f t="shared" si="19"/>
        <v>0</v>
      </c>
      <c r="AC62" s="115">
        <f t="shared" si="19"/>
        <v>0</v>
      </c>
      <c r="AD62" s="115">
        <f t="shared" si="19"/>
        <v>0</v>
      </c>
      <c r="AE62" s="115">
        <f t="shared" si="19"/>
        <v>0</v>
      </c>
      <c r="AF62" s="115">
        <f t="shared" si="19"/>
        <v>0</v>
      </c>
      <c r="AG62" s="115">
        <f t="shared" si="19"/>
        <v>0</v>
      </c>
      <c r="AH62" s="115">
        <f t="shared" si="19"/>
        <v>0</v>
      </c>
      <c r="AI62" s="115">
        <f t="shared" si="19"/>
        <v>0</v>
      </c>
      <c r="AJ62" s="115">
        <f t="shared" si="19"/>
        <v>0</v>
      </c>
      <c r="AK62" s="115">
        <f t="shared" si="19"/>
        <v>0</v>
      </c>
      <c r="AL62" s="115">
        <f t="shared" si="19"/>
        <v>0</v>
      </c>
      <c r="AM62" s="115">
        <f t="shared" si="19"/>
        <v>0</v>
      </c>
      <c r="AN62" s="115">
        <f t="shared" si="19"/>
        <v>0</v>
      </c>
      <c r="AO62" s="115">
        <f t="shared" si="19"/>
        <v>0</v>
      </c>
      <c r="AP62" s="115">
        <f t="shared" si="19"/>
        <v>0</v>
      </c>
      <c r="AQ62" s="115">
        <f t="shared" si="19"/>
        <v>0</v>
      </c>
      <c r="AR62" s="115">
        <f t="shared" si="19"/>
        <v>0</v>
      </c>
      <c r="AS62" s="115">
        <f t="shared" si="19"/>
        <v>0</v>
      </c>
      <c r="AT62" s="115">
        <f t="shared" si="19"/>
        <v>0</v>
      </c>
      <c r="AU62" s="115">
        <f t="shared" si="19"/>
        <v>0</v>
      </c>
      <c r="AV62" s="115">
        <f t="shared" si="19"/>
        <v>0</v>
      </c>
      <c r="AW62" s="115">
        <f t="shared" si="19"/>
        <v>0</v>
      </c>
      <c r="AX62" s="115">
        <f t="shared" si="19"/>
        <v>0</v>
      </c>
      <c r="AY62" s="115">
        <f t="shared" si="19"/>
        <v>0</v>
      </c>
    </row>
    <row r="63" spans="1:52" x14ac:dyDescent="0.2">
      <c r="A63" s="115"/>
      <c r="B63" s="170" t="s">
        <v>350</v>
      </c>
      <c r="C63" s="115"/>
      <c r="D63" s="115">
        <v>2</v>
      </c>
      <c r="E63" s="115">
        <v>2</v>
      </c>
      <c r="F63" s="115">
        <v>2</v>
      </c>
      <c r="G63" s="115">
        <v>2</v>
      </c>
      <c r="H63" s="115">
        <v>2</v>
      </c>
      <c r="I63" s="115">
        <v>3</v>
      </c>
      <c r="J63" s="115">
        <v>3</v>
      </c>
      <c r="K63" s="115">
        <v>3</v>
      </c>
      <c r="L63" s="115">
        <v>2</v>
      </c>
      <c r="M63" s="115">
        <v>2</v>
      </c>
      <c r="N63" s="115">
        <v>3</v>
      </c>
      <c r="O63" s="115">
        <v>2</v>
      </c>
      <c r="P63" s="115">
        <v>2</v>
      </c>
      <c r="Q63" s="115">
        <v>4</v>
      </c>
      <c r="R63" s="115">
        <v>2</v>
      </c>
      <c r="S63" s="115">
        <v>3</v>
      </c>
      <c r="T63" s="115">
        <v>3</v>
      </c>
      <c r="U63" s="115">
        <v>2</v>
      </c>
      <c r="V63" s="115">
        <v>3</v>
      </c>
      <c r="W63" s="115">
        <v>3</v>
      </c>
      <c r="X63" s="115">
        <v>2</v>
      </c>
      <c r="Y63" s="115">
        <v>4</v>
      </c>
      <c r="Z63" s="115">
        <v>2</v>
      </c>
      <c r="AA63" s="115">
        <v>4</v>
      </c>
      <c r="AB63" s="115">
        <v>2</v>
      </c>
      <c r="AC63" s="115">
        <v>3</v>
      </c>
      <c r="AD63" s="115">
        <v>3</v>
      </c>
      <c r="AE63" s="115">
        <v>4</v>
      </c>
      <c r="AF63" s="115">
        <v>3</v>
      </c>
      <c r="AG63" s="115">
        <v>3</v>
      </c>
      <c r="AH63" s="115">
        <v>3</v>
      </c>
      <c r="AI63" s="115">
        <v>3</v>
      </c>
      <c r="AJ63" s="115">
        <v>2</v>
      </c>
      <c r="AK63" s="115">
        <v>2</v>
      </c>
      <c r="AL63" s="115">
        <v>3</v>
      </c>
      <c r="AM63" s="115">
        <v>2</v>
      </c>
      <c r="AN63" s="115">
        <v>2</v>
      </c>
      <c r="AO63" s="115">
        <v>3</v>
      </c>
      <c r="AP63" s="115">
        <v>3</v>
      </c>
      <c r="AQ63" s="115">
        <v>3</v>
      </c>
      <c r="AR63" s="115">
        <v>2</v>
      </c>
      <c r="AS63" s="115">
        <v>2</v>
      </c>
      <c r="AT63" s="115">
        <v>2</v>
      </c>
      <c r="AU63" s="115">
        <v>2</v>
      </c>
      <c r="AV63" s="115">
        <v>3</v>
      </c>
      <c r="AW63" s="115">
        <v>2</v>
      </c>
      <c r="AX63" s="115">
        <v>2</v>
      </c>
      <c r="AY63" s="115">
        <v>2</v>
      </c>
    </row>
    <row r="64" spans="1:52" x14ac:dyDescent="0.2">
      <c r="A64" s="115"/>
      <c r="B64" s="183" t="s">
        <v>351</v>
      </c>
      <c r="C64" s="115"/>
      <c r="D64" s="115">
        <v>0</v>
      </c>
      <c r="E64" s="115">
        <v>0</v>
      </c>
      <c r="F64" s="115">
        <v>0</v>
      </c>
      <c r="G64" s="115">
        <v>0</v>
      </c>
      <c r="H64" s="115">
        <v>0</v>
      </c>
      <c r="I64" s="115">
        <v>0</v>
      </c>
      <c r="J64" s="115">
        <v>0</v>
      </c>
      <c r="K64" s="115">
        <v>0</v>
      </c>
      <c r="L64" s="115">
        <v>0</v>
      </c>
      <c r="M64" s="115">
        <v>0</v>
      </c>
      <c r="N64" s="115">
        <v>0</v>
      </c>
      <c r="O64" s="115">
        <v>0</v>
      </c>
      <c r="P64" s="115">
        <v>0</v>
      </c>
      <c r="Q64" s="115">
        <v>0</v>
      </c>
      <c r="R64" s="115">
        <v>0</v>
      </c>
      <c r="S64" s="115">
        <v>0</v>
      </c>
      <c r="T64" s="115">
        <v>0</v>
      </c>
      <c r="U64" s="115">
        <v>0</v>
      </c>
      <c r="V64" s="115">
        <v>0</v>
      </c>
      <c r="W64" s="115">
        <v>0</v>
      </c>
      <c r="X64" s="115">
        <v>0</v>
      </c>
      <c r="Y64" s="115">
        <v>0</v>
      </c>
      <c r="Z64" s="115">
        <v>0</v>
      </c>
      <c r="AA64" s="115">
        <v>0</v>
      </c>
      <c r="AB64" s="115">
        <v>0</v>
      </c>
      <c r="AC64" s="115">
        <v>0</v>
      </c>
      <c r="AD64" s="115">
        <v>0</v>
      </c>
      <c r="AE64" s="115">
        <v>0</v>
      </c>
      <c r="AF64" s="115">
        <v>0</v>
      </c>
      <c r="AG64" s="115">
        <v>0</v>
      </c>
      <c r="AH64" s="115">
        <v>0</v>
      </c>
      <c r="AI64" s="115">
        <v>0</v>
      </c>
      <c r="AJ64" s="115">
        <v>0</v>
      </c>
      <c r="AK64" s="115">
        <v>0</v>
      </c>
      <c r="AL64" s="115">
        <v>0</v>
      </c>
      <c r="AM64" s="115">
        <v>0</v>
      </c>
      <c r="AN64" s="115">
        <v>0</v>
      </c>
      <c r="AO64" s="115">
        <v>0</v>
      </c>
      <c r="AP64" s="115">
        <v>0</v>
      </c>
      <c r="AQ64" s="115">
        <v>0</v>
      </c>
      <c r="AR64" s="115">
        <v>0</v>
      </c>
      <c r="AS64" s="115">
        <v>0</v>
      </c>
      <c r="AT64" s="115">
        <v>0</v>
      </c>
      <c r="AU64" s="115">
        <v>0</v>
      </c>
      <c r="AV64" s="115">
        <v>0</v>
      </c>
      <c r="AW64" s="115">
        <v>0</v>
      </c>
      <c r="AX64" s="115">
        <v>0</v>
      </c>
      <c r="AY64" s="115">
        <v>0</v>
      </c>
      <c r="AZ64" s="105">
        <f>SUM($D$64:$AY$64)</f>
        <v>0</v>
      </c>
    </row>
    <row r="65" spans="1:52" x14ac:dyDescent="0.2">
      <c r="A65" s="115"/>
      <c r="B65" s="183" t="s">
        <v>352</v>
      </c>
      <c r="C65" s="115"/>
      <c r="D65" s="115">
        <v>0</v>
      </c>
      <c r="E65" s="115">
        <v>0</v>
      </c>
      <c r="F65" s="115">
        <v>0</v>
      </c>
      <c r="G65" s="115">
        <v>0</v>
      </c>
      <c r="H65" s="115">
        <v>0</v>
      </c>
      <c r="I65" s="115">
        <v>0</v>
      </c>
      <c r="J65" s="115">
        <v>0</v>
      </c>
      <c r="K65" s="115">
        <v>0</v>
      </c>
      <c r="L65" s="115">
        <v>0</v>
      </c>
      <c r="M65" s="115">
        <v>0</v>
      </c>
      <c r="N65" s="115">
        <v>0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15">
        <v>0</v>
      </c>
      <c r="V65" s="115">
        <v>0</v>
      </c>
      <c r="W65" s="115">
        <v>0</v>
      </c>
      <c r="X65" s="115">
        <v>0</v>
      </c>
      <c r="Y65" s="115">
        <v>0</v>
      </c>
      <c r="Z65" s="115">
        <v>0</v>
      </c>
      <c r="AA65" s="115">
        <v>0</v>
      </c>
      <c r="AB65" s="115">
        <v>0</v>
      </c>
      <c r="AC65" s="115">
        <v>0</v>
      </c>
      <c r="AD65" s="115">
        <v>0</v>
      </c>
      <c r="AE65" s="115">
        <v>0</v>
      </c>
      <c r="AF65" s="115">
        <v>0</v>
      </c>
      <c r="AG65" s="115">
        <v>0</v>
      </c>
      <c r="AH65" s="115">
        <v>0</v>
      </c>
      <c r="AI65" s="115">
        <v>0</v>
      </c>
      <c r="AJ65" s="115">
        <v>0</v>
      </c>
      <c r="AK65" s="115">
        <v>0</v>
      </c>
      <c r="AL65" s="115">
        <v>0</v>
      </c>
      <c r="AM65" s="115">
        <v>0</v>
      </c>
      <c r="AN65" s="115">
        <v>0</v>
      </c>
      <c r="AO65" s="115">
        <v>0</v>
      </c>
      <c r="AP65" s="115">
        <v>0</v>
      </c>
      <c r="AQ65" s="115">
        <v>0</v>
      </c>
      <c r="AR65" s="115">
        <v>0</v>
      </c>
      <c r="AS65" s="115">
        <v>0</v>
      </c>
      <c r="AT65" s="115">
        <v>0</v>
      </c>
      <c r="AU65" s="115">
        <v>0</v>
      </c>
      <c r="AV65" s="115">
        <v>0</v>
      </c>
      <c r="AW65" s="115">
        <v>0</v>
      </c>
      <c r="AX65" s="115">
        <v>0</v>
      </c>
      <c r="AY65" s="115">
        <v>0</v>
      </c>
      <c r="AZ65" s="105">
        <f>SUM($D$65:$AY$65)</f>
        <v>0</v>
      </c>
    </row>
    <row r="66" spans="1:52" x14ac:dyDescent="0.2">
      <c r="A66" s="140" t="s">
        <v>70</v>
      </c>
      <c r="B66" s="140" t="s">
        <v>342</v>
      </c>
      <c r="C66" s="129"/>
      <c r="D66" s="129">
        <f>D$21*shipping_manufacturing!$F$30/100</f>
        <v>0</v>
      </c>
      <c r="E66" s="129">
        <f>E$21*shipping_manufacturing!$F$30/100</f>
        <v>0</v>
      </c>
      <c r="F66" s="129">
        <f>F$21*shipping_manufacturing!$F$30/100</f>
        <v>0</v>
      </c>
      <c r="G66" s="129">
        <f>G$21*shipping_manufacturing!$F$30/100</f>
        <v>0</v>
      </c>
      <c r="H66" s="129">
        <f>H$21*shipping_manufacturing!$F$30/100</f>
        <v>0</v>
      </c>
      <c r="I66" s="129">
        <f>I$21*shipping_manufacturing!$F$30/100</f>
        <v>0</v>
      </c>
      <c r="J66" s="129">
        <f>J$21*shipping_manufacturing!$F$30/100</f>
        <v>0</v>
      </c>
      <c r="K66" s="129">
        <f>K$21*shipping_manufacturing!$F$30/100</f>
        <v>0</v>
      </c>
      <c r="L66" s="129">
        <f>L$21*shipping_manufacturing!$F$30/100</f>
        <v>0</v>
      </c>
      <c r="M66" s="129">
        <f>M$21*shipping_manufacturing!$F$30/100</f>
        <v>0</v>
      </c>
      <c r="N66" s="129">
        <f>N$21*shipping_manufacturing!$F$30/100</f>
        <v>0</v>
      </c>
      <c r="O66" s="129">
        <f>O$21*shipping_manufacturing!$F$30/100</f>
        <v>0</v>
      </c>
      <c r="P66" s="129">
        <f>P$21*shipping_manufacturing!$F$30/100</f>
        <v>0</v>
      </c>
      <c r="Q66" s="129">
        <f>Q$21*shipping_manufacturing!$F$30/100</f>
        <v>0</v>
      </c>
      <c r="R66" s="129">
        <f>R$21*shipping_manufacturing!$F$30/100</f>
        <v>0</v>
      </c>
      <c r="S66" s="129">
        <f>S$21*shipping_manufacturing!$F$30/100</f>
        <v>0</v>
      </c>
      <c r="T66" s="129">
        <f>T$21*shipping_manufacturing!$F$30/100</f>
        <v>0</v>
      </c>
      <c r="U66" s="129">
        <f>U$21*shipping_manufacturing!$F$30/100</f>
        <v>0</v>
      </c>
      <c r="V66" s="129">
        <f>V$21*shipping_manufacturing!$F$30/100</f>
        <v>0</v>
      </c>
      <c r="W66" s="129">
        <f>W$21*shipping_manufacturing!$F$30/100</f>
        <v>0</v>
      </c>
      <c r="X66" s="129">
        <f>X$21*shipping_manufacturing!$F$30/100</f>
        <v>0</v>
      </c>
      <c r="Y66" s="129">
        <f>Y$21*shipping_manufacturing!$F$30/100</f>
        <v>0</v>
      </c>
      <c r="Z66" s="129">
        <f>Z$21*shipping_manufacturing!$F$30/100</f>
        <v>0</v>
      </c>
      <c r="AA66" s="129">
        <f>AA$21*shipping_manufacturing!$F$30/100</f>
        <v>0</v>
      </c>
      <c r="AB66" s="129">
        <f>AB$21*shipping_manufacturing!$F$30/100</f>
        <v>0</v>
      </c>
      <c r="AC66" s="129">
        <f>AC$21*shipping_manufacturing!$F$30/100</f>
        <v>0</v>
      </c>
      <c r="AD66" s="129">
        <f>AD$21*shipping_manufacturing!$F$30/100</f>
        <v>0</v>
      </c>
      <c r="AE66" s="129">
        <f>AE$21*shipping_manufacturing!$F$30/100</f>
        <v>0</v>
      </c>
      <c r="AF66" s="129">
        <f>AF$21*shipping_manufacturing!$F$30/100</f>
        <v>0</v>
      </c>
      <c r="AG66" s="129">
        <f>AG$21*shipping_manufacturing!$F$30/100</f>
        <v>0</v>
      </c>
      <c r="AH66" s="129">
        <f>AH$21*shipping_manufacturing!$F$30/100</f>
        <v>0</v>
      </c>
      <c r="AI66" s="129">
        <f>AI$21*shipping_manufacturing!$F$30/100</f>
        <v>0</v>
      </c>
      <c r="AJ66" s="129">
        <f>AJ$21*shipping_manufacturing!$F$30/100</f>
        <v>0</v>
      </c>
      <c r="AK66" s="129">
        <f>AK$21*shipping_manufacturing!$F$30/100</f>
        <v>0</v>
      </c>
      <c r="AL66" s="129">
        <f>AL$21*shipping_manufacturing!$F$30/100</f>
        <v>0</v>
      </c>
      <c r="AM66" s="129">
        <f>AM$21*shipping_manufacturing!$F$30/100</f>
        <v>0</v>
      </c>
      <c r="AN66" s="129">
        <f>AN$21*shipping_manufacturing!$F$30/100</f>
        <v>0</v>
      </c>
      <c r="AO66" s="129">
        <f>AO$21*shipping_manufacturing!$F$30/100</f>
        <v>0</v>
      </c>
      <c r="AP66" s="129">
        <f>AP$21*shipping_manufacturing!$F$30/100</f>
        <v>0</v>
      </c>
      <c r="AQ66" s="129">
        <f>AQ$21*shipping_manufacturing!$F$30/100</f>
        <v>0</v>
      </c>
      <c r="AR66" s="129">
        <f>AR$21*shipping_manufacturing!$F$30/100</f>
        <v>0</v>
      </c>
      <c r="AS66" s="129">
        <f>AS$21*shipping_manufacturing!$F$30/100</f>
        <v>0</v>
      </c>
      <c r="AT66" s="129">
        <f>AT$21*shipping_manufacturing!$F$30/100</f>
        <v>0</v>
      </c>
      <c r="AU66" s="129">
        <f>AU$21*shipping_manufacturing!$F$30/100</f>
        <v>0</v>
      </c>
      <c r="AV66" s="129">
        <f>AV$21*shipping_manufacturing!$F$30/100</f>
        <v>0</v>
      </c>
      <c r="AW66" s="129">
        <f>AW$21*shipping_manufacturing!$F$30/100</f>
        <v>0</v>
      </c>
      <c r="AX66" s="129">
        <f>AX$21*shipping_manufacturing!$F$30/100</f>
        <v>0</v>
      </c>
      <c r="AY66" s="129">
        <f>AY$21*shipping_manufacturing!$F$30/100</f>
        <v>0</v>
      </c>
    </row>
    <row r="67" spans="1:52" x14ac:dyDescent="0.2">
      <c r="A67" s="118" t="s">
        <v>341</v>
      </c>
      <c r="B67" s="170" t="s">
        <v>343</v>
      </c>
      <c r="C67" s="115"/>
      <c r="D67" s="115">
        <f>D$22*shipping_manufacturing!$G$30/100</f>
        <v>0</v>
      </c>
      <c r="E67" s="115">
        <f>E$22*shipping_manufacturing!$G$30/100</f>
        <v>0</v>
      </c>
      <c r="F67" s="115">
        <f>F$22*shipping_manufacturing!$G$30/100</f>
        <v>0</v>
      </c>
      <c r="G67" s="115">
        <f>G$22*shipping_manufacturing!$G$30/100</f>
        <v>0</v>
      </c>
      <c r="H67" s="115">
        <f>H$22*shipping_manufacturing!$G$30/100</f>
        <v>0</v>
      </c>
      <c r="I67" s="115">
        <f>I$22*shipping_manufacturing!$G$30/100</f>
        <v>0</v>
      </c>
      <c r="J67" s="115">
        <f>J$22*shipping_manufacturing!$G$30/100</f>
        <v>0</v>
      </c>
      <c r="K67" s="115">
        <f>K$22*shipping_manufacturing!$G$30/100</f>
        <v>0</v>
      </c>
      <c r="L67" s="115">
        <f>L$22*shipping_manufacturing!$G$30/100</f>
        <v>0</v>
      </c>
      <c r="M67" s="115">
        <f>M$22*shipping_manufacturing!$G$30/100</f>
        <v>0</v>
      </c>
      <c r="N67" s="115">
        <f>N$22*shipping_manufacturing!$G$30/100</f>
        <v>0</v>
      </c>
      <c r="O67" s="115">
        <f>O$22*shipping_manufacturing!$G$30/100</f>
        <v>0</v>
      </c>
      <c r="P67" s="115">
        <f>P$22*shipping_manufacturing!$G$30/100</f>
        <v>0</v>
      </c>
      <c r="Q67" s="115">
        <f>Q$22*shipping_manufacturing!$G$30/100</f>
        <v>0</v>
      </c>
      <c r="R67" s="115">
        <f>R$22*shipping_manufacturing!$G$30/100</f>
        <v>0</v>
      </c>
      <c r="S67" s="115">
        <f>S$22*shipping_manufacturing!$G$30/100</f>
        <v>0</v>
      </c>
      <c r="T67" s="115">
        <f>T$22*shipping_manufacturing!$G$30/100</f>
        <v>0</v>
      </c>
      <c r="U67" s="115">
        <f>U$22*shipping_manufacturing!$G$30/100</f>
        <v>0</v>
      </c>
      <c r="V67" s="115">
        <f>V$22*shipping_manufacturing!$G$30/100</f>
        <v>0</v>
      </c>
      <c r="W67" s="115">
        <f>W$22*shipping_manufacturing!$G$30/100</f>
        <v>0</v>
      </c>
      <c r="X67" s="115">
        <f>X$22*shipping_manufacturing!$G$30/100</f>
        <v>0</v>
      </c>
      <c r="Y67" s="115">
        <f>Y$22*shipping_manufacturing!$G$30/100</f>
        <v>0</v>
      </c>
      <c r="Z67" s="115">
        <f>Z$22*shipping_manufacturing!$G$30/100</f>
        <v>0</v>
      </c>
      <c r="AA67" s="115">
        <f>AA$22*shipping_manufacturing!$G$30/100</f>
        <v>0</v>
      </c>
      <c r="AB67" s="115">
        <f>AB$22*shipping_manufacturing!$G$30/100</f>
        <v>0</v>
      </c>
      <c r="AC67" s="115">
        <f>AC$22*shipping_manufacturing!$G$30/100</f>
        <v>0</v>
      </c>
      <c r="AD67" s="115">
        <f>AD$22*shipping_manufacturing!$G$30/100</f>
        <v>0</v>
      </c>
      <c r="AE67" s="115">
        <f>AE$22*shipping_manufacturing!$G$30/100</f>
        <v>0</v>
      </c>
      <c r="AF67" s="115">
        <f>AF$22*shipping_manufacturing!$G$30/100</f>
        <v>0</v>
      </c>
      <c r="AG67" s="115">
        <f>AG$22*shipping_manufacturing!$G$30/100</f>
        <v>0</v>
      </c>
      <c r="AH67" s="115">
        <f>AH$22*shipping_manufacturing!$G$30/100</f>
        <v>0</v>
      </c>
      <c r="AI67" s="115">
        <f>AI$22*shipping_manufacturing!$G$30/100</f>
        <v>0</v>
      </c>
      <c r="AJ67" s="115">
        <f>AJ$22*shipping_manufacturing!$G$30/100</f>
        <v>0</v>
      </c>
      <c r="AK67" s="115">
        <f>AK$22*shipping_manufacturing!$G$30/100</f>
        <v>0</v>
      </c>
      <c r="AL67" s="115">
        <f>AL$22*shipping_manufacturing!$G$30/100</f>
        <v>0</v>
      </c>
      <c r="AM67" s="115">
        <f>AM$22*shipping_manufacturing!$G$30/100</f>
        <v>0</v>
      </c>
      <c r="AN67" s="115">
        <f>AN$22*shipping_manufacturing!$G$30/100</f>
        <v>0</v>
      </c>
      <c r="AO67" s="115">
        <f>AO$22*shipping_manufacturing!$G$30/100</f>
        <v>0</v>
      </c>
      <c r="AP67" s="115">
        <f>AP$22*shipping_manufacturing!$G$30/100</f>
        <v>0</v>
      </c>
      <c r="AQ67" s="115">
        <f>AQ$22*shipping_manufacturing!$G$30/100</f>
        <v>0</v>
      </c>
      <c r="AR67" s="115">
        <f>AR$22*shipping_manufacturing!$G$30/100</f>
        <v>0</v>
      </c>
      <c r="AS67" s="115">
        <f>AS$22*shipping_manufacturing!$G$30/100</f>
        <v>0</v>
      </c>
      <c r="AT67" s="115">
        <f>AT$22*shipping_manufacturing!$G$30/100</f>
        <v>0</v>
      </c>
      <c r="AU67" s="115">
        <f>AU$22*shipping_manufacturing!$G$30/100</f>
        <v>0</v>
      </c>
      <c r="AV67" s="115">
        <f>AV$22*shipping_manufacturing!$G$30/100</f>
        <v>0</v>
      </c>
      <c r="AW67" s="115">
        <f>AW$22*shipping_manufacturing!$G$30/100</f>
        <v>0</v>
      </c>
      <c r="AX67" s="115">
        <f>AX$22*shipping_manufacturing!$G$30/100</f>
        <v>0</v>
      </c>
      <c r="AY67" s="115">
        <f>AY$22*shipping_manufacturing!$G$30/100</f>
        <v>0</v>
      </c>
    </row>
    <row r="68" spans="1:52" x14ac:dyDescent="0.2">
      <c r="A68" s="115">
        <v>719</v>
      </c>
      <c r="B68" s="170" t="s">
        <v>344</v>
      </c>
      <c r="C68" s="115"/>
      <c r="D68" s="115">
        <f>SUM(D66:D67)</f>
        <v>0</v>
      </c>
      <c r="E68" s="115">
        <f t="shared" ref="E68:AY68" si="20">SUM(E66:E67)</f>
        <v>0</v>
      </c>
      <c r="F68" s="115">
        <f t="shared" si="20"/>
        <v>0</v>
      </c>
      <c r="G68" s="115">
        <f t="shared" si="20"/>
        <v>0</v>
      </c>
      <c r="H68" s="115">
        <f t="shared" si="20"/>
        <v>0</v>
      </c>
      <c r="I68" s="115">
        <f t="shared" si="20"/>
        <v>0</v>
      </c>
      <c r="J68" s="115">
        <f t="shared" si="20"/>
        <v>0</v>
      </c>
      <c r="K68" s="115">
        <f t="shared" si="20"/>
        <v>0</v>
      </c>
      <c r="L68" s="115">
        <f t="shared" si="20"/>
        <v>0</v>
      </c>
      <c r="M68" s="115">
        <f t="shared" si="20"/>
        <v>0</v>
      </c>
      <c r="N68" s="115">
        <f t="shared" si="20"/>
        <v>0</v>
      </c>
      <c r="O68" s="115">
        <f t="shared" si="20"/>
        <v>0</v>
      </c>
      <c r="P68" s="115">
        <f t="shared" si="20"/>
        <v>0</v>
      </c>
      <c r="Q68" s="115">
        <f t="shared" si="20"/>
        <v>0</v>
      </c>
      <c r="R68" s="115">
        <f t="shared" si="20"/>
        <v>0</v>
      </c>
      <c r="S68" s="115">
        <f t="shared" si="20"/>
        <v>0</v>
      </c>
      <c r="T68" s="115">
        <f t="shared" si="20"/>
        <v>0</v>
      </c>
      <c r="U68" s="115">
        <f t="shared" si="20"/>
        <v>0</v>
      </c>
      <c r="V68" s="115">
        <f t="shared" si="20"/>
        <v>0</v>
      </c>
      <c r="W68" s="115">
        <f t="shared" si="20"/>
        <v>0</v>
      </c>
      <c r="X68" s="115">
        <f t="shared" si="20"/>
        <v>0</v>
      </c>
      <c r="Y68" s="115">
        <f t="shared" si="20"/>
        <v>0</v>
      </c>
      <c r="Z68" s="115">
        <f t="shared" si="20"/>
        <v>0</v>
      </c>
      <c r="AA68" s="115">
        <f t="shared" si="20"/>
        <v>0</v>
      </c>
      <c r="AB68" s="115">
        <f t="shared" si="20"/>
        <v>0</v>
      </c>
      <c r="AC68" s="115">
        <f t="shared" si="20"/>
        <v>0</v>
      </c>
      <c r="AD68" s="115">
        <f t="shared" si="20"/>
        <v>0</v>
      </c>
      <c r="AE68" s="115">
        <f t="shared" si="20"/>
        <v>0</v>
      </c>
      <c r="AF68" s="115">
        <f t="shared" si="20"/>
        <v>0</v>
      </c>
      <c r="AG68" s="115">
        <f t="shared" si="20"/>
        <v>0</v>
      </c>
      <c r="AH68" s="115">
        <f t="shared" si="20"/>
        <v>0</v>
      </c>
      <c r="AI68" s="115">
        <f t="shared" si="20"/>
        <v>0</v>
      </c>
      <c r="AJ68" s="115">
        <f t="shared" si="20"/>
        <v>0</v>
      </c>
      <c r="AK68" s="115">
        <f t="shared" si="20"/>
        <v>0</v>
      </c>
      <c r="AL68" s="115">
        <f t="shared" si="20"/>
        <v>0</v>
      </c>
      <c r="AM68" s="115">
        <f t="shared" si="20"/>
        <v>0</v>
      </c>
      <c r="AN68" s="115">
        <f t="shared" si="20"/>
        <v>0</v>
      </c>
      <c r="AO68" s="115">
        <f t="shared" si="20"/>
        <v>0</v>
      </c>
      <c r="AP68" s="115">
        <f t="shared" si="20"/>
        <v>0</v>
      </c>
      <c r="AQ68" s="115">
        <f t="shared" si="20"/>
        <v>0</v>
      </c>
      <c r="AR68" s="115">
        <f t="shared" si="20"/>
        <v>0</v>
      </c>
      <c r="AS68" s="115">
        <f t="shared" si="20"/>
        <v>0</v>
      </c>
      <c r="AT68" s="115">
        <f t="shared" si="20"/>
        <v>0</v>
      </c>
      <c r="AU68" s="115">
        <f t="shared" si="20"/>
        <v>0</v>
      </c>
      <c r="AV68" s="115">
        <f t="shared" si="20"/>
        <v>0</v>
      </c>
      <c r="AW68" s="115">
        <f t="shared" si="20"/>
        <v>0</v>
      </c>
      <c r="AX68" s="115">
        <f t="shared" si="20"/>
        <v>0</v>
      </c>
      <c r="AY68" s="115">
        <f t="shared" si="20"/>
        <v>0</v>
      </c>
    </row>
    <row r="69" spans="1:52" x14ac:dyDescent="0.2">
      <c r="A69" s="115"/>
      <c r="B69" s="170" t="s">
        <v>345</v>
      </c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</row>
    <row r="70" spans="1:52" x14ac:dyDescent="0.2">
      <c r="A70" s="115"/>
      <c r="B70" s="170" t="s">
        <v>346</v>
      </c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</row>
    <row r="71" spans="1:52" x14ac:dyDescent="0.2">
      <c r="A71" s="115"/>
      <c r="B71" s="170" t="s">
        <v>347</v>
      </c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</row>
    <row r="72" spans="1:52" x14ac:dyDescent="0.2">
      <c r="A72" s="115"/>
      <c r="B72" s="170" t="s">
        <v>348</v>
      </c>
      <c r="C72" s="115"/>
      <c r="D72" s="115">
        <f>D66-D69</f>
        <v>0</v>
      </c>
      <c r="E72" s="115">
        <f t="shared" ref="E72:AY72" si="21">E66-E69</f>
        <v>0</v>
      </c>
      <c r="F72" s="115">
        <f t="shared" si="21"/>
        <v>0</v>
      </c>
      <c r="G72" s="115">
        <f t="shared" si="21"/>
        <v>0</v>
      </c>
      <c r="H72" s="115">
        <f t="shared" si="21"/>
        <v>0</v>
      </c>
      <c r="I72" s="115">
        <f t="shared" si="21"/>
        <v>0</v>
      </c>
      <c r="J72" s="115">
        <f t="shared" si="21"/>
        <v>0</v>
      </c>
      <c r="K72" s="115">
        <f t="shared" si="21"/>
        <v>0</v>
      </c>
      <c r="L72" s="115">
        <f t="shared" si="21"/>
        <v>0</v>
      </c>
      <c r="M72" s="115">
        <f t="shared" si="21"/>
        <v>0</v>
      </c>
      <c r="N72" s="115">
        <f t="shared" si="21"/>
        <v>0</v>
      </c>
      <c r="O72" s="115">
        <f t="shared" si="21"/>
        <v>0</v>
      </c>
      <c r="P72" s="115">
        <f t="shared" si="21"/>
        <v>0</v>
      </c>
      <c r="Q72" s="115">
        <f t="shared" si="21"/>
        <v>0</v>
      </c>
      <c r="R72" s="115">
        <f t="shared" si="21"/>
        <v>0</v>
      </c>
      <c r="S72" s="115">
        <f t="shared" si="21"/>
        <v>0</v>
      </c>
      <c r="T72" s="115">
        <f t="shared" si="21"/>
        <v>0</v>
      </c>
      <c r="U72" s="115">
        <f t="shared" si="21"/>
        <v>0</v>
      </c>
      <c r="V72" s="115">
        <f t="shared" si="21"/>
        <v>0</v>
      </c>
      <c r="W72" s="115">
        <f t="shared" si="21"/>
        <v>0</v>
      </c>
      <c r="X72" s="115">
        <f t="shared" si="21"/>
        <v>0</v>
      </c>
      <c r="Y72" s="115">
        <f t="shared" si="21"/>
        <v>0</v>
      </c>
      <c r="Z72" s="115">
        <f t="shared" si="21"/>
        <v>0</v>
      </c>
      <c r="AA72" s="115">
        <f t="shared" si="21"/>
        <v>0</v>
      </c>
      <c r="AB72" s="115">
        <f t="shared" si="21"/>
        <v>0</v>
      </c>
      <c r="AC72" s="115">
        <f t="shared" si="21"/>
        <v>0</v>
      </c>
      <c r="AD72" s="115">
        <f t="shared" si="21"/>
        <v>0</v>
      </c>
      <c r="AE72" s="115">
        <f t="shared" si="21"/>
        <v>0</v>
      </c>
      <c r="AF72" s="115">
        <f t="shared" si="21"/>
        <v>0</v>
      </c>
      <c r="AG72" s="115">
        <f t="shared" si="21"/>
        <v>0</v>
      </c>
      <c r="AH72" s="115">
        <f t="shared" si="21"/>
        <v>0</v>
      </c>
      <c r="AI72" s="115">
        <f t="shared" si="21"/>
        <v>0</v>
      </c>
      <c r="AJ72" s="115">
        <f t="shared" si="21"/>
        <v>0</v>
      </c>
      <c r="AK72" s="115">
        <f t="shared" si="21"/>
        <v>0</v>
      </c>
      <c r="AL72" s="115">
        <f t="shared" si="21"/>
        <v>0</v>
      </c>
      <c r="AM72" s="115">
        <f t="shared" si="21"/>
        <v>0</v>
      </c>
      <c r="AN72" s="115">
        <f t="shared" si="21"/>
        <v>0</v>
      </c>
      <c r="AO72" s="115">
        <f t="shared" si="21"/>
        <v>0</v>
      </c>
      <c r="AP72" s="115">
        <f t="shared" si="21"/>
        <v>0</v>
      </c>
      <c r="AQ72" s="115">
        <f t="shared" si="21"/>
        <v>0</v>
      </c>
      <c r="AR72" s="115">
        <f t="shared" si="21"/>
        <v>0</v>
      </c>
      <c r="AS72" s="115">
        <f t="shared" si="21"/>
        <v>0</v>
      </c>
      <c r="AT72" s="115">
        <f t="shared" si="21"/>
        <v>0</v>
      </c>
      <c r="AU72" s="115">
        <f t="shared" si="21"/>
        <v>0</v>
      </c>
      <c r="AV72" s="115">
        <f t="shared" si="21"/>
        <v>0</v>
      </c>
      <c r="AW72" s="115">
        <f t="shared" si="21"/>
        <v>0</v>
      </c>
      <c r="AX72" s="115">
        <f t="shared" si="21"/>
        <v>0</v>
      </c>
      <c r="AY72" s="115">
        <f t="shared" si="21"/>
        <v>0</v>
      </c>
    </row>
    <row r="73" spans="1:52" x14ac:dyDescent="0.2">
      <c r="A73" s="115"/>
      <c r="B73" s="170" t="s">
        <v>349</v>
      </c>
      <c r="C73" s="115"/>
      <c r="D73" s="115">
        <f>D67-D70</f>
        <v>0</v>
      </c>
      <c r="E73" s="115">
        <f t="shared" ref="E73:AY73" si="22">E67-E70</f>
        <v>0</v>
      </c>
      <c r="F73" s="115">
        <f t="shared" si="22"/>
        <v>0</v>
      </c>
      <c r="G73" s="115">
        <f t="shared" si="22"/>
        <v>0</v>
      </c>
      <c r="H73" s="115">
        <f t="shared" si="22"/>
        <v>0</v>
      </c>
      <c r="I73" s="115">
        <f t="shared" si="22"/>
        <v>0</v>
      </c>
      <c r="J73" s="115">
        <f t="shared" si="22"/>
        <v>0</v>
      </c>
      <c r="K73" s="115">
        <f t="shared" si="22"/>
        <v>0</v>
      </c>
      <c r="L73" s="115">
        <f t="shared" si="22"/>
        <v>0</v>
      </c>
      <c r="M73" s="115">
        <f t="shared" si="22"/>
        <v>0</v>
      </c>
      <c r="N73" s="115">
        <f t="shared" si="22"/>
        <v>0</v>
      </c>
      <c r="O73" s="115">
        <f t="shared" si="22"/>
        <v>0</v>
      </c>
      <c r="P73" s="115">
        <f t="shared" si="22"/>
        <v>0</v>
      </c>
      <c r="Q73" s="115">
        <f t="shared" si="22"/>
        <v>0</v>
      </c>
      <c r="R73" s="115">
        <f t="shared" si="22"/>
        <v>0</v>
      </c>
      <c r="S73" s="115">
        <f t="shared" si="22"/>
        <v>0</v>
      </c>
      <c r="T73" s="115">
        <f t="shared" si="22"/>
        <v>0</v>
      </c>
      <c r="U73" s="115">
        <f t="shared" si="22"/>
        <v>0</v>
      </c>
      <c r="V73" s="115">
        <f t="shared" si="22"/>
        <v>0</v>
      </c>
      <c r="W73" s="115">
        <f t="shared" si="22"/>
        <v>0</v>
      </c>
      <c r="X73" s="115">
        <f t="shared" si="22"/>
        <v>0</v>
      </c>
      <c r="Y73" s="115">
        <f t="shared" si="22"/>
        <v>0</v>
      </c>
      <c r="Z73" s="115">
        <f t="shared" si="22"/>
        <v>0</v>
      </c>
      <c r="AA73" s="115">
        <f t="shared" si="22"/>
        <v>0</v>
      </c>
      <c r="AB73" s="115">
        <f t="shared" si="22"/>
        <v>0</v>
      </c>
      <c r="AC73" s="115">
        <f t="shared" si="22"/>
        <v>0</v>
      </c>
      <c r="AD73" s="115">
        <f t="shared" si="22"/>
        <v>0</v>
      </c>
      <c r="AE73" s="115">
        <f t="shared" si="22"/>
        <v>0</v>
      </c>
      <c r="AF73" s="115">
        <f t="shared" si="22"/>
        <v>0</v>
      </c>
      <c r="AG73" s="115">
        <f t="shared" si="22"/>
        <v>0</v>
      </c>
      <c r="AH73" s="115">
        <f t="shared" si="22"/>
        <v>0</v>
      </c>
      <c r="AI73" s="115">
        <f t="shared" si="22"/>
        <v>0</v>
      </c>
      <c r="AJ73" s="115">
        <f t="shared" si="22"/>
        <v>0</v>
      </c>
      <c r="AK73" s="115">
        <f t="shared" si="22"/>
        <v>0</v>
      </c>
      <c r="AL73" s="115">
        <f t="shared" si="22"/>
        <v>0</v>
      </c>
      <c r="AM73" s="115">
        <f t="shared" si="22"/>
        <v>0</v>
      </c>
      <c r="AN73" s="115">
        <f t="shared" si="22"/>
        <v>0</v>
      </c>
      <c r="AO73" s="115">
        <f t="shared" si="22"/>
        <v>0</v>
      </c>
      <c r="AP73" s="115">
        <f t="shared" si="22"/>
        <v>0</v>
      </c>
      <c r="AQ73" s="115">
        <f t="shared" si="22"/>
        <v>0</v>
      </c>
      <c r="AR73" s="115">
        <f t="shared" si="22"/>
        <v>0</v>
      </c>
      <c r="AS73" s="115">
        <f t="shared" si="22"/>
        <v>0</v>
      </c>
      <c r="AT73" s="115">
        <f t="shared" si="22"/>
        <v>0</v>
      </c>
      <c r="AU73" s="115">
        <f t="shared" si="22"/>
        <v>0</v>
      </c>
      <c r="AV73" s="115">
        <f t="shared" si="22"/>
        <v>0</v>
      </c>
      <c r="AW73" s="115">
        <f t="shared" si="22"/>
        <v>0</v>
      </c>
      <c r="AX73" s="115">
        <f t="shared" si="22"/>
        <v>0</v>
      </c>
      <c r="AY73" s="115">
        <f t="shared" si="22"/>
        <v>0</v>
      </c>
    </row>
    <row r="74" spans="1:52" x14ac:dyDescent="0.2">
      <c r="A74" s="115"/>
      <c r="B74" s="170" t="s">
        <v>350</v>
      </c>
      <c r="C74" s="115"/>
      <c r="D74" s="115">
        <v>2</v>
      </c>
      <c r="E74" s="115">
        <v>1</v>
      </c>
      <c r="F74" s="115">
        <v>1</v>
      </c>
      <c r="G74" s="115">
        <v>2</v>
      </c>
      <c r="H74" s="115">
        <v>1</v>
      </c>
      <c r="I74" s="115">
        <v>2</v>
      </c>
      <c r="J74" s="115">
        <v>1</v>
      </c>
      <c r="K74" s="115">
        <v>2</v>
      </c>
      <c r="L74" s="115">
        <v>1</v>
      </c>
      <c r="M74" s="115">
        <v>3</v>
      </c>
      <c r="N74" s="115">
        <v>2</v>
      </c>
      <c r="O74" s="115">
        <v>2</v>
      </c>
      <c r="P74" s="115">
        <v>1</v>
      </c>
      <c r="Q74" s="115">
        <v>1</v>
      </c>
      <c r="R74" s="115">
        <v>1</v>
      </c>
      <c r="S74" s="115">
        <v>1</v>
      </c>
      <c r="T74" s="115">
        <v>3</v>
      </c>
      <c r="U74" s="115">
        <v>1</v>
      </c>
      <c r="V74" s="115">
        <v>2</v>
      </c>
      <c r="W74" s="115">
        <v>1</v>
      </c>
      <c r="X74" s="115">
        <v>3</v>
      </c>
      <c r="Y74" s="115">
        <v>1</v>
      </c>
      <c r="Z74" s="115">
        <v>1</v>
      </c>
      <c r="AA74" s="115">
        <v>2</v>
      </c>
      <c r="AB74" s="115">
        <v>2</v>
      </c>
      <c r="AC74" s="115">
        <v>1</v>
      </c>
      <c r="AD74" s="115">
        <v>1</v>
      </c>
      <c r="AE74" s="115">
        <v>3</v>
      </c>
      <c r="AF74" s="115">
        <v>2</v>
      </c>
      <c r="AG74" s="115">
        <v>2</v>
      </c>
      <c r="AH74" s="115">
        <v>1</v>
      </c>
      <c r="AI74" s="115">
        <v>2</v>
      </c>
      <c r="AJ74" s="115">
        <v>3</v>
      </c>
      <c r="AK74" s="115">
        <v>1</v>
      </c>
      <c r="AL74" s="115">
        <v>1</v>
      </c>
      <c r="AM74" s="115">
        <v>1</v>
      </c>
      <c r="AN74" s="115">
        <v>1</v>
      </c>
      <c r="AO74" s="115">
        <v>2</v>
      </c>
      <c r="AP74" s="115">
        <v>1</v>
      </c>
      <c r="AQ74" s="115">
        <v>1</v>
      </c>
      <c r="AR74" s="115">
        <v>1</v>
      </c>
      <c r="AS74" s="115">
        <v>2</v>
      </c>
      <c r="AT74" s="115">
        <v>2</v>
      </c>
      <c r="AU74" s="115">
        <v>1</v>
      </c>
      <c r="AV74" s="115">
        <v>1</v>
      </c>
      <c r="AW74" s="115">
        <v>1</v>
      </c>
      <c r="AX74" s="115">
        <v>1</v>
      </c>
      <c r="AY74" s="115">
        <v>1</v>
      </c>
    </row>
    <row r="75" spans="1:52" x14ac:dyDescent="0.2">
      <c r="A75" s="115"/>
      <c r="B75" s="183" t="s">
        <v>351</v>
      </c>
      <c r="C75" s="115"/>
      <c r="D75" s="115">
        <v>0</v>
      </c>
      <c r="E75" s="115">
        <v>0</v>
      </c>
      <c r="F75" s="115">
        <v>0</v>
      </c>
      <c r="G75" s="115">
        <v>0</v>
      </c>
      <c r="H75" s="115">
        <v>0</v>
      </c>
      <c r="I75" s="115">
        <v>0</v>
      </c>
      <c r="J75" s="115">
        <v>0</v>
      </c>
      <c r="K75" s="115">
        <v>0</v>
      </c>
      <c r="L75" s="115">
        <v>0</v>
      </c>
      <c r="M75" s="115">
        <v>0</v>
      </c>
      <c r="N75" s="115">
        <v>0</v>
      </c>
      <c r="O75" s="115">
        <v>0</v>
      </c>
      <c r="P75" s="115">
        <v>0</v>
      </c>
      <c r="Q75" s="115">
        <v>0</v>
      </c>
      <c r="R75" s="115">
        <v>0</v>
      </c>
      <c r="S75" s="115">
        <v>0</v>
      </c>
      <c r="T75" s="115">
        <v>0</v>
      </c>
      <c r="U75" s="115">
        <v>0</v>
      </c>
      <c r="V75" s="115">
        <v>0</v>
      </c>
      <c r="W75" s="115">
        <v>0</v>
      </c>
      <c r="X75" s="115">
        <v>0</v>
      </c>
      <c r="Y75" s="115">
        <v>0</v>
      </c>
      <c r="Z75" s="115">
        <v>0</v>
      </c>
      <c r="AA75" s="115">
        <v>0</v>
      </c>
      <c r="AB75" s="115">
        <v>0</v>
      </c>
      <c r="AC75" s="115">
        <v>0</v>
      </c>
      <c r="AD75" s="115">
        <v>0</v>
      </c>
      <c r="AE75" s="115">
        <v>0</v>
      </c>
      <c r="AF75" s="115">
        <v>0</v>
      </c>
      <c r="AG75" s="115">
        <v>0</v>
      </c>
      <c r="AH75" s="115">
        <v>0</v>
      </c>
      <c r="AI75" s="115">
        <v>0</v>
      </c>
      <c r="AJ75" s="115">
        <v>0</v>
      </c>
      <c r="AK75" s="115">
        <v>0</v>
      </c>
      <c r="AL75" s="115">
        <v>0</v>
      </c>
      <c r="AM75" s="115">
        <v>0</v>
      </c>
      <c r="AN75" s="115">
        <v>0</v>
      </c>
      <c r="AO75" s="115">
        <v>0</v>
      </c>
      <c r="AP75" s="115">
        <v>0</v>
      </c>
      <c r="AQ75" s="115">
        <v>0</v>
      </c>
      <c r="AR75" s="115">
        <v>0</v>
      </c>
      <c r="AS75" s="115">
        <v>0</v>
      </c>
      <c r="AT75" s="115">
        <v>0</v>
      </c>
      <c r="AU75" s="115">
        <v>0</v>
      </c>
      <c r="AV75" s="115">
        <v>0</v>
      </c>
      <c r="AW75" s="115">
        <v>0</v>
      </c>
      <c r="AX75" s="115">
        <v>0</v>
      </c>
      <c r="AY75" s="115">
        <v>0</v>
      </c>
      <c r="AZ75" s="105">
        <f>SUM($D$75:$AY$75)</f>
        <v>0</v>
      </c>
    </row>
    <row r="76" spans="1:52" x14ac:dyDescent="0.2">
      <c r="A76" s="130"/>
      <c r="B76" s="145" t="s">
        <v>352</v>
      </c>
      <c r="C76" s="130"/>
      <c r="D76" s="130">
        <v>0</v>
      </c>
      <c r="E76" s="130">
        <v>0</v>
      </c>
      <c r="F76" s="130">
        <v>0</v>
      </c>
      <c r="G76" s="130">
        <v>0</v>
      </c>
      <c r="H76" s="130">
        <v>0</v>
      </c>
      <c r="I76" s="130">
        <v>0</v>
      </c>
      <c r="J76" s="130">
        <v>0</v>
      </c>
      <c r="K76" s="130">
        <v>0</v>
      </c>
      <c r="L76" s="130">
        <v>0</v>
      </c>
      <c r="M76" s="130">
        <v>0</v>
      </c>
      <c r="N76" s="130">
        <v>0</v>
      </c>
      <c r="O76" s="130">
        <v>0</v>
      </c>
      <c r="P76" s="130">
        <v>0</v>
      </c>
      <c r="Q76" s="130">
        <v>0</v>
      </c>
      <c r="R76" s="130">
        <v>0</v>
      </c>
      <c r="S76" s="130">
        <v>0</v>
      </c>
      <c r="T76" s="130">
        <v>0</v>
      </c>
      <c r="U76" s="130">
        <v>0</v>
      </c>
      <c r="V76" s="130">
        <v>0</v>
      </c>
      <c r="W76" s="130">
        <v>0</v>
      </c>
      <c r="X76" s="130">
        <v>0</v>
      </c>
      <c r="Y76" s="130">
        <v>0</v>
      </c>
      <c r="Z76" s="130">
        <v>0</v>
      </c>
      <c r="AA76" s="130">
        <v>0</v>
      </c>
      <c r="AB76" s="130">
        <v>0</v>
      </c>
      <c r="AC76" s="130">
        <v>0</v>
      </c>
      <c r="AD76" s="130">
        <v>0</v>
      </c>
      <c r="AE76" s="130">
        <v>0</v>
      </c>
      <c r="AF76" s="130">
        <v>0</v>
      </c>
      <c r="AG76" s="130">
        <v>0</v>
      </c>
      <c r="AH76" s="130">
        <v>0</v>
      </c>
      <c r="AI76" s="130">
        <v>0</v>
      </c>
      <c r="AJ76" s="130">
        <v>0</v>
      </c>
      <c r="AK76" s="130">
        <v>0</v>
      </c>
      <c r="AL76" s="130">
        <v>0</v>
      </c>
      <c r="AM76" s="130">
        <v>0</v>
      </c>
      <c r="AN76" s="130">
        <v>0</v>
      </c>
      <c r="AO76" s="130">
        <v>0</v>
      </c>
      <c r="AP76" s="130">
        <v>0</v>
      </c>
      <c r="AQ76" s="130">
        <v>0</v>
      </c>
      <c r="AR76" s="130">
        <v>0</v>
      </c>
      <c r="AS76" s="130">
        <v>0</v>
      </c>
      <c r="AT76" s="130">
        <v>0</v>
      </c>
      <c r="AU76" s="130">
        <v>0</v>
      </c>
      <c r="AV76" s="130">
        <v>0</v>
      </c>
      <c r="AW76" s="130">
        <v>0</v>
      </c>
      <c r="AX76" s="130">
        <v>0</v>
      </c>
      <c r="AY76" s="130">
        <v>0</v>
      </c>
      <c r="AZ76" s="105">
        <f>SUM($D$76:$AY$76)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76"/>
  <sheetViews>
    <sheetView workbookViewId="0">
      <pane xSplit="2" ySplit="6" topLeftCell="C18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5" customWidth="1"/>
    <col min="2" max="2" width="17.7109375" style="105" customWidth="1"/>
    <col min="3" max="51" width="9.140625" style="105"/>
    <col min="52" max="52" width="10.7109375" style="105" customWidth="1"/>
    <col min="53" max="16384" width="9.140625" style="105"/>
  </cols>
  <sheetData>
    <row r="1" spans="1:52" x14ac:dyDescent="0.2">
      <c r="A1" s="107" t="s">
        <v>118</v>
      </c>
    </row>
    <row r="2" spans="1:52" x14ac:dyDescent="0.2">
      <c r="A2" s="105" t="s">
        <v>303</v>
      </c>
      <c r="B2" s="112" t="s">
        <v>10</v>
      </c>
      <c r="E2" s="115"/>
    </row>
    <row r="3" spans="1:52" x14ac:dyDescent="0.2">
      <c r="A3" s="105" t="s">
        <v>286</v>
      </c>
      <c r="B3" s="112">
        <v>250</v>
      </c>
      <c r="E3" s="115"/>
    </row>
    <row r="4" spans="1:52" x14ac:dyDescent="0.2">
      <c r="A4" s="107"/>
      <c r="C4" s="116" t="s">
        <v>287</v>
      </c>
    </row>
    <row r="5" spans="1:52" x14ac:dyDescent="0.2">
      <c r="B5" s="111"/>
      <c r="C5" s="117">
        <v>0</v>
      </c>
      <c r="D5" s="117">
        <v>1</v>
      </c>
      <c r="E5" s="117">
        <v>2</v>
      </c>
      <c r="F5" s="117">
        <v>3</v>
      </c>
      <c r="G5" s="117">
        <v>4</v>
      </c>
      <c r="H5" s="117">
        <v>5</v>
      </c>
      <c r="I5" s="117">
        <v>6</v>
      </c>
      <c r="J5" s="117">
        <v>7</v>
      </c>
      <c r="K5" s="117">
        <v>8</v>
      </c>
      <c r="L5" s="117">
        <v>9</v>
      </c>
      <c r="M5" s="117">
        <v>10</v>
      </c>
      <c r="N5" s="117">
        <v>11</v>
      </c>
      <c r="O5" s="117">
        <v>12</v>
      </c>
      <c r="P5" s="117">
        <v>13</v>
      </c>
      <c r="Q5" s="117">
        <v>14</v>
      </c>
      <c r="R5" s="117">
        <v>15</v>
      </c>
      <c r="S5" s="117">
        <v>16</v>
      </c>
      <c r="T5" s="117">
        <v>17</v>
      </c>
      <c r="U5" s="117">
        <v>18</v>
      </c>
      <c r="V5" s="117">
        <v>19</v>
      </c>
      <c r="W5" s="117">
        <v>20</v>
      </c>
      <c r="X5" s="117">
        <v>21</v>
      </c>
      <c r="Y5" s="117">
        <v>22</v>
      </c>
      <c r="Z5" s="117">
        <v>23</v>
      </c>
      <c r="AA5" s="117">
        <v>24</v>
      </c>
      <c r="AB5" s="117">
        <v>25</v>
      </c>
      <c r="AC5" s="117">
        <v>26</v>
      </c>
      <c r="AD5" s="117">
        <v>27</v>
      </c>
      <c r="AE5" s="117">
        <v>28</v>
      </c>
      <c r="AF5" s="117">
        <v>29</v>
      </c>
      <c r="AG5" s="117">
        <v>30</v>
      </c>
      <c r="AH5" s="117">
        <v>31</v>
      </c>
      <c r="AI5" s="117">
        <v>32</v>
      </c>
      <c r="AJ5" s="117">
        <v>33</v>
      </c>
      <c r="AK5" s="117">
        <v>34</v>
      </c>
      <c r="AL5" s="117">
        <v>35</v>
      </c>
      <c r="AM5" s="117">
        <v>36</v>
      </c>
      <c r="AN5" s="117">
        <v>37</v>
      </c>
      <c r="AO5" s="117">
        <v>38</v>
      </c>
      <c r="AP5" s="117">
        <v>39</v>
      </c>
      <c r="AQ5" s="117">
        <v>40</v>
      </c>
      <c r="AR5" s="117">
        <v>41</v>
      </c>
      <c r="AS5" s="117">
        <v>42</v>
      </c>
      <c r="AT5" s="117">
        <v>43</v>
      </c>
      <c r="AU5" s="117">
        <v>44</v>
      </c>
      <c r="AV5" s="117">
        <v>45</v>
      </c>
      <c r="AW5" s="117">
        <v>46</v>
      </c>
      <c r="AX5" s="117">
        <v>47</v>
      </c>
      <c r="AY5" s="117">
        <v>48</v>
      </c>
    </row>
    <row r="6" spans="1:52" x14ac:dyDescent="0.2">
      <c r="A6" s="107" t="s">
        <v>304</v>
      </c>
      <c r="B6" s="119"/>
      <c r="C6" s="118" t="s">
        <v>288</v>
      </c>
      <c r="D6" s="117" t="s">
        <v>289</v>
      </c>
      <c r="E6" s="117" t="s">
        <v>289</v>
      </c>
      <c r="F6" s="117" t="s">
        <v>289</v>
      </c>
      <c r="G6" s="117" t="s">
        <v>289</v>
      </c>
      <c r="H6" s="117" t="s">
        <v>289</v>
      </c>
      <c r="I6" s="117" t="s">
        <v>289</v>
      </c>
      <c r="J6" s="117" t="s">
        <v>289</v>
      </c>
      <c r="K6" s="117" t="s">
        <v>289</v>
      </c>
      <c r="L6" s="117" t="s">
        <v>289</v>
      </c>
      <c r="M6" s="117" t="s">
        <v>289</v>
      </c>
      <c r="N6" s="117" t="s">
        <v>289</v>
      </c>
      <c r="O6" s="117" t="s">
        <v>289</v>
      </c>
      <c r="P6" s="117" t="s">
        <v>289</v>
      </c>
      <c r="Q6" s="117" t="s">
        <v>289</v>
      </c>
      <c r="R6" s="117" t="s">
        <v>289</v>
      </c>
      <c r="S6" s="117" t="s">
        <v>289</v>
      </c>
      <c r="T6" s="117" t="s">
        <v>289</v>
      </c>
      <c r="U6" s="117" t="s">
        <v>289</v>
      </c>
      <c r="V6" s="117" t="s">
        <v>289</v>
      </c>
      <c r="W6" s="117" t="s">
        <v>289</v>
      </c>
      <c r="X6" s="117" t="s">
        <v>289</v>
      </c>
      <c r="Y6" s="117" t="s">
        <v>289</v>
      </c>
      <c r="Z6" s="117" t="s">
        <v>289</v>
      </c>
      <c r="AA6" s="117" t="s">
        <v>289</v>
      </c>
      <c r="AB6" s="117" t="s">
        <v>289</v>
      </c>
      <c r="AC6" s="117" t="s">
        <v>289</v>
      </c>
      <c r="AD6" s="117" t="s">
        <v>289</v>
      </c>
      <c r="AE6" s="117" t="s">
        <v>289</v>
      </c>
      <c r="AF6" s="117" t="s">
        <v>289</v>
      </c>
      <c r="AG6" s="117" t="s">
        <v>289</v>
      </c>
      <c r="AH6" s="117" t="s">
        <v>289</v>
      </c>
      <c r="AI6" s="117" t="s">
        <v>289</v>
      </c>
      <c r="AJ6" s="117" t="s">
        <v>289</v>
      </c>
      <c r="AK6" s="117" t="s">
        <v>289</v>
      </c>
      <c r="AL6" s="117" t="s">
        <v>289</v>
      </c>
      <c r="AM6" s="117" t="s">
        <v>289</v>
      </c>
      <c r="AN6" s="117" t="s">
        <v>289</v>
      </c>
      <c r="AO6" s="117" t="s">
        <v>289</v>
      </c>
      <c r="AP6" s="117" t="s">
        <v>289</v>
      </c>
      <c r="AQ6" s="117" t="s">
        <v>289</v>
      </c>
      <c r="AR6" s="117" t="s">
        <v>289</v>
      </c>
      <c r="AS6" s="117" t="s">
        <v>289</v>
      </c>
      <c r="AT6" s="117" t="s">
        <v>289</v>
      </c>
      <c r="AU6" s="117" t="s">
        <v>289</v>
      </c>
      <c r="AV6" s="117" t="s">
        <v>289</v>
      </c>
      <c r="AW6" s="117" t="s">
        <v>289</v>
      </c>
      <c r="AX6" s="117" t="s">
        <v>289</v>
      </c>
      <c r="AY6" s="116" t="s">
        <v>290</v>
      </c>
      <c r="AZ6" s="147" t="s">
        <v>150</v>
      </c>
    </row>
    <row r="7" spans="1:52" x14ac:dyDescent="0.2">
      <c r="A7" s="120" t="s">
        <v>125</v>
      </c>
      <c r="B7" s="148">
        <v>1</v>
      </c>
      <c r="C7" s="149" t="s">
        <v>293</v>
      </c>
      <c r="D7" s="149">
        <v>0</v>
      </c>
      <c r="E7" s="149">
        <v>0</v>
      </c>
      <c r="F7" s="149">
        <v>0</v>
      </c>
      <c r="G7" s="149">
        <v>0</v>
      </c>
      <c r="H7" s="149">
        <v>160.28911484559998</v>
      </c>
      <c r="I7" s="149">
        <v>160.28911484559998</v>
      </c>
      <c r="J7" s="149">
        <v>160.28911484559998</v>
      </c>
      <c r="K7" s="149">
        <v>160.28911484559998</v>
      </c>
      <c r="L7" s="149">
        <v>160.28911484559998</v>
      </c>
      <c r="M7" s="149">
        <v>160.28911484559998</v>
      </c>
      <c r="N7" s="149">
        <v>160.28911484559998</v>
      </c>
      <c r="O7" s="149">
        <v>160.28911484559998</v>
      </c>
      <c r="P7" s="149">
        <v>160.28911484559998</v>
      </c>
      <c r="Q7" s="149">
        <v>160.28911484559998</v>
      </c>
      <c r="R7" s="149">
        <v>160.28911484559998</v>
      </c>
      <c r="S7" s="149">
        <v>160.28911484559998</v>
      </c>
      <c r="T7" s="149">
        <v>160.28911484559998</v>
      </c>
      <c r="U7" s="149">
        <v>160.28911484559998</v>
      </c>
      <c r="V7" s="149">
        <v>160.28911484559998</v>
      </c>
      <c r="W7" s="149">
        <v>160.28911484559998</v>
      </c>
      <c r="X7" s="149">
        <v>160.28911484559998</v>
      </c>
      <c r="Y7" s="149">
        <v>160.28911484559998</v>
      </c>
      <c r="Z7" s="149">
        <v>160.28911484559998</v>
      </c>
      <c r="AA7" s="149">
        <v>160.28911484559998</v>
      </c>
      <c r="AB7" s="149">
        <v>160.28911484559998</v>
      </c>
      <c r="AC7" s="149">
        <v>160.28911484559998</v>
      </c>
      <c r="AD7" s="149">
        <v>160.28911484559998</v>
      </c>
      <c r="AE7" s="149">
        <v>160.28911484559998</v>
      </c>
      <c r="AF7" s="149">
        <v>160.28911484559998</v>
      </c>
      <c r="AG7" s="149">
        <v>160.28911484559998</v>
      </c>
      <c r="AH7" s="149">
        <v>160.28911484559998</v>
      </c>
      <c r="AI7" s="149">
        <v>160.28911484559998</v>
      </c>
      <c r="AJ7" s="149">
        <v>160.28911484559998</v>
      </c>
      <c r="AK7" s="149">
        <v>160.28911484559998</v>
      </c>
      <c r="AL7" s="149">
        <v>160.28911484559998</v>
      </c>
      <c r="AM7" s="149">
        <v>160.28911484559998</v>
      </c>
      <c r="AN7" s="149">
        <v>160.28911484559998</v>
      </c>
      <c r="AO7" s="149">
        <v>160.28911484559998</v>
      </c>
      <c r="AP7" s="149">
        <v>160.28911484559998</v>
      </c>
      <c r="AQ7" s="149">
        <v>160.28911484559998</v>
      </c>
      <c r="AR7" s="149">
        <v>160.28911484559998</v>
      </c>
      <c r="AS7" s="149">
        <v>160.28911484559998</v>
      </c>
      <c r="AT7" s="149">
        <v>160.28911484559998</v>
      </c>
      <c r="AU7" s="149">
        <v>160.28911484559998</v>
      </c>
      <c r="AV7" s="149">
        <v>160.28911484559998</v>
      </c>
      <c r="AW7" s="149">
        <v>160.28911484559998</v>
      </c>
      <c r="AX7" s="149">
        <v>160.28911484559998</v>
      </c>
      <c r="AY7" s="149">
        <v>160.28911484559998</v>
      </c>
      <c r="AZ7" s="111"/>
    </row>
    <row r="8" spans="1:52" x14ac:dyDescent="0.2">
      <c r="A8" s="150"/>
      <c r="B8" s="151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150"/>
      <c r="AY8" s="150"/>
      <c r="AZ8" s="152"/>
    </row>
    <row r="9" spans="1:52" x14ac:dyDescent="0.2">
      <c r="A9" s="107" t="s">
        <v>294</v>
      </c>
      <c r="B9" s="153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11"/>
      <c r="AD9" s="111"/>
      <c r="AE9" s="111"/>
      <c r="AF9" s="111"/>
      <c r="AG9" s="111"/>
      <c r="AH9" s="111"/>
      <c r="AI9" s="111"/>
      <c r="AJ9" s="111"/>
      <c r="AK9" s="111"/>
      <c r="AL9" s="111"/>
      <c r="AM9" s="111"/>
      <c r="AN9" s="111"/>
      <c r="AO9" s="111"/>
      <c r="AP9" s="111"/>
      <c r="AQ9" s="111"/>
      <c r="AR9" s="111"/>
      <c r="AS9" s="111"/>
      <c r="AT9" s="111"/>
      <c r="AU9" s="111"/>
      <c r="AV9" s="111"/>
      <c r="AW9" s="111"/>
      <c r="AX9" s="111"/>
      <c r="AY9" s="111"/>
      <c r="AZ9" s="111"/>
    </row>
    <row r="10" spans="1:52" x14ac:dyDescent="0.2">
      <c r="A10" s="154" t="s">
        <v>125</v>
      </c>
      <c r="B10" s="155">
        <v>1</v>
      </c>
      <c r="C10" s="149" t="s">
        <v>293</v>
      </c>
      <c r="D10" s="149">
        <f t="shared" ref="D10:AY10" si="0">MAX(SUM(D$14:D$16)+D$7-$B$3,0)</f>
        <v>0</v>
      </c>
      <c r="E10" s="149">
        <f t="shared" si="0"/>
        <v>0</v>
      </c>
      <c r="F10" s="149">
        <f t="shared" si="0"/>
        <v>0</v>
      </c>
      <c r="G10" s="149">
        <f t="shared" si="0"/>
        <v>0</v>
      </c>
      <c r="H10" s="149">
        <f t="shared" si="0"/>
        <v>0</v>
      </c>
      <c r="I10" s="149">
        <f t="shared" si="0"/>
        <v>0</v>
      </c>
      <c r="J10" s="149">
        <f t="shared" si="0"/>
        <v>0</v>
      </c>
      <c r="K10" s="149">
        <f t="shared" si="0"/>
        <v>70.578229691199965</v>
      </c>
      <c r="L10" s="149">
        <f t="shared" si="0"/>
        <v>0</v>
      </c>
      <c r="M10" s="149">
        <f t="shared" si="0"/>
        <v>0</v>
      </c>
      <c r="N10" s="149">
        <f t="shared" si="0"/>
        <v>0</v>
      </c>
      <c r="O10" s="149">
        <f t="shared" si="0"/>
        <v>0</v>
      </c>
      <c r="P10" s="149">
        <f t="shared" si="0"/>
        <v>0</v>
      </c>
      <c r="Q10" s="149">
        <f t="shared" si="0"/>
        <v>70.578229691199965</v>
      </c>
      <c r="R10" s="149">
        <f t="shared" si="0"/>
        <v>0</v>
      </c>
      <c r="S10" s="149">
        <f t="shared" si="0"/>
        <v>0</v>
      </c>
      <c r="T10" s="149">
        <f t="shared" si="0"/>
        <v>0</v>
      </c>
      <c r="U10" s="149">
        <f t="shared" si="0"/>
        <v>0</v>
      </c>
      <c r="V10" s="149">
        <f t="shared" si="0"/>
        <v>0</v>
      </c>
      <c r="W10" s="149">
        <f t="shared" si="0"/>
        <v>0</v>
      </c>
      <c r="X10" s="149">
        <f t="shared" si="0"/>
        <v>0</v>
      </c>
      <c r="Y10" s="149">
        <f t="shared" si="0"/>
        <v>0</v>
      </c>
      <c r="Z10" s="149">
        <f t="shared" si="0"/>
        <v>0</v>
      </c>
      <c r="AA10" s="149">
        <f t="shared" si="0"/>
        <v>0</v>
      </c>
      <c r="AB10" s="149">
        <f t="shared" si="0"/>
        <v>0</v>
      </c>
      <c r="AC10" s="149">
        <f t="shared" si="0"/>
        <v>0</v>
      </c>
      <c r="AD10" s="149">
        <f t="shared" si="0"/>
        <v>0</v>
      </c>
      <c r="AE10" s="149">
        <f t="shared" si="0"/>
        <v>0</v>
      </c>
      <c r="AF10" s="149">
        <f t="shared" si="0"/>
        <v>0</v>
      </c>
      <c r="AG10" s="149">
        <f t="shared" si="0"/>
        <v>0</v>
      </c>
      <c r="AH10" s="149">
        <f t="shared" si="0"/>
        <v>0</v>
      </c>
      <c r="AI10" s="149">
        <f t="shared" si="0"/>
        <v>0</v>
      </c>
      <c r="AJ10" s="149">
        <f t="shared" si="0"/>
        <v>0</v>
      </c>
      <c r="AK10" s="149">
        <f t="shared" si="0"/>
        <v>0</v>
      </c>
      <c r="AL10" s="149">
        <f t="shared" si="0"/>
        <v>70.578229691199965</v>
      </c>
      <c r="AM10" s="149">
        <f t="shared" si="0"/>
        <v>0</v>
      </c>
      <c r="AN10" s="149">
        <f t="shared" si="0"/>
        <v>0</v>
      </c>
      <c r="AO10" s="149">
        <f t="shared" si="0"/>
        <v>0</v>
      </c>
      <c r="AP10" s="149">
        <f t="shared" si="0"/>
        <v>0</v>
      </c>
      <c r="AQ10" s="149">
        <f t="shared" si="0"/>
        <v>0</v>
      </c>
      <c r="AR10" s="149">
        <f t="shared" si="0"/>
        <v>0</v>
      </c>
      <c r="AS10" s="149">
        <f t="shared" si="0"/>
        <v>0</v>
      </c>
      <c r="AT10" s="149">
        <f t="shared" si="0"/>
        <v>0</v>
      </c>
      <c r="AU10" s="149">
        <f t="shared" si="0"/>
        <v>0</v>
      </c>
      <c r="AV10" s="149">
        <f t="shared" si="0"/>
        <v>0</v>
      </c>
      <c r="AW10" s="149">
        <f t="shared" si="0"/>
        <v>0</v>
      </c>
      <c r="AX10" s="149">
        <f t="shared" si="0"/>
        <v>0</v>
      </c>
      <c r="AY10" s="149">
        <f t="shared" si="0"/>
        <v>0</v>
      </c>
      <c r="AZ10" s="156">
        <f>SUM($D10:$AY10)</f>
        <v>211.7346890735999</v>
      </c>
    </row>
    <row r="11" spans="1:52" x14ac:dyDescent="0.2">
      <c r="C11" s="115"/>
    </row>
    <row r="12" spans="1:52" x14ac:dyDescent="0.2">
      <c r="A12" s="157" t="s">
        <v>295</v>
      </c>
      <c r="B12" s="151"/>
      <c r="C12" s="115"/>
    </row>
    <row r="13" spans="1:52" x14ac:dyDescent="0.2">
      <c r="A13" s="127" t="s">
        <v>125</v>
      </c>
      <c r="B13" s="128">
        <v>1</v>
      </c>
      <c r="C13" s="129">
        <v>181.84177215189874</v>
      </c>
      <c r="D13" s="143">
        <f t="shared" ref="D13:AY13" si="1">D$7-D$10</f>
        <v>0</v>
      </c>
      <c r="E13" s="143">
        <f t="shared" si="1"/>
        <v>0</v>
      </c>
      <c r="F13" s="143">
        <f t="shared" si="1"/>
        <v>0</v>
      </c>
      <c r="G13" s="143">
        <f t="shared" si="1"/>
        <v>0</v>
      </c>
      <c r="H13" s="143">
        <f t="shared" si="1"/>
        <v>160.28911484559998</v>
      </c>
      <c r="I13" s="143">
        <f t="shared" si="1"/>
        <v>160.28911484559998</v>
      </c>
      <c r="J13" s="143">
        <f t="shared" si="1"/>
        <v>160.28911484559998</v>
      </c>
      <c r="K13" s="143">
        <f t="shared" si="1"/>
        <v>89.710885154400017</v>
      </c>
      <c r="L13" s="143">
        <f t="shared" si="1"/>
        <v>160.28911484559998</v>
      </c>
      <c r="M13" s="143">
        <f t="shared" si="1"/>
        <v>160.28911484559998</v>
      </c>
      <c r="N13" s="143">
        <f t="shared" si="1"/>
        <v>160.28911484559998</v>
      </c>
      <c r="O13" s="143">
        <f t="shared" si="1"/>
        <v>160.28911484559998</v>
      </c>
      <c r="P13" s="143">
        <f t="shared" si="1"/>
        <v>160.28911484559998</v>
      </c>
      <c r="Q13" s="143">
        <f t="shared" si="1"/>
        <v>89.710885154400017</v>
      </c>
      <c r="R13" s="143">
        <f t="shared" si="1"/>
        <v>160.28911484559998</v>
      </c>
      <c r="S13" s="143">
        <f t="shared" si="1"/>
        <v>160.28911484559998</v>
      </c>
      <c r="T13" s="143">
        <f t="shared" si="1"/>
        <v>160.28911484559998</v>
      </c>
      <c r="U13" s="143">
        <f t="shared" si="1"/>
        <v>160.28911484559998</v>
      </c>
      <c r="V13" s="143">
        <f t="shared" si="1"/>
        <v>160.28911484559998</v>
      </c>
      <c r="W13" s="143">
        <f t="shared" si="1"/>
        <v>160.28911484559998</v>
      </c>
      <c r="X13" s="143">
        <f t="shared" si="1"/>
        <v>160.28911484559998</v>
      </c>
      <c r="Y13" s="143">
        <f t="shared" si="1"/>
        <v>160.28911484559998</v>
      </c>
      <c r="Z13" s="143">
        <f t="shared" si="1"/>
        <v>160.28911484559998</v>
      </c>
      <c r="AA13" s="143">
        <f t="shared" si="1"/>
        <v>160.28911484559998</v>
      </c>
      <c r="AB13" s="143">
        <f t="shared" si="1"/>
        <v>160.28911484559998</v>
      </c>
      <c r="AC13" s="143">
        <f t="shared" si="1"/>
        <v>160.28911484559998</v>
      </c>
      <c r="AD13" s="143">
        <f t="shared" si="1"/>
        <v>160.28911484559998</v>
      </c>
      <c r="AE13" s="143">
        <f t="shared" si="1"/>
        <v>160.28911484559998</v>
      </c>
      <c r="AF13" s="143">
        <f t="shared" si="1"/>
        <v>160.28911484559998</v>
      </c>
      <c r="AG13" s="143">
        <f t="shared" si="1"/>
        <v>160.28911484559998</v>
      </c>
      <c r="AH13" s="143">
        <f t="shared" si="1"/>
        <v>160.28911484559998</v>
      </c>
      <c r="AI13" s="143">
        <f t="shared" si="1"/>
        <v>160.28911484559998</v>
      </c>
      <c r="AJ13" s="143">
        <f t="shared" si="1"/>
        <v>160.28911484559998</v>
      </c>
      <c r="AK13" s="143">
        <f t="shared" si="1"/>
        <v>160.28911484559998</v>
      </c>
      <c r="AL13" s="143">
        <f t="shared" si="1"/>
        <v>89.710885154400017</v>
      </c>
      <c r="AM13" s="143">
        <f t="shared" si="1"/>
        <v>160.28911484559998</v>
      </c>
      <c r="AN13" s="143">
        <f t="shared" si="1"/>
        <v>160.28911484559998</v>
      </c>
      <c r="AO13" s="143">
        <f t="shared" si="1"/>
        <v>160.28911484559998</v>
      </c>
      <c r="AP13" s="143">
        <f t="shared" si="1"/>
        <v>160.28911484559998</v>
      </c>
      <c r="AQ13" s="143">
        <f t="shared" si="1"/>
        <v>160.28911484559998</v>
      </c>
      <c r="AR13" s="143">
        <f t="shared" si="1"/>
        <v>160.28911484559998</v>
      </c>
      <c r="AS13" s="143">
        <f t="shared" si="1"/>
        <v>160.28911484559998</v>
      </c>
      <c r="AT13" s="143">
        <f t="shared" si="1"/>
        <v>160.28911484559998</v>
      </c>
      <c r="AU13" s="143">
        <f t="shared" si="1"/>
        <v>160.28911484559998</v>
      </c>
      <c r="AV13" s="143">
        <f t="shared" si="1"/>
        <v>160.28911484559998</v>
      </c>
      <c r="AW13" s="143">
        <f t="shared" si="1"/>
        <v>160.28911484559998</v>
      </c>
      <c r="AX13" s="143">
        <f t="shared" si="1"/>
        <v>160.28911484559998</v>
      </c>
      <c r="AY13" s="143">
        <f t="shared" si="1"/>
        <v>160.28911484559998</v>
      </c>
      <c r="AZ13" s="114"/>
    </row>
    <row r="14" spans="1:52" x14ac:dyDescent="0.2">
      <c r="A14" s="115"/>
      <c r="B14" s="125">
        <v>2</v>
      </c>
      <c r="C14" s="115">
        <v>0</v>
      </c>
      <c r="D14" s="111">
        <f>IF(C$20="Yes",C13,0)</f>
        <v>181.84177215189874</v>
      </c>
      <c r="E14" s="111">
        <f t="shared" ref="E14:AY17" si="2">IF(D$20="Yes",D13,0)</f>
        <v>0</v>
      </c>
      <c r="F14" s="111">
        <f t="shared" si="2"/>
        <v>0</v>
      </c>
      <c r="G14" s="111">
        <f t="shared" si="2"/>
        <v>0</v>
      </c>
      <c r="H14" s="111">
        <f t="shared" si="2"/>
        <v>0</v>
      </c>
      <c r="I14" s="111">
        <f t="shared" si="2"/>
        <v>0</v>
      </c>
      <c r="J14" s="111">
        <f t="shared" si="2"/>
        <v>0</v>
      </c>
      <c r="K14" s="111">
        <f t="shared" si="2"/>
        <v>160.28911484559998</v>
      </c>
      <c r="L14" s="111">
        <f t="shared" si="2"/>
        <v>0</v>
      </c>
      <c r="M14" s="111">
        <f t="shared" si="2"/>
        <v>0</v>
      </c>
      <c r="N14" s="111">
        <f t="shared" si="2"/>
        <v>0</v>
      </c>
      <c r="O14" s="111">
        <f t="shared" si="2"/>
        <v>0</v>
      </c>
      <c r="P14" s="111">
        <f t="shared" si="2"/>
        <v>0</v>
      </c>
      <c r="Q14" s="111">
        <f t="shared" si="2"/>
        <v>160.28911484559998</v>
      </c>
      <c r="R14" s="111">
        <f t="shared" si="2"/>
        <v>0</v>
      </c>
      <c r="S14" s="111">
        <f t="shared" si="2"/>
        <v>0</v>
      </c>
      <c r="T14" s="111">
        <f t="shared" si="2"/>
        <v>0</v>
      </c>
      <c r="U14" s="111">
        <f t="shared" si="2"/>
        <v>0</v>
      </c>
      <c r="V14" s="111">
        <f t="shared" si="2"/>
        <v>0</v>
      </c>
      <c r="W14" s="111">
        <f t="shared" si="2"/>
        <v>0</v>
      </c>
      <c r="X14" s="111">
        <f t="shared" si="2"/>
        <v>0</v>
      </c>
      <c r="Y14" s="111">
        <f t="shared" si="2"/>
        <v>0</v>
      </c>
      <c r="Z14" s="111">
        <f t="shared" si="2"/>
        <v>0</v>
      </c>
      <c r="AA14" s="111">
        <f t="shared" si="2"/>
        <v>0</v>
      </c>
      <c r="AB14" s="111">
        <f t="shared" si="2"/>
        <v>0</v>
      </c>
      <c r="AC14" s="111">
        <f t="shared" si="2"/>
        <v>0</v>
      </c>
      <c r="AD14" s="111">
        <f t="shared" si="2"/>
        <v>0</v>
      </c>
      <c r="AE14" s="111">
        <f t="shared" si="2"/>
        <v>0</v>
      </c>
      <c r="AF14" s="111">
        <f t="shared" si="2"/>
        <v>0</v>
      </c>
      <c r="AG14" s="111">
        <f t="shared" si="2"/>
        <v>0</v>
      </c>
      <c r="AH14" s="111">
        <f t="shared" si="2"/>
        <v>0</v>
      </c>
      <c r="AI14" s="111">
        <f t="shared" si="2"/>
        <v>0</v>
      </c>
      <c r="AJ14" s="111">
        <f t="shared" si="2"/>
        <v>0</v>
      </c>
      <c r="AK14" s="111">
        <f t="shared" si="2"/>
        <v>0</v>
      </c>
      <c r="AL14" s="111">
        <f t="shared" si="2"/>
        <v>160.28911484559998</v>
      </c>
      <c r="AM14" s="111">
        <f t="shared" si="2"/>
        <v>0</v>
      </c>
      <c r="AN14" s="111">
        <f t="shared" si="2"/>
        <v>0</v>
      </c>
      <c r="AO14" s="111">
        <f t="shared" si="2"/>
        <v>0</v>
      </c>
      <c r="AP14" s="111">
        <f t="shared" si="2"/>
        <v>0</v>
      </c>
      <c r="AQ14" s="111">
        <f t="shared" si="2"/>
        <v>0</v>
      </c>
      <c r="AR14" s="111">
        <f t="shared" si="2"/>
        <v>0</v>
      </c>
      <c r="AS14" s="111">
        <f t="shared" si="2"/>
        <v>0</v>
      </c>
      <c r="AT14" s="111">
        <f t="shared" si="2"/>
        <v>0</v>
      </c>
      <c r="AU14" s="111">
        <f t="shared" si="2"/>
        <v>0</v>
      </c>
      <c r="AV14" s="111">
        <f t="shared" si="2"/>
        <v>0</v>
      </c>
      <c r="AW14" s="111">
        <f t="shared" si="2"/>
        <v>0</v>
      </c>
      <c r="AX14" s="111">
        <f t="shared" si="2"/>
        <v>0</v>
      </c>
      <c r="AY14" s="111">
        <f t="shared" si="2"/>
        <v>0</v>
      </c>
      <c r="AZ14" s="114"/>
    </row>
    <row r="15" spans="1:52" x14ac:dyDescent="0.2">
      <c r="A15" s="115"/>
      <c r="B15" s="132">
        <v>3</v>
      </c>
      <c r="C15" s="115">
        <v>0</v>
      </c>
      <c r="D15" s="111">
        <f>IF(C$20="Yes",C14,0)</f>
        <v>0</v>
      </c>
      <c r="E15" s="111">
        <f t="shared" si="2"/>
        <v>0</v>
      </c>
      <c r="F15" s="111">
        <f t="shared" si="2"/>
        <v>0</v>
      </c>
      <c r="G15" s="111">
        <f t="shared" si="2"/>
        <v>0</v>
      </c>
      <c r="H15" s="111">
        <f t="shared" si="2"/>
        <v>0</v>
      </c>
      <c r="I15" s="111">
        <f t="shared" si="2"/>
        <v>0</v>
      </c>
      <c r="J15" s="111">
        <f t="shared" si="2"/>
        <v>0</v>
      </c>
      <c r="K15" s="111">
        <f t="shared" si="2"/>
        <v>0</v>
      </c>
      <c r="L15" s="111">
        <f t="shared" si="2"/>
        <v>0</v>
      </c>
      <c r="M15" s="111">
        <f t="shared" si="2"/>
        <v>0</v>
      </c>
      <c r="N15" s="111">
        <f t="shared" si="2"/>
        <v>0</v>
      </c>
      <c r="O15" s="111">
        <f t="shared" si="2"/>
        <v>0</v>
      </c>
      <c r="P15" s="111">
        <f t="shared" si="2"/>
        <v>0</v>
      </c>
      <c r="Q15" s="111">
        <f t="shared" si="2"/>
        <v>0</v>
      </c>
      <c r="R15" s="111">
        <f t="shared" si="2"/>
        <v>0</v>
      </c>
      <c r="S15" s="111">
        <f t="shared" si="2"/>
        <v>0</v>
      </c>
      <c r="T15" s="111">
        <f t="shared" si="2"/>
        <v>0</v>
      </c>
      <c r="U15" s="111">
        <f t="shared" si="2"/>
        <v>0</v>
      </c>
      <c r="V15" s="111">
        <f t="shared" si="2"/>
        <v>0</v>
      </c>
      <c r="W15" s="111">
        <f t="shared" si="2"/>
        <v>0</v>
      </c>
      <c r="X15" s="111">
        <f t="shared" si="2"/>
        <v>0</v>
      </c>
      <c r="Y15" s="111">
        <f t="shared" si="2"/>
        <v>0</v>
      </c>
      <c r="Z15" s="111">
        <f t="shared" si="2"/>
        <v>0</v>
      </c>
      <c r="AA15" s="111">
        <f t="shared" si="2"/>
        <v>0</v>
      </c>
      <c r="AB15" s="111">
        <f t="shared" si="2"/>
        <v>0</v>
      </c>
      <c r="AC15" s="111">
        <f t="shared" si="2"/>
        <v>0</v>
      </c>
      <c r="AD15" s="111">
        <f t="shared" si="2"/>
        <v>0</v>
      </c>
      <c r="AE15" s="111">
        <f t="shared" si="2"/>
        <v>0</v>
      </c>
      <c r="AF15" s="111">
        <f t="shared" si="2"/>
        <v>0</v>
      </c>
      <c r="AG15" s="111">
        <f t="shared" si="2"/>
        <v>0</v>
      </c>
      <c r="AH15" s="111">
        <f t="shared" si="2"/>
        <v>0</v>
      </c>
      <c r="AI15" s="111">
        <f t="shared" si="2"/>
        <v>0</v>
      </c>
      <c r="AJ15" s="111">
        <f t="shared" si="2"/>
        <v>0</v>
      </c>
      <c r="AK15" s="111">
        <f t="shared" si="2"/>
        <v>0</v>
      </c>
      <c r="AL15" s="111">
        <f t="shared" si="2"/>
        <v>0</v>
      </c>
      <c r="AM15" s="111">
        <f t="shared" si="2"/>
        <v>0</v>
      </c>
      <c r="AN15" s="111">
        <f t="shared" si="2"/>
        <v>0</v>
      </c>
      <c r="AO15" s="111">
        <f t="shared" si="2"/>
        <v>0</v>
      </c>
      <c r="AP15" s="111">
        <f t="shared" si="2"/>
        <v>0</v>
      </c>
      <c r="AQ15" s="111">
        <f t="shared" si="2"/>
        <v>0</v>
      </c>
      <c r="AR15" s="111">
        <f t="shared" si="2"/>
        <v>0</v>
      </c>
      <c r="AS15" s="111">
        <f t="shared" si="2"/>
        <v>0</v>
      </c>
      <c r="AT15" s="111">
        <f t="shared" si="2"/>
        <v>0</v>
      </c>
      <c r="AU15" s="111">
        <f t="shared" si="2"/>
        <v>0</v>
      </c>
      <c r="AV15" s="111">
        <f t="shared" si="2"/>
        <v>0</v>
      </c>
      <c r="AW15" s="111">
        <f t="shared" si="2"/>
        <v>0</v>
      </c>
      <c r="AX15" s="111">
        <f t="shared" si="2"/>
        <v>0</v>
      </c>
      <c r="AY15" s="111">
        <f t="shared" si="2"/>
        <v>0</v>
      </c>
      <c r="AZ15" s="114"/>
    </row>
    <row r="16" spans="1:52" x14ac:dyDescent="0.2">
      <c r="A16" s="115"/>
      <c r="B16" s="135">
        <v>4</v>
      </c>
      <c r="C16" s="115">
        <v>0</v>
      </c>
      <c r="D16" s="111">
        <f>IF(C$20="Yes",C15,0)</f>
        <v>0</v>
      </c>
      <c r="E16" s="111">
        <f t="shared" si="2"/>
        <v>0</v>
      </c>
      <c r="F16" s="111">
        <f t="shared" si="2"/>
        <v>0</v>
      </c>
      <c r="G16" s="111">
        <f t="shared" si="2"/>
        <v>0</v>
      </c>
      <c r="H16" s="111">
        <f t="shared" si="2"/>
        <v>0</v>
      </c>
      <c r="I16" s="111">
        <f t="shared" si="2"/>
        <v>0</v>
      </c>
      <c r="J16" s="111">
        <f t="shared" si="2"/>
        <v>0</v>
      </c>
      <c r="K16" s="111">
        <f t="shared" si="2"/>
        <v>0</v>
      </c>
      <c r="L16" s="111">
        <f t="shared" si="2"/>
        <v>0</v>
      </c>
      <c r="M16" s="111">
        <f t="shared" si="2"/>
        <v>0</v>
      </c>
      <c r="N16" s="111">
        <f t="shared" si="2"/>
        <v>0</v>
      </c>
      <c r="O16" s="111">
        <f t="shared" si="2"/>
        <v>0</v>
      </c>
      <c r="P16" s="111">
        <f t="shared" si="2"/>
        <v>0</v>
      </c>
      <c r="Q16" s="111">
        <f t="shared" si="2"/>
        <v>0</v>
      </c>
      <c r="R16" s="111">
        <f t="shared" si="2"/>
        <v>0</v>
      </c>
      <c r="S16" s="111">
        <f t="shared" si="2"/>
        <v>0</v>
      </c>
      <c r="T16" s="111">
        <f t="shared" si="2"/>
        <v>0</v>
      </c>
      <c r="U16" s="111">
        <f t="shared" si="2"/>
        <v>0</v>
      </c>
      <c r="V16" s="111">
        <f t="shared" si="2"/>
        <v>0</v>
      </c>
      <c r="W16" s="111">
        <f t="shared" si="2"/>
        <v>0</v>
      </c>
      <c r="X16" s="111">
        <f t="shared" si="2"/>
        <v>0</v>
      </c>
      <c r="Y16" s="111">
        <f t="shared" si="2"/>
        <v>0</v>
      </c>
      <c r="Z16" s="111">
        <f t="shared" si="2"/>
        <v>0</v>
      </c>
      <c r="AA16" s="111">
        <f t="shared" si="2"/>
        <v>0</v>
      </c>
      <c r="AB16" s="111">
        <f t="shared" si="2"/>
        <v>0</v>
      </c>
      <c r="AC16" s="111">
        <f t="shared" si="2"/>
        <v>0</v>
      </c>
      <c r="AD16" s="111">
        <f t="shared" si="2"/>
        <v>0</v>
      </c>
      <c r="AE16" s="111">
        <f t="shared" si="2"/>
        <v>0</v>
      </c>
      <c r="AF16" s="111">
        <f t="shared" si="2"/>
        <v>0</v>
      </c>
      <c r="AG16" s="111">
        <f t="shared" si="2"/>
        <v>0</v>
      </c>
      <c r="AH16" s="111">
        <f t="shared" si="2"/>
        <v>0</v>
      </c>
      <c r="AI16" s="111">
        <f t="shared" si="2"/>
        <v>0</v>
      </c>
      <c r="AJ16" s="111">
        <f t="shared" si="2"/>
        <v>0</v>
      </c>
      <c r="AK16" s="111">
        <f t="shared" si="2"/>
        <v>0</v>
      </c>
      <c r="AL16" s="111">
        <f t="shared" si="2"/>
        <v>0</v>
      </c>
      <c r="AM16" s="111">
        <f t="shared" si="2"/>
        <v>0</v>
      </c>
      <c r="AN16" s="111">
        <f t="shared" si="2"/>
        <v>0</v>
      </c>
      <c r="AO16" s="111">
        <f t="shared" si="2"/>
        <v>0</v>
      </c>
      <c r="AP16" s="111">
        <f t="shared" si="2"/>
        <v>0</v>
      </c>
      <c r="AQ16" s="111">
        <f t="shared" si="2"/>
        <v>0</v>
      </c>
      <c r="AR16" s="111">
        <f t="shared" si="2"/>
        <v>0</v>
      </c>
      <c r="AS16" s="111">
        <f t="shared" si="2"/>
        <v>0</v>
      </c>
      <c r="AT16" s="111">
        <f t="shared" si="2"/>
        <v>0</v>
      </c>
      <c r="AU16" s="111">
        <f t="shared" si="2"/>
        <v>0</v>
      </c>
      <c r="AV16" s="111">
        <f t="shared" si="2"/>
        <v>0</v>
      </c>
      <c r="AW16" s="111">
        <f t="shared" si="2"/>
        <v>0</v>
      </c>
      <c r="AX16" s="111">
        <f t="shared" si="2"/>
        <v>0</v>
      </c>
      <c r="AY16" s="111">
        <f t="shared" si="2"/>
        <v>0</v>
      </c>
      <c r="AZ16" s="133"/>
    </row>
    <row r="17" spans="1:52" x14ac:dyDescent="0.2">
      <c r="A17" s="130"/>
      <c r="B17" s="137" t="s">
        <v>296</v>
      </c>
      <c r="C17" s="130">
        <v>0</v>
      </c>
      <c r="D17" s="119">
        <f>IF(C$20="Yes",C16,0)</f>
        <v>0</v>
      </c>
      <c r="E17" s="119">
        <f t="shared" si="2"/>
        <v>0</v>
      </c>
      <c r="F17" s="119">
        <f t="shared" si="2"/>
        <v>0</v>
      </c>
      <c r="G17" s="119">
        <f t="shared" si="2"/>
        <v>0</v>
      </c>
      <c r="H17" s="119">
        <f t="shared" si="2"/>
        <v>0</v>
      </c>
      <c r="I17" s="119">
        <f t="shared" si="2"/>
        <v>0</v>
      </c>
      <c r="J17" s="119">
        <f t="shared" si="2"/>
        <v>0</v>
      </c>
      <c r="K17" s="119">
        <f t="shared" si="2"/>
        <v>0</v>
      </c>
      <c r="L17" s="119">
        <f t="shared" si="2"/>
        <v>0</v>
      </c>
      <c r="M17" s="119">
        <f t="shared" si="2"/>
        <v>0</v>
      </c>
      <c r="N17" s="119">
        <f t="shared" si="2"/>
        <v>0</v>
      </c>
      <c r="O17" s="119">
        <f t="shared" si="2"/>
        <v>0</v>
      </c>
      <c r="P17" s="119">
        <f t="shared" si="2"/>
        <v>0</v>
      </c>
      <c r="Q17" s="119">
        <f t="shared" si="2"/>
        <v>0</v>
      </c>
      <c r="R17" s="119">
        <f t="shared" si="2"/>
        <v>0</v>
      </c>
      <c r="S17" s="119">
        <f t="shared" si="2"/>
        <v>0</v>
      </c>
      <c r="T17" s="119">
        <f t="shared" si="2"/>
        <v>0</v>
      </c>
      <c r="U17" s="119">
        <f t="shared" si="2"/>
        <v>0</v>
      </c>
      <c r="V17" s="119">
        <f t="shared" si="2"/>
        <v>0</v>
      </c>
      <c r="W17" s="119">
        <f t="shared" si="2"/>
        <v>0</v>
      </c>
      <c r="X17" s="119">
        <f t="shared" si="2"/>
        <v>0</v>
      </c>
      <c r="Y17" s="119">
        <f t="shared" si="2"/>
        <v>0</v>
      </c>
      <c r="Z17" s="119">
        <f t="shared" si="2"/>
        <v>0</v>
      </c>
      <c r="AA17" s="119">
        <f t="shared" si="2"/>
        <v>0</v>
      </c>
      <c r="AB17" s="119">
        <f t="shared" si="2"/>
        <v>0</v>
      </c>
      <c r="AC17" s="119">
        <f t="shared" si="2"/>
        <v>0</v>
      </c>
      <c r="AD17" s="119">
        <f t="shared" si="2"/>
        <v>0</v>
      </c>
      <c r="AE17" s="119">
        <f t="shared" si="2"/>
        <v>0</v>
      </c>
      <c r="AF17" s="119">
        <f t="shared" si="2"/>
        <v>0</v>
      </c>
      <c r="AG17" s="119">
        <f t="shared" si="2"/>
        <v>0</v>
      </c>
      <c r="AH17" s="119">
        <f t="shared" si="2"/>
        <v>0</v>
      </c>
      <c r="AI17" s="119">
        <f t="shared" si="2"/>
        <v>0</v>
      </c>
      <c r="AJ17" s="119">
        <f t="shared" si="2"/>
        <v>0</v>
      </c>
      <c r="AK17" s="119">
        <f t="shared" si="2"/>
        <v>0</v>
      </c>
      <c r="AL17" s="119">
        <f t="shared" si="2"/>
        <v>0</v>
      </c>
      <c r="AM17" s="119">
        <f t="shared" si="2"/>
        <v>0</v>
      </c>
      <c r="AN17" s="119">
        <f t="shared" si="2"/>
        <v>0</v>
      </c>
      <c r="AO17" s="119">
        <f t="shared" si="2"/>
        <v>0</v>
      </c>
      <c r="AP17" s="119">
        <f t="shared" si="2"/>
        <v>0</v>
      </c>
      <c r="AQ17" s="119">
        <f t="shared" si="2"/>
        <v>0</v>
      </c>
      <c r="AR17" s="119">
        <f t="shared" si="2"/>
        <v>0</v>
      </c>
      <c r="AS17" s="119">
        <f t="shared" si="2"/>
        <v>0</v>
      </c>
      <c r="AT17" s="119">
        <f t="shared" si="2"/>
        <v>0</v>
      </c>
      <c r="AU17" s="119">
        <f t="shared" si="2"/>
        <v>0</v>
      </c>
      <c r="AV17" s="119">
        <f t="shared" si="2"/>
        <v>0</v>
      </c>
      <c r="AW17" s="119">
        <f t="shared" si="2"/>
        <v>0</v>
      </c>
      <c r="AX17" s="119">
        <f t="shared" si="2"/>
        <v>0</v>
      </c>
      <c r="AY17" s="119">
        <f t="shared" si="2"/>
        <v>0</v>
      </c>
      <c r="AZ17" s="156">
        <f>SUM($D$17:$AY$17)</f>
        <v>0</v>
      </c>
    </row>
    <row r="18" spans="1:52" x14ac:dyDescent="0.2">
      <c r="A18" s="111"/>
      <c r="B18" s="158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  <c r="AO18" s="143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11"/>
    </row>
    <row r="19" spans="1:52" x14ac:dyDescent="0.2">
      <c r="A19" s="107" t="s">
        <v>116</v>
      </c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</row>
    <row r="20" spans="1:52" s="115" customFormat="1" x14ac:dyDescent="0.2">
      <c r="A20" s="120" t="s">
        <v>305</v>
      </c>
      <c r="B20" s="159" t="s">
        <v>306</v>
      </c>
      <c r="C20" s="122" t="s">
        <v>313</v>
      </c>
      <c r="D20" s="122"/>
      <c r="E20" s="122"/>
      <c r="F20" s="122"/>
      <c r="G20" s="122"/>
      <c r="H20" s="122"/>
      <c r="I20" s="122"/>
      <c r="J20" s="122" t="s">
        <v>313</v>
      </c>
      <c r="K20" s="122"/>
      <c r="L20" s="122"/>
      <c r="M20" s="122"/>
      <c r="N20" s="122"/>
      <c r="O20" s="122"/>
      <c r="P20" s="122" t="s">
        <v>313</v>
      </c>
      <c r="Q20" s="122"/>
      <c r="R20" s="122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  <c r="AH20" s="122"/>
      <c r="AI20" s="122"/>
      <c r="AJ20" s="122"/>
      <c r="AK20" s="122" t="s">
        <v>313</v>
      </c>
      <c r="AL20" s="122"/>
      <c r="AM20" s="122"/>
      <c r="AN20" s="122"/>
      <c r="AO20" s="122"/>
      <c r="AP20" s="122"/>
      <c r="AQ20" s="122"/>
      <c r="AR20" s="122"/>
      <c r="AS20" s="122"/>
      <c r="AT20" s="122"/>
      <c r="AU20" s="122"/>
      <c r="AV20" s="122"/>
      <c r="AW20" s="122"/>
      <c r="AX20" s="122"/>
      <c r="AY20" s="122"/>
      <c r="AZ20" s="112"/>
    </row>
    <row r="21" spans="1:52" s="115" customFormat="1" x14ac:dyDescent="0.2">
      <c r="A21" s="160" t="s">
        <v>133</v>
      </c>
      <c r="B21" s="161">
        <f>shipping_manufacturing!$G$19/100</f>
        <v>0.51354759999999999</v>
      </c>
      <c r="C21" s="161" t="s">
        <v>293</v>
      </c>
      <c r="D21" s="111">
        <f>IF(C$20="Yes",0,SUM(C$13:C$16)*$B$21)</f>
        <v>0</v>
      </c>
      <c r="E21" s="111">
        <f t="shared" ref="E21:AY21" si="3">IF(D$20="Yes",0,SUM(D$13:D$16)*$B$21)</f>
        <v>93.384405668354432</v>
      </c>
      <c r="F21" s="111">
        <f t="shared" si="3"/>
        <v>0</v>
      </c>
      <c r="G21" s="111">
        <f t="shared" si="3"/>
        <v>0</v>
      </c>
      <c r="H21" s="111">
        <f t="shared" si="3"/>
        <v>0</v>
      </c>
      <c r="I21" s="111">
        <f t="shared" si="3"/>
        <v>82.316090235082243</v>
      </c>
      <c r="J21" s="111">
        <f t="shared" si="3"/>
        <v>82.316090235082243</v>
      </c>
      <c r="K21" s="111">
        <f t="shared" si="3"/>
        <v>0</v>
      </c>
      <c r="L21" s="111">
        <f t="shared" si="3"/>
        <v>128.3869</v>
      </c>
      <c r="M21" s="111">
        <f t="shared" si="3"/>
        <v>82.316090235082243</v>
      </c>
      <c r="N21" s="111">
        <f t="shared" si="3"/>
        <v>82.316090235082243</v>
      </c>
      <c r="O21" s="111">
        <f t="shared" si="3"/>
        <v>82.316090235082243</v>
      </c>
      <c r="P21" s="111">
        <f t="shared" si="3"/>
        <v>82.316090235082243</v>
      </c>
      <c r="Q21" s="111">
        <f t="shared" si="3"/>
        <v>0</v>
      </c>
      <c r="R21" s="111">
        <f t="shared" si="3"/>
        <v>128.3869</v>
      </c>
      <c r="S21" s="111">
        <f t="shared" si="3"/>
        <v>82.316090235082243</v>
      </c>
      <c r="T21" s="111">
        <f t="shared" si="3"/>
        <v>82.316090235082243</v>
      </c>
      <c r="U21" s="111">
        <f t="shared" si="3"/>
        <v>82.316090235082243</v>
      </c>
      <c r="V21" s="111">
        <f t="shared" si="3"/>
        <v>82.316090235082243</v>
      </c>
      <c r="W21" s="111">
        <f t="shared" si="3"/>
        <v>82.316090235082243</v>
      </c>
      <c r="X21" s="111">
        <f t="shared" si="3"/>
        <v>82.316090235082243</v>
      </c>
      <c r="Y21" s="111">
        <f t="shared" si="3"/>
        <v>82.316090235082243</v>
      </c>
      <c r="Z21" s="111">
        <f t="shared" si="3"/>
        <v>82.316090235082243</v>
      </c>
      <c r="AA21" s="111">
        <f t="shared" si="3"/>
        <v>82.316090235082243</v>
      </c>
      <c r="AB21" s="111">
        <f t="shared" si="3"/>
        <v>82.316090235082243</v>
      </c>
      <c r="AC21" s="111">
        <f t="shared" si="3"/>
        <v>82.316090235082243</v>
      </c>
      <c r="AD21" s="111">
        <f t="shared" si="3"/>
        <v>82.316090235082243</v>
      </c>
      <c r="AE21" s="111">
        <f t="shared" si="3"/>
        <v>82.316090235082243</v>
      </c>
      <c r="AF21" s="111">
        <f t="shared" si="3"/>
        <v>82.316090235082243</v>
      </c>
      <c r="AG21" s="111">
        <f t="shared" si="3"/>
        <v>82.316090235082243</v>
      </c>
      <c r="AH21" s="111">
        <f t="shared" si="3"/>
        <v>82.316090235082243</v>
      </c>
      <c r="AI21" s="111">
        <f t="shared" si="3"/>
        <v>82.316090235082243</v>
      </c>
      <c r="AJ21" s="111">
        <f t="shared" si="3"/>
        <v>82.316090235082243</v>
      </c>
      <c r="AK21" s="111">
        <f t="shared" si="3"/>
        <v>82.316090235082243</v>
      </c>
      <c r="AL21" s="111">
        <f t="shared" si="3"/>
        <v>0</v>
      </c>
      <c r="AM21" s="111">
        <f t="shared" si="3"/>
        <v>128.3869</v>
      </c>
      <c r="AN21" s="111">
        <f t="shared" si="3"/>
        <v>82.316090235082243</v>
      </c>
      <c r="AO21" s="111">
        <f t="shared" si="3"/>
        <v>82.316090235082243</v>
      </c>
      <c r="AP21" s="111">
        <f t="shared" si="3"/>
        <v>82.316090235082243</v>
      </c>
      <c r="AQ21" s="111">
        <f t="shared" si="3"/>
        <v>82.316090235082243</v>
      </c>
      <c r="AR21" s="111">
        <f t="shared" si="3"/>
        <v>82.316090235082243</v>
      </c>
      <c r="AS21" s="111">
        <f t="shared" si="3"/>
        <v>82.316090235082243</v>
      </c>
      <c r="AT21" s="111">
        <f t="shared" si="3"/>
        <v>82.316090235082243</v>
      </c>
      <c r="AU21" s="111">
        <f t="shared" si="3"/>
        <v>82.316090235082243</v>
      </c>
      <c r="AV21" s="111">
        <f t="shared" si="3"/>
        <v>82.316090235082243</v>
      </c>
      <c r="AW21" s="111">
        <f t="shared" si="3"/>
        <v>82.316090235082243</v>
      </c>
      <c r="AX21" s="111">
        <f t="shared" si="3"/>
        <v>82.316090235082243</v>
      </c>
      <c r="AY21" s="111">
        <f t="shared" si="3"/>
        <v>82.316090235082243</v>
      </c>
      <c r="AZ21" s="162">
        <f>SUM($D21:$AY21)</f>
        <v>3524.2404443664004</v>
      </c>
    </row>
    <row r="22" spans="1:52" s="115" customFormat="1" x14ac:dyDescent="0.2">
      <c r="A22" s="163" t="s">
        <v>123</v>
      </c>
      <c r="B22" s="164">
        <f>1-$B$21</f>
        <v>0.48645240000000001</v>
      </c>
      <c r="C22" s="164" t="s">
        <v>293</v>
      </c>
      <c r="D22" s="119">
        <f>IF(C$20="Yes",0,SUM(C$13:C$16)*$B$22)</f>
        <v>0</v>
      </c>
      <c r="E22" s="119">
        <f t="shared" ref="E22:AY22" si="4">IF(D$20="Yes",0,SUM(D$13:D$16)*$B$22)</f>
        <v>88.457366483544305</v>
      </c>
      <c r="F22" s="119">
        <f t="shared" si="4"/>
        <v>0</v>
      </c>
      <c r="G22" s="119">
        <f t="shared" si="4"/>
        <v>0</v>
      </c>
      <c r="H22" s="119">
        <f t="shared" si="4"/>
        <v>0</v>
      </c>
      <c r="I22" s="119">
        <f t="shared" si="4"/>
        <v>77.97302461051774</v>
      </c>
      <c r="J22" s="119">
        <f t="shared" si="4"/>
        <v>77.97302461051774</v>
      </c>
      <c r="K22" s="119">
        <f t="shared" si="4"/>
        <v>0</v>
      </c>
      <c r="L22" s="119">
        <f t="shared" si="4"/>
        <v>121.6131</v>
      </c>
      <c r="M22" s="119">
        <f t="shared" si="4"/>
        <v>77.97302461051774</v>
      </c>
      <c r="N22" s="119">
        <f t="shared" si="4"/>
        <v>77.97302461051774</v>
      </c>
      <c r="O22" s="119">
        <f t="shared" si="4"/>
        <v>77.97302461051774</v>
      </c>
      <c r="P22" s="119">
        <f t="shared" si="4"/>
        <v>77.97302461051774</v>
      </c>
      <c r="Q22" s="119">
        <f t="shared" si="4"/>
        <v>0</v>
      </c>
      <c r="R22" s="119">
        <f t="shared" si="4"/>
        <v>121.6131</v>
      </c>
      <c r="S22" s="119">
        <f t="shared" si="4"/>
        <v>77.97302461051774</v>
      </c>
      <c r="T22" s="119">
        <f t="shared" si="4"/>
        <v>77.97302461051774</v>
      </c>
      <c r="U22" s="119">
        <f t="shared" si="4"/>
        <v>77.97302461051774</v>
      </c>
      <c r="V22" s="119">
        <f t="shared" si="4"/>
        <v>77.97302461051774</v>
      </c>
      <c r="W22" s="119">
        <f t="shared" si="4"/>
        <v>77.97302461051774</v>
      </c>
      <c r="X22" s="119">
        <f t="shared" si="4"/>
        <v>77.97302461051774</v>
      </c>
      <c r="Y22" s="119">
        <f t="shared" si="4"/>
        <v>77.97302461051774</v>
      </c>
      <c r="Z22" s="119">
        <f t="shared" si="4"/>
        <v>77.97302461051774</v>
      </c>
      <c r="AA22" s="119">
        <f t="shared" si="4"/>
        <v>77.97302461051774</v>
      </c>
      <c r="AB22" s="119">
        <f t="shared" si="4"/>
        <v>77.97302461051774</v>
      </c>
      <c r="AC22" s="119">
        <f t="shared" si="4"/>
        <v>77.97302461051774</v>
      </c>
      <c r="AD22" s="119">
        <f t="shared" si="4"/>
        <v>77.97302461051774</v>
      </c>
      <c r="AE22" s="119">
        <f t="shared" si="4"/>
        <v>77.97302461051774</v>
      </c>
      <c r="AF22" s="119">
        <f t="shared" si="4"/>
        <v>77.97302461051774</v>
      </c>
      <c r="AG22" s="119">
        <f t="shared" si="4"/>
        <v>77.97302461051774</v>
      </c>
      <c r="AH22" s="119">
        <f t="shared" si="4"/>
        <v>77.97302461051774</v>
      </c>
      <c r="AI22" s="119">
        <f t="shared" si="4"/>
        <v>77.97302461051774</v>
      </c>
      <c r="AJ22" s="119">
        <f t="shared" si="4"/>
        <v>77.97302461051774</v>
      </c>
      <c r="AK22" s="119">
        <f t="shared" si="4"/>
        <v>77.97302461051774</v>
      </c>
      <c r="AL22" s="119">
        <f t="shared" si="4"/>
        <v>0</v>
      </c>
      <c r="AM22" s="119">
        <f t="shared" si="4"/>
        <v>121.6131</v>
      </c>
      <c r="AN22" s="119">
        <f t="shared" si="4"/>
        <v>77.97302461051774</v>
      </c>
      <c r="AO22" s="119">
        <f t="shared" si="4"/>
        <v>77.97302461051774</v>
      </c>
      <c r="AP22" s="119">
        <f t="shared" si="4"/>
        <v>77.97302461051774</v>
      </c>
      <c r="AQ22" s="119">
        <f t="shared" si="4"/>
        <v>77.97302461051774</v>
      </c>
      <c r="AR22" s="119">
        <f t="shared" si="4"/>
        <v>77.97302461051774</v>
      </c>
      <c r="AS22" s="119">
        <f t="shared" si="4"/>
        <v>77.97302461051774</v>
      </c>
      <c r="AT22" s="119">
        <f t="shared" si="4"/>
        <v>77.97302461051774</v>
      </c>
      <c r="AU22" s="119">
        <f t="shared" si="4"/>
        <v>77.97302461051774</v>
      </c>
      <c r="AV22" s="119">
        <f t="shared" si="4"/>
        <v>77.97302461051774</v>
      </c>
      <c r="AW22" s="119">
        <f t="shared" si="4"/>
        <v>77.97302461051774</v>
      </c>
      <c r="AX22" s="119">
        <f t="shared" si="4"/>
        <v>77.97302461051774</v>
      </c>
      <c r="AY22" s="119">
        <f t="shared" si="4"/>
        <v>77.97302461051774</v>
      </c>
      <c r="AZ22" s="146">
        <f t="shared" ref="AZ22:AZ30" si="5">SUM($D22:$AY22)</f>
        <v>3338.2985770727014</v>
      </c>
    </row>
    <row r="23" spans="1:52" x14ac:dyDescent="0.2">
      <c r="A23" s="165" t="s">
        <v>307</v>
      </c>
      <c r="B23" s="129">
        <v>2000</v>
      </c>
      <c r="C23" s="105" t="s">
        <v>293</v>
      </c>
      <c r="D23" s="105">
        <f>D$21*$B$23</f>
        <v>0</v>
      </c>
      <c r="E23" s="105">
        <f t="shared" ref="E23:AY23" si="6">E$21*$B$23</f>
        <v>186768.81133670887</v>
      </c>
      <c r="F23" s="105">
        <f t="shared" si="6"/>
        <v>0</v>
      </c>
      <c r="G23" s="105">
        <f t="shared" si="6"/>
        <v>0</v>
      </c>
      <c r="H23" s="105">
        <f t="shared" si="6"/>
        <v>0</v>
      </c>
      <c r="I23" s="105">
        <f t="shared" si="6"/>
        <v>164632.18047016449</v>
      </c>
      <c r="J23" s="105">
        <f t="shared" si="6"/>
        <v>164632.18047016449</v>
      </c>
      <c r="K23" s="105">
        <f t="shared" si="6"/>
        <v>0</v>
      </c>
      <c r="L23" s="105">
        <f t="shared" si="6"/>
        <v>256773.8</v>
      </c>
      <c r="M23" s="105">
        <f t="shared" si="6"/>
        <v>164632.18047016449</v>
      </c>
      <c r="N23" s="105">
        <f t="shared" si="6"/>
        <v>164632.18047016449</v>
      </c>
      <c r="O23" s="105">
        <f t="shared" si="6"/>
        <v>164632.18047016449</v>
      </c>
      <c r="P23" s="105">
        <f t="shared" si="6"/>
        <v>164632.18047016449</v>
      </c>
      <c r="Q23" s="105">
        <f t="shared" si="6"/>
        <v>0</v>
      </c>
      <c r="R23" s="105">
        <f t="shared" si="6"/>
        <v>256773.8</v>
      </c>
      <c r="S23" s="105">
        <f t="shared" si="6"/>
        <v>164632.18047016449</v>
      </c>
      <c r="T23" s="105">
        <f t="shared" si="6"/>
        <v>164632.18047016449</v>
      </c>
      <c r="U23" s="105">
        <f t="shared" si="6"/>
        <v>164632.18047016449</v>
      </c>
      <c r="V23" s="105">
        <f t="shared" si="6"/>
        <v>164632.18047016449</v>
      </c>
      <c r="W23" s="105">
        <f t="shared" si="6"/>
        <v>164632.18047016449</v>
      </c>
      <c r="X23" s="105">
        <f t="shared" si="6"/>
        <v>164632.18047016449</v>
      </c>
      <c r="Y23" s="105">
        <f t="shared" si="6"/>
        <v>164632.18047016449</v>
      </c>
      <c r="Z23" s="105">
        <f t="shared" si="6"/>
        <v>164632.18047016449</v>
      </c>
      <c r="AA23" s="105">
        <f t="shared" si="6"/>
        <v>164632.18047016449</v>
      </c>
      <c r="AB23" s="105">
        <f t="shared" si="6"/>
        <v>164632.18047016449</v>
      </c>
      <c r="AC23" s="105">
        <f t="shared" si="6"/>
        <v>164632.18047016449</v>
      </c>
      <c r="AD23" s="105">
        <f t="shared" si="6"/>
        <v>164632.18047016449</v>
      </c>
      <c r="AE23" s="105">
        <f t="shared" si="6"/>
        <v>164632.18047016449</v>
      </c>
      <c r="AF23" s="105">
        <f t="shared" si="6"/>
        <v>164632.18047016449</v>
      </c>
      <c r="AG23" s="105">
        <f t="shared" si="6"/>
        <v>164632.18047016449</v>
      </c>
      <c r="AH23" s="105">
        <f t="shared" si="6"/>
        <v>164632.18047016449</v>
      </c>
      <c r="AI23" s="105">
        <f t="shared" si="6"/>
        <v>164632.18047016449</v>
      </c>
      <c r="AJ23" s="105">
        <f t="shared" si="6"/>
        <v>164632.18047016449</v>
      </c>
      <c r="AK23" s="105">
        <f t="shared" si="6"/>
        <v>164632.18047016449</v>
      </c>
      <c r="AL23" s="105">
        <f t="shared" si="6"/>
        <v>0</v>
      </c>
      <c r="AM23" s="105">
        <f t="shared" si="6"/>
        <v>256773.8</v>
      </c>
      <c r="AN23" s="105">
        <f t="shared" si="6"/>
        <v>164632.18047016449</v>
      </c>
      <c r="AO23" s="105">
        <f t="shared" si="6"/>
        <v>164632.18047016449</v>
      </c>
      <c r="AP23" s="105">
        <f t="shared" si="6"/>
        <v>164632.18047016449</v>
      </c>
      <c r="AQ23" s="105">
        <f t="shared" si="6"/>
        <v>164632.18047016449</v>
      </c>
      <c r="AR23" s="105">
        <f t="shared" si="6"/>
        <v>164632.18047016449</v>
      </c>
      <c r="AS23" s="105">
        <f t="shared" si="6"/>
        <v>164632.18047016449</v>
      </c>
      <c r="AT23" s="105">
        <f t="shared" si="6"/>
        <v>164632.18047016449</v>
      </c>
      <c r="AU23" s="105">
        <f t="shared" si="6"/>
        <v>164632.18047016449</v>
      </c>
      <c r="AV23" s="105">
        <f t="shared" si="6"/>
        <v>164632.18047016449</v>
      </c>
      <c r="AW23" s="105">
        <f t="shared" si="6"/>
        <v>164632.18047016449</v>
      </c>
      <c r="AX23" s="105">
        <f t="shared" si="6"/>
        <v>164632.18047016449</v>
      </c>
      <c r="AY23" s="105">
        <f t="shared" si="6"/>
        <v>164632.18047016449</v>
      </c>
      <c r="AZ23" s="144">
        <f t="shared" si="5"/>
        <v>7048480.8887327993</v>
      </c>
    </row>
    <row r="24" spans="1:52" s="115" customFormat="1" x14ac:dyDescent="0.2">
      <c r="A24" s="166" t="s">
        <v>308</v>
      </c>
      <c r="B24" s="167">
        <v>1000</v>
      </c>
      <c r="C24" s="161" t="s">
        <v>293</v>
      </c>
      <c r="D24" s="111">
        <f>D$22*$B$24</f>
        <v>0</v>
      </c>
      <c r="E24" s="111">
        <f t="shared" ref="E24:AY24" si="7">E$22*$B$24</f>
        <v>88457.366483544305</v>
      </c>
      <c r="F24" s="111">
        <f t="shared" si="7"/>
        <v>0</v>
      </c>
      <c r="G24" s="111">
        <f t="shared" si="7"/>
        <v>0</v>
      </c>
      <c r="H24" s="111">
        <f t="shared" si="7"/>
        <v>0</v>
      </c>
      <c r="I24" s="111">
        <f t="shared" si="7"/>
        <v>77973.024610517736</v>
      </c>
      <c r="J24" s="111">
        <f t="shared" si="7"/>
        <v>77973.024610517736</v>
      </c>
      <c r="K24" s="111">
        <f t="shared" si="7"/>
        <v>0</v>
      </c>
      <c r="L24" s="111">
        <f t="shared" si="7"/>
        <v>121613.1</v>
      </c>
      <c r="M24" s="111">
        <f t="shared" si="7"/>
        <v>77973.024610517736</v>
      </c>
      <c r="N24" s="111">
        <f t="shared" si="7"/>
        <v>77973.024610517736</v>
      </c>
      <c r="O24" s="111">
        <f t="shared" si="7"/>
        <v>77973.024610517736</v>
      </c>
      <c r="P24" s="111">
        <f t="shared" si="7"/>
        <v>77973.024610517736</v>
      </c>
      <c r="Q24" s="111">
        <f t="shared" si="7"/>
        <v>0</v>
      </c>
      <c r="R24" s="111">
        <f t="shared" si="7"/>
        <v>121613.1</v>
      </c>
      <c r="S24" s="111">
        <f t="shared" si="7"/>
        <v>77973.024610517736</v>
      </c>
      <c r="T24" s="111">
        <f t="shared" si="7"/>
        <v>77973.024610517736</v>
      </c>
      <c r="U24" s="111">
        <f t="shared" si="7"/>
        <v>77973.024610517736</v>
      </c>
      <c r="V24" s="111">
        <f t="shared" si="7"/>
        <v>77973.024610517736</v>
      </c>
      <c r="W24" s="111">
        <f t="shared" si="7"/>
        <v>77973.024610517736</v>
      </c>
      <c r="X24" s="111">
        <f t="shared" si="7"/>
        <v>77973.024610517736</v>
      </c>
      <c r="Y24" s="111">
        <f t="shared" si="7"/>
        <v>77973.024610517736</v>
      </c>
      <c r="Z24" s="111">
        <f t="shared" si="7"/>
        <v>77973.024610517736</v>
      </c>
      <c r="AA24" s="111">
        <f t="shared" si="7"/>
        <v>77973.024610517736</v>
      </c>
      <c r="AB24" s="111">
        <f t="shared" si="7"/>
        <v>77973.024610517736</v>
      </c>
      <c r="AC24" s="111">
        <f t="shared" si="7"/>
        <v>77973.024610517736</v>
      </c>
      <c r="AD24" s="111">
        <f t="shared" si="7"/>
        <v>77973.024610517736</v>
      </c>
      <c r="AE24" s="111">
        <f t="shared" si="7"/>
        <v>77973.024610517736</v>
      </c>
      <c r="AF24" s="111">
        <f t="shared" si="7"/>
        <v>77973.024610517736</v>
      </c>
      <c r="AG24" s="111">
        <f t="shared" si="7"/>
        <v>77973.024610517736</v>
      </c>
      <c r="AH24" s="111">
        <f t="shared" si="7"/>
        <v>77973.024610517736</v>
      </c>
      <c r="AI24" s="111">
        <f t="shared" si="7"/>
        <v>77973.024610517736</v>
      </c>
      <c r="AJ24" s="111">
        <f t="shared" si="7"/>
        <v>77973.024610517736</v>
      </c>
      <c r="AK24" s="111">
        <f t="shared" si="7"/>
        <v>77973.024610517736</v>
      </c>
      <c r="AL24" s="111">
        <f t="shared" si="7"/>
        <v>0</v>
      </c>
      <c r="AM24" s="111">
        <f t="shared" si="7"/>
        <v>121613.1</v>
      </c>
      <c r="AN24" s="111">
        <f t="shared" si="7"/>
        <v>77973.024610517736</v>
      </c>
      <c r="AO24" s="111">
        <f t="shared" si="7"/>
        <v>77973.024610517736</v>
      </c>
      <c r="AP24" s="111">
        <f t="shared" si="7"/>
        <v>77973.024610517736</v>
      </c>
      <c r="AQ24" s="111">
        <f t="shared" si="7"/>
        <v>77973.024610517736</v>
      </c>
      <c r="AR24" s="111">
        <f t="shared" si="7"/>
        <v>77973.024610517736</v>
      </c>
      <c r="AS24" s="111">
        <f t="shared" si="7"/>
        <v>77973.024610517736</v>
      </c>
      <c r="AT24" s="111">
        <f t="shared" si="7"/>
        <v>77973.024610517736</v>
      </c>
      <c r="AU24" s="111">
        <f t="shared" si="7"/>
        <v>77973.024610517736</v>
      </c>
      <c r="AV24" s="111">
        <f t="shared" si="7"/>
        <v>77973.024610517736</v>
      </c>
      <c r="AW24" s="111">
        <f t="shared" si="7"/>
        <v>77973.024610517736</v>
      </c>
      <c r="AX24" s="111">
        <f t="shared" si="7"/>
        <v>77973.024610517736</v>
      </c>
      <c r="AY24" s="111">
        <f t="shared" si="7"/>
        <v>77973.024610517736</v>
      </c>
      <c r="AZ24" s="146">
        <f t="shared" si="5"/>
        <v>3338298.5770726986</v>
      </c>
    </row>
    <row r="25" spans="1:52" x14ac:dyDescent="0.2">
      <c r="C25" s="143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11"/>
    </row>
    <row r="26" spans="1:52" x14ac:dyDescent="0.2">
      <c r="A26" s="168" t="s">
        <v>18</v>
      </c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11"/>
      <c r="AB26" s="111"/>
      <c r="AC26" s="111"/>
      <c r="AD26" s="111"/>
      <c r="AE26" s="111"/>
      <c r="AF26" s="111"/>
      <c r="AG26" s="111"/>
      <c r="AH26" s="111"/>
      <c r="AI26" s="111"/>
      <c r="AJ26" s="111"/>
      <c r="AK26" s="111"/>
      <c r="AL26" s="111"/>
      <c r="AM26" s="111"/>
      <c r="AN26" s="111"/>
      <c r="AO26" s="111"/>
      <c r="AP26" s="111"/>
      <c r="AQ26" s="111"/>
      <c r="AR26" s="111"/>
      <c r="AS26" s="111"/>
      <c r="AT26" s="111"/>
      <c r="AU26" s="111"/>
      <c r="AV26" s="111"/>
      <c r="AW26" s="111"/>
      <c r="AX26" s="111"/>
      <c r="AY26" s="111"/>
      <c r="AZ26" s="111"/>
    </row>
    <row r="27" spans="1:52" x14ac:dyDescent="0.2">
      <c r="B27" s="140" t="s">
        <v>309</v>
      </c>
      <c r="C27" s="129">
        <v>10</v>
      </c>
      <c r="D27" s="129">
        <f>C$27-C$28+C$29</f>
        <v>10</v>
      </c>
      <c r="E27" s="129">
        <f t="shared" ref="E27:AY27" si="8">D27-D28+D29</f>
        <v>17</v>
      </c>
      <c r="F27" s="129">
        <f t="shared" si="8"/>
        <v>10</v>
      </c>
      <c r="G27" s="129">
        <f t="shared" si="8"/>
        <v>17</v>
      </c>
      <c r="H27" s="129">
        <f t="shared" si="8"/>
        <v>17</v>
      </c>
      <c r="I27" s="129">
        <f t="shared" si="8"/>
        <v>17</v>
      </c>
      <c r="J27" s="129">
        <f t="shared" si="8"/>
        <v>11</v>
      </c>
      <c r="K27" s="129">
        <f t="shared" si="8"/>
        <v>11</v>
      </c>
      <c r="L27" s="129">
        <f t="shared" si="8"/>
        <v>17</v>
      </c>
      <c r="M27" s="129">
        <f t="shared" si="8"/>
        <v>8</v>
      </c>
      <c r="N27" s="129">
        <f t="shared" si="8"/>
        <v>11</v>
      </c>
      <c r="O27" s="129">
        <f t="shared" si="8"/>
        <v>11</v>
      </c>
      <c r="P27" s="129">
        <f t="shared" si="8"/>
        <v>11</v>
      </c>
      <c r="Q27" s="129">
        <f t="shared" si="8"/>
        <v>11</v>
      </c>
      <c r="R27" s="129">
        <f t="shared" si="8"/>
        <v>17</v>
      </c>
      <c r="S27" s="129">
        <f t="shared" si="8"/>
        <v>8</v>
      </c>
      <c r="T27" s="129">
        <f t="shared" si="8"/>
        <v>11</v>
      </c>
      <c r="U27" s="129">
        <f t="shared" si="8"/>
        <v>11</v>
      </c>
      <c r="V27" s="129">
        <f t="shared" si="8"/>
        <v>11</v>
      </c>
      <c r="W27" s="129">
        <f t="shared" si="8"/>
        <v>11</v>
      </c>
      <c r="X27" s="129">
        <f t="shared" si="8"/>
        <v>11</v>
      </c>
      <c r="Y27" s="129">
        <f t="shared" si="8"/>
        <v>11</v>
      </c>
      <c r="Z27" s="129">
        <f t="shared" si="8"/>
        <v>11</v>
      </c>
      <c r="AA27" s="129">
        <f t="shared" si="8"/>
        <v>11</v>
      </c>
      <c r="AB27" s="129">
        <f t="shared" si="8"/>
        <v>11</v>
      </c>
      <c r="AC27" s="129">
        <f t="shared" si="8"/>
        <v>11</v>
      </c>
      <c r="AD27" s="129">
        <f t="shared" si="8"/>
        <v>11</v>
      </c>
      <c r="AE27" s="129">
        <f t="shared" si="8"/>
        <v>11</v>
      </c>
      <c r="AF27" s="129">
        <f t="shared" si="8"/>
        <v>11</v>
      </c>
      <c r="AG27" s="129">
        <f t="shared" si="8"/>
        <v>11</v>
      </c>
      <c r="AH27" s="129">
        <f t="shared" si="8"/>
        <v>11</v>
      </c>
      <c r="AI27" s="129">
        <f t="shared" si="8"/>
        <v>11</v>
      </c>
      <c r="AJ27" s="129">
        <f t="shared" si="8"/>
        <v>11</v>
      </c>
      <c r="AK27" s="129">
        <f t="shared" si="8"/>
        <v>11</v>
      </c>
      <c r="AL27" s="129">
        <f t="shared" si="8"/>
        <v>11</v>
      </c>
      <c r="AM27" s="129">
        <f t="shared" si="8"/>
        <v>17</v>
      </c>
      <c r="AN27" s="129">
        <f t="shared" si="8"/>
        <v>8</v>
      </c>
      <c r="AO27" s="129">
        <f t="shared" si="8"/>
        <v>11</v>
      </c>
      <c r="AP27" s="129">
        <f t="shared" si="8"/>
        <v>11</v>
      </c>
      <c r="AQ27" s="129">
        <f t="shared" si="8"/>
        <v>11</v>
      </c>
      <c r="AR27" s="129">
        <f t="shared" si="8"/>
        <v>11</v>
      </c>
      <c r="AS27" s="129">
        <f t="shared" si="8"/>
        <v>11</v>
      </c>
      <c r="AT27" s="129">
        <f t="shared" si="8"/>
        <v>11</v>
      </c>
      <c r="AU27" s="129">
        <f t="shared" si="8"/>
        <v>11</v>
      </c>
      <c r="AV27" s="129">
        <f t="shared" si="8"/>
        <v>11</v>
      </c>
      <c r="AW27" s="129">
        <f t="shared" si="8"/>
        <v>11</v>
      </c>
      <c r="AX27" s="129">
        <f t="shared" si="8"/>
        <v>11</v>
      </c>
      <c r="AY27" s="169">
        <f t="shared" si="8"/>
        <v>11</v>
      </c>
      <c r="AZ27" s="111"/>
    </row>
    <row r="28" spans="1:52" x14ac:dyDescent="0.2">
      <c r="B28" s="170" t="s">
        <v>310</v>
      </c>
      <c r="C28" s="115">
        <v>7</v>
      </c>
      <c r="D28" s="115">
        <v>0</v>
      </c>
      <c r="E28" s="115">
        <v>7</v>
      </c>
      <c r="F28" s="115">
        <v>0</v>
      </c>
      <c r="G28" s="115">
        <v>0</v>
      </c>
      <c r="H28" s="115">
        <v>0</v>
      </c>
      <c r="I28" s="115">
        <v>6</v>
      </c>
      <c r="J28" s="115">
        <v>6</v>
      </c>
      <c r="K28" s="115">
        <v>0</v>
      </c>
      <c r="L28" s="115">
        <v>9</v>
      </c>
      <c r="M28" s="115">
        <v>6</v>
      </c>
      <c r="N28" s="115">
        <v>6</v>
      </c>
      <c r="O28" s="115">
        <v>6</v>
      </c>
      <c r="P28" s="115">
        <v>6</v>
      </c>
      <c r="Q28" s="115">
        <v>0</v>
      </c>
      <c r="R28" s="115">
        <v>9</v>
      </c>
      <c r="S28" s="115">
        <v>6</v>
      </c>
      <c r="T28" s="115">
        <v>6</v>
      </c>
      <c r="U28" s="115">
        <v>6</v>
      </c>
      <c r="V28" s="115">
        <v>6</v>
      </c>
      <c r="W28" s="115">
        <v>6</v>
      </c>
      <c r="X28" s="115">
        <v>6</v>
      </c>
      <c r="Y28" s="115">
        <v>6</v>
      </c>
      <c r="Z28" s="115">
        <v>6</v>
      </c>
      <c r="AA28" s="115">
        <v>6</v>
      </c>
      <c r="AB28" s="115">
        <v>6</v>
      </c>
      <c r="AC28" s="115">
        <v>6</v>
      </c>
      <c r="AD28" s="115">
        <v>6</v>
      </c>
      <c r="AE28" s="115">
        <v>6</v>
      </c>
      <c r="AF28" s="115">
        <v>6</v>
      </c>
      <c r="AG28" s="115">
        <v>6</v>
      </c>
      <c r="AH28" s="115">
        <v>6</v>
      </c>
      <c r="AI28" s="115">
        <v>6</v>
      </c>
      <c r="AJ28" s="115">
        <v>6</v>
      </c>
      <c r="AK28" s="115">
        <v>6</v>
      </c>
      <c r="AL28" s="115">
        <v>0</v>
      </c>
      <c r="AM28" s="115">
        <v>9</v>
      </c>
      <c r="AN28" s="115">
        <v>6</v>
      </c>
      <c r="AO28" s="115">
        <v>6</v>
      </c>
      <c r="AP28" s="115">
        <v>6</v>
      </c>
      <c r="AQ28" s="115">
        <v>6</v>
      </c>
      <c r="AR28" s="115">
        <v>6</v>
      </c>
      <c r="AS28" s="115">
        <v>6</v>
      </c>
      <c r="AT28" s="115">
        <v>6</v>
      </c>
      <c r="AU28" s="115">
        <v>6</v>
      </c>
      <c r="AV28" s="115">
        <v>6</v>
      </c>
      <c r="AW28" s="115">
        <v>6</v>
      </c>
      <c r="AX28" s="115">
        <v>6</v>
      </c>
      <c r="AY28" s="171">
        <v>6</v>
      </c>
      <c r="AZ28" s="111"/>
    </row>
    <row r="29" spans="1:52" x14ac:dyDescent="0.2">
      <c r="B29" s="141" t="s">
        <v>311</v>
      </c>
      <c r="C29" s="130">
        <v>7</v>
      </c>
      <c r="D29" s="130">
        <f>C$28</f>
        <v>7</v>
      </c>
      <c r="E29" s="130">
        <f t="shared" ref="E29:AY29" si="9">D$28</f>
        <v>0</v>
      </c>
      <c r="F29" s="130">
        <f t="shared" si="9"/>
        <v>7</v>
      </c>
      <c r="G29" s="130">
        <f t="shared" si="9"/>
        <v>0</v>
      </c>
      <c r="H29" s="130">
        <f t="shared" si="9"/>
        <v>0</v>
      </c>
      <c r="I29" s="130">
        <f t="shared" si="9"/>
        <v>0</v>
      </c>
      <c r="J29" s="130">
        <f t="shared" si="9"/>
        <v>6</v>
      </c>
      <c r="K29" s="130">
        <f t="shared" si="9"/>
        <v>6</v>
      </c>
      <c r="L29" s="130">
        <f t="shared" si="9"/>
        <v>0</v>
      </c>
      <c r="M29" s="130">
        <f t="shared" si="9"/>
        <v>9</v>
      </c>
      <c r="N29" s="130">
        <f t="shared" si="9"/>
        <v>6</v>
      </c>
      <c r="O29" s="130">
        <f t="shared" si="9"/>
        <v>6</v>
      </c>
      <c r="P29" s="130">
        <f t="shared" si="9"/>
        <v>6</v>
      </c>
      <c r="Q29" s="130">
        <f t="shared" si="9"/>
        <v>6</v>
      </c>
      <c r="R29" s="130">
        <f t="shared" si="9"/>
        <v>0</v>
      </c>
      <c r="S29" s="130">
        <f t="shared" si="9"/>
        <v>9</v>
      </c>
      <c r="T29" s="130">
        <f t="shared" si="9"/>
        <v>6</v>
      </c>
      <c r="U29" s="130">
        <f t="shared" si="9"/>
        <v>6</v>
      </c>
      <c r="V29" s="130">
        <f t="shared" si="9"/>
        <v>6</v>
      </c>
      <c r="W29" s="130">
        <f t="shared" si="9"/>
        <v>6</v>
      </c>
      <c r="X29" s="130">
        <f t="shared" si="9"/>
        <v>6</v>
      </c>
      <c r="Y29" s="130">
        <f t="shared" si="9"/>
        <v>6</v>
      </c>
      <c r="Z29" s="130">
        <f t="shared" si="9"/>
        <v>6</v>
      </c>
      <c r="AA29" s="130">
        <f t="shared" si="9"/>
        <v>6</v>
      </c>
      <c r="AB29" s="130">
        <f t="shared" si="9"/>
        <v>6</v>
      </c>
      <c r="AC29" s="130">
        <f t="shared" si="9"/>
        <v>6</v>
      </c>
      <c r="AD29" s="130">
        <f t="shared" si="9"/>
        <v>6</v>
      </c>
      <c r="AE29" s="130">
        <f t="shared" si="9"/>
        <v>6</v>
      </c>
      <c r="AF29" s="130">
        <f t="shared" si="9"/>
        <v>6</v>
      </c>
      <c r="AG29" s="130">
        <f t="shared" si="9"/>
        <v>6</v>
      </c>
      <c r="AH29" s="130">
        <f t="shared" si="9"/>
        <v>6</v>
      </c>
      <c r="AI29" s="130">
        <f t="shared" si="9"/>
        <v>6</v>
      </c>
      <c r="AJ29" s="130">
        <f t="shared" si="9"/>
        <v>6</v>
      </c>
      <c r="AK29" s="130">
        <f t="shared" si="9"/>
        <v>6</v>
      </c>
      <c r="AL29" s="130">
        <f t="shared" si="9"/>
        <v>6</v>
      </c>
      <c r="AM29" s="130">
        <f t="shared" si="9"/>
        <v>0</v>
      </c>
      <c r="AN29" s="130">
        <f t="shared" si="9"/>
        <v>9</v>
      </c>
      <c r="AO29" s="130">
        <f t="shared" si="9"/>
        <v>6</v>
      </c>
      <c r="AP29" s="130">
        <f t="shared" si="9"/>
        <v>6</v>
      </c>
      <c r="AQ29" s="130">
        <f t="shared" si="9"/>
        <v>6</v>
      </c>
      <c r="AR29" s="130">
        <f t="shared" si="9"/>
        <v>6</v>
      </c>
      <c r="AS29" s="130">
        <f t="shared" si="9"/>
        <v>6</v>
      </c>
      <c r="AT29" s="130">
        <f t="shared" si="9"/>
        <v>6</v>
      </c>
      <c r="AU29" s="130">
        <f t="shared" si="9"/>
        <v>6</v>
      </c>
      <c r="AV29" s="130">
        <f t="shared" si="9"/>
        <v>6</v>
      </c>
      <c r="AW29" s="130">
        <f t="shared" si="9"/>
        <v>6</v>
      </c>
      <c r="AX29" s="130">
        <f t="shared" si="9"/>
        <v>6</v>
      </c>
      <c r="AY29" s="172">
        <f t="shared" si="9"/>
        <v>6</v>
      </c>
      <c r="AZ29" s="173"/>
    </row>
    <row r="30" spans="1:52" x14ac:dyDescent="0.2">
      <c r="A30" s="174" t="s">
        <v>312</v>
      </c>
      <c r="B30" s="149">
        <v>10</v>
      </c>
      <c r="C30" s="122" t="s">
        <v>293</v>
      </c>
      <c r="D30" s="122">
        <f>D$27*$B$30</f>
        <v>100</v>
      </c>
      <c r="E30" s="122">
        <f t="shared" ref="E30:AY30" si="10">E$27*$B$30</f>
        <v>170</v>
      </c>
      <c r="F30" s="122">
        <f t="shared" si="10"/>
        <v>100</v>
      </c>
      <c r="G30" s="122">
        <f t="shared" si="10"/>
        <v>170</v>
      </c>
      <c r="H30" s="122">
        <f t="shared" si="10"/>
        <v>170</v>
      </c>
      <c r="I30" s="122">
        <f t="shared" si="10"/>
        <v>170</v>
      </c>
      <c r="J30" s="122">
        <f t="shared" si="10"/>
        <v>110</v>
      </c>
      <c r="K30" s="122">
        <f t="shared" si="10"/>
        <v>110</v>
      </c>
      <c r="L30" s="122">
        <f t="shared" si="10"/>
        <v>170</v>
      </c>
      <c r="M30" s="122">
        <f t="shared" si="10"/>
        <v>80</v>
      </c>
      <c r="N30" s="122">
        <f t="shared" si="10"/>
        <v>110</v>
      </c>
      <c r="O30" s="122">
        <f t="shared" si="10"/>
        <v>110</v>
      </c>
      <c r="P30" s="122">
        <f t="shared" si="10"/>
        <v>110</v>
      </c>
      <c r="Q30" s="122">
        <f t="shared" si="10"/>
        <v>110</v>
      </c>
      <c r="R30" s="122">
        <f>R$27*$B$30</f>
        <v>170</v>
      </c>
      <c r="S30" s="122">
        <f t="shared" si="10"/>
        <v>80</v>
      </c>
      <c r="T30" s="122">
        <f t="shared" si="10"/>
        <v>110</v>
      </c>
      <c r="U30" s="122">
        <f t="shared" si="10"/>
        <v>110</v>
      </c>
      <c r="V30" s="122">
        <f t="shared" si="10"/>
        <v>110</v>
      </c>
      <c r="W30" s="122">
        <f t="shared" si="10"/>
        <v>110</v>
      </c>
      <c r="X30" s="122">
        <f t="shared" si="10"/>
        <v>110</v>
      </c>
      <c r="Y30" s="122">
        <f t="shared" si="10"/>
        <v>110</v>
      </c>
      <c r="Z30" s="122">
        <f t="shared" si="10"/>
        <v>110</v>
      </c>
      <c r="AA30" s="122">
        <f t="shared" si="10"/>
        <v>110</v>
      </c>
      <c r="AB30" s="122">
        <f t="shared" si="10"/>
        <v>110</v>
      </c>
      <c r="AC30" s="122">
        <f t="shared" si="10"/>
        <v>110</v>
      </c>
      <c r="AD30" s="122">
        <f t="shared" si="10"/>
        <v>110</v>
      </c>
      <c r="AE30" s="122">
        <f>AE$27*$B$30</f>
        <v>110</v>
      </c>
      <c r="AF30" s="122">
        <f t="shared" si="10"/>
        <v>110</v>
      </c>
      <c r="AG30" s="122">
        <f t="shared" si="10"/>
        <v>110</v>
      </c>
      <c r="AH30" s="122">
        <f t="shared" si="10"/>
        <v>110</v>
      </c>
      <c r="AI30" s="122">
        <f t="shared" si="10"/>
        <v>110</v>
      </c>
      <c r="AJ30" s="122">
        <f t="shared" si="10"/>
        <v>110</v>
      </c>
      <c r="AK30" s="122">
        <f t="shared" si="10"/>
        <v>110</v>
      </c>
      <c r="AL30" s="122">
        <f t="shared" si="10"/>
        <v>110</v>
      </c>
      <c r="AM30" s="122">
        <f t="shared" si="10"/>
        <v>170</v>
      </c>
      <c r="AN30" s="122">
        <f t="shared" si="10"/>
        <v>80</v>
      </c>
      <c r="AO30" s="122">
        <f t="shared" si="10"/>
        <v>110</v>
      </c>
      <c r="AP30" s="122">
        <f t="shared" si="10"/>
        <v>110</v>
      </c>
      <c r="AQ30" s="122">
        <f t="shared" si="10"/>
        <v>110</v>
      </c>
      <c r="AR30" s="122">
        <f t="shared" si="10"/>
        <v>110</v>
      </c>
      <c r="AS30" s="122">
        <f t="shared" si="10"/>
        <v>110</v>
      </c>
      <c r="AT30" s="122">
        <f t="shared" si="10"/>
        <v>110</v>
      </c>
      <c r="AU30" s="122">
        <f t="shared" si="10"/>
        <v>110</v>
      </c>
      <c r="AV30" s="122">
        <f t="shared" si="10"/>
        <v>110</v>
      </c>
      <c r="AW30" s="122">
        <f t="shared" si="10"/>
        <v>110</v>
      </c>
      <c r="AX30" s="122">
        <f t="shared" si="10"/>
        <v>110</v>
      </c>
      <c r="AY30" s="122">
        <f t="shared" si="10"/>
        <v>110</v>
      </c>
      <c r="AZ30" s="146">
        <f t="shared" si="5"/>
        <v>5590</v>
      </c>
    </row>
    <row r="32" spans="1:52" x14ac:dyDescent="0.2">
      <c r="A32" s="107" t="s">
        <v>300</v>
      </c>
    </row>
    <row r="33" spans="1:52" x14ac:dyDescent="0.2">
      <c r="A33" s="140" t="s">
        <v>34</v>
      </c>
      <c r="B33" s="140" t="s">
        <v>342</v>
      </c>
      <c r="C33" s="129"/>
      <c r="D33" s="129">
        <f>D$21*shipping_manufacturing!$H$27/100</f>
        <v>0</v>
      </c>
      <c r="E33" s="129">
        <f>E$21*shipping_manufacturing!$H$27/100</f>
        <v>0</v>
      </c>
      <c r="F33" s="129">
        <f>F$21*shipping_manufacturing!$H$27/100</f>
        <v>0</v>
      </c>
      <c r="G33" s="129">
        <f>G$21*shipping_manufacturing!$H$27/100</f>
        <v>0</v>
      </c>
      <c r="H33" s="129">
        <f>H$21*shipping_manufacturing!$H$27/100</f>
        <v>0</v>
      </c>
      <c r="I33" s="129">
        <f>I$21*shipping_manufacturing!$H$27/100</f>
        <v>0</v>
      </c>
      <c r="J33" s="129">
        <f>J$21*shipping_manufacturing!$H$27/100</f>
        <v>0</v>
      </c>
      <c r="K33" s="129">
        <f>K$21*shipping_manufacturing!$H$27/100</f>
        <v>0</v>
      </c>
      <c r="L33" s="129">
        <f>L$21*shipping_manufacturing!$H$27/100</f>
        <v>0</v>
      </c>
      <c r="M33" s="129">
        <f>M$21*shipping_manufacturing!$H$27/100</f>
        <v>0</v>
      </c>
      <c r="N33" s="129">
        <f>N$21*shipping_manufacturing!$H$27/100</f>
        <v>0</v>
      </c>
      <c r="O33" s="129">
        <f>O$21*shipping_manufacturing!$H$27/100</f>
        <v>0</v>
      </c>
      <c r="P33" s="129">
        <f>P$21*shipping_manufacturing!$H$27/100</f>
        <v>0</v>
      </c>
      <c r="Q33" s="129">
        <f>Q$21*shipping_manufacturing!$H$27/100</f>
        <v>0</v>
      </c>
      <c r="R33" s="129">
        <f>R$21*shipping_manufacturing!$H$27/100</f>
        <v>0</v>
      </c>
      <c r="S33" s="129">
        <f>S$21*shipping_manufacturing!$H$27/100</f>
        <v>0</v>
      </c>
      <c r="T33" s="129">
        <f>T$21*shipping_manufacturing!$H$27/100</f>
        <v>0</v>
      </c>
      <c r="U33" s="129">
        <f>U$21*shipping_manufacturing!$H$27/100</f>
        <v>0</v>
      </c>
      <c r="V33" s="129">
        <f>V$21*shipping_manufacturing!$H$27/100</f>
        <v>0</v>
      </c>
      <c r="W33" s="129">
        <f>W$21*shipping_manufacturing!$H$27/100</f>
        <v>0</v>
      </c>
      <c r="X33" s="129">
        <f>X$21*shipping_manufacturing!$H$27/100</f>
        <v>0</v>
      </c>
      <c r="Y33" s="129">
        <f>Y$21*shipping_manufacturing!$H$27/100</f>
        <v>0</v>
      </c>
      <c r="Z33" s="129">
        <f>Z$21*shipping_manufacturing!$H$27/100</f>
        <v>0</v>
      </c>
      <c r="AA33" s="129">
        <f>AA$21*shipping_manufacturing!$H$27/100</f>
        <v>0</v>
      </c>
      <c r="AB33" s="129">
        <f>AB$21*shipping_manufacturing!$H$27/100</f>
        <v>0</v>
      </c>
      <c r="AC33" s="129">
        <f>AC$21*shipping_manufacturing!$H$27/100</f>
        <v>0</v>
      </c>
      <c r="AD33" s="129">
        <f>AD$21*shipping_manufacturing!$H$27/100</f>
        <v>0</v>
      </c>
      <c r="AE33" s="129">
        <f>AE$21*shipping_manufacturing!$H$27/100</f>
        <v>0</v>
      </c>
      <c r="AF33" s="129">
        <f>AF$21*shipping_manufacturing!$H$27/100</f>
        <v>0</v>
      </c>
      <c r="AG33" s="129">
        <f>AG$21*shipping_manufacturing!$H$27/100</f>
        <v>0</v>
      </c>
      <c r="AH33" s="129">
        <f>AH$21*shipping_manufacturing!$H$27/100</f>
        <v>0</v>
      </c>
      <c r="AI33" s="129">
        <f>AI$21*shipping_manufacturing!$H$27/100</f>
        <v>0</v>
      </c>
      <c r="AJ33" s="129">
        <f>AJ$21*shipping_manufacturing!$H$27/100</f>
        <v>0</v>
      </c>
      <c r="AK33" s="129">
        <f>AK$21*shipping_manufacturing!$H$27/100</f>
        <v>0</v>
      </c>
      <c r="AL33" s="129">
        <f>AL$21*shipping_manufacturing!$H$27/100</f>
        <v>0</v>
      </c>
      <c r="AM33" s="129">
        <f>AM$21*shipping_manufacturing!$H$27/100</f>
        <v>0</v>
      </c>
      <c r="AN33" s="129">
        <f>AN$21*shipping_manufacturing!$H$27/100</f>
        <v>0</v>
      </c>
      <c r="AO33" s="129">
        <f>AO$21*shipping_manufacturing!$H$27/100</f>
        <v>0</v>
      </c>
      <c r="AP33" s="129">
        <f>AP$21*shipping_manufacturing!$H$27/100</f>
        <v>0</v>
      </c>
      <c r="AQ33" s="129">
        <f>AQ$21*shipping_manufacturing!$H$27/100</f>
        <v>0</v>
      </c>
      <c r="AR33" s="129">
        <f>AR$21*shipping_manufacturing!$H$27/100</f>
        <v>0</v>
      </c>
      <c r="AS33" s="129">
        <f>AS$21*shipping_manufacturing!$H$27/100</f>
        <v>0</v>
      </c>
      <c r="AT33" s="129">
        <f>AT$21*shipping_manufacturing!$H$27/100</f>
        <v>0</v>
      </c>
      <c r="AU33" s="129">
        <f>AU$21*shipping_manufacturing!$H$27/100</f>
        <v>0</v>
      </c>
      <c r="AV33" s="129">
        <f>AV$21*shipping_manufacturing!$H$27/100</f>
        <v>0</v>
      </c>
      <c r="AW33" s="129">
        <f>AW$21*shipping_manufacturing!$H$27/100</f>
        <v>0</v>
      </c>
      <c r="AX33" s="129">
        <f>AX$21*shipping_manufacturing!$H$27/100</f>
        <v>0</v>
      </c>
      <c r="AY33" s="129">
        <f>AY$21*shipping_manufacturing!$H$27/100</f>
        <v>0</v>
      </c>
    </row>
    <row r="34" spans="1:52" x14ac:dyDescent="0.2">
      <c r="A34" s="118" t="s">
        <v>341</v>
      </c>
      <c r="B34" s="170" t="s">
        <v>343</v>
      </c>
      <c r="C34" s="115"/>
      <c r="D34" s="115">
        <f>D$22*shipping_manufacturing!$I$27/100</f>
        <v>0</v>
      </c>
      <c r="E34" s="115">
        <f>E$22*shipping_manufacturing!$I$27/100</f>
        <v>0</v>
      </c>
      <c r="F34" s="115">
        <f>F$22*shipping_manufacturing!$I$27/100</f>
        <v>0</v>
      </c>
      <c r="G34" s="115">
        <f>G$22*shipping_manufacturing!$I$27/100</f>
        <v>0</v>
      </c>
      <c r="H34" s="115">
        <f>H$22*shipping_manufacturing!$I$27/100</f>
        <v>0</v>
      </c>
      <c r="I34" s="115">
        <f>I$22*shipping_manufacturing!$I$27/100</f>
        <v>0</v>
      </c>
      <c r="J34" s="115">
        <f>J$22*shipping_manufacturing!$I$27/100</f>
        <v>0</v>
      </c>
      <c r="K34" s="115">
        <f>K$22*shipping_manufacturing!$I$27/100</f>
        <v>0</v>
      </c>
      <c r="L34" s="115">
        <f>L$22*shipping_manufacturing!$I$27/100</f>
        <v>0</v>
      </c>
      <c r="M34" s="115">
        <f>M$22*shipping_manufacturing!$I$27/100</f>
        <v>0</v>
      </c>
      <c r="N34" s="115">
        <f>N$22*shipping_manufacturing!$I$27/100</f>
        <v>0</v>
      </c>
      <c r="O34" s="115">
        <f>O$22*shipping_manufacturing!$I$27/100</f>
        <v>0</v>
      </c>
      <c r="P34" s="115">
        <f>P$22*shipping_manufacturing!$I$27/100</f>
        <v>0</v>
      </c>
      <c r="Q34" s="115">
        <f>Q$22*shipping_manufacturing!$I$27/100</f>
        <v>0</v>
      </c>
      <c r="R34" s="115">
        <f>R$22*shipping_manufacturing!$I$27/100</f>
        <v>0</v>
      </c>
      <c r="S34" s="115">
        <f>S$22*shipping_manufacturing!$I$27/100</f>
        <v>0</v>
      </c>
      <c r="T34" s="115">
        <f>T$22*shipping_manufacturing!$I$27/100</f>
        <v>0</v>
      </c>
      <c r="U34" s="115">
        <f>U$22*shipping_manufacturing!$I$27/100</f>
        <v>0</v>
      </c>
      <c r="V34" s="115">
        <f>V$22*shipping_manufacturing!$I$27/100</f>
        <v>0</v>
      </c>
      <c r="W34" s="115">
        <f>W$22*shipping_manufacturing!$I$27/100</f>
        <v>0</v>
      </c>
      <c r="X34" s="115">
        <f>X$22*shipping_manufacturing!$I$27/100</f>
        <v>0</v>
      </c>
      <c r="Y34" s="115">
        <f>Y$22*shipping_manufacturing!$I$27/100</f>
        <v>0</v>
      </c>
      <c r="Z34" s="115">
        <f>Z$22*shipping_manufacturing!$I$27/100</f>
        <v>0</v>
      </c>
      <c r="AA34" s="115">
        <f>AA$22*shipping_manufacturing!$I$27/100</f>
        <v>0</v>
      </c>
      <c r="AB34" s="115">
        <f>AB$22*shipping_manufacturing!$I$27/100</f>
        <v>0</v>
      </c>
      <c r="AC34" s="115">
        <f>AC$22*shipping_manufacturing!$I$27/100</f>
        <v>0</v>
      </c>
      <c r="AD34" s="115">
        <f>AD$22*shipping_manufacturing!$I$27/100</f>
        <v>0</v>
      </c>
      <c r="AE34" s="115">
        <f>AE$22*shipping_manufacturing!$I$27/100</f>
        <v>0</v>
      </c>
      <c r="AF34" s="115">
        <f>AF$22*shipping_manufacturing!$I$27/100</f>
        <v>0</v>
      </c>
      <c r="AG34" s="115">
        <f>AG$22*shipping_manufacturing!$I$27/100</f>
        <v>0</v>
      </c>
      <c r="AH34" s="115">
        <f>AH$22*shipping_manufacturing!$I$27/100</f>
        <v>0</v>
      </c>
      <c r="AI34" s="115">
        <f>AI$22*shipping_manufacturing!$I$27/100</f>
        <v>0</v>
      </c>
      <c r="AJ34" s="115">
        <f>AJ$22*shipping_manufacturing!$I$27/100</f>
        <v>0</v>
      </c>
      <c r="AK34" s="115">
        <f>AK$22*shipping_manufacturing!$I$27/100</f>
        <v>0</v>
      </c>
      <c r="AL34" s="115">
        <f>AL$22*shipping_manufacturing!$I$27/100</f>
        <v>0</v>
      </c>
      <c r="AM34" s="115">
        <f>AM$22*shipping_manufacturing!$I$27/100</f>
        <v>0</v>
      </c>
      <c r="AN34" s="115">
        <f>AN$22*shipping_manufacturing!$I$27/100</f>
        <v>0</v>
      </c>
      <c r="AO34" s="115">
        <f>AO$22*shipping_manufacturing!$I$27/100</f>
        <v>0</v>
      </c>
      <c r="AP34" s="115">
        <f>AP$22*shipping_manufacturing!$I$27/100</f>
        <v>0</v>
      </c>
      <c r="AQ34" s="115">
        <f>AQ$22*shipping_manufacturing!$I$27/100</f>
        <v>0</v>
      </c>
      <c r="AR34" s="115">
        <f>AR$22*shipping_manufacturing!$I$27/100</f>
        <v>0</v>
      </c>
      <c r="AS34" s="115">
        <f>AS$22*shipping_manufacturing!$I$27/100</f>
        <v>0</v>
      </c>
      <c r="AT34" s="115">
        <f>AT$22*shipping_manufacturing!$I$27/100</f>
        <v>0</v>
      </c>
      <c r="AU34" s="115">
        <f>AU$22*shipping_manufacturing!$I$27/100</f>
        <v>0</v>
      </c>
      <c r="AV34" s="115">
        <f>AV$22*shipping_manufacturing!$I$27/100</f>
        <v>0</v>
      </c>
      <c r="AW34" s="115">
        <f>AW$22*shipping_manufacturing!$I$27/100</f>
        <v>0</v>
      </c>
      <c r="AX34" s="115">
        <f>AX$22*shipping_manufacturing!$I$27/100</f>
        <v>0</v>
      </c>
      <c r="AY34" s="115">
        <f>AY$22*shipping_manufacturing!$I$27/100</f>
        <v>0</v>
      </c>
    </row>
    <row r="35" spans="1:52" x14ac:dyDescent="0.2">
      <c r="A35" s="115">
        <v>1069</v>
      </c>
      <c r="B35" s="170" t="s">
        <v>344</v>
      </c>
      <c r="C35" s="115"/>
      <c r="D35" s="115">
        <f>SUM(D33:D34)</f>
        <v>0</v>
      </c>
      <c r="E35" s="115">
        <f t="shared" ref="E35:AY35" si="11">SUM(E33:E34)</f>
        <v>0</v>
      </c>
      <c r="F35" s="115">
        <f t="shared" si="11"/>
        <v>0</v>
      </c>
      <c r="G35" s="115">
        <f t="shared" si="11"/>
        <v>0</v>
      </c>
      <c r="H35" s="115">
        <f t="shared" si="11"/>
        <v>0</v>
      </c>
      <c r="I35" s="115">
        <f t="shared" si="11"/>
        <v>0</v>
      </c>
      <c r="J35" s="115">
        <f t="shared" si="11"/>
        <v>0</v>
      </c>
      <c r="K35" s="115">
        <f t="shared" si="11"/>
        <v>0</v>
      </c>
      <c r="L35" s="115">
        <f t="shared" si="11"/>
        <v>0</v>
      </c>
      <c r="M35" s="115">
        <f t="shared" si="11"/>
        <v>0</v>
      </c>
      <c r="N35" s="115">
        <f t="shared" si="11"/>
        <v>0</v>
      </c>
      <c r="O35" s="115">
        <f t="shared" si="11"/>
        <v>0</v>
      </c>
      <c r="P35" s="115">
        <f t="shared" si="11"/>
        <v>0</v>
      </c>
      <c r="Q35" s="115">
        <f t="shared" si="11"/>
        <v>0</v>
      </c>
      <c r="R35" s="115">
        <f t="shared" si="11"/>
        <v>0</v>
      </c>
      <c r="S35" s="115">
        <f t="shared" si="11"/>
        <v>0</v>
      </c>
      <c r="T35" s="115">
        <f t="shared" si="11"/>
        <v>0</v>
      </c>
      <c r="U35" s="115">
        <f t="shared" si="11"/>
        <v>0</v>
      </c>
      <c r="V35" s="115">
        <f t="shared" si="11"/>
        <v>0</v>
      </c>
      <c r="W35" s="115">
        <f t="shared" si="11"/>
        <v>0</v>
      </c>
      <c r="X35" s="115">
        <f t="shared" si="11"/>
        <v>0</v>
      </c>
      <c r="Y35" s="115">
        <f t="shared" si="11"/>
        <v>0</v>
      </c>
      <c r="Z35" s="115">
        <f t="shared" si="11"/>
        <v>0</v>
      </c>
      <c r="AA35" s="115">
        <f t="shared" si="11"/>
        <v>0</v>
      </c>
      <c r="AB35" s="115">
        <f t="shared" si="11"/>
        <v>0</v>
      </c>
      <c r="AC35" s="115">
        <f t="shared" si="11"/>
        <v>0</v>
      </c>
      <c r="AD35" s="115">
        <f t="shared" si="11"/>
        <v>0</v>
      </c>
      <c r="AE35" s="115">
        <f t="shared" si="11"/>
        <v>0</v>
      </c>
      <c r="AF35" s="115">
        <f t="shared" si="11"/>
        <v>0</v>
      </c>
      <c r="AG35" s="115">
        <f t="shared" si="11"/>
        <v>0</v>
      </c>
      <c r="AH35" s="115">
        <f t="shared" si="11"/>
        <v>0</v>
      </c>
      <c r="AI35" s="115">
        <f t="shared" si="11"/>
        <v>0</v>
      </c>
      <c r="AJ35" s="115">
        <f t="shared" si="11"/>
        <v>0</v>
      </c>
      <c r="AK35" s="115">
        <f t="shared" si="11"/>
        <v>0</v>
      </c>
      <c r="AL35" s="115">
        <f t="shared" si="11"/>
        <v>0</v>
      </c>
      <c r="AM35" s="115">
        <f t="shared" si="11"/>
        <v>0</v>
      </c>
      <c r="AN35" s="115">
        <f t="shared" si="11"/>
        <v>0</v>
      </c>
      <c r="AO35" s="115">
        <f t="shared" si="11"/>
        <v>0</v>
      </c>
      <c r="AP35" s="115">
        <f t="shared" si="11"/>
        <v>0</v>
      </c>
      <c r="AQ35" s="115">
        <f t="shared" si="11"/>
        <v>0</v>
      </c>
      <c r="AR35" s="115">
        <f t="shared" si="11"/>
        <v>0</v>
      </c>
      <c r="AS35" s="115">
        <f t="shared" si="11"/>
        <v>0</v>
      </c>
      <c r="AT35" s="115">
        <f t="shared" si="11"/>
        <v>0</v>
      </c>
      <c r="AU35" s="115">
        <f t="shared" si="11"/>
        <v>0</v>
      </c>
      <c r="AV35" s="115">
        <f t="shared" si="11"/>
        <v>0</v>
      </c>
      <c r="AW35" s="115">
        <f t="shared" si="11"/>
        <v>0</v>
      </c>
      <c r="AX35" s="115">
        <f t="shared" si="11"/>
        <v>0</v>
      </c>
      <c r="AY35" s="115">
        <f t="shared" si="11"/>
        <v>0</v>
      </c>
    </row>
    <row r="36" spans="1:52" x14ac:dyDescent="0.2">
      <c r="A36" s="115"/>
      <c r="B36" s="170" t="s">
        <v>345</v>
      </c>
      <c r="C36" s="115"/>
      <c r="D36" s="115"/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  <c r="AA36" s="115"/>
      <c r="AB36" s="115"/>
      <c r="AC36" s="115"/>
      <c r="AD36" s="115"/>
      <c r="AE36" s="115"/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</row>
    <row r="37" spans="1:52" x14ac:dyDescent="0.2">
      <c r="A37" s="115"/>
      <c r="B37" s="170" t="s">
        <v>346</v>
      </c>
      <c r="C37" s="115"/>
      <c r="D37" s="115"/>
      <c r="E37" s="115"/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  <c r="AA37" s="115"/>
      <c r="AB37" s="115"/>
      <c r="AC37" s="115"/>
      <c r="AD37" s="115"/>
      <c r="AE37" s="115"/>
      <c r="AF37" s="115"/>
      <c r="AG37" s="115"/>
      <c r="AH37" s="115"/>
      <c r="AI37" s="115"/>
      <c r="AJ37" s="115"/>
      <c r="AK37" s="115"/>
      <c r="AL37" s="115"/>
      <c r="AM37" s="115"/>
      <c r="AN37" s="115"/>
      <c r="AO37" s="115"/>
      <c r="AP37" s="115"/>
      <c r="AQ37" s="115"/>
      <c r="AR37" s="115"/>
      <c r="AS37" s="115"/>
      <c r="AT37" s="115"/>
      <c r="AU37" s="115"/>
      <c r="AV37" s="115"/>
      <c r="AW37" s="115"/>
      <c r="AX37" s="115"/>
      <c r="AY37" s="115"/>
    </row>
    <row r="38" spans="1:52" x14ac:dyDescent="0.2">
      <c r="A38" s="115"/>
      <c r="B38" s="170" t="s">
        <v>347</v>
      </c>
      <c r="C38" s="115"/>
      <c r="D38" s="115"/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  <c r="AH38" s="115"/>
      <c r="AI38" s="115"/>
      <c r="AJ38" s="115"/>
      <c r="AK38" s="115"/>
      <c r="AL38" s="115"/>
      <c r="AM38" s="115"/>
      <c r="AN38" s="115"/>
      <c r="AO38" s="115"/>
      <c r="AP38" s="115"/>
      <c r="AQ38" s="115"/>
      <c r="AR38" s="115"/>
      <c r="AS38" s="115"/>
      <c r="AT38" s="115"/>
      <c r="AU38" s="115"/>
      <c r="AV38" s="115"/>
      <c r="AW38" s="115"/>
      <c r="AX38" s="115"/>
      <c r="AY38" s="115"/>
    </row>
    <row r="39" spans="1:52" x14ac:dyDescent="0.2">
      <c r="A39" s="115"/>
      <c r="B39" s="170" t="s">
        <v>348</v>
      </c>
      <c r="C39" s="115"/>
      <c r="D39" s="115">
        <f>D33-D36</f>
        <v>0</v>
      </c>
      <c r="E39" s="115">
        <f t="shared" ref="E39:AY39" si="12">E33-E36</f>
        <v>0</v>
      </c>
      <c r="F39" s="115">
        <f t="shared" si="12"/>
        <v>0</v>
      </c>
      <c r="G39" s="115">
        <f t="shared" si="12"/>
        <v>0</v>
      </c>
      <c r="H39" s="115">
        <f t="shared" si="12"/>
        <v>0</v>
      </c>
      <c r="I39" s="115">
        <f t="shared" si="12"/>
        <v>0</v>
      </c>
      <c r="J39" s="115">
        <f t="shared" si="12"/>
        <v>0</v>
      </c>
      <c r="K39" s="115">
        <f t="shared" si="12"/>
        <v>0</v>
      </c>
      <c r="L39" s="115">
        <f t="shared" si="12"/>
        <v>0</v>
      </c>
      <c r="M39" s="115">
        <f t="shared" si="12"/>
        <v>0</v>
      </c>
      <c r="N39" s="115">
        <f t="shared" si="12"/>
        <v>0</v>
      </c>
      <c r="O39" s="115">
        <f t="shared" si="12"/>
        <v>0</v>
      </c>
      <c r="P39" s="115">
        <f t="shared" si="12"/>
        <v>0</v>
      </c>
      <c r="Q39" s="115">
        <f t="shared" si="12"/>
        <v>0</v>
      </c>
      <c r="R39" s="115">
        <f t="shared" si="12"/>
        <v>0</v>
      </c>
      <c r="S39" s="115">
        <f t="shared" si="12"/>
        <v>0</v>
      </c>
      <c r="T39" s="115">
        <f t="shared" si="12"/>
        <v>0</v>
      </c>
      <c r="U39" s="115">
        <f t="shared" si="12"/>
        <v>0</v>
      </c>
      <c r="V39" s="115">
        <f t="shared" si="12"/>
        <v>0</v>
      </c>
      <c r="W39" s="115">
        <f t="shared" si="12"/>
        <v>0</v>
      </c>
      <c r="X39" s="115">
        <f t="shared" si="12"/>
        <v>0</v>
      </c>
      <c r="Y39" s="115">
        <f t="shared" si="12"/>
        <v>0</v>
      </c>
      <c r="Z39" s="115">
        <f t="shared" si="12"/>
        <v>0</v>
      </c>
      <c r="AA39" s="115">
        <f t="shared" si="12"/>
        <v>0</v>
      </c>
      <c r="AB39" s="115">
        <f t="shared" si="12"/>
        <v>0</v>
      </c>
      <c r="AC39" s="115">
        <f t="shared" si="12"/>
        <v>0</v>
      </c>
      <c r="AD39" s="115">
        <f t="shared" si="12"/>
        <v>0</v>
      </c>
      <c r="AE39" s="115">
        <f t="shared" si="12"/>
        <v>0</v>
      </c>
      <c r="AF39" s="115">
        <f t="shared" si="12"/>
        <v>0</v>
      </c>
      <c r="AG39" s="115">
        <f t="shared" si="12"/>
        <v>0</v>
      </c>
      <c r="AH39" s="115">
        <f t="shared" si="12"/>
        <v>0</v>
      </c>
      <c r="AI39" s="115">
        <f t="shared" si="12"/>
        <v>0</v>
      </c>
      <c r="AJ39" s="115">
        <f t="shared" si="12"/>
        <v>0</v>
      </c>
      <c r="AK39" s="115">
        <f t="shared" si="12"/>
        <v>0</v>
      </c>
      <c r="AL39" s="115">
        <f t="shared" si="12"/>
        <v>0</v>
      </c>
      <c r="AM39" s="115">
        <f t="shared" si="12"/>
        <v>0</v>
      </c>
      <c r="AN39" s="115">
        <f t="shared" si="12"/>
        <v>0</v>
      </c>
      <c r="AO39" s="115">
        <f t="shared" si="12"/>
        <v>0</v>
      </c>
      <c r="AP39" s="115">
        <f t="shared" si="12"/>
        <v>0</v>
      </c>
      <c r="AQ39" s="115">
        <f t="shared" si="12"/>
        <v>0</v>
      </c>
      <c r="AR39" s="115">
        <f t="shared" si="12"/>
        <v>0</v>
      </c>
      <c r="AS39" s="115">
        <f t="shared" si="12"/>
        <v>0</v>
      </c>
      <c r="AT39" s="115">
        <f t="shared" si="12"/>
        <v>0</v>
      </c>
      <c r="AU39" s="115">
        <f t="shared" si="12"/>
        <v>0</v>
      </c>
      <c r="AV39" s="115">
        <f t="shared" si="12"/>
        <v>0</v>
      </c>
      <c r="AW39" s="115">
        <f t="shared" si="12"/>
        <v>0</v>
      </c>
      <c r="AX39" s="115">
        <f t="shared" si="12"/>
        <v>0</v>
      </c>
      <c r="AY39" s="115">
        <f t="shared" si="12"/>
        <v>0</v>
      </c>
    </row>
    <row r="40" spans="1:52" x14ac:dyDescent="0.2">
      <c r="A40" s="115"/>
      <c r="B40" s="170" t="s">
        <v>349</v>
      </c>
      <c r="C40" s="115"/>
      <c r="D40" s="115">
        <f>D34-D37</f>
        <v>0</v>
      </c>
      <c r="E40" s="115">
        <f t="shared" ref="E40:AY40" si="13">E34-E37</f>
        <v>0</v>
      </c>
      <c r="F40" s="115">
        <f t="shared" si="13"/>
        <v>0</v>
      </c>
      <c r="G40" s="115">
        <f t="shared" si="13"/>
        <v>0</v>
      </c>
      <c r="H40" s="115">
        <f t="shared" si="13"/>
        <v>0</v>
      </c>
      <c r="I40" s="115">
        <f t="shared" si="13"/>
        <v>0</v>
      </c>
      <c r="J40" s="115">
        <f t="shared" si="13"/>
        <v>0</v>
      </c>
      <c r="K40" s="115">
        <f t="shared" si="13"/>
        <v>0</v>
      </c>
      <c r="L40" s="115">
        <f t="shared" si="13"/>
        <v>0</v>
      </c>
      <c r="M40" s="115">
        <f t="shared" si="13"/>
        <v>0</v>
      </c>
      <c r="N40" s="115">
        <f t="shared" si="13"/>
        <v>0</v>
      </c>
      <c r="O40" s="115">
        <f t="shared" si="13"/>
        <v>0</v>
      </c>
      <c r="P40" s="115">
        <f t="shared" si="13"/>
        <v>0</v>
      </c>
      <c r="Q40" s="115">
        <f t="shared" si="13"/>
        <v>0</v>
      </c>
      <c r="R40" s="115">
        <f t="shared" si="13"/>
        <v>0</v>
      </c>
      <c r="S40" s="115">
        <f t="shared" si="13"/>
        <v>0</v>
      </c>
      <c r="T40" s="115">
        <f t="shared" si="13"/>
        <v>0</v>
      </c>
      <c r="U40" s="115">
        <f t="shared" si="13"/>
        <v>0</v>
      </c>
      <c r="V40" s="115">
        <f t="shared" si="13"/>
        <v>0</v>
      </c>
      <c r="W40" s="115">
        <f t="shared" si="13"/>
        <v>0</v>
      </c>
      <c r="X40" s="115">
        <f t="shared" si="13"/>
        <v>0</v>
      </c>
      <c r="Y40" s="115">
        <f t="shared" si="13"/>
        <v>0</v>
      </c>
      <c r="Z40" s="115">
        <f t="shared" si="13"/>
        <v>0</v>
      </c>
      <c r="AA40" s="115">
        <f t="shared" si="13"/>
        <v>0</v>
      </c>
      <c r="AB40" s="115">
        <f t="shared" si="13"/>
        <v>0</v>
      </c>
      <c r="AC40" s="115">
        <f t="shared" si="13"/>
        <v>0</v>
      </c>
      <c r="AD40" s="115">
        <f t="shared" si="13"/>
        <v>0</v>
      </c>
      <c r="AE40" s="115">
        <f t="shared" si="13"/>
        <v>0</v>
      </c>
      <c r="AF40" s="115">
        <f t="shared" si="13"/>
        <v>0</v>
      </c>
      <c r="AG40" s="115">
        <f t="shared" si="13"/>
        <v>0</v>
      </c>
      <c r="AH40" s="115">
        <f t="shared" si="13"/>
        <v>0</v>
      </c>
      <c r="AI40" s="115">
        <f t="shared" si="13"/>
        <v>0</v>
      </c>
      <c r="AJ40" s="115">
        <f t="shared" si="13"/>
        <v>0</v>
      </c>
      <c r="AK40" s="115">
        <f t="shared" si="13"/>
        <v>0</v>
      </c>
      <c r="AL40" s="115">
        <f t="shared" si="13"/>
        <v>0</v>
      </c>
      <c r="AM40" s="115">
        <f t="shared" si="13"/>
        <v>0</v>
      </c>
      <c r="AN40" s="115">
        <f t="shared" si="13"/>
        <v>0</v>
      </c>
      <c r="AO40" s="115">
        <f t="shared" si="13"/>
        <v>0</v>
      </c>
      <c r="AP40" s="115">
        <f t="shared" si="13"/>
        <v>0</v>
      </c>
      <c r="AQ40" s="115">
        <f t="shared" si="13"/>
        <v>0</v>
      </c>
      <c r="AR40" s="115">
        <f t="shared" si="13"/>
        <v>0</v>
      </c>
      <c r="AS40" s="115">
        <f t="shared" si="13"/>
        <v>0</v>
      </c>
      <c r="AT40" s="115">
        <f t="shared" si="13"/>
        <v>0</v>
      </c>
      <c r="AU40" s="115">
        <f t="shared" si="13"/>
        <v>0</v>
      </c>
      <c r="AV40" s="115">
        <f t="shared" si="13"/>
        <v>0</v>
      </c>
      <c r="AW40" s="115">
        <f t="shared" si="13"/>
        <v>0</v>
      </c>
      <c r="AX40" s="115">
        <f t="shared" si="13"/>
        <v>0</v>
      </c>
      <c r="AY40" s="115">
        <f t="shared" si="13"/>
        <v>0</v>
      </c>
    </row>
    <row r="41" spans="1:52" x14ac:dyDescent="0.2">
      <c r="A41" s="115"/>
      <c r="B41" s="170" t="s">
        <v>350</v>
      </c>
      <c r="C41" s="115"/>
      <c r="D41" s="115">
        <v>2</v>
      </c>
      <c r="E41" s="115">
        <v>1</v>
      </c>
      <c r="F41" s="115">
        <v>2</v>
      </c>
      <c r="G41" s="115">
        <v>1</v>
      </c>
      <c r="H41" s="115">
        <v>2</v>
      </c>
      <c r="I41" s="115">
        <v>3</v>
      </c>
      <c r="J41" s="115">
        <v>1</v>
      </c>
      <c r="K41" s="115">
        <v>1</v>
      </c>
      <c r="L41" s="115">
        <v>1</v>
      </c>
      <c r="M41" s="115">
        <v>2</v>
      </c>
      <c r="N41" s="115">
        <v>1</v>
      </c>
      <c r="O41" s="115">
        <v>1</v>
      </c>
      <c r="P41" s="115">
        <v>1</v>
      </c>
      <c r="Q41" s="115">
        <v>2</v>
      </c>
      <c r="R41" s="115">
        <v>2</v>
      </c>
      <c r="S41" s="115">
        <v>2</v>
      </c>
      <c r="T41" s="115">
        <v>3</v>
      </c>
      <c r="U41" s="115">
        <v>3</v>
      </c>
      <c r="V41" s="115">
        <v>2</v>
      </c>
      <c r="W41" s="115">
        <v>1</v>
      </c>
      <c r="X41" s="115">
        <v>2</v>
      </c>
      <c r="Y41" s="115">
        <v>1</v>
      </c>
      <c r="Z41" s="115">
        <v>1</v>
      </c>
      <c r="AA41" s="115">
        <v>1</v>
      </c>
      <c r="AB41" s="115">
        <v>1</v>
      </c>
      <c r="AC41" s="115">
        <v>1</v>
      </c>
      <c r="AD41" s="115">
        <v>1</v>
      </c>
      <c r="AE41" s="115">
        <v>1</v>
      </c>
      <c r="AF41" s="115">
        <v>2</v>
      </c>
      <c r="AG41" s="115">
        <v>1</v>
      </c>
      <c r="AH41" s="115">
        <v>1</v>
      </c>
      <c r="AI41" s="115">
        <v>1</v>
      </c>
      <c r="AJ41" s="115">
        <v>3</v>
      </c>
      <c r="AK41" s="115">
        <v>2</v>
      </c>
      <c r="AL41" s="115">
        <v>1</v>
      </c>
      <c r="AM41" s="115">
        <v>3</v>
      </c>
      <c r="AN41" s="115">
        <v>3</v>
      </c>
      <c r="AO41" s="115">
        <v>1</v>
      </c>
      <c r="AP41" s="115">
        <v>2</v>
      </c>
      <c r="AQ41" s="115">
        <v>2</v>
      </c>
      <c r="AR41" s="115">
        <v>1</v>
      </c>
      <c r="AS41" s="115">
        <v>2</v>
      </c>
      <c r="AT41" s="115">
        <v>2</v>
      </c>
      <c r="AU41" s="115">
        <v>1</v>
      </c>
      <c r="AV41" s="115">
        <v>1</v>
      </c>
      <c r="AW41" s="115">
        <v>1</v>
      </c>
      <c r="AX41" s="115">
        <v>1</v>
      </c>
      <c r="AY41" s="115">
        <v>1</v>
      </c>
    </row>
    <row r="42" spans="1:52" x14ac:dyDescent="0.2">
      <c r="A42" s="115"/>
      <c r="B42" s="183" t="s">
        <v>351</v>
      </c>
      <c r="C42" s="115"/>
      <c r="D42" s="115">
        <v>0</v>
      </c>
      <c r="E42" s="115">
        <v>0</v>
      </c>
      <c r="F42" s="115">
        <v>0</v>
      </c>
      <c r="G42" s="115">
        <v>0</v>
      </c>
      <c r="H42" s="115">
        <v>0</v>
      </c>
      <c r="I42" s="115">
        <v>0</v>
      </c>
      <c r="J42" s="115">
        <v>0</v>
      </c>
      <c r="K42" s="115">
        <v>0</v>
      </c>
      <c r="L42" s="115">
        <v>0</v>
      </c>
      <c r="M42" s="115">
        <v>0</v>
      </c>
      <c r="N42" s="115">
        <v>0</v>
      </c>
      <c r="O42" s="115">
        <v>0</v>
      </c>
      <c r="P42" s="115">
        <v>0</v>
      </c>
      <c r="Q42" s="115">
        <v>0</v>
      </c>
      <c r="R42" s="115">
        <v>0</v>
      </c>
      <c r="S42" s="115">
        <v>0</v>
      </c>
      <c r="T42" s="115">
        <v>0</v>
      </c>
      <c r="U42" s="115">
        <v>0</v>
      </c>
      <c r="V42" s="115">
        <v>0</v>
      </c>
      <c r="W42" s="115">
        <v>0</v>
      </c>
      <c r="X42" s="115">
        <v>0</v>
      </c>
      <c r="Y42" s="115">
        <v>0</v>
      </c>
      <c r="Z42" s="115">
        <v>0</v>
      </c>
      <c r="AA42" s="115">
        <v>0</v>
      </c>
      <c r="AB42" s="115">
        <v>0</v>
      </c>
      <c r="AC42" s="115">
        <v>0</v>
      </c>
      <c r="AD42" s="115">
        <v>0</v>
      </c>
      <c r="AE42" s="115">
        <v>0</v>
      </c>
      <c r="AF42" s="115">
        <v>0</v>
      </c>
      <c r="AG42" s="115">
        <v>0</v>
      </c>
      <c r="AH42" s="115">
        <v>0</v>
      </c>
      <c r="AI42" s="115">
        <v>0</v>
      </c>
      <c r="AJ42" s="115">
        <v>0</v>
      </c>
      <c r="AK42" s="115">
        <v>0</v>
      </c>
      <c r="AL42" s="115">
        <v>0</v>
      </c>
      <c r="AM42" s="115">
        <v>0</v>
      </c>
      <c r="AN42" s="115">
        <v>0</v>
      </c>
      <c r="AO42" s="115">
        <v>0</v>
      </c>
      <c r="AP42" s="115">
        <v>0</v>
      </c>
      <c r="AQ42" s="115">
        <v>0</v>
      </c>
      <c r="AR42" s="115">
        <v>0</v>
      </c>
      <c r="AS42" s="115">
        <v>0</v>
      </c>
      <c r="AT42" s="115">
        <v>0</v>
      </c>
      <c r="AU42" s="115">
        <v>0</v>
      </c>
      <c r="AV42" s="115">
        <v>0</v>
      </c>
      <c r="AW42" s="115">
        <v>0</v>
      </c>
      <c r="AX42" s="115">
        <v>0</v>
      </c>
      <c r="AY42" s="115">
        <v>0</v>
      </c>
      <c r="AZ42" s="105">
        <f>SUM($D$42:$AY$42)</f>
        <v>0</v>
      </c>
    </row>
    <row r="43" spans="1:52" x14ac:dyDescent="0.2">
      <c r="A43" s="115"/>
      <c r="B43" s="183" t="s">
        <v>352</v>
      </c>
      <c r="C43" s="115"/>
      <c r="D43" s="115">
        <v>0</v>
      </c>
      <c r="E43" s="115">
        <v>0</v>
      </c>
      <c r="F43" s="115">
        <v>0</v>
      </c>
      <c r="G43" s="115">
        <v>0</v>
      </c>
      <c r="H43" s="115">
        <v>0</v>
      </c>
      <c r="I43" s="115">
        <v>0</v>
      </c>
      <c r="J43" s="115">
        <v>0</v>
      </c>
      <c r="K43" s="115">
        <v>0</v>
      </c>
      <c r="L43" s="115">
        <v>0</v>
      </c>
      <c r="M43" s="115">
        <v>0</v>
      </c>
      <c r="N43" s="115">
        <v>0</v>
      </c>
      <c r="O43" s="115">
        <v>0</v>
      </c>
      <c r="P43" s="115">
        <v>0</v>
      </c>
      <c r="Q43" s="115">
        <v>0</v>
      </c>
      <c r="R43" s="115">
        <v>0</v>
      </c>
      <c r="S43" s="115">
        <v>0</v>
      </c>
      <c r="T43" s="115">
        <v>0</v>
      </c>
      <c r="U43" s="115">
        <v>0</v>
      </c>
      <c r="V43" s="115">
        <v>0</v>
      </c>
      <c r="W43" s="115">
        <v>0</v>
      </c>
      <c r="X43" s="115">
        <v>0</v>
      </c>
      <c r="Y43" s="115">
        <v>0</v>
      </c>
      <c r="Z43" s="115">
        <v>0</v>
      </c>
      <c r="AA43" s="115">
        <v>0</v>
      </c>
      <c r="AB43" s="115">
        <v>0</v>
      </c>
      <c r="AC43" s="115">
        <v>0</v>
      </c>
      <c r="AD43" s="115">
        <v>0</v>
      </c>
      <c r="AE43" s="115">
        <v>0</v>
      </c>
      <c r="AF43" s="115">
        <v>0</v>
      </c>
      <c r="AG43" s="115">
        <v>0</v>
      </c>
      <c r="AH43" s="115">
        <v>0</v>
      </c>
      <c r="AI43" s="115">
        <v>0</v>
      </c>
      <c r="AJ43" s="115">
        <v>0</v>
      </c>
      <c r="AK43" s="115">
        <v>0</v>
      </c>
      <c r="AL43" s="115">
        <v>0</v>
      </c>
      <c r="AM43" s="115">
        <v>0</v>
      </c>
      <c r="AN43" s="115">
        <v>0</v>
      </c>
      <c r="AO43" s="115">
        <v>0</v>
      </c>
      <c r="AP43" s="115">
        <v>0</v>
      </c>
      <c r="AQ43" s="115">
        <v>0</v>
      </c>
      <c r="AR43" s="115">
        <v>0</v>
      </c>
      <c r="AS43" s="115">
        <v>0</v>
      </c>
      <c r="AT43" s="115">
        <v>0</v>
      </c>
      <c r="AU43" s="115">
        <v>0</v>
      </c>
      <c r="AV43" s="115">
        <v>0</v>
      </c>
      <c r="AW43" s="115">
        <v>0</v>
      </c>
      <c r="AX43" s="115">
        <v>0</v>
      </c>
      <c r="AY43" s="115">
        <v>0</v>
      </c>
      <c r="AZ43" s="105">
        <f>SUM($D$43:$AY$43)</f>
        <v>0</v>
      </c>
    </row>
    <row r="44" spans="1:52" x14ac:dyDescent="0.2">
      <c r="A44" s="140" t="s">
        <v>49</v>
      </c>
      <c r="B44" s="140" t="s">
        <v>342</v>
      </c>
      <c r="C44" s="129"/>
      <c r="D44" s="129">
        <f>D$21*shipping_manufacturing!$H$28/100</f>
        <v>0</v>
      </c>
      <c r="E44" s="129">
        <f>E$21*shipping_manufacturing!$H$28/100</f>
        <v>0</v>
      </c>
      <c r="F44" s="129">
        <f>F$21*shipping_manufacturing!$H$28/100</f>
        <v>0</v>
      </c>
      <c r="G44" s="129">
        <f>G$21*shipping_manufacturing!$H$28/100</f>
        <v>0</v>
      </c>
      <c r="H44" s="129">
        <f>H$21*shipping_manufacturing!$H$28/100</f>
        <v>0</v>
      </c>
      <c r="I44" s="129">
        <f>I$21*shipping_manufacturing!$H$28/100</f>
        <v>0</v>
      </c>
      <c r="J44" s="129">
        <f>J$21*shipping_manufacturing!$H$28/100</f>
        <v>0</v>
      </c>
      <c r="K44" s="129">
        <f>K$21*shipping_manufacturing!$H$28/100</f>
        <v>0</v>
      </c>
      <c r="L44" s="129">
        <f>L$21*shipping_manufacturing!$H$28/100</f>
        <v>0</v>
      </c>
      <c r="M44" s="129">
        <f>M$21*shipping_manufacturing!$H$28/100</f>
        <v>0</v>
      </c>
      <c r="N44" s="129">
        <f>N$21*shipping_manufacturing!$H$28/100</f>
        <v>0</v>
      </c>
      <c r="O44" s="129">
        <f>O$21*shipping_manufacturing!$H$28/100</f>
        <v>0</v>
      </c>
      <c r="P44" s="129">
        <f>P$21*shipping_manufacturing!$H$28/100</f>
        <v>0</v>
      </c>
      <c r="Q44" s="129">
        <f>Q$21*shipping_manufacturing!$H$28/100</f>
        <v>0</v>
      </c>
      <c r="R44" s="129">
        <f>R$21*shipping_manufacturing!$H$28/100</f>
        <v>0</v>
      </c>
      <c r="S44" s="129">
        <f>S$21*shipping_manufacturing!$H$28/100</f>
        <v>0</v>
      </c>
      <c r="T44" s="129">
        <f>T$21*shipping_manufacturing!$H$28/100</f>
        <v>0</v>
      </c>
      <c r="U44" s="129">
        <f>U$21*shipping_manufacturing!$H$28/100</f>
        <v>0</v>
      </c>
      <c r="V44" s="129">
        <f>V$21*shipping_manufacturing!$H$28/100</f>
        <v>0</v>
      </c>
      <c r="W44" s="129">
        <f>W$21*shipping_manufacturing!$H$28/100</f>
        <v>0</v>
      </c>
      <c r="X44" s="129">
        <f>X$21*shipping_manufacturing!$H$28/100</f>
        <v>0</v>
      </c>
      <c r="Y44" s="129">
        <f>Y$21*shipping_manufacturing!$H$28/100</f>
        <v>0</v>
      </c>
      <c r="Z44" s="129">
        <f>Z$21*shipping_manufacturing!$H$28/100</f>
        <v>0</v>
      </c>
      <c r="AA44" s="129">
        <f>AA$21*shipping_manufacturing!$H$28/100</f>
        <v>0</v>
      </c>
      <c r="AB44" s="129">
        <f>AB$21*shipping_manufacturing!$H$28/100</f>
        <v>0</v>
      </c>
      <c r="AC44" s="129">
        <f>AC$21*shipping_manufacturing!$H$28/100</f>
        <v>0</v>
      </c>
      <c r="AD44" s="129">
        <f>AD$21*shipping_manufacturing!$H$28/100</f>
        <v>0</v>
      </c>
      <c r="AE44" s="129">
        <f>AE$21*shipping_manufacturing!$H$28/100</f>
        <v>0</v>
      </c>
      <c r="AF44" s="129">
        <f>AF$21*shipping_manufacturing!$H$28/100</f>
        <v>0</v>
      </c>
      <c r="AG44" s="129">
        <f>AG$21*shipping_manufacturing!$H$28/100</f>
        <v>0</v>
      </c>
      <c r="AH44" s="129">
        <f>AH$21*shipping_manufacturing!$H$28/100</f>
        <v>0</v>
      </c>
      <c r="AI44" s="129">
        <f>AI$21*shipping_manufacturing!$H$28/100</f>
        <v>0</v>
      </c>
      <c r="AJ44" s="129">
        <f>AJ$21*shipping_manufacturing!$H$28/100</f>
        <v>0</v>
      </c>
      <c r="AK44" s="129">
        <f>AK$21*shipping_manufacturing!$H$28/100</f>
        <v>0</v>
      </c>
      <c r="AL44" s="129">
        <f>AL$21*shipping_manufacturing!$H$28/100</f>
        <v>0</v>
      </c>
      <c r="AM44" s="129">
        <f>AM$21*shipping_manufacturing!$H$28/100</f>
        <v>0</v>
      </c>
      <c r="AN44" s="129">
        <f>AN$21*shipping_manufacturing!$H$28/100</f>
        <v>0</v>
      </c>
      <c r="AO44" s="129">
        <f>AO$21*shipping_manufacturing!$H$28/100</f>
        <v>0</v>
      </c>
      <c r="AP44" s="129">
        <f>AP$21*shipping_manufacturing!$H$28/100</f>
        <v>0</v>
      </c>
      <c r="AQ44" s="129">
        <f>AQ$21*shipping_manufacturing!$H$28/100</f>
        <v>0</v>
      </c>
      <c r="AR44" s="129">
        <f>AR$21*shipping_manufacturing!$H$28/100</f>
        <v>0</v>
      </c>
      <c r="AS44" s="129">
        <f>AS$21*shipping_manufacturing!$H$28/100</f>
        <v>0</v>
      </c>
      <c r="AT44" s="129">
        <f>AT$21*shipping_manufacturing!$H$28/100</f>
        <v>0</v>
      </c>
      <c r="AU44" s="129">
        <f>AU$21*shipping_manufacturing!$H$28/100</f>
        <v>0</v>
      </c>
      <c r="AV44" s="129">
        <f>AV$21*shipping_manufacturing!$H$28/100</f>
        <v>0</v>
      </c>
      <c r="AW44" s="129">
        <f>AW$21*shipping_manufacturing!$H$28/100</f>
        <v>0</v>
      </c>
      <c r="AX44" s="129">
        <f>AX$21*shipping_manufacturing!$H$28/100</f>
        <v>0</v>
      </c>
      <c r="AY44" s="129">
        <f>AY$21*shipping_manufacturing!$H$28/100</f>
        <v>0</v>
      </c>
    </row>
    <row r="45" spans="1:52" x14ac:dyDescent="0.2">
      <c r="A45" s="118" t="s">
        <v>341</v>
      </c>
      <c r="B45" s="170" t="s">
        <v>343</v>
      </c>
      <c r="C45" s="115"/>
      <c r="D45" s="115">
        <f>D$22*shipping_manufacturing!$I$28/100</f>
        <v>0</v>
      </c>
      <c r="E45" s="115">
        <f>E$22*shipping_manufacturing!$I$28/100</f>
        <v>0</v>
      </c>
      <c r="F45" s="115">
        <f>F$22*shipping_manufacturing!$I$28/100</f>
        <v>0</v>
      </c>
      <c r="G45" s="115">
        <f>G$22*shipping_manufacturing!$I$28/100</f>
        <v>0</v>
      </c>
      <c r="H45" s="115">
        <f>H$22*shipping_manufacturing!$I$28/100</f>
        <v>0</v>
      </c>
      <c r="I45" s="115">
        <f>I$22*shipping_manufacturing!$I$28/100</f>
        <v>0</v>
      </c>
      <c r="J45" s="115">
        <f>J$22*shipping_manufacturing!$I$28/100</f>
        <v>0</v>
      </c>
      <c r="K45" s="115">
        <f>K$22*shipping_manufacturing!$I$28/100</f>
        <v>0</v>
      </c>
      <c r="L45" s="115">
        <f>L$22*shipping_manufacturing!$I$28/100</f>
        <v>0</v>
      </c>
      <c r="M45" s="115">
        <f>M$22*shipping_manufacturing!$I$28/100</f>
        <v>0</v>
      </c>
      <c r="N45" s="115">
        <f>N$22*shipping_manufacturing!$I$28/100</f>
        <v>0</v>
      </c>
      <c r="O45" s="115">
        <f>O$22*shipping_manufacturing!$I$28/100</f>
        <v>0</v>
      </c>
      <c r="P45" s="115">
        <f>P$22*shipping_manufacturing!$I$28/100</f>
        <v>0</v>
      </c>
      <c r="Q45" s="115">
        <f>Q$22*shipping_manufacturing!$I$28/100</f>
        <v>0</v>
      </c>
      <c r="R45" s="115">
        <f>R$22*shipping_manufacturing!$I$28/100</f>
        <v>0</v>
      </c>
      <c r="S45" s="115">
        <f>S$22*shipping_manufacturing!$I$28/100</f>
        <v>0</v>
      </c>
      <c r="T45" s="115">
        <f>T$22*shipping_manufacturing!$I$28/100</f>
        <v>0</v>
      </c>
      <c r="U45" s="115">
        <f>U$22*shipping_manufacturing!$I$28/100</f>
        <v>0</v>
      </c>
      <c r="V45" s="115">
        <f>V$22*shipping_manufacturing!$I$28/100</f>
        <v>0</v>
      </c>
      <c r="W45" s="115">
        <f>W$22*shipping_manufacturing!$I$28/100</f>
        <v>0</v>
      </c>
      <c r="X45" s="115">
        <f>X$22*shipping_manufacturing!$I$28/100</f>
        <v>0</v>
      </c>
      <c r="Y45" s="115">
        <f>Y$22*shipping_manufacturing!$I$28/100</f>
        <v>0</v>
      </c>
      <c r="Z45" s="115">
        <f>Z$22*shipping_manufacturing!$I$28/100</f>
        <v>0</v>
      </c>
      <c r="AA45" s="115">
        <f>AA$22*shipping_manufacturing!$I$28/100</f>
        <v>0</v>
      </c>
      <c r="AB45" s="115">
        <f>AB$22*shipping_manufacturing!$I$28/100</f>
        <v>0</v>
      </c>
      <c r="AC45" s="115">
        <f>AC$22*shipping_manufacturing!$I$28/100</f>
        <v>0</v>
      </c>
      <c r="AD45" s="115">
        <f>AD$22*shipping_manufacturing!$I$28/100</f>
        <v>0</v>
      </c>
      <c r="AE45" s="115">
        <f>AE$22*shipping_manufacturing!$I$28/100</f>
        <v>0</v>
      </c>
      <c r="AF45" s="115">
        <f>AF$22*shipping_manufacturing!$I$28/100</f>
        <v>0</v>
      </c>
      <c r="AG45" s="115">
        <f>AG$22*shipping_manufacturing!$I$28/100</f>
        <v>0</v>
      </c>
      <c r="AH45" s="115">
        <f>AH$22*shipping_manufacturing!$I$28/100</f>
        <v>0</v>
      </c>
      <c r="AI45" s="115">
        <f>AI$22*shipping_manufacturing!$I$28/100</f>
        <v>0</v>
      </c>
      <c r="AJ45" s="115">
        <f>AJ$22*shipping_manufacturing!$I$28/100</f>
        <v>0</v>
      </c>
      <c r="AK45" s="115">
        <f>AK$22*shipping_manufacturing!$I$28/100</f>
        <v>0</v>
      </c>
      <c r="AL45" s="115">
        <f>AL$22*shipping_manufacturing!$I$28/100</f>
        <v>0</v>
      </c>
      <c r="AM45" s="115">
        <f>AM$22*shipping_manufacturing!$I$28/100</f>
        <v>0</v>
      </c>
      <c r="AN45" s="115">
        <f>AN$22*shipping_manufacturing!$I$28/100</f>
        <v>0</v>
      </c>
      <c r="AO45" s="115">
        <f>AO$22*shipping_manufacturing!$I$28/100</f>
        <v>0</v>
      </c>
      <c r="AP45" s="115">
        <f>AP$22*shipping_manufacturing!$I$28/100</f>
        <v>0</v>
      </c>
      <c r="AQ45" s="115">
        <f>AQ$22*shipping_manufacturing!$I$28/100</f>
        <v>0</v>
      </c>
      <c r="AR45" s="115">
        <f>AR$22*shipping_manufacturing!$I$28/100</f>
        <v>0</v>
      </c>
      <c r="AS45" s="115">
        <f>AS$22*shipping_manufacturing!$I$28/100</f>
        <v>0</v>
      </c>
      <c r="AT45" s="115">
        <f>AT$22*shipping_manufacturing!$I$28/100</f>
        <v>0</v>
      </c>
      <c r="AU45" s="115">
        <f>AU$22*shipping_manufacturing!$I$28/100</f>
        <v>0</v>
      </c>
      <c r="AV45" s="115">
        <f>AV$22*shipping_manufacturing!$I$28/100</f>
        <v>0</v>
      </c>
      <c r="AW45" s="115">
        <f>AW$22*shipping_manufacturing!$I$28/100</f>
        <v>0</v>
      </c>
      <c r="AX45" s="115">
        <f>AX$22*shipping_manufacturing!$I$28/100</f>
        <v>0</v>
      </c>
      <c r="AY45" s="115">
        <f>AY$22*shipping_manufacturing!$I$28/100</f>
        <v>0</v>
      </c>
    </row>
    <row r="46" spans="1:52" x14ac:dyDescent="0.2">
      <c r="A46" s="115">
        <v>2353</v>
      </c>
      <c r="B46" s="170" t="s">
        <v>344</v>
      </c>
      <c r="C46" s="115"/>
      <c r="D46" s="115">
        <f>SUM(D44:D45)</f>
        <v>0</v>
      </c>
      <c r="E46" s="115">
        <f t="shared" ref="E46:AY46" si="14">SUM(E44:E45)</f>
        <v>0</v>
      </c>
      <c r="F46" s="115">
        <f t="shared" si="14"/>
        <v>0</v>
      </c>
      <c r="G46" s="115">
        <f t="shared" si="14"/>
        <v>0</v>
      </c>
      <c r="H46" s="115">
        <f t="shared" si="14"/>
        <v>0</v>
      </c>
      <c r="I46" s="115">
        <f t="shared" si="14"/>
        <v>0</v>
      </c>
      <c r="J46" s="115">
        <f t="shared" si="14"/>
        <v>0</v>
      </c>
      <c r="K46" s="115">
        <f t="shared" si="14"/>
        <v>0</v>
      </c>
      <c r="L46" s="115">
        <f t="shared" si="14"/>
        <v>0</v>
      </c>
      <c r="M46" s="115">
        <f t="shared" si="14"/>
        <v>0</v>
      </c>
      <c r="N46" s="115">
        <f t="shared" si="14"/>
        <v>0</v>
      </c>
      <c r="O46" s="115">
        <f t="shared" si="14"/>
        <v>0</v>
      </c>
      <c r="P46" s="115">
        <f t="shared" si="14"/>
        <v>0</v>
      </c>
      <c r="Q46" s="115">
        <f t="shared" si="14"/>
        <v>0</v>
      </c>
      <c r="R46" s="115">
        <f t="shared" si="14"/>
        <v>0</v>
      </c>
      <c r="S46" s="115">
        <f t="shared" si="14"/>
        <v>0</v>
      </c>
      <c r="T46" s="115">
        <f t="shared" si="14"/>
        <v>0</v>
      </c>
      <c r="U46" s="115">
        <f t="shared" si="14"/>
        <v>0</v>
      </c>
      <c r="V46" s="115">
        <f t="shared" si="14"/>
        <v>0</v>
      </c>
      <c r="W46" s="115">
        <f t="shared" si="14"/>
        <v>0</v>
      </c>
      <c r="X46" s="115">
        <f t="shared" si="14"/>
        <v>0</v>
      </c>
      <c r="Y46" s="115">
        <f t="shared" si="14"/>
        <v>0</v>
      </c>
      <c r="Z46" s="115">
        <f t="shared" si="14"/>
        <v>0</v>
      </c>
      <c r="AA46" s="115">
        <f t="shared" si="14"/>
        <v>0</v>
      </c>
      <c r="AB46" s="115">
        <f t="shared" si="14"/>
        <v>0</v>
      </c>
      <c r="AC46" s="115">
        <f t="shared" si="14"/>
        <v>0</v>
      </c>
      <c r="AD46" s="115">
        <f t="shared" si="14"/>
        <v>0</v>
      </c>
      <c r="AE46" s="115">
        <f t="shared" si="14"/>
        <v>0</v>
      </c>
      <c r="AF46" s="115">
        <f t="shared" si="14"/>
        <v>0</v>
      </c>
      <c r="AG46" s="115">
        <f t="shared" si="14"/>
        <v>0</v>
      </c>
      <c r="AH46" s="115">
        <f t="shared" si="14"/>
        <v>0</v>
      </c>
      <c r="AI46" s="115">
        <f t="shared" si="14"/>
        <v>0</v>
      </c>
      <c r="AJ46" s="115">
        <f t="shared" si="14"/>
        <v>0</v>
      </c>
      <c r="AK46" s="115">
        <f t="shared" si="14"/>
        <v>0</v>
      </c>
      <c r="AL46" s="115">
        <f t="shared" si="14"/>
        <v>0</v>
      </c>
      <c r="AM46" s="115">
        <f t="shared" si="14"/>
        <v>0</v>
      </c>
      <c r="AN46" s="115">
        <f t="shared" si="14"/>
        <v>0</v>
      </c>
      <c r="AO46" s="115">
        <f t="shared" si="14"/>
        <v>0</v>
      </c>
      <c r="AP46" s="115">
        <f t="shared" si="14"/>
        <v>0</v>
      </c>
      <c r="AQ46" s="115">
        <f t="shared" si="14"/>
        <v>0</v>
      </c>
      <c r="AR46" s="115">
        <f t="shared" si="14"/>
        <v>0</v>
      </c>
      <c r="AS46" s="115">
        <f t="shared" si="14"/>
        <v>0</v>
      </c>
      <c r="AT46" s="115">
        <f t="shared" si="14"/>
        <v>0</v>
      </c>
      <c r="AU46" s="115">
        <f t="shared" si="14"/>
        <v>0</v>
      </c>
      <c r="AV46" s="115">
        <f t="shared" si="14"/>
        <v>0</v>
      </c>
      <c r="AW46" s="115">
        <f t="shared" si="14"/>
        <v>0</v>
      </c>
      <c r="AX46" s="115">
        <f t="shared" si="14"/>
        <v>0</v>
      </c>
      <c r="AY46" s="115">
        <f t="shared" si="14"/>
        <v>0</v>
      </c>
    </row>
    <row r="47" spans="1:52" x14ac:dyDescent="0.2">
      <c r="A47" s="115"/>
      <c r="B47" s="170" t="s">
        <v>345</v>
      </c>
      <c r="C47" s="115"/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</row>
    <row r="48" spans="1:52" x14ac:dyDescent="0.2">
      <c r="A48" s="115"/>
      <c r="B48" s="170" t="s">
        <v>346</v>
      </c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</row>
    <row r="49" spans="1:52" x14ac:dyDescent="0.2">
      <c r="A49" s="115"/>
      <c r="B49" s="170" t="s">
        <v>347</v>
      </c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</row>
    <row r="50" spans="1:52" x14ac:dyDescent="0.2">
      <c r="A50" s="115"/>
      <c r="B50" s="170" t="s">
        <v>348</v>
      </c>
      <c r="C50" s="115"/>
      <c r="D50" s="115">
        <f>D44-D47</f>
        <v>0</v>
      </c>
      <c r="E50" s="115">
        <f t="shared" ref="E50:AY50" si="15">E44-E47</f>
        <v>0</v>
      </c>
      <c r="F50" s="115">
        <f t="shared" si="15"/>
        <v>0</v>
      </c>
      <c r="G50" s="115">
        <f t="shared" si="15"/>
        <v>0</v>
      </c>
      <c r="H50" s="115">
        <f t="shared" si="15"/>
        <v>0</v>
      </c>
      <c r="I50" s="115">
        <f t="shared" si="15"/>
        <v>0</v>
      </c>
      <c r="J50" s="115">
        <f t="shared" si="15"/>
        <v>0</v>
      </c>
      <c r="K50" s="115">
        <f t="shared" si="15"/>
        <v>0</v>
      </c>
      <c r="L50" s="115">
        <f t="shared" si="15"/>
        <v>0</v>
      </c>
      <c r="M50" s="115">
        <f t="shared" si="15"/>
        <v>0</v>
      </c>
      <c r="N50" s="115">
        <f t="shared" si="15"/>
        <v>0</v>
      </c>
      <c r="O50" s="115">
        <f t="shared" si="15"/>
        <v>0</v>
      </c>
      <c r="P50" s="115">
        <f t="shared" si="15"/>
        <v>0</v>
      </c>
      <c r="Q50" s="115">
        <f t="shared" si="15"/>
        <v>0</v>
      </c>
      <c r="R50" s="115">
        <f t="shared" si="15"/>
        <v>0</v>
      </c>
      <c r="S50" s="115">
        <f t="shared" si="15"/>
        <v>0</v>
      </c>
      <c r="T50" s="115">
        <f t="shared" si="15"/>
        <v>0</v>
      </c>
      <c r="U50" s="115">
        <f t="shared" si="15"/>
        <v>0</v>
      </c>
      <c r="V50" s="115">
        <f t="shared" si="15"/>
        <v>0</v>
      </c>
      <c r="W50" s="115">
        <f t="shared" si="15"/>
        <v>0</v>
      </c>
      <c r="X50" s="115">
        <f t="shared" si="15"/>
        <v>0</v>
      </c>
      <c r="Y50" s="115">
        <f t="shared" si="15"/>
        <v>0</v>
      </c>
      <c r="Z50" s="115">
        <f t="shared" si="15"/>
        <v>0</v>
      </c>
      <c r="AA50" s="115">
        <f t="shared" si="15"/>
        <v>0</v>
      </c>
      <c r="AB50" s="115">
        <f t="shared" si="15"/>
        <v>0</v>
      </c>
      <c r="AC50" s="115">
        <f t="shared" si="15"/>
        <v>0</v>
      </c>
      <c r="AD50" s="115">
        <f t="shared" si="15"/>
        <v>0</v>
      </c>
      <c r="AE50" s="115">
        <f t="shared" si="15"/>
        <v>0</v>
      </c>
      <c r="AF50" s="115">
        <f t="shared" si="15"/>
        <v>0</v>
      </c>
      <c r="AG50" s="115">
        <f t="shared" si="15"/>
        <v>0</v>
      </c>
      <c r="AH50" s="115">
        <f t="shared" si="15"/>
        <v>0</v>
      </c>
      <c r="AI50" s="115">
        <f t="shared" si="15"/>
        <v>0</v>
      </c>
      <c r="AJ50" s="115">
        <f t="shared" si="15"/>
        <v>0</v>
      </c>
      <c r="AK50" s="115">
        <f t="shared" si="15"/>
        <v>0</v>
      </c>
      <c r="AL50" s="115">
        <f t="shared" si="15"/>
        <v>0</v>
      </c>
      <c r="AM50" s="115">
        <f t="shared" si="15"/>
        <v>0</v>
      </c>
      <c r="AN50" s="115">
        <f t="shared" si="15"/>
        <v>0</v>
      </c>
      <c r="AO50" s="115">
        <f t="shared" si="15"/>
        <v>0</v>
      </c>
      <c r="AP50" s="115">
        <f t="shared" si="15"/>
        <v>0</v>
      </c>
      <c r="AQ50" s="115">
        <f t="shared" si="15"/>
        <v>0</v>
      </c>
      <c r="AR50" s="115">
        <f t="shared" si="15"/>
        <v>0</v>
      </c>
      <c r="AS50" s="115">
        <f t="shared" si="15"/>
        <v>0</v>
      </c>
      <c r="AT50" s="115">
        <f t="shared" si="15"/>
        <v>0</v>
      </c>
      <c r="AU50" s="115">
        <f t="shared" si="15"/>
        <v>0</v>
      </c>
      <c r="AV50" s="115">
        <f t="shared" si="15"/>
        <v>0</v>
      </c>
      <c r="AW50" s="115">
        <f t="shared" si="15"/>
        <v>0</v>
      </c>
      <c r="AX50" s="115">
        <f t="shared" si="15"/>
        <v>0</v>
      </c>
      <c r="AY50" s="115">
        <f t="shared" si="15"/>
        <v>0</v>
      </c>
    </row>
    <row r="51" spans="1:52" x14ac:dyDescent="0.2">
      <c r="A51" s="115"/>
      <c r="B51" s="170" t="s">
        <v>349</v>
      </c>
      <c r="C51" s="115"/>
      <c r="D51" s="115">
        <f>D45-D48</f>
        <v>0</v>
      </c>
      <c r="E51" s="115">
        <f t="shared" ref="E51:AY51" si="16">E45-E48</f>
        <v>0</v>
      </c>
      <c r="F51" s="115">
        <f t="shared" si="16"/>
        <v>0</v>
      </c>
      <c r="G51" s="115">
        <f t="shared" si="16"/>
        <v>0</v>
      </c>
      <c r="H51" s="115">
        <f t="shared" si="16"/>
        <v>0</v>
      </c>
      <c r="I51" s="115">
        <f t="shared" si="16"/>
        <v>0</v>
      </c>
      <c r="J51" s="115">
        <f t="shared" si="16"/>
        <v>0</v>
      </c>
      <c r="K51" s="115">
        <f t="shared" si="16"/>
        <v>0</v>
      </c>
      <c r="L51" s="115">
        <f t="shared" si="16"/>
        <v>0</v>
      </c>
      <c r="M51" s="115">
        <f t="shared" si="16"/>
        <v>0</v>
      </c>
      <c r="N51" s="115">
        <f t="shared" si="16"/>
        <v>0</v>
      </c>
      <c r="O51" s="115">
        <f t="shared" si="16"/>
        <v>0</v>
      </c>
      <c r="P51" s="115">
        <f t="shared" si="16"/>
        <v>0</v>
      </c>
      <c r="Q51" s="115">
        <f t="shared" si="16"/>
        <v>0</v>
      </c>
      <c r="R51" s="115">
        <f t="shared" si="16"/>
        <v>0</v>
      </c>
      <c r="S51" s="115">
        <f t="shared" si="16"/>
        <v>0</v>
      </c>
      <c r="T51" s="115">
        <f t="shared" si="16"/>
        <v>0</v>
      </c>
      <c r="U51" s="115">
        <f t="shared" si="16"/>
        <v>0</v>
      </c>
      <c r="V51" s="115">
        <f t="shared" si="16"/>
        <v>0</v>
      </c>
      <c r="W51" s="115">
        <f t="shared" si="16"/>
        <v>0</v>
      </c>
      <c r="X51" s="115">
        <f t="shared" si="16"/>
        <v>0</v>
      </c>
      <c r="Y51" s="115">
        <f t="shared" si="16"/>
        <v>0</v>
      </c>
      <c r="Z51" s="115">
        <f t="shared" si="16"/>
        <v>0</v>
      </c>
      <c r="AA51" s="115">
        <f t="shared" si="16"/>
        <v>0</v>
      </c>
      <c r="AB51" s="115">
        <f t="shared" si="16"/>
        <v>0</v>
      </c>
      <c r="AC51" s="115">
        <f t="shared" si="16"/>
        <v>0</v>
      </c>
      <c r="AD51" s="115">
        <f t="shared" si="16"/>
        <v>0</v>
      </c>
      <c r="AE51" s="115">
        <f t="shared" si="16"/>
        <v>0</v>
      </c>
      <c r="AF51" s="115">
        <f t="shared" si="16"/>
        <v>0</v>
      </c>
      <c r="AG51" s="115">
        <f t="shared" si="16"/>
        <v>0</v>
      </c>
      <c r="AH51" s="115">
        <f t="shared" si="16"/>
        <v>0</v>
      </c>
      <c r="AI51" s="115">
        <f t="shared" si="16"/>
        <v>0</v>
      </c>
      <c r="AJ51" s="115">
        <f t="shared" si="16"/>
        <v>0</v>
      </c>
      <c r="AK51" s="115">
        <f t="shared" si="16"/>
        <v>0</v>
      </c>
      <c r="AL51" s="115">
        <f t="shared" si="16"/>
        <v>0</v>
      </c>
      <c r="AM51" s="115">
        <f t="shared" si="16"/>
        <v>0</v>
      </c>
      <c r="AN51" s="115">
        <f t="shared" si="16"/>
        <v>0</v>
      </c>
      <c r="AO51" s="115">
        <f t="shared" si="16"/>
        <v>0</v>
      </c>
      <c r="AP51" s="115">
        <f t="shared" si="16"/>
        <v>0</v>
      </c>
      <c r="AQ51" s="115">
        <f t="shared" si="16"/>
        <v>0</v>
      </c>
      <c r="AR51" s="115">
        <f t="shared" si="16"/>
        <v>0</v>
      </c>
      <c r="AS51" s="115">
        <f t="shared" si="16"/>
        <v>0</v>
      </c>
      <c r="AT51" s="115">
        <f t="shared" si="16"/>
        <v>0</v>
      </c>
      <c r="AU51" s="115">
        <f t="shared" si="16"/>
        <v>0</v>
      </c>
      <c r="AV51" s="115">
        <f t="shared" si="16"/>
        <v>0</v>
      </c>
      <c r="AW51" s="115">
        <f t="shared" si="16"/>
        <v>0</v>
      </c>
      <c r="AX51" s="115">
        <f t="shared" si="16"/>
        <v>0</v>
      </c>
      <c r="AY51" s="115">
        <f t="shared" si="16"/>
        <v>0</v>
      </c>
    </row>
    <row r="52" spans="1:52" x14ac:dyDescent="0.2">
      <c r="A52" s="115"/>
      <c r="B52" s="170" t="s">
        <v>350</v>
      </c>
      <c r="C52" s="115"/>
      <c r="D52" s="115">
        <v>2</v>
      </c>
      <c r="E52" s="115">
        <v>2</v>
      </c>
      <c r="F52" s="115">
        <v>2</v>
      </c>
      <c r="G52" s="115">
        <v>2</v>
      </c>
      <c r="H52" s="115">
        <v>2</v>
      </c>
      <c r="I52" s="115">
        <v>2</v>
      </c>
      <c r="J52" s="115">
        <v>4</v>
      </c>
      <c r="K52" s="115">
        <v>2</v>
      </c>
      <c r="L52" s="115">
        <v>4</v>
      </c>
      <c r="M52" s="115">
        <v>2</v>
      </c>
      <c r="N52" s="115">
        <v>2</v>
      </c>
      <c r="O52" s="115">
        <v>3</v>
      </c>
      <c r="P52" s="115">
        <v>2</v>
      </c>
      <c r="Q52" s="115">
        <v>2</v>
      </c>
      <c r="R52" s="115">
        <v>2</v>
      </c>
      <c r="S52" s="115">
        <v>2</v>
      </c>
      <c r="T52" s="115">
        <v>4</v>
      </c>
      <c r="U52" s="115">
        <v>2</v>
      </c>
      <c r="V52" s="115">
        <v>2</v>
      </c>
      <c r="W52" s="115">
        <v>2</v>
      </c>
      <c r="X52" s="115">
        <v>3</v>
      </c>
      <c r="Y52" s="115">
        <v>3</v>
      </c>
      <c r="Z52" s="115">
        <v>3</v>
      </c>
      <c r="AA52" s="115">
        <v>2</v>
      </c>
      <c r="AB52" s="115">
        <v>3</v>
      </c>
      <c r="AC52" s="115">
        <v>2</v>
      </c>
      <c r="AD52" s="115">
        <v>2</v>
      </c>
      <c r="AE52" s="115">
        <v>2</v>
      </c>
      <c r="AF52" s="115">
        <v>2</v>
      </c>
      <c r="AG52" s="115">
        <v>2</v>
      </c>
      <c r="AH52" s="115">
        <v>3</v>
      </c>
      <c r="AI52" s="115">
        <v>2</v>
      </c>
      <c r="AJ52" s="115">
        <v>2</v>
      </c>
      <c r="AK52" s="115">
        <v>2</v>
      </c>
      <c r="AL52" s="115">
        <v>4</v>
      </c>
      <c r="AM52" s="115">
        <v>2</v>
      </c>
      <c r="AN52" s="115">
        <v>2</v>
      </c>
      <c r="AO52" s="115">
        <v>2</v>
      </c>
      <c r="AP52" s="115">
        <v>2</v>
      </c>
      <c r="AQ52" s="115">
        <v>4</v>
      </c>
      <c r="AR52" s="115">
        <v>2</v>
      </c>
      <c r="AS52" s="115">
        <v>2</v>
      </c>
      <c r="AT52" s="115">
        <v>2</v>
      </c>
      <c r="AU52" s="115">
        <v>2</v>
      </c>
      <c r="AV52" s="115">
        <v>2</v>
      </c>
      <c r="AW52" s="115">
        <v>2</v>
      </c>
      <c r="AX52" s="115">
        <v>2</v>
      </c>
      <c r="AY52" s="115">
        <v>2</v>
      </c>
    </row>
    <row r="53" spans="1:52" x14ac:dyDescent="0.2">
      <c r="A53" s="115"/>
      <c r="B53" s="183" t="s">
        <v>351</v>
      </c>
      <c r="C53" s="115"/>
      <c r="D53" s="115">
        <v>0</v>
      </c>
      <c r="E53" s="115">
        <v>0</v>
      </c>
      <c r="F53" s="115">
        <v>0</v>
      </c>
      <c r="G53" s="115">
        <v>0</v>
      </c>
      <c r="H53" s="115">
        <v>0</v>
      </c>
      <c r="I53" s="115">
        <v>0</v>
      </c>
      <c r="J53" s="115">
        <v>0</v>
      </c>
      <c r="K53" s="115">
        <v>0</v>
      </c>
      <c r="L53" s="115">
        <v>0</v>
      </c>
      <c r="M53" s="115">
        <v>0</v>
      </c>
      <c r="N53" s="115">
        <v>0</v>
      </c>
      <c r="O53" s="115">
        <v>0</v>
      </c>
      <c r="P53" s="115">
        <v>0</v>
      </c>
      <c r="Q53" s="115">
        <v>0</v>
      </c>
      <c r="R53" s="115">
        <v>0</v>
      </c>
      <c r="S53" s="115">
        <v>0</v>
      </c>
      <c r="T53" s="115">
        <v>0</v>
      </c>
      <c r="U53" s="115">
        <v>0</v>
      </c>
      <c r="V53" s="115">
        <v>0</v>
      </c>
      <c r="W53" s="115">
        <v>0</v>
      </c>
      <c r="X53" s="115">
        <v>0</v>
      </c>
      <c r="Y53" s="115">
        <v>0</v>
      </c>
      <c r="Z53" s="115">
        <v>0</v>
      </c>
      <c r="AA53" s="115">
        <v>0</v>
      </c>
      <c r="AB53" s="115">
        <v>0</v>
      </c>
      <c r="AC53" s="115">
        <v>0</v>
      </c>
      <c r="AD53" s="115">
        <v>0</v>
      </c>
      <c r="AE53" s="115">
        <v>0</v>
      </c>
      <c r="AF53" s="115">
        <v>0</v>
      </c>
      <c r="AG53" s="115">
        <v>0</v>
      </c>
      <c r="AH53" s="115">
        <v>0</v>
      </c>
      <c r="AI53" s="115">
        <v>0</v>
      </c>
      <c r="AJ53" s="115">
        <v>0</v>
      </c>
      <c r="AK53" s="115">
        <v>0</v>
      </c>
      <c r="AL53" s="115">
        <v>0</v>
      </c>
      <c r="AM53" s="115">
        <v>0</v>
      </c>
      <c r="AN53" s="115">
        <v>0</v>
      </c>
      <c r="AO53" s="115">
        <v>0</v>
      </c>
      <c r="AP53" s="115">
        <v>0</v>
      </c>
      <c r="AQ53" s="115">
        <v>0</v>
      </c>
      <c r="AR53" s="115">
        <v>0</v>
      </c>
      <c r="AS53" s="115">
        <v>0</v>
      </c>
      <c r="AT53" s="115">
        <v>0</v>
      </c>
      <c r="AU53" s="115">
        <v>0</v>
      </c>
      <c r="AV53" s="115">
        <v>0</v>
      </c>
      <c r="AW53" s="115">
        <v>0</v>
      </c>
      <c r="AX53" s="115">
        <v>0</v>
      </c>
      <c r="AY53" s="115">
        <v>0</v>
      </c>
      <c r="AZ53" s="105">
        <f>SUM($D$53:$AY$53)</f>
        <v>0</v>
      </c>
    </row>
    <row r="54" spans="1:52" x14ac:dyDescent="0.2">
      <c r="A54" s="115"/>
      <c r="B54" s="183" t="s">
        <v>352</v>
      </c>
      <c r="C54" s="115"/>
      <c r="D54" s="115">
        <v>0</v>
      </c>
      <c r="E54" s="115">
        <v>0</v>
      </c>
      <c r="F54" s="115">
        <v>0</v>
      </c>
      <c r="G54" s="115">
        <v>0</v>
      </c>
      <c r="H54" s="115">
        <v>0</v>
      </c>
      <c r="I54" s="115">
        <v>0</v>
      </c>
      <c r="J54" s="115">
        <v>0</v>
      </c>
      <c r="K54" s="115">
        <v>0</v>
      </c>
      <c r="L54" s="115">
        <v>0</v>
      </c>
      <c r="M54" s="115">
        <v>0</v>
      </c>
      <c r="N54" s="115">
        <v>0</v>
      </c>
      <c r="O54" s="115">
        <v>0</v>
      </c>
      <c r="P54" s="115">
        <v>0</v>
      </c>
      <c r="Q54" s="115">
        <v>0</v>
      </c>
      <c r="R54" s="115">
        <v>0</v>
      </c>
      <c r="S54" s="115">
        <v>0</v>
      </c>
      <c r="T54" s="115">
        <v>0</v>
      </c>
      <c r="U54" s="115">
        <v>0</v>
      </c>
      <c r="V54" s="115">
        <v>0</v>
      </c>
      <c r="W54" s="115">
        <v>0</v>
      </c>
      <c r="X54" s="115">
        <v>0</v>
      </c>
      <c r="Y54" s="115">
        <v>0</v>
      </c>
      <c r="Z54" s="115">
        <v>0</v>
      </c>
      <c r="AA54" s="115">
        <v>0</v>
      </c>
      <c r="AB54" s="115">
        <v>0</v>
      </c>
      <c r="AC54" s="115">
        <v>0</v>
      </c>
      <c r="AD54" s="115">
        <v>0</v>
      </c>
      <c r="AE54" s="115">
        <v>0</v>
      </c>
      <c r="AF54" s="115">
        <v>0</v>
      </c>
      <c r="AG54" s="115">
        <v>0</v>
      </c>
      <c r="AH54" s="115">
        <v>0</v>
      </c>
      <c r="AI54" s="115">
        <v>0</v>
      </c>
      <c r="AJ54" s="115">
        <v>0</v>
      </c>
      <c r="AK54" s="115">
        <v>0</v>
      </c>
      <c r="AL54" s="115">
        <v>0</v>
      </c>
      <c r="AM54" s="115">
        <v>0</v>
      </c>
      <c r="AN54" s="115">
        <v>0</v>
      </c>
      <c r="AO54" s="115">
        <v>0</v>
      </c>
      <c r="AP54" s="115">
        <v>0</v>
      </c>
      <c r="AQ54" s="115">
        <v>0</v>
      </c>
      <c r="AR54" s="115">
        <v>0</v>
      </c>
      <c r="AS54" s="115">
        <v>0</v>
      </c>
      <c r="AT54" s="115">
        <v>0</v>
      </c>
      <c r="AU54" s="115">
        <v>0</v>
      </c>
      <c r="AV54" s="115">
        <v>0</v>
      </c>
      <c r="AW54" s="115">
        <v>0</v>
      </c>
      <c r="AX54" s="115">
        <v>0</v>
      </c>
      <c r="AY54" s="115">
        <v>0</v>
      </c>
      <c r="AZ54" s="105">
        <f>SUM($D$54:$AY$54)</f>
        <v>0</v>
      </c>
    </row>
    <row r="55" spans="1:52" x14ac:dyDescent="0.2">
      <c r="A55" s="140" t="s">
        <v>57</v>
      </c>
      <c r="B55" s="140" t="s">
        <v>342</v>
      </c>
      <c r="C55" s="129"/>
      <c r="D55" s="129">
        <f>D$21*shipping_manufacturing!$H$29/100</f>
        <v>0</v>
      </c>
      <c r="E55" s="129">
        <f>E$21*shipping_manufacturing!$H$29/100</f>
        <v>93.384405668354432</v>
      </c>
      <c r="F55" s="129">
        <f>F$21*shipping_manufacturing!$H$29/100</f>
        <v>0</v>
      </c>
      <c r="G55" s="129">
        <f>G$21*shipping_manufacturing!$H$29/100</f>
        <v>0</v>
      </c>
      <c r="H55" s="129">
        <f>H$21*shipping_manufacturing!$H$29/100</f>
        <v>0</v>
      </c>
      <c r="I55" s="129">
        <f>I$21*shipping_manufacturing!$H$29/100</f>
        <v>82.316090235082243</v>
      </c>
      <c r="J55" s="129">
        <f>J$21*shipping_manufacturing!$H$29/100</f>
        <v>82.316090235082243</v>
      </c>
      <c r="K55" s="129">
        <f>K$21*shipping_manufacturing!$H$29/100</f>
        <v>0</v>
      </c>
      <c r="L55" s="129">
        <f>L$21*shipping_manufacturing!$H$29/100</f>
        <v>128.3869</v>
      </c>
      <c r="M55" s="129">
        <f>M$21*shipping_manufacturing!$H$29/100</f>
        <v>82.316090235082243</v>
      </c>
      <c r="N55" s="129">
        <f>N$21*shipping_manufacturing!$H$29/100</f>
        <v>82.316090235082243</v>
      </c>
      <c r="O55" s="129">
        <f>O$21*shipping_manufacturing!$H$29/100</f>
        <v>82.316090235082243</v>
      </c>
      <c r="P55" s="129">
        <f>P$21*shipping_manufacturing!$H$29/100</f>
        <v>82.316090235082243</v>
      </c>
      <c r="Q55" s="129">
        <f>Q$21*shipping_manufacturing!$H$29/100</f>
        <v>0</v>
      </c>
      <c r="R55" s="129">
        <f>R$21*shipping_manufacturing!$H$29/100</f>
        <v>128.3869</v>
      </c>
      <c r="S55" s="129">
        <f>S$21*shipping_manufacturing!$H$29/100</f>
        <v>82.316090235082243</v>
      </c>
      <c r="T55" s="129">
        <f>T$21*shipping_manufacturing!$H$29/100</f>
        <v>82.316090235082243</v>
      </c>
      <c r="U55" s="129">
        <f>U$21*shipping_manufacturing!$H$29/100</f>
        <v>82.316090235082243</v>
      </c>
      <c r="V55" s="129">
        <f>V$21*shipping_manufacturing!$H$29/100</f>
        <v>82.316090235082243</v>
      </c>
      <c r="W55" s="129">
        <f>W$21*shipping_manufacturing!$H$29/100</f>
        <v>82.316090235082243</v>
      </c>
      <c r="X55" s="129">
        <f>X$21*shipping_manufacturing!$H$29/100</f>
        <v>82.316090235082243</v>
      </c>
      <c r="Y55" s="129">
        <f>Y$21*shipping_manufacturing!$H$29/100</f>
        <v>82.316090235082243</v>
      </c>
      <c r="Z55" s="129">
        <f>Z$21*shipping_manufacturing!$H$29/100</f>
        <v>82.316090235082243</v>
      </c>
      <c r="AA55" s="129">
        <f>AA$21*shipping_manufacturing!$H$29/100</f>
        <v>82.316090235082243</v>
      </c>
      <c r="AB55" s="129">
        <f>AB$21*shipping_manufacturing!$H$29/100</f>
        <v>82.316090235082243</v>
      </c>
      <c r="AC55" s="129">
        <f>AC$21*shipping_manufacturing!$H$29/100</f>
        <v>82.316090235082243</v>
      </c>
      <c r="AD55" s="129">
        <f>AD$21*shipping_manufacturing!$H$29/100</f>
        <v>82.316090235082243</v>
      </c>
      <c r="AE55" s="129">
        <f>AE$21*shipping_manufacturing!$H$29/100</f>
        <v>82.316090235082243</v>
      </c>
      <c r="AF55" s="129">
        <f>AF$21*shipping_manufacturing!$H$29/100</f>
        <v>82.316090235082243</v>
      </c>
      <c r="AG55" s="129">
        <f>AG$21*shipping_manufacturing!$H$29/100</f>
        <v>82.316090235082243</v>
      </c>
      <c r="AH55" s="129">
        <f>AH$21*shipping_manufacturing!$H$29/100</f>
        <v>82.316090235082243</v>
      </c>
      <c r="AI55" s="129">
        <f>AI$21*shipping_manufacturing!$H$29/100</f>
        <v>82.316090235082243</v>
      </c>
      <c r="AJ55" s="129">
        <f>AJ$21*shipping_manufacturing!$H$29/100</f>
        <v>82.316090235082243</v>
      </c>
      <c r="AK55" s="129">
        <f>AK$21*shipping_manufacturing!$H$29/100</f>
        <v>82.316090235082243</v>
      </c>
      <c r="AL55" s="129">
        <f>AL$21*shipping_manufacturing!$H$29/100</f>
        <v>0</v>
      </c>
      <c r="AM55" s="129">
        <f>AM$21*shipping_manufacturing!$H$29/100</f>
        <v>128.3869</v>
      </c>
      <c r="AN55" s="129">
        <f>AN$21*shipping_manufacturing!$H$29/100</f>
        <v>82.316090235082243</v>
      </c>
      <c r="AO55" s="129">
        <f>AO$21*shipping_manufacturing!$H$29/100</f>
        <v>82.316090235082243</v>
      </c>
      <c r="AP55" s="129">
        <f>AP$21*shipping_manufacturing!$H$29/100</f>
        <v>82.316090235082243</v>
      </c>
      <c r="AQ55" s="129">
        <f>AQ$21*shipping_manufacturing!$H$29/100</f>
        <v>82.316090235082243</v>
      </c>
      <c r="AR55" s="129">
        <f>AR$21*shipping_manufacturing!$H$29/100</f>
        <v>82.316090235082243</v>
      </c>
      <c r="AS55" s="129">
        <f>AS$21*shipping_manufacturing!$H$29/100</f>
        <v>82.316090235082243</v>
      </c>
      <c r="AT55" s="129">
        <f>AT$21*shipping_manufacturing!$H$29/100</f>
        <v>82.316090235082243</v>
      </c>
      <c r="AU55" s="129">
        <f>AU$21*shipping_manufacturing!$H$29/100</f>
        <v>82.316090235082243</v>
      </c>
      <c r="AV55" s="129">
        <f>AV$21*shipping_manufacturing!$H$29/100</f>
        <v>82.316090235082243</v>
      </c>
      <c r="AW55" s="129">
        <f>AW$21*shipping_manufacturing!$H$29/100</f>
        <v>82.316090235082243</v>
      </c>
      <c r="AX55" s="129">
        <f>AX$21*shipping_manufacturing!$H$29/100</f>
        <v>82.316090235082243</v>
      </c>
      <c r="AY55" s="129">
        <f>AY$21*shipping_manufacturing!$H$29/100</f>
        <v>82.316090235082243</v>
      </c>
    </row>
    <row r="56" spans="1:52" x14ac:dyDescent="0.2">
      <c r="A56" s="118" t="s">
        <v>341</v>
      </c>
      <c r="B56" s="170" t="s">
        <v>343</v>
      </c>
      <c r="C56" s="115"/>
      <c r="D56" s="115">
        <f>D$22*shipping_manufacturing!$I$29/100</f>
        <v>0</v>
      </c>
      <c r="E56" s="115">
        <f>E$22*shipping_manufacturing!$I$29/100</f>
        <v>88.457366483544305</v>
      </c>
      <c r="F56" s="115">
        <f>F$22*shipping_manufacturing!$I$29/100</f>
        <v>0</v>
      </c>
      <c r="G56" s="115">
        <f>G$22*shipping_manufacturing!$I$29/100</f>
        <v>0</v>
      </c>
      <c r="H56" s="115">
        <f>H$22*shipping_manufacturing!$I$29/100</f>
        <v>0</v>
      </c>
      <c r="I56" s="115">
        <f>I$22*shipping_manufacturing!$I$29/100</f>
        <v>77.97302461051774</v>
      </c>
      <c r="J56" s="115">
        <f>J$22*shipping_manufacturing!$I$29/100</f>
        <v>77.97302461051774</v>
      </c>
      <c r="K56" s="115">
        <f>K$22*shipping_manufacturing!$I$29/100</f>
        <v>0</v>
      </c>
      <c r="L56" s="115">
        <f>L$22*shipping_manufacturing!$I$29/100</f>
        <v>121.61309999999999</v>
      </c>
      <c r="M56" s="115">
        <f>M$22*shipping_manufacturing!$I$29/100</f>
        <v>77.97302461051774</v>
      </c>
      <c r="N56" s="115">
        <f>N$22*shipping_manufacturing!$I$29/100</f>
        <v>77.97302461051774</v>
      </c>
      <c r="O56" s="115">
        <f>O$22*shipping_manufacturing!$I$29/100</f>
        <v>77.97302461051774</v>
      </c>
      <c r="P56" s="115">
        <f>P$22*shipping_manufacturing!$I$29/100</f>
        <v>77.97302461051774</v>
      </c>
      <c r="Q56" s="115">
        <f>Q$22*shipping_manufacturing!$I$29/100</f>
        <v>0</v>
      </c>
      <c r="R56" s="115">
        <f>R$22*shipping_manufacturing!$I$29/100</f>
        <v>121.61309999999999</v>
      </c>
      <c r="S56" s="115">
        <f>S$22*shipping_manufacturing!$I$29/100</f>
        <v>77.97302461051774</v>
      </c>
      <c r="T56" s="115">
        <f>T$22*shipping_manufacturing!$I$29/100</f>
        <v>77.97302461051774</v>
      </c>
      <c r="U56" s="115">
        <f>U$22*shipping_manufacturing!$I$29/100</f>
        <v>77.97302461051774</v>
      </c>
      <c r="V56" s="115">
        <f>V$22*shipping_manufacturing!$I$29/100</f>
        <v>77.97302461051774</v>
      </c>
      <c r="W56" s="115">
        <f>W$22*shipping_manufacturing!$I$29/100</f>
        <v>77.97302461051774</v>
      </c>
      <c r="X56" s="115">
        <f>X$22*shipping_manufacturing!$I$29/100</f>
        <v>77.97302461051774</v>
      </c>
      <c r="Y56" s="115">
        <f>Y$22*shipping_manufacturing!$I$29/100</f>
        <v>77.97302461051774</v>
      </c>
      <c r="Z56" s="115">
        <f>Z$22*shipping_manufacturing!$I$29/100</f>
        <v>77.97302461051774</v>
      </c>
      <c r="AA56" s="115">
        <f>AA$22*shipping_manufacturing!$I$29/100</f>
        <v>77.97302461051774</v>
      </c>
      <c r="AB56" s="115">
        <f>AB$22*shipping_manufacturing!$I$29/100</f>
        <v>77.97302461051774</v>
      </c>
      <c r="AC56" s="115">
        <f>AC$22*shipping_manufacturing!$I$29/100</f>
        <v>77.97302461051774</v>
      </c>
      <c r="AD56" s="115">
        <f>AD$22*shipping_manufacturing!$I$29/100</f>
        <v>77.97302461051774</v>
      </c>
      <c r="AE56" s="115">
        <f>AE$22*shipping_manufacturing!$I$29/100</f>
        <v>77.97302461051774</v>
      </c>
      <c r="AF56" s="115">
        <f>AF$22*shipping_manufacturing!$I$29/100</f>
        <v>77.97302461051774</v>
      </c>
      <c r="AG56" s="115">
        <f>AG$22*shipping_manufacturing!$I$29/100</f>
        <v>77.97302461051774</v>
      </c>
      <c r="AH56" s="115">
        <f>AH$22*shipping_manufacturing!$I$29/100</f>
        <v>77.97302461051774</v>
      </c>
      <c r="AI56" s="115">
        <f>AI$22*shipping_manufacturing!$I$29/100</f>
        <v>77.97302461051774</v>
      </c>
      <c r="AJ56" s="115">
        <f>AJ$22*shipping_manufacturing!$I$29/100</f>
        <v>77.97302461051774</v>
      </c>
      <c r="AK56" s="115">
        <f>AK$22*shipping_manufacturing!$I$29/100</f>
        <v>77.97302461051774</v>
      </c>
      <c r="AL56" s="115">
        <f>AL$22*shipping_manufacturing!$I$29/100</f>
        <v>0</v>
      </c>
      <c r="AM56" s="115">
        <f>AM$22*shipping_manufacturing!$I$29/100</f>
        <v>121.61309999999999</v>
      </c>
      <c r="AN56" s="115">
        <f>AN$22*shipping_manufacturing!$I$29/100</f>
        <v>77.97302461051774</v>
      </c>
      <c r="AO56" s="115">
        <f>AO$22*shipping_manufacturing!$I$29/100</f>
        <v>77.97302461051774</v>
      </c>
      <c r="AP56" s="115">
        <f>AP$22*shipping_manufacturing!$I$29/100</f>
        <v>77.97302461051774</v>
      </c>
      <c r="AQ56" s="115">
        <f>AQ$22*shipping_manufacturing!$I$29/100</f>
        <v>77.97302461051774</v>
      </c>
      <c r="AR56" s="115">
        <f>AR$22*shipping_manufacturing!$I$29/100</f>
        <v>77.97302461051774</v>
      </c>
      <c r="AS56" s="115">
        <f>AS$22*shipping_manufacturing!$I$29/100</f>
        <v>77.97302461051774</v>
      </c>
      <c r="AT56" s="115">
        <f>AT$22*shipping_manufacturing!$I$29/100</f>
        <v>77.97302461051774</v>
      </c>
      <c r="AU56" s="115">
        <f>AU$22*shipping_manufacturing!$I$29/100</f>
        <v>77.97302461051774</v>
      </c>
      <c r="AV56" s="115">
        <f>AV$22*shipping_manufacturing!$I$29/100</f>
        <v>77.97302461051774</v>
      </c>
      <c r="AW56" s="115">
        <f>AW$22*shipping_manufacturing!$I$29/100</f>
        <v>77.97302461051774</v>
      </c>
      <c r="AX56" s="115">
        <f>AX$22*shipping_manufacturing!$I$29/100</f>
        <v>77.97302461051774</v>
      </c>
      <c r="AY56" s="115">
        <f>AY$22*shipping_manufacturing!$I$29/100</f>
        <v>77.97302461051774</v>
      </c>
    </row>
    <row r="57" spans="1:52" x14ac:dyDescent="0.2">
      <c r="A57" s="115">
        <v>393</v>
      </c>
      <c r="B57" s="170" t="s">
        <v>344</v>
      </c>
      <c r="C57" s="115"/>
      <c r="D57" s="115">
        <f>SUM(D55:D56)</f>
        <v>0</v>
      </c>
      <c r="E57" s="115">
        <f t="shared" ref="E57:AY57" si="17">SUM(E55:E56)</f>
        <v>181.84177215189874</v>
      </c>
      <c r="F57" s="115">
        <f t="shared" si="17"/>
        <v>0</v>
      </c>
      <c r="G57" s="115">
        <f t="shared" si="17"/>
        <v>0</v>
      </c>
      <c r="H57" s="115">
        <f t="shared" si="17"/>
        <v>0</v>
      </c>
      <c r="I57" s="115">
        <f t="shared" si="17"/>
        <v>160.28911484559998</v>
      </c>
      <c r="J57" s="115">
        <f t="shared" si="17"/>
        <v>160.28911484559998</v>
      </c>
      <c r="K57" s="115">
        <f t="shared" si="17"/>
        <v>0</v>
      </c>
      <c r="L57" s="115">
        <f t="shared" si="17"/>
        <v>250</v>
      </c>
      <c r="M57" s="115">
        <f t="shared" si="17"/>
        <v>160.28911484559998</v>
      </c>
      <c r="N57" s="115">
        <f t="shared" si="17"/>
        <v>160.28911484559998</v>
      </c>
      <c r="O57" s="115">
        <f t="shared" si="17"/>
        <v>160.28911484559998</v>
      </c>
      <c r="P57" s="115">
        <f t="shared" si="17"/>
        <v>160.28911484559998</v>
      </c>
      <c r="Q57" s="115">
        <f t="shared" si="17"/>
        <v>0</v>
      </c>
      <c r="R57" s="115">
        <f t="shared" si="17"/>
        <v>250</v>
      </c>
      <c r="S57" s="115">
        <f t="shared" si="17"/>
        <v>160.28911484559998</v>
      </c>
      <c r="T57" s="115">
        <f t="shared" si="17"/>
        <v>160.28911484559998</v>
      </c>
      <c r="U57" s="115">
        <f t="shared" si="17"/>
        <v>160.28911484559998</v>
      </c>
      <c r="V57" s="115">
        <f t="shared" si="17"/>
        <v>160.28911484559998</v>
      </c>
      <c r="W57" s="115">
        <f t="shared" si="17"/>
        <v>160.28911484559998</v>
      </c>
      <c r="X57" s="115">
        <f t="shared" si="17"/>
        <v>160.28911484559998</v>
      </c>
      <c r="Y57" s="115">
        <f t="shared" si="17"/>
        <v>160.28911484559998</v>
      </c>
      <c r="Z57" s="115">
        <f t="shared" si="17"/>
        <v>160.28911484559998</v>
      </c>
      <c r="AA57" s="115">
        <f t="shared" si="17"/>
        <v>160.28911484559998</v>
      </c>
      <c r="AB57" s="115">
        <f t="shared" si="17"/>
        <v>160.28911484559998</v>
      </c>
      <c r="AC57" s="115">
        <f t="shared" si="17"/>
        <v>160.28911484559998</v>
      </c>
      <c r="AD57" s="115">
        <f t="shared" si="17"/>
        <v>160.28911484559998</v>
      </c>
      <c r="AE57" s="115">
        <f t="shared" si="17"/>
        <v>160.28911484559998</v>
      </c>
      <c r="AF57" s="115">
        <f t="shared" si="17"/>
        <v>160.28911484559998</v>
      </c>
      <c r="AG57" s="115">
        <f t="shared" si="17"/>
        <v>160.28911484559998</v>
      </c>
      <c r="AH57" s="115">
        <f t="shared" si="17"/>
        <v>160.28911484559998</v>
      </c>
      <c r="AI57" s="115">
        <f t="shared" si="17"/>
        <v>160.28911484559998</v>
      </c>
      <c r="AJ57" s="115">
        <f t="shared" si="17"/>
        <v>160.28911484559998</v>
      </c>
      <c r="AK57" s="115">
        <f t="shared" si="17"/>
        <v>160.28911484559998</v>
      </c>
      <c r="AL57" s="115">
        <f t="shared" si="17"/>
        <v>0</v>
      </c>
      <c r="AM57" s="115">
        <f t="shared" si="17"/>
        <v>250</v>
      </c>
      <c r="AN57" s="115">
        <f t="shared" si="17"/>
        <v>160.28911484559998</v>
      </c>
      <c r="AO57" s="115">
        <f t="shared" si="17"/>
        <v>160.28911484559998</v>
      </c>
      <c r="AP57" s="115">
        <f t="shared" si="17"/>
        <v>160.28911484559998</v>
      </c>
      <c r="AQ57" s="115">
        <f t="shared" si="17"/>
        <v>160.28911484559998</v>
      </c>
      <c r="AR57" s="115">
        <f t="shared" si="17"/>
        <v>160.28911484559998</v>
      </c>
      <c r="AS57" s="115">
        <f t="shared" si="17"/>
        <v>160.28911484559998</v>
      </c>
      <c r="AT57" s="115">
        <f t="shared" si="17"/>
        <v>160.28911484559998</v>
      </c>
      <c r="AU57" s="115">
        <f t="shared" si="17"/>
        <v>160.28911484559998</v>
      </c>
      <c r="AV57" s="115">
        <f t="shared" si="17"/>
        <v>160.28911484559998</v>
      </c>
      <c r="AW57" s="115">
        <f t="shared" si="17"/>
        <v>160.28911484559998</v>
      </c>
      <c r="AX57" s="115">
        <f t="shared" si="17"/>
        <v>160.28911484559998</v>
      </c>
      <c r="AY57" s="115">
        <f t="shared" si="17"/>
        <v>160.28911484559998</v>
      </c>
    </row>
    <row r="58" spans="1:52" x14ac:dyDescent="0.2">
      <c r="A58" s="115"/>
      <c r="B58" s="170" t="s">
        <v>345</v>
      </c>
      <c r="C58" s="115"/>
      <c r="D58" s="115"/>
      <c r="E58" s="115">
        <v>93.384405668354432</v>
      </c>
      <c r="F58" s="115"/>
      <c r="G58" s="115"/>
      <c r="H58" s="115"/>
      <c r="I58" s="115">
        <v>82.316090235082243</v>
      </c>
      <c r="J58" s="115">
        <v>82.316090235082243</v>
      </c>
      <c r="K58" s="115"/>
      <c r="L58" s="115">
        <v>128.3869</v>
      </c>
      <c r="M58" s="115">
        <v>82.316090235082243</v>
      </c>
      <c r="N58" s="115">
        <v>82.316090235082243</v>
      </c>
      <c r="O58" s="115">
        <v>82.316090235082243</v>
      </c>
      <c r="P58" s="115">
        <v>82.316090235082243</v>
      </c>
      <c r="Q58" s="115"/>
      <c r="R58" s="115">
        <v>128.3869</v>
      </c>
      <c r="S58" s="115">
        <v>82.316090235082243</v>
      </c>
      <c r="T58" s="115">
        <v>82.316090235082243</v>
      </c>
      <c r="U58" s="115">
        <v>82.316090235082243</v>
      </c>
      <c r="V58" s="115">
        <v>82.316090235082243</v>
      </c>
      <c r="W58" s="115">
        <v>82.316090235082243</v>
      </c>
      <c r="X58" s="115">
        <v>82.316090235082243</v>
      </c>
      <c r="Y58" s="115">
        <v>82.316090235082243</v>
      </c>
      <c r="Z58" s="115">
        <v>82.316090235082243</v>
      </c>
      <c r="AA58" s="115">
        <v>82.316090235082243</v>
      </c>
      <c r="AB58" s="115">
        <v>82.316090235082243</v>
      </c>
      <c r="AC58" s="115">
        <v>82.316090235082243</v>
      </c>
      <c r="AD58" s="115">
        <v>82.316090235082243</v>
      </c>
      <c r="AE58" s="115">
        <v>82.316090235082243</v>
      </c>
      <c r="AF58" s="115">
        <v>82.316090235082243</v>
      </c>
      <c r="AG58" s="115">
        <v>82.316090235082243</v>
      </c>
      <c r="AH58" s="115">
        <v>82.316090235082243</v>
      </c>
      <c r="AI58" s="115">
        <v>82.316090235082243</v>
      </c>
      <c r="AJ58" s="115">
        <v>82.316090235082243</v>
      </c>
      <c r="AK58" s="115">
        <v>82.316090235082243</v>
      </c>
      <c r="AL58" s="115"/>
      <c r="AM58" s="115">
        <v>128.3869</v>
      </c>
      <c r="AN58" s="115">
        <v>82.316090235082243</v>
      </c>
      <c r="AO58" s="115">
        <v>82.316090235082243</v>
      </c>
      <c r="AP58" s="115">
        <v>82.316090235082243</v>
      </c>
      <c r="AQ58" s="115">
        <v>82.316090235082243</v>
      </c>
      <c r="AR58" s="115">
        <v>82.316090235082243</v>
      </c>
      <c r="AS58" s="115">
        <v>82.316090235082243</v>
      </c>
      <c r="AT58" s="115">
        <v>82.316090235082243</v>
      </c>
      <c r="AU58" s="115">
        <v>82.316090235082243</v>
      </c>
      <c r="AV58" s="115">
        <v>82.316090235082243</v>
      </c>
      <c r="AW58" s="115">
        <v>82.316090235082243</v>
      </c>
      <c r="AX58" s="115">
        <v>82.316090235082243</v>
      </c>
      <c r="AY58" s="115">
        <v>82.316090235082243</v>
      </c>
    </row>
    <row r="59" spans="1:52" x14ac:dyDescent="0.2">
      <c r="A59" s="115"/>
      <c r="B59" s="170" t="s">
        <v>346</v>
      </c>
      <c r="C59" s="115"/>
      <c r="D59" s="115"/>
      <c r="E59" s="115">
        <v>88.457366483544305</v>
      </c>
      <c r="F59" s="115"/>
      <c r="G59" s="115"/>
      <c r="H59" s="115"/>
      <c r="I59" s="115">
        <v>77.973024610517726</v>
      </c>
      <c r="J59" s="115">
        <v>77.973024610517726</v>
      </c>
      <c r="K59" s="115"/>
      <c r="L59" s="115">
        <v>121.61309999999999</v>
      </c>
      <c r="M59" s="115">
        <v>77.973024610517726</v>
      </c>
      <c r="N59" s="115">
        <v>77.973024610517726</v>
      </c>
      <c r="O59" s="115">
        <v>77.973024610517726</v>
      </c>
      <c r="P59" s="115">
        <v>77.973024610517726</v>
      </c>
      <c r="Q59" s="115"/>
      <c r="R59" s="115">
        <v>121.61309999999999</v>
      </c>
      <c r="S59" s="115">
        <v>77.973024610517726</v>
      </c>
      <c r="T59" s="115">
        <v>77.973024610517726</v>
      </c>
      <c r="U59" s="115">
        <v>77.973024610517726</v>
      </c>
      <c r="V59" s="115">
        <v>77.973024610517726</v>
      </c>
      <c r="W59" s="115">
        <v>77.973024610517726</v>
      </c>
      <c r="X59" s="115">
        <v>77.973024610517726</v>
      </c>
      <c r="Y59" s="115">
        <v>77.973024610517726</v>
      </c>
      <c r="Z59" s="115">
        <v>77.973024610517726</v>
      </c>
      <c r="AA59" s="115">
        <v>77.973024610517726</v>
      </c>
      <c r="AB59" s="115">
        <v>77.973024610517726</v>
      </c>
      <c r="AC59" s="115">
        <v>77.973024610517726</v>
      </c>
      <c r="AD59" s="115">
        <v>77.973024610517726</v>
      </c>
      <c r="AE59" s="115">
        <v>77.973024610517726</v>
      </c>
      <c r="AF59" s="115">
        <v>77.973024610517726</v>
      </c>
      <c r="AG59" s="115">
        <v>77.973024610517726</v>
      </c>
      <c r="AH59" s="115">
        <v>77.973024610517726</v>
      </c>
      <c r="AI59" s="115">
        <v>77.973024610517726</v>
      </c>
      <c r="AJ59" s="115">
        <v>77.973024610517726</v>
      </c>
      <c r="AK59" s="115">
        <v>77.973024610517726</v>
      </c>
      <c r="AL59" s="115"/>
      <c r="AM59" s="115">
        <v>121.61309999999999</v>
      </c>
      <c r="AN59" s="115">
        <v>77.973024610517726</v>
      </c>
      <c r="AO59" s="115">
        <v>77.973024610517726</v>
      </c>
      <c r="AP59" s="115">
        <v>77.973024610517726</v>
      </c>
      <c r="AQ59" s="115">
        <v>77.973024610517726</v>
      </c>
      <c r="AR59" s="115">
        <v>77.973024610517726</v>
      </c>
      <c r="AS59" s="115">
        <v>77.973024610517726</v>
      </c>
      <c r="AT59" s="115">
        <v>77.973024610517726</v>
      </c>
      <c r="AU59" s="115">
        <v>77.973024610517726</v>
      </c>
      <c r="AV59" s="115">
        <v>77.973024610517726</v>
      </c>
      <c r="AW59" s="115">
        <v>77.973024610517726</v>
      </c>
      <c r="AX59" s="115">
        <v>77.973024610517726</v>
      </c>
      <c r="AY59" s="115">
        <v>77.973024610517726</v>
      </c>
    </row>
    <row r="60" spans="1:52" x14ac:dyDescent="0.2">
      <c r="A60" s="115"/>
      <c r="B60" s="170" t="s">
        <v>347</v>
      </c>
      <c r="C60" s="115"/>
      <c r="D60" s="115"/>
      <c r="E60" s="115">
        <v>7</v>
      </c>
      <c r="F60" s="115"/>
      <c r="G60" s="115"/>
      <c r="H60" s="115"/>
      <c r="I60" s="115">
        <v>6</v>
      </c>
      <c r="J60" s="115">
        <v>6</v>
      </c>
      <c r="K60" s="115"/>
      <c r="L60" s="115">
        <v>9</v>
      </c>
      <c r="M60" s="115">
        <v>6</v>
      </c>
      <c r="N60" s="115">
        <v>6</v>
      </c>
      <c r="O60" s="115">
        <v>6</v>
      </c>
      <c r="P60" s="115">
        <v>6</v>
      </c>
      <c r="Q60" s="115"/>
      <c r="R60" s="115">
        <v>9</v>
      </c>
      <c r="S60" s="115">
        <v>6</v>
      </c>
      <c r="T60" s="115">
        <v>6</v>
      </c>
      <c r="U60" s="115">
        <v>6</v>
      </c>
      <c r="V60" s="115">
        <v>6</v>
      </c>
      <c r="W60" s="115">
        <v>6</v>
      </c>
      <c r="X60" s="115">
        <v>6</v>
      </c>
      <c r="Y60" s="115">
        <v>6</v>
      </c>
      <c r="Z60" s="115">
        <v>6</v>
      </c>
      <c r="AA60" s="115">
        <v>6</v>
      </c>
      <c r="AB60" s="115">
        <v>6</v>
      </c>
      <c r="AC60" s="115">
        <v>6</v>
      </c>
      <c r="AD60" s="115">
        <v>6</v>
      </c>
      <c r="AE60" s="115">
        <v>6</v>
      </c>
      <c r="AF60" s="115">
        <v>6</v>
      </c>
      <c r="AG60" s="115">
        <v>6</v>
      </c>
      <c r="AH60" s="115">
        <v>6</v>
      </c>
      <c r="AI60" s="115">
        <v>6</v>
      </c>
      <c r="AJ60" s="115">
        <v>6</v>
      </c>
      <c r="AK60" s="115">
        <v>6</v>
      </c>
      <c r="AL60" s="115"/>
      <c r="AM60" s="115">
        <v>9</v>
      </c>
      <c r="AN60" s="115">
        <v>6</v>
      </c>
      <c r="AO60" s="115">
        <v>6</v>
      </c>
      <c r="AP60" s="115">
        <v>6</v>
      </c>
      <c r="AQ60" s="115">
        <v>6</v>
      </c>
      <c r="AR60" s="115">
        <v>6</v>
      </c>
      <c r="AS60" s="115">
        <v>6</v>
      </c>
      <c r="AT60" s="115">
        <v>6</v>
      </c>
      <c r="AU60" s="115">
        <v>6</v>
      </c>
      <c r="AV60" s="115">
        <v>6</v>
      </c>
      <c r="AW60" s="115">
        <v>6</v>
      </c>
      <c r="AX60" s="115">
        <v>6</v>
      </c>
      <c r="AY60" s="115">
        <v>6</v>
      </c>
    </row>
    <row r="61" spans="1:52" x14ac:dyDescent="0.2">
      <c r="A61" s="115"/>
      <c r="B61" s="170" t="s">
        <v>348</v>
      </c>
      <c r="C61" s="115"/>
      <c r="D61" s="115">
        <f>D55-D58</f>
        <v>0</v>
      </c>
      <c r="E61" s="115">
        <f t="shared" ref="E61:AY61" si="18">E55-E58</f>
        <v>0</v>
      </c>
      <c r="F61" s="115">
        <f t="shared" si="18"/>
        <v>0</v>
      </c>
      <c r="G61" s="115">
        <f t="shared" si="18"/>
        <v>0</v>
      </c>
      <c r="H61" s="115">
        <f t="shared" si="18"/>
        <v>0</v>
      </c>
      <c r="I61" s="115">
        <f t="shared" si="18"/>
        <v>0</v>
      </c>
      <c r="J61" s="115">
        <f t="shared" si="18"/>
        <v>0</v>
      </c>
      <c r="K61" s="115">
        <f t="shared" si="18"/>
        <v>0</v>
      </c>
      <c r="L61" s="115">
        <f t="shared" si="18"/>
        <v>0</v>
      </c>
      <c r="M61" s="115">
        <f t="shared" si="18"/>
        <v>0</v>
      </c>
      <c r="N61" s="115">
        <f t="shared" si="18"/>
        <v>0</v>
      </c>
      <c r="O61" s="115">
        <f t="shared" si="18"/>
        <v>0</v>
      </c>
      <c r="P61" s="115">
        <f t="shared" si="18"/>
        <v>0</v>
      </c>
      <c r="Q61" s="115">
        <f t="shared" si="18"/>
        <v>0</v>
      </c>
      <c r="R61" s="115">
        <f t="shared" si="18"/>
        <v>0</v>
      </c>
      <c r="S61" s="115">
        <f t="shared" si="18"/>
        <v>0</v>
      </c>
      <c r="T61" s="115">
        <f t="shared" si="18"/>
        <v>0</v>
      </c>
      <c r="U61" s="115">
        <f t="shared" si="18"/>
        <v>0</v>
      </c>
      <c r="V61" s="115">
        <f t="shared" si="18"/>
        <v>0</v>
      </c>
      <c r="W61" s="115">
        <f t="shared" si="18"/>
        <v>0</v>
      </c>
      <c r="X61" s="115">
        <f t="shared" si="18"/>
        <v>0</v>
      </c>
      <c r="Y61" s="115">
        <f t="shared" si="18"/>
        <v>0</v>
      </c>
      <c r="Z61" s="115">
        <f t="shared" si="18"/>
        <v>0</v>
      </c>
      <c r="AA61" s="115">
        <f t="shared" si="18"/>
        <v>0</v>
      </c>
      <c r="AB61" s="115">
        <f t="shared" si="18"/>
        <v>0</v>
      </c>
      <c r="AC61" s="115">
        <f t="shared" si="18"/>
        <v>0</v>
      </c>
      <c r="AD61" s="115">
        <f t="shared" si="18"/>
        <v>0</v>
      </c>
      <c r="AE61" s="115">
        <f t="shared" si="18"/>
        <v>0</v>
      </c>
      <c r="AF61" s="115">
        <f t="shared" si="18"/>
        <v>0</v>
      </c>
      <c r="AG61" s="115">
        <f t="shared" si="18"/>
        <v>0</v>
      </c>
      <c r="AH61" s="115">
        <f t="shared" si="18"/>
        <v>0</v>
      </c>
      <c r="AI61" s="115">
        <f t="shared" si="18"/>
        <v>0</v>
      </c>
      <c r="AJ61" s="115">
        <f t="shared" si="18"/>
        <v>0</v>
      </c>
      <c r="AK61" s="115">
        <f t="shared" si="18"/>
        <v>0</v>
      </c>
      <c r="AL61" s="115">
        <f t="shared" si="18"/>
        <v>0</v>
      </c>
      <c r="AM61" s="115">
        <f t="shared" si="18"/>
        <v>0</v>
      </c>
      <c r="AN61" s="115">
        <f t="shared" si="18"/>
        <v>0</v>
      </c>
      <c r="AO61" s="115">
        <f t="shared" si="18"/>
        <v>0</v>
      </c>
      <c r="AP61" s="115">
        <f t="shared" si="18"/>
        <v>0</v>
      </c>
      <c r="AQ61" s="115">
        <f t="shared" si="18"/>
        <v>0</v>
      </c>
      <c r="AR61" s="115">
        <f t="shared" si="18"/>
        <v>0</v>
      </c>
      <c r="AS61" s="115">
        <f t="shared" si="18"/>
        <v>0</v>
      </c>
      <c r="AT61" s="115">
        <f t="shared" si="18"/>
        <v>0</v>
      </c>
      <c r="AU61" s="115">
        <f t="shared" si="18"/>
        <v>0</v>
      </c>
      <c r="AV61" s="115">
        <f t="shared" si="18"/>
        <v>0</v>
      </c>
      <c r="AW61" s="115">
        <f t="shared" si="18"/>
        <v>0</v>
      </c>
      <c r="AX61" s="115">
        <f t="shared" si="18"/>
        <v>0</v>
      </c>
      <c r="AY61" s="115">
        <f t="shared" si="18"/>
        <v>0</v>
      </c>
    </row>
    <row r="62" spans="1:52" x14ac:dyDescent="0.2">
      <c r="A62" s="115"/>
      <c r="B62" s="170" t="s">
        <v>349</v>
      </c>
      <c r="C62" s="115"/>
      <c r="D62" s="115">
        <f>D56-D59</f>
        <v>0</v>
      </c>
      <c r="E62" s="115">
        <f t="shared" ref="E62:AY62" si="19">E56-E59</f>
        <v>0</v>
      </c>
      <c r="F62" s="115">
        <f t="shared" si="19"/>
        <v>0</v>
      </c>
      <c r="G62" s="115">
        <f t="shared" si="19"/>
        <v>0</v>
      </c>
      <c r="H62" s="115">
        <f t="shared" si="19"/>
        <v>0</v>
      </c>
      <c r="I62" s="115">
        <f t="shared" si="19"/>
        <v>0</v>
      </c>
      <c r="J62" s="115">
        <f t="shared" si="19"/>
        <v>0</v>
      </c>
      <c r="K62" s="115">
        <f t="shared" si="19"/>
        <v>0</v>
      </c>
      <c r="L62" s="115">
        <f t="shared" si="19"/>
        <v>0</v>
      </c>
      <c r="M62" s="115">
        <f t="shared" si="19"/>
        <v>0</v>
      </c>
      <c r="N62" s="115">
        <f t="shared" si="19"/>
        <v>0</v>
      </c>
      <c r="O62" s="115">
        <f t="shared" si="19"/>
        <v>0</v>
      </c>
      <c r="P62" s="115">
        <f t="shared" si="19"/>
        <v>0</v>
      </c>
      <c r="Q62" s="115">
        <f t="shared" si="19"/>
        <v>0</v>
      </c>
      <c r="R62" s="115">
        <f t="shared" si="19"/>
        <v>0</v>
      </c>
      <c r="S62" s="115">
        <f t="shared" si="19"/>
        <v>0</v>
      </c>
      <c r="T62" s="115">
        <f t="shared" si="19"/>
        <v>0</v>
      </c>
      <c r="U62" s="115">
        <f t="shared" si="19"/>
        <v>0</v>
      </c>
      <c r="V62" s="115">
        <f t="shared" si="19"/>
        <v>0</v>
      </c>
      <c r="W62" s="115">
        <f t="shared" si="19"/>
        <v>0</v>
      </c>
      <c r="X62" s="115">
        <f t="shared" si="19"/>
        <v>0</v>
      </c>
      <c r="Y62" s="115">
        <f t="shared" si="19"/>
        <v>0</v>
      </c>
      <c r="Z62" s="115">
        <f t="shared" si="19"/>
        <v>0</v>
      </c>
      <c r="AA62" s="115">
        <f t="shared" si="19"/>
        <v>0</v>
      </c>
      <c r="AB62" s="115">
        <f t="shared" si="19"/>
        <v>0</v>
      </c>
      <c r="AC62" s="115">
        <f t="shared" si="19"/>
        <v>0</v>
      </c>
      <c r="AD62" s="115">
        <f t="shared" si="19"/>
        <v>0</v>
      </c>
      <c r="AE62" s="115">
        <f t="shared" si="19"/>
        <v>0</v>
      </c>
      <c r="AF62" s="115">
        <f t="shared" si="19"/>
        <v>0</v>
      </c>
      <c r="AG62" s="115">
        <f t="shared" si="19"/>
        <v>0</v>
      </c>
      <c r="AH62" s="115">
        <f t="shared" si="19"/>
        <v>0</v>
      </c>
      <c r="AI62" s="115">
        <f t="shared" si="19"/>
        <v>0</v>
      </c>
      <c r="AJ62" s="115">
        <f t="shared" si="19"/>
        <v>0</v>
      </c>
      <c r="AK62" s="115">
        <f t="shared" si="19"/>
        <v>0</v>
      </c>
      <c r="AL62" s="115">
        <f t="shared" si="19"/>
        <v>0</v>
      </c>
      <c r="AM62" s="115">
        <f t="shared" si="19"/>
        <v>0</v>
      </c>
      <c r="AN62" s="115">
        <f t="shared" si="19"/>
        <v>0</v>
      </c>
      <c r="AO62" s="115">
        <f t="shared" si="19"/>
        <v>0</v>
      </c>
      <c r="AP62" s="115">
        <f t="shared" si="19"/>
        <v>0</v>
      </c>
      <c r="AQ62" s="115">
        <f t="shared" si="19"/>
        <v>0</v>
      </c>
      <c r="AR62" s="115">
        <f t="shared" si="19"/>
        <v>0</v>
      </c>
      <c r="AS62" s="115">
        <f t="shared" si="19"/>
        <v>0</v>
      </c>
      <c r="AT62" s="115">
        <f t="shared" si="19"/>
        <v>0</v>
      </c>
      <c r="AU62" s="115">
        <f t="shared" si="19"/>
        <v>0</v>
      </c>
      <c r="AV62" s="115">
        <f t="shared" si="19"/>
        <v>0</v>
      </c>
      <c r="AW62" s="115">
        <f t="shared" si="19"/>
        <v>0</v>
      </c>
      <c r="AX62" s="115">
        <f t="shared" si="19"/>
        <v>0</v>
      </c>
      <c r="AY62" s="115">
        <f t="shared" si="19"/>
        <v>0</v>
      </c>
    </row>
    <row r="63" spans="1:52" x14ac:dyDescent="0.2">
      <c r="A63" s="115"/>
      <c r="B63" s="170" t="s">
        <v>350</v>
      </c>
      <c r="C63" s="115"/>
      <c r="D63" s="115">
        <v>3</v>
      </c>
      <c r="E63" s="115">
        <v>2</v>
      </c>
      <c r="F63" s="115">
        <v>1</v>
      </c>
      <c r="G63" s="115">
        <v>1</v>
      </c>
      <c r="H63" s="115">
        <v>1</v>
      </c>
      <c r="I63" s="115">
        <v>1</v>
      </c>
      <c r="J63" s="115">
        <v>2</v>
      </c>
      <c r="K63" s="115">
        <v>1</v>
      </c>
      <c r="L63" s="115">
        <v>2</v>
      </c>
      <c r="M63" s="115">
        <v>1</v>
      </c>
      <c r="N63" s="115">
        <v>1</v>
      </c>
      <c r="O63" s="115">
        <v>1</v>
      </c>
      <c r="P63" s="115">
        <v>1</v>
      </c>
      <c r="Q63" s="115">
        <v>2</v>
      </c>
      <c r="R63" s="115">
        <v>2</v>
      </c>
      <c r="S63" s="115">
        <v>1</v>
      </c>
      <c r="T63" s="115">
        <v>2</v>
      </c>
      <c r="U63" s="115">
        <v>1</v>
      </c>
      <c r="V63" s="115">
        <v>2</v>
      </c>
      <c r="W63" s="115">
        <v>2</v>
      </c>
      <c r="X63" s="115">
        <v>1</v>
      </c>
      <c r="Y63" s="115">
        <v>1</v>
      </c>
      <c r="Z63" s="115">
        <v>2</v>
      </c>
      <c r="AA63" s="115">
        <v>1</v>
      </c>
      <c r="AB63" s="115">
        <v>1</v>
      </c>
      <c r="AC63" s="115">
        <v>2</v>
      </c>
      <c r="AD63" s="115">
        <v>1</v>
      </c>
      <c r="AE63" s="115">
        <v>3</v>
      </c>
      <c r="AF63" s="115">
        <v>1</v>
      </c>
      <c r="AG63" s="115">
        <v>1</v>
      </c>
      <c r="AH63" s="115">
        <v>2</v>
      </c>
      <c r="AI63" s="115">
        <v>2</v>
      </c>
      <c r="AJ63" s="115">
        <v>1</v>
      </c>
      <c r="AK63" s="115">
        <v>1</v>
      </c>
      <c r="AL63" s="115">
        <v>1</v>
      </c>
      <c r="AM63" s="115">
        <v>1</v>
      </c>
      <c r="AN63" s="115">
        <v>3</v>
      </c>
      <c r="AO63" s="115">
        <v>1</v>
      </c>
      <c r="AP63" s="115">
        <v>1</v>
      </c>
      <c r="AQ63" s="115">
        <v>1</v>
      </c>
      <c r="AR63" s="115">
        <v>3</v>
      </c>
      <c r="AS63" s="115">
        <v>2</v>
      </c>
      <c r="AT63" s="115">
        <v>1</v>
      </c>
      <c r="AU63" s="115">
        <v>1</v>
      </c>
      <c r="AV63" s="115">
        <v>1</v>
      </c>
      <c r="AW63" s="115">
        <v>1</v>
      </c>
      <c r="AX63" s="115">
        <v>2</v>
      </c>
      <c r="AY63" s="115">
        <v>1</v>
      </c>
    </row>
    <row r="64" spans="1:52" x14ac:dyDescent="0.2">
      <c r="A64" s="115"/>
      <c r="B64" s="183" t="s">
        <v>351</v>
      </c>
      <c r="C64" s="115"/>
      <c r="D64" s="115">
        <v>0</v>
      </c>
      <c r="E64" s="115">
        <v>99036</v>
      </c>
      <c r="F64" s="115">
        <v>0</v>
      </c>
      <c r="G64" s="115">
        <v>0</v>
      </c>
      <c r="H64" s="115">
        <v>0</v>
      </c>
      <c r="I64" s="115">
        <v>84888</v>
      </c>
      <c r="J64" s="115">
        <v>84888</v>
      </c>
      <c r="K64" s="115">
        <v>0</v>
      </c>
      <c r="L64" s="115">
        <v>127332</v>
      </c>
      <c r="M64" s="115">
        <v>84888</v>
      </c>
      <c r="N64" s="115">
        <v>84888</v>
      </c>
      <c r="O64" s="115">
        <v>84888</v>
      </c>
      <c r="P64" s="115">
        <v>84888</v>
      </c>
      <c r="Q64" s="115">
        <v>0</v>
      </c>
      <c r="R64" s="115">
        <v>127332</v>
      </c>
      <c r="S64" s="115">
        <v>84888</v>
      </c>
      <c r="T64" s="115">
        <v>84888</v>
      </c>
      <c r="U64" s="115">
        <v>84888</v>
      </c>
      <c r="V64" s="115">
        <v>84888</v>
      </c>
      <c r="W64" s="115">
        <v>84888</v>
      </c>
      <c r="X64" s="115">
        <v>84888</v>
      </c>
      <c r="Y64" s="115">
        <v>84888</v>
      </c>
      <c r="Z64" s="115">
        <v>84888</v>
      </c>
      <c r="AA64" s="115">
        <v>84888</v>
      </c>
      <c r="AB64" s="115">
        <v>84888</v>
      </c>
      <c r="AC64" s="115">
        <v>84888</v>
      </c>
      <c r="AD64" s="115">
        <v>84888</v>
      </c>
      <c r="AE64" s="115">
        <v>84888</v>
      </c>
      <c r="AF64" s="115">
        <v>84888</v>
      </c>
      <c r="AG64" s="115">
        <v>84888</v>
      </c>
      <c r="AH64" s="115">
        <v>84888</v>
      </c>
      <c r="AI64" s="115">
        <v>84888</v>
      </c>
      <c r="AJ64" s="115">
        <v>84888</v>
      </c>
      <c r="AK64" s="115">
        <v>84888</v>
      </c>
      <c r="AL64" s="115">
        <v>0</v>
      </c>
      <c r="AM64" s="115">
        <v>127332</v>
      </c>
      <c r="AN64" s="115">
        <v>84888</v>
      </c>
      <c r="AO64" s="115">
        <v>84888</v>
      </c>
      <c r="AP64" s="115">
        <v>84888</v>
      </c>
      <c r="AQ64" s="115">
        <v>84888</v>
      </c>
      <c r="AR64" s="115">
        <v>84888</v>
      </c>
      <c r="AS64" s="115">
        <v>84888</v>
      </c>
      <c r="AT64" s="115">
        <v>84888</v>
      </c>
      <c r="AU64" s="115">
        <v>84888</v>
      </c>
      <c r="AV64" s="115">
        <v>84888</v>
      </c>
      <c r="AW64" s="115">
        <v>84888</v>
      </c>
      <c r="AX64" s="115">
        <v>84888</v>
      </c>
      <c r="AY64" s="115">
        <v>84888</v>
      </c>
      <c r="AZ64" s="105">
        <f>SUM($D$64:$AY$64)</f>
        <v>3621888</v>
      </c>
    </row>
    <row r="65" spans="1:52" x14ac:dyDescent="0.2">
      <c r="A65" s="115"/>
      <c r="B65" s="183" t="s">
        <v>352</v>
      </c>
      <c r="C65" s="115"/>
      <c r="D65" s="115">
        <v>0</v>
      </c>
      <c r="E65" s="115">
        <v>0</v>
      </c>
      <c r="F65" s="115">
        <v>0</v>
      </c>
      <c r="G65" s="115">
        <v>0</v>
      </c>
      <c r="H65" s="115">
        <v>0</v>
      </c>
      <c r="I65" s="115">
        <v>0</v>
      </c>
      <c r="J65" s="115">
        <v>0</v>
      </c>
      <c r="K65" s="115">
        <v>0</v>
      </c>
      <c r="L65" s="115">
        <v>0</v>
      </c>
      <c r="M65" s="115">
        <v>0</v>
      </c>
      <c r="N65" s="115">
        <v>0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15">
        <v>0</v>
      </c>
      <c r="V65" s="115">
        <v>0</v>
      </c>
      <c r="W65" s="115">
        <v>0</v>
      </c>
      <c r="X65" s="115">
        <v>0</v>
      </c>
      <c r="Y65" s="115">
        <v>0</v>
      </c>
      <c r="Z65" s="115">
        <v>0</v>
      </c>
      <c r="AA65" s="115">
        <v>0</v>
      </c>
      <c r="AB65" s="115">
        <v>0</v>
      </c>
      <c r="AC65" s="115">
        <v>0</v>
      </c>
      <c r="AD65" s="115">
        <v>0</v>
      </c>
      <c r="AE65" s="115">
        <v>0</v>
      </c>
      <c r="AF65" s="115">
        <v>0</v>
      </c>
      <c r="AG65" s="115">
        <v>0</v>
      </c>
      <c r="AH65" s="115">
        <v>0</v>
      </c>
      <c r="AI65" s="115">
        <v>0</v>
      </c>
      <c r="AJ65" s="115">
        <v>0</v>
      </c>
      <c r="AK65" s="115">
        <v>0</v>
      </c>
      <c r="AL65" s="115">
        <v>0</v>
      </c>
      <c r="AM65" s="115">
        <v>0</v>
      </c>
      <c r="AN65" s="115">
        <v>0</v>
      </c>
      <c r="AO65" s="115">
        <v>0</v>
      </c>
      <c r="AP65" s="115">
        <v>0</v>
      </c>
      <c r="AQ65" s="115">
        <v>0</v>
      </c>
      <c r="AR65" s="115">
        <v>0</v>
      </c>
      <c r="AS65" s="115">
        <v>0</v>
      </c>
      <c r="AT65" s="115">
        <v>0</v>
      </c>
      <c r="AU65" s="115">
        <v>0</v>
      </c>
      <c r="AV65" s="115">
        <v>0</v>
      </c>
      <c r="AW65" s="115">
        <v>0</v>
      </c>
      <c r="AX65" s="115">
        <v>0</v>
      </c>
      <c r="AY65" s="115">
        <v>0</v>
      </c>
      <c r="AZ65" s="105">
        <f>SUM($D$65:$AY$65)</f>
        <v>0</v>
      </c>
    </row>
    <row r="66" spans="1:52" x14ac:dyDescent="0.2">
      <c r="A66" s="140" t="s">
        <v>70</v>
      </c>
      <c r="B66" s="140" t="s">
        <v>342</v>
      </c>
      <c r="C66" s="129"/>
      <c r="D66" s="129">
        <f>D$21*shipping_manufacturing!$H$30/100</f>
        <v>0</v>
      </c>
      <c r="E66" s="129">
        <f>E$21*shipping_manufacturing!$H$30/100</f>
        <v>0</v>
      </c>
      <c r="F66" s="129">
        <f>F$21*shipping_manufacturing!$H$30/100</f>
        <v>0</v>
      </c>
      <c r="G66" s="129">
        <f>G$21*shipping_manufacturing!$H$30/100</f>
        <v>0</v>
      </c>
      <c r="H66" s="129">
        <f>H$21*shipping_manufacturing!$H$30/100</f>
        <v>0</v>
      </c>
      <c r="I66" s="129">
        <f>I$21*shipping_manufacturing!$H$30/100</f>
        <v>0</v>
      </c>
      <c r="J66" s="129">
        <f>J$21*shipping_manufacturing!$H$30/100</f>
        <v>0</v>
      </c>
      <c r="K66" s="129">
        <f>K$21*shipping_manufacturing!$H$30/100</f>
        <v>0</v>
      </c>
      <c r="L66" s="129">
        <f>L$21*shipping_manufacturing!$H$30/100</f>
        <v>0</v>
      </c>
      <c r="M66" s="129">
        <f>M$21*shipping_manufacturing!$H$30/100</f>
        <v>0</v>
      </c>
      <c r="N66" s="129">
        <f>N$21*shipping_manufacturing!$H$30/100</f>
        <v>0</v>
      </c>
      <c r="O66" s="129">
        <f>O$21*shipping_manufacturing!$H$30/100</f>
        <v>0</v>
      </c>
      <c r="P66" s="129">
        <f>P$21*shipping_manufacturing!$H$30/100</f>
        <v>0</v>
      </c>
      <c r="Q66" s="129">
        <f>Q$21*shipping_manufacturing!$H$30/100</f>
        <v>0</v>
      </c>
      <c r="R66" s="129">
        <f>R$21*shipping_manufacturing!$H$30/100</f>
        <v>0</v>
      </c>
      <c r="S66" s="129">
        <f>S$21*shipping_manufacturing!$H$30/100</f>
        <v>0</v>
      </c>
      <c r="T66" s="129">
        <f>T$21*shipping_manufacturing!$H$30/100</f>
        <v>0</v>
      </c>
      <c r="U66" s="129">
        <f>U$21*shipping_manufacturing!$H$30/100</f>
        <v>0</v>
      </c>
      <c r="V66" s="129">
        <f>V$21*shipping_manufacturing!$H$30/100</f>
        <v>0</v>
      </c>
      <c r="W66" s="129">
        <f>W$21*shipping_manufacturing!$H$30/100</f>
        <v>0</v>
      </c>
      <c r="X66" s="129">
        <f>X$21*shipping_manufacturing!$H$30/100</f>
        <v>0</v>
      </c>
      <c r="Y66" s="129">
        <f>Y$21*shipping_manufacturing!$H$30/100</f>
        <v>0</v>
      </c>
      <c r="Z66" s="129">
        <f>Z$21*shipping_manufacturing!$H$30/100</f>
        <v>0</v>
      </c>
      <c r="AA66" s="129">
        <f>AA$21*shipping_manufacturing!$H$30/100</f>
        <v>0</v>
      </c>
      <c r="AB66" s="129">
        <f>AB$21*shipping_manufacturing!$H$30/100</f>
        <v>0</v>
      </c>
      <c r="AC66" s="129">
        <f>AC$21*shipping_manufacturing!$H$30/100</f>
        <v>0</v>
      </c>
      <c r="AD66" s="129">
        <f>AD$21*shipping_manufacturing!$H$30/100</f>
        <v>0</v>
      </c>
      <c r="AE66" s="129">
        <f>AE$21*shipping_manufacturing!$H$30/100</f>
        <v>0</v>
      </c>
      <c r="AF66" s="129">
        <f>AF$21*shipping_manufacturing!$H$30/100</f>
        <v>0</v>
      </c>
      <c r="AG66" s="129">
        <f>AG$21*shipping_manufacturing!$H$30/100</f>
        <v>0</v>
      </c>
      <c r="AH66" s="129">
        <f>AH$21*shipping_manufacturing!$H$30/100</f>
        <v>0</v>
      </c>
      <c r="AI66" s="129">
        <f>AI$21*shipping_manufacturing!$H$30/100</f>
        <v>0</v>
      </c>
      <c r="AJ66" s="129">
        <f>AJ$21*shipping_manufacturing!$H$30/100</f>
        <v>0</v>
      </c>
      <c r="AK66" s="129">
        <f>AK$21*shipping_manufacturing!$H$30/100</f>
        <v>0</v>
      </c>
      <c r="AL66" s="129">
        <f>AL$21*shipping_manufacturing!$H$30/100</f>
        <v>0</v>
      </c>
      <c r="AM66" s="129">
        <f>AM$21*shipping_manufacturing!$H$30/100</f>
        <v>0</v>
      </c>
      <c r="AN66" s="129">
        <f>AN$21*shipping_manufacturing!$H$30/100</f>
        <v>0</v>
      </c>
      <c r="AO66" s="129">
        <f>AO$21*shipping_manufacturing!$H$30/100</f>
        <v>0</v>
      </c>
      <c r="AP66" s="129">
        <f>AP$21*shipping_manufacturing!$H$30/100</f>
        <v>0</v>
      </c>
      <c r="AQ66" s="129">
        <f>AQ$21*shipping_manufacturing!$H$30/100</f>
        <v>0</v>
      </c>
      <c r="AR66" s="129">
        <f>AR$21*shipping_manufacturing!$H$30/100</f>
        <v>0</v>
      </c>
      <c r="AS66" s="129">
        <f>AS$21*shipping_manufacturing!$H$30/100</f>
        <v>0</v>
      </c>
      <c r="AT66" s="129">
        <f>AT$21*shipping_manufacturing!$H$30/100</f>
        <v>0</v>
      </c>
      <c r="AU66" s="129">
        <f>AU$21*shipping_manufacturing!$H$30/100</f>
        <v>0</v>
      </c>
      <c r="AV66" s="129">
        <f>AV$21*shipping_manufacturing!$H$30/100</f>
        <v>0</v>
      </c>
      <c r="AW66" s="129">
        <f>AW$21*shipping_manufacturing!$H$30/100</f>
        <v>0</v>
      </c>
      <c r="AX66" s="129">
        <f>AX$21*shipping_manufacturing!$H$30/100</f>
        <v>0</v>
      </c>
      <c r="AY66" s="129">
        <f>AY$21*shipping_manufacturing!$H$30/100</f>
        <v>0</v>
      </c>
    </row>
    <row r="67" spans="1:52" x14ac:dyDescent="0.2">
      <c r="A67" s="118" t="s">
        <v>341</v>
      </c>
      <c r="B67" s="170" t="s">
        <v>343</v>
      </c>
      <c r="C67" s="115"/>
      <c r="D67" s="115">
        <f>D$22*shipping_manufacturing!$I$30/100</f>
        <v>0</v>
      </c>
      <c r="E67" s="115">
        <f>E$22*shipping_manufacturing!$I$30/100</f>
        <v>0</v>
      </c>
      <c r="F67" s="115">
        <f>F$22*shipping_manufacturing!$I$30/100</f>
        <v>0</v>
      </c>
      <c r="G67" s="115">
        <f>G$22*shipping_manufacturing!$I$30/100</f>
        <v>0</v>
      </c>
      <c r="H67" s="115">
        <f>H$22*shipping_manufacturing!$I$30/100</f>
        <v>0</v>
      </c>
      <c r="I67" s="115">
        <f>I$22*shipping_manufacturing!$I$30/100</f>
        <v>0</v>
      </c>
      <c r="J67" s="115">
        <f>J$22*shipping_manufacturing!$I$30/100</f>
        <v>0</v>
      </c>
      <c r="K67" s="115">
        <f>K$22*shipping_manufacturing!$I$30/100</f>
        <v>0</v>
      </c>
      <c r="L67" s="115">
        <f>L$22*shipping_manufacturing!$I$30/100</f>
        <v>0</v>
      </c>
      <c r="M67" s="115">
        <f>M$22*shipping_manufacturing!$I$30/100</f>
        <v>0</v>
      </c>
      <c r="N67" s="115">
        <f>N$22*shipping_manufacturing!$I$30/100</f>
        <v>0</v>
      </c>
      <c r="O67" s="115">
        <f>O$22*shipping_manufacturing!$I$30/100</f>
        <v>0</v>
      </c>
      <c r="P67" s="115">
        <f>P$22*shipping_manufacturing!$I$30/100</f>
        <v>0</v>
      </c>
      <c r="Q67" s="115">
        <f>Q$22*shipping_manufacturing!$I$30/100</f>
        <v>0</v>
      </c>
      <c r="R67" s="115">
        <f>R$22*shipping_manufacturing!$I$30/100</f>
        <v>0</v>
      </c>
      <c r="S67" s="115">
        <f>S$22*shipping_manufacturing!$I$30/100</f>
        <v>0</v>
      </c>
      <c r="T67" s="115">
        <f>T$22*shipping_manufacturing!$I$30/100</f>
        <v>0</v>
      </c>
      <c r="U67" s="115">
        <f>U$22*shipping_manufacturing!$I$30/100</f>
        <v>0</v>
      </c>
      <c r="V67" s="115">
        <f>V$22*shipping_manufacturing!$I$30/100</f>
        <v>0</v>
      </c>
      <c r="W67" s="115">
        <f>W$22*shipping_manufacturing!$I$30/100</f>
        <v>0</v>
      </c>
      <c r="X67" s="115">
        <f>X$22*shipping_manufacturing!$I$30/100</f>
        <v>0</v>
      </c>
      <c r="Y67" s="115">
        <f>Y$22*shipping_manufacturing!$I$30/100</f>
        <v>0</v>
      </c>
      <c r="Z67" s="115">
        <f>Z$22*shipping_manufacturing!$I$30/100</f>
        <v>0</v>
      </c>
      <c r="AA67" s="115">
        <f>AA$22*shipping_manufacturing!$I$30/100</f>
        <v>0</v>
      </c>
      <c r="AB67" s="115">
        <f>AB$22*shipping_manufacturing!$I$30/100</f>
        <v>0</v>
      </c>
      <c r="AC67" s="115">
        <f>AC$22*shipping_manufacturing!$I$30/100</f>
        <v>0</v>
      </c>
      <c r="AD67" s="115">
        <f>AD$22*shipping_manufacturing!$I$30/100</f>
        <v>0</v>
      </c>
      <c r="AE67" s="115">
        <f>AE$22*shipping_manufacturing!$I$30/100</f>
        <v>0</v>
      </c>
      <c r="AF67" s="115">
        <f>AF$22*shipping_manufacturing!$I$30/100</f>
        <v>0</v>
      </c>
      <c r="AG67" s="115">
        <f>AG$22*shipping_manufacturing!$I$30/100</f>
        <v>0</v>
      </c>
      <c r="AH67" s="115">
        <f>AH$22*shipping_manufacturing!$I$30/100</f>
        <v>0</v>
      </c>
      <c r="AI67" s="115">
        <f>AI$22*shipping_manufacturing!$I$30/100</f>
        <v>0</v>
      </c>
      <c r="AJ67" s="115">
        <f>AJ$22*shipping_manufacturing!$I$30/100</f>
        <v>0</v>
      </c>
      <c r="AK67" s="115">
        <f>AK$22*shipping_manufacturing!$I$30/100</f>
        <v>0</v>
      </c>
      <c r="AL67" s="115">
        <f>AL$22*shipping_manufacturing!$I$30/100</f>
        <v>0</v>
      </c>
      <c r="AM67" s="115">
        <f>AM$22*shipping_manufacturing!$I$30/100</f>
        <v>0</v>
      </c>
      <c r="AN67" s="115">
        <f>AN$22*shipping_manufacturing!$I$30/100</f>
        <v>0</v>
      </c>
      <c r="AO67" s="115">
        <f>AO$22*shipping_manufacturing!$I$30/100</f>
        <v>0</v>
      </c>
      <c r="AP67" s="115">
        <f>AP$22*shipping_manufacturing!$I$30/100</f>
        <v>0</v>
      </c>
      <c r="AQ67" s="115">
        <f>AQ$22*shipping_manufacturing!$I$30/100</f>
        <v>0</v>
      </c>
      <c r="AR67" s="115">
        <f>AR$22*shipping_manufacturing!$I$30/100</f>
        <v>0</v>
      </c>
      <c r="AS67" s="115">
        <f>AS$22*shipping_manufacturing!$I$30/100</f>
        <v>0</v>
      </c>
      <c r="AT67" s="115">
        <f>AT$22*shipping_manufacturing!$I$30/100</f>
        <v>0</v>
      </c>
      <c r="AU67" s="115">
        <f>AU$22*shipping_manufacturing!$I$30/100</f>
        <v>0</v>
      </c>
      <c r="AV67" s="115">
        <f>AV$22*shipping_manufacturing!$I$30/100</f>
        <v>0</v>
      </c>
      <c r="AW67" s="115">
        <f>AW$22*shipping_manufacturing!$I$30/100</f>
        <v>0</v>
      </c>
      <c r="AX67" s="115">
        <f>AX$22*shipping_manufacturing!$I$30/100</f>
        <v>0</v>
      </c>
      <c r="AY67" s="115">
        <f>AY$22*shipping_manufacturing!$I$30/100</f>
        <v>0</v>
      </c>
    </row>
    <row r="68" spans="1:52" x14ac:dyDescent="0.2">
      <c r="A68" s="115">
        <v>1712</v>
      </c>
      <c r="B68" s="170" t="s">
        <v>344</v>
      </c>
      <c r="C68" s="115"/>
      <c r="D68" s="115">
        <f>SUM(D66:D67)</f>
        <v>0</v>
      </c>
      <c r="E68" s="115">
        <f t="shared" ref="E68:AY68" si="20">SUM(E66:E67)</f>
        <v>0</v>
      </c>
      <c r="F68" s="115">
        <f t="shared" si="20"/>
        <v>0</v>
      </c>
      <c r="G68" s="115">
        <f t="shared" si="20"/>
        <v>0</v>
      </c>
      <c r="H68" s="115">
        <f t="shared" si="20"/>
        <v>0</v>
      </c>
      <c r="I68" s="115">
        <f t="shared" si="20"/>
        <v>0</v>
      </c>
      <c r="J68" s="115">
        <f t="shared" si="20"/>
        <v>0</v>
      </c>
      <c r="K68" s="115">
        <f t="shared" si="20"/>
        <v>0</v>
      </c>
      <c r="L68" s="115">
        <f t="shared" si="20"/>
        <v>0</v>
      </c>
      <c r="M68" s="115">
        <f t="shared" si="20"/>
        <v>0</v>
      </c>
      <c r="N68" s="115">
        <f t="shared" si="20"/>
        <v>0</v>
      </c>
      <c r="O68" s="115">
        <f t="shared" si="20"/>
        <v>0</v>
      </c>
      <c r="P68" s="115">
        <f t="shared" si="20"/>
        <v>0</v>
      </c>
      <c r="Q68" s="115">
        <f t="shared" si="20"/>
        <v>0</v>
      </c>
      <c r="R68" s="115">
        <f t="shared" si="20"/>
        <v>0</v>
      </c>
      <c r="S68" s="115">
        <f t="shared" si="20"/>
        <v>0</v>
      </c>
      <c r="T68" s="115">
        <f t="shared" si="20"/>
        <v>0</v>
      </c>
      <c r="U68" s="115">
        <f t="shared" si="20"/>
        <v>0</v>
      </c>
      <c r="V68" s="115">
        <f t="shared" si="20"/>
        <v>0</v>
      </c>
      <c r="W68" s="115">
        <f t="shared" si="20"/>
        <v>0</v>
      </c>
      <c r="X68" s="115">
        <f t="shared" si="20"/>
        <v>0</v>
      </c>
      <c r="Y68" s="115">
        <f t="shared" si="20"/>
        <v>0</v>
      </c>
      <c r="Z68" s="115">
        <f t="shared" si="20"/>
        <v>0</v>
      </c>
      <c r="AA68" s="115">
        <f t="shared" si="20"/>
        <v>0</v>
      </c>
      <c r="AB68" s="115">
        <f t="shared" si="20"/>
        <v>0</v>
      </c>
      <c r="AC68" s="115">
        <f t="shared" si="20"/>
        <v>0</v>
      </c>
      <c r="AD68" s="115">
        <f t="shared" si="20"/>
        <v>0</v>
      </c>
      <c r="AE68" s="115">
        <f t="shared" si="20"/>
        <v>0</v>
      </c>
      <c r="AF68" s="115">
        <f t="shared" si="20"/>
        <v>0</v>
      </c>
      <c r="AG68" s="115">
        <f t="shared" si="20"/>
        <v>0</v>
      </c>
      <c r="AH68" s="115">
        <f t="shared" si="20"/>
        <v>0</v>
      </c>
      <c r="AI68" s="115">
        <f t="shared" si="20"/>
        <v>0</v>
      </c>
      <c r="AJ68" s="115">
        <f t="shared" si="20"/>
        <v>0</v>
      </c>
      <c r="AK68" s="115">
        <f t="shared" si="20"/>
        <v>0</v>
      </c>
      <c r="AL68" s="115">
        <f t="shared" si="20"/>
        <v>0</v>
      </c>
      <c r="AM68" s="115">
        <f t="shared" si="20"/>
        <v>0</v>
      </c>
      <c r="AN68" s="115">
        <f t="shared" si="20"/>
        <v>0</v>
      </c>
      <c r="AO68" s="115">
        <f t="shared" si="20"/>
        <v>0</v>
      </c>
      <c r="AP68" s="115">
        <f t="shared" si="20"/>
        <v>0</v>
      </c>
      <c r="AQ68" s="115">
        <f t="shared" si="20"/>
        <v>0</v>
      </c>
      <c r="AR68" s="115">
        <f t="shared" si="20"/>
        <v>0</v>
      </c>
      <c r="AS68" s="115">
        <f t="shared" si="20"/>
        <v>0</v>
      </c>
      <c r="AT68" s="115">
        <f t="shared" si="20"/>
        <v>0</v>
      </c>
      <c r="AU68" s="115">
        <f t="shared" si="20"/>
        <v>0</v>
      </c>
      <c r="AV68" s="115">
        <f t="shared" si="20"/>
        <v>0</v>
      </c>
      <c r="AW68" s="115">
        <f t="shared" si="20"/>
        <v>0</v>
      </c>
      <c r="AX68" s="115">
        <f t="shared" si="20"/>
        <v>0</v>
      </c>
      <c r="AY68" s="115">
        <f t="shared" si="20"/>
        <v>0</v>
      </c>
    </row>
    <row r="69" spans="1:52" x14ac:dyDescent="0.2">
      <c r="A69" s="115"/>
      <c r="B69" s="170" t="s">
        <v>345</v>
      </c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</row>
    <row r="70" spans="1:52" x14ac:dyDescent="0.2">
      <c r="A70" s="115"/>
      <c r="B70" s="170" t="s">
        <v>346</v>
      </c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</row>
    <row r="71" spans="1:52" x14ac:dyDescent="0.2">
      <c r="A71" s="115"/>
      <c r="B71" s="170" t="s">
        <v>347</v>
      </c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</row>
    <row r="72" spans="1:52" x14ac:dyDescent="0.2">
      <c r="A72" s="115"/>
      <c r="B72" s="170" t="s">
        <v>348</v>
      </c>
      <c r="C72" s="115"/>
      <c r="D72" s="115">
        <f>D66-D69</f>
        <v>0</v>
      </c>
      <c r="E72" s="115">
        <f t="shared" ref="E72:AY72" si="21">E66-E69</f>
        <v>0</v>
      </c>
      <c r="F72" s="115">
        <f t="shared" si="21"/>
        <v>0</v>
      </c>
      <c r="G72" s="115">
        <f t="shared" si="21"/>
        <v>0</v>
      </c>
      <c r="H72" s="115">
        <f t="shared" si="21"/>
        <v>0</v>
      </c>
      <c r="I72" s="115">
        <f t="shared" si="21"/>
        <v>0</v>
      </c>
      <c r="J72" s="115">
        <f t="shared" si="21"/>
        <v>0</v>
      </c>
      <c r="K72" s="115">
        <f t="shared" si="21"/>
        <v>0</v>
      </c>
      <c r="L72" s="115">
        <f t="shared" si="21"/>
        <v>0</v>
      </c>
      <c r="M72" s="115">
        <f t="shared" si="21"/>
        <v>0</v>
      </c>
      <c r="N72" s="115">
        <f t="shared" si="21"/>
        <v>0</v>
      </c>
      <c r="O72" s="115">
        <f t="shared" si="21"/>
        <v>0</v>
      </c>
      <c r="P72" s="115">
        <f t="shared" si="21"/>
        <v>0</v>
      </c>
      <c r="Q72" s="115">
        <f t="shared" si="21"/>
        <v>0</v>
      </c>
      <c r="R72" s="115">
        <f t="shared" si="21"/>
        <v>0</v>
      </c>
      <c r="S72" s="115">
        <f t="shared" si="21"/>
        <v>0</v>
      </c>
      <c r="T72" s="115">
        <f t="shared" si="21"/>
        <v>0</v>
      </c>
      <c r="U72" s="115">
        <f t="shared" si="21"/>
        <v>0</v>
      </c>
      <c r="V72" s="115">
        <f t="shared" si="21"/>
        <v>0</v>
      </c>
      <c r="W72" s="115">
        <f t="shared" si="21"/>
        <v>0</v>
      </c>
      <c r="X72" s="115">
        <f t="shared" si="21"/>
        <v>0</v>
      </c>
      <c r="Y72" s="115">
        <f t="shared" si="21"/>
        <v>0</v>
      </c>
      <c r="Z72" s="115">
        <f t="shared" si="21"/>
        <v>0</v>
      </c>
      <c r="AA72" s="115">
        <f t="shared" si="21"/>
        <v>0</v>
      </c>
      <c r="AB72" s="115">
        <f t="shared" si="21"/>
        <v>0</v>
      </c>
      <c r="AC72" s="115">
        <f t="shared" si="21"/>
        <v>0</v>
      </c>
      <c r="AD72" s="115">
        <f t="shared" si="21"/>
        <v>0</v>
      </c>
      <c r="AE72" s="115">
        <f t="shared" si="21"/>
        <v>0</v>
      </c>
      <c r="AF72" s="115">
        <f t="shared" si="21"/>
        <v>0</v>
      </c>
      <c r="AG72" s="115">
        <f t="shared" si="21"/>
        <v>0</v>
      </c>
      <c r="AH72" s="115">
        <f t="shared" si="21"/>
        <v>0</v>
      </c>
      <c r="AI72" s="115">
        <f t="shared" si="21"/>
        <v>0</v>
      </c>
      <c r="AJ72" s="115">
        <f t="shared" si="21"/>
        <v>0</v>
      </c>
      <c r="AK72" s="115">
        <f t="shared" si="21"/>
        <v>0</v>
      </c>
      <c r="AL72" s="115">
        <f t="shared" si="21"/>
        <v>0</v>
      </c>
      <c r="AM72" s="115">
        <f t="shared" si="21"/>
        <v>0</v>
      </c>
      <c r="AN72" s="115">
        <f t="shared" si="21"/>
        <v>0</v>
      </c>
      <c r="AO72" s="115">
        <f t="shared" si="21"/>
        <v>0</v>
      </c>
      <c r="AP72" s="115">
        <f t="shared" si="21"/>
        <v>0</v>
      </c>
      <c r="AQ72" s="115">
        <f t="shared" si="21"/>
        <v>0</v>
      </c>
      <c r="AR72" s="115">
        <f t="shared" si="21"/>
        <v>0</v>
      </c>
      <c r="AS72" s="115">
        <f t="shared" si="21"/>
        <v>0</v>
      </c>
      <c r="AT72" s="115">
        <f t="shared" si="21"/>
        <v>0</v>
      </c>
      <c r="AU72" s="115">
        <f t="shared" si="21"/>
        <v>0</v>
      </c>
      <c r="AV72" s="115">
        <f t="shared" si="21"/>
        <v>0</v>
      </c>
      <c r="AW72" s="115">
        <f t="shared" si="21"/>
        <v>0</v>
      </c>
      <c r="AX72" s="115">
        <f t="shared" si="21"/>
        <v>0</v>
      </c>
      <c r="AY72" s="115">
        <f t="shared" si="21"/>
        <v>0</v>
      </c>
    </row>
    <row r="73" spans="1:52" x14ac:dyDescent="0.2">
      <c r="A73" s="115"/>
      <c r="B73" s="170" t="s">
        <v>349</v>
      </c>
      <c r="C73" s="115"/>
      <c r="D73" s="115">
        <f>D67-D70</f>
        <v>0</v>
      </c>
      <c r="E73" s="115">
        <f t="shared" ref="E73:AY73" si="22">E67-E70</f>
        <v>0</v>
      </c>
      <c r="F73" s="115">
        <f t="shared" si="22"/>
        <v>0</v>
      </c>
      <c r="G73" s="115">
        <f t="shared" si="22"/>
        <v>0</v>
      </c>
      <c r="H73" s="115">
        <f t="shared" si="22"/>
        <v>0</v>
      </c>
      <c r="I73" s="115">
        <f t="shared" si="22"/>
        <v>0</v>
      </c>
      <c r="J73" s="115">
        <f t="shared" si="22"/>
        <v>0</v>
      </c>
      <c r="K73" s="115">
        <f t="shared" si="22"/>
        <v>0</v>
      </c>
      <c r="L73" s="115">
        <f t="shared" si="22"/>
        <v>0</v>
      </c>
      <c r="M73" s="115">
        <f t="shared" si="22"/>
        <v>0</v>
      </c>
      <c r="N73" s="115">
        <f t="shared" si="22"/>
        <v>0</v>
      </c>
      <c r="O73" s="115">
        <f t="shared" si="22"/>
        <v>0</v>
      </c>
      <c r="P73" s="115">
        <f t="shared" si="22"/>
        <v>0</v>
      </c>
      <c r="Q73" s="115">
        <f t="shared" si="22"/>
        <v>0</v>
      </c>
      <c r="R73" s="115">
        <f t="shared" si="22"/>
        <v>0</v>
      </c>
      <c r="S73" s="115">
        <f t="shared" si="22"/>
        <v>0</v>
      </c>
      <c r="T73" s="115">
        <f t="shared" si="22"/>
        <v>0</v>
      </c>
      <c r="U73" s="115">
        <f t="shared" si="22"/>
        <v>0</v>
      </c>
      <c r="V73" s="115">
        <f t="shared" si="22"/>
        <v>0</v>
      </c>
      <c r="W73" s="115">
        <f t="shared" si="22"/>
        <v>0</v>
      </c>
      <c r="X73" s="115">
        <f t="shared" si="22"/>
        <v>0</v>
      </c>
      <c r="Y73" s="115">
        <f t="shared" si="22"/>
        <v>0</v>
      </c>
      <c r="Z73" s="115">
        <f t="shared" si="22"/>
        <v>0</v>
      </c>
      <c r="AA73" s="115">
        <f t="shared" si="22"/>
        <v>0</v>
      </c>
      <c r="AB73" s="115">
        <f t="shared" si="22"/>
        <v>0</v>
      </c>
      <c r="AC73" s="115">
        <f t="shared" si="22"/>
        <v>0</v>
      </c>
      <c r="AD73" s="115">
        <f t="shared" si="22"/>
        <v>0</v>
      </c>
      <c r="AE73" s="115">
        <f t="shared" si="22"/>
        <v>0</v>
      </c>
      <c r="AF73" s="115">
        <f t="shared" si="22"/>
        <v>0</v>
      </c>
      <c r="AG73" s="115">
        <f t="shared" si="22"/>
        <v>0</v>
      </c>
      <c r="AH73" s="115">
        <f t="shared" si="22"/>
        <v>0</v>
      </c>
      <c r="AI73" s="115">
        <f t="shared" si="22"/>
        <v>0</v>
      </c>
      <c r="AJ73" s="115">
        <f t="shared" si="22"/>
        <v>0</v>
      </c>
      <c r="AK73" s="115">
        <f t="shared" si="22"/>
        <v>0</v>
      </c>
      <c r="AL73" s="115">
        <f t="shared" si="22"/>
        <v>0</v>
      </c>
      <c r="AM73" s="115">
        <f t="shared" si="22"/>
        <v>0</v>
      </c>
      <c r="AN73" s="115">
        <f t="shared" si="22"/>
        <v>0</v>
      </c>
      <c r="AO73" s="115">
        <f t="shared" si="22"/>
        <v>0</v>
      </c>
      <c r="AP73" s="115">
        <f t="shared" si="22"/>
        <v>0</v>
      </c>
      <c r="AQ73" s="115">
        <f t="shared" si="22"/>
        <v>0</v>
      </c>
      <c r="AR73" s="115">
        <f t="shared" si="22"/>
        <v>0</v>
      </c>
      <c r="AS73" s="115">
        <f t="shared" si="22"/>
        <v>0</v>
      </c>
      <c r="AT73" s="115">
        <f t="shared" si="22"/>
        <v>0</v>
      </c>
      <c r="AU73" s="115">
        <f t="shared" si="22"/>
        <v>0</v>
      </c>
      <c r="AV73" s="115">
        <f t="shared" si="22"/>
        <v>0</v>
      </c>
      <c r="AW73" s="115">
        <f t="shared" si="22"/>
        <v>0</v>
      </c>
      <c r="AX73" s="115">
        <f t="shared" si="22"/>
        <v>0</v>
      </c>
      <c r="AY73" s="115">
        <f t="shared" si="22"/>
        <v>0</v>
      </c>
    </row>
    <row r="74" spans="1:52" x14ac:dyDescent="0.2">
      <c r="A74" s="115"/>
      <c r="B74" s="170" t="s">
        <v>350</v>
      </c>
      <c r="C74" s="115"/>
      <c r="D74" s="115">
        <v>1</v>
      </c>
      <c r="E74" s="115">
        <v>1</v>
      </c>
      <c r="F74" s="115">
        <v>2</v>
      </c>
      <c r="G74" s="115">
        <v>1</v>
      </c>
      <c r="H74" s="115">
        <v>1</v>
      </c>
      <c r="I74" s="115">
        <v>1</v>
      </c>
      <c r="J74" s="115">
        <v>1</v>
      </c>
      <c r="K74" s="115">
        <v>2</v>
      </c>
      <c r="L74" s="115">
        <v>1</v>
      </c>
      <c r="M74" s="115">
        <v>1</v>
      </c>
      <c r="N74" s="115">
        <v>3</v>
      </c>
      <c r="O74" s="115">
        <v>1</v>
      </c>
      <c r="P74" s="115">
        <v>1</v>
      </c>
      <c r="Q74" s="115">
        <v>1</v>
      </c>
      <c r="R74" s="115">
        <v>2</v>
      </c>
      <c r="S74" s="115">
        <v>2</v>
      </c>
      <c r="T74" s="115">
        <v>2</v>
      </c>
      <c r="U74" s="115">
        <v>2</v>
      </c>
      <c r="V74" s="115">
        <v>2</v>
      </c>
      <c r="W74" s="115">
        <v>1</v>
      </c>
      <c r="X74" s="115">
        <v>3</v>
      </c>
      <c r="Y74" s="115">
        <v>1</v>
      </c>
      <c r="Z74" s="115">
        <v>1</v>
      </c>
      <c r="AA74" s="115">
        <v>1</v>
      </c>
      <c r="AB74" s="115">
        <v>1</v>
      </c>
      <c r="AC74" s="115">
        <v>1</v>
      </c>
      <c r="AD74" s="115">
        <v>2</v>
      </c>
      <c r="AE74" s="115">
        <v>2</v>
      </c>
      <c r="AF74" s="115">
        <v>1</v>
      </c>
      <c r="AG74" s="115">
        <v>3</v>
      </c>
      <c r="AH74" s="115">
        <v>2</v>
      </c>
      <c r="AI74" s="115">
        <v>1</v>
      </c>
      <c r="AJ74" s="115">
        <v>1</v>
      </c>
      <c r="AK74" s="115">
        <v>2</v>
      </c>
      <c r="AL74" s="115">
        <v>1</v>
      </c>
      <c r="AM74" s="115">
        <v>1</v>
      </c>
      <c r="AN74" s="115">
        <v>1</v>
      </c>
      <c r="AO74" s="115">
        <v>2</v>
      </c>
      <c r="AP74" s="115">
        <v>1</v>
      </c>
      <c r="AQ74" s="115">
        <v>1</v>
      </c>
      <c r="AR74" s="115">
        <v>1</v>
      </c>
      <c r="AS74" s="115">
        <v>1</v>
      </c>
      <c r="AT74" s="115">
        <v>1</v>
      </c>
      <c r="AU74" s="115">
        <v>2</v>
      </c>
      <c r="AV74" s="115">
        <v>1</v>
      </c>
      <c r="AW74" s="115">
        <v>1</v>
      </c>
      <c r="AX74" s="115">
        <v>3</v>
      </c>
      <c r="AY74" s="115">
        <v>3</v>
      </c>
    </row>
    <row r="75" spans="1:52" x14ac:dyDescent="0.2">
      <c r="A75" s="115"/>
      <c r="B75" s="183" t="s">
        <v>351</v>
      </c>
      <c r="C75" s="115"/>
      <c r="D75" s="115">
        <v>0</v>
      </c>
      <c r="E75" s="115">
        <v>0</v>
      </c>
      <c r="F75" s="115">
        <v>0</v>
      </c>
      <c r="G75" s="115">
        <v>0</v>
      </c>
      <c r="H75" s="115">
        <v>0</v>
      </c>
      <c r="I75" s="115">
        <v>0</v>
      </c>
      <c r="J75" s="115">
        <v>0</v>
      </c>
      <c r="K75" s="115">
        <v>0</v>
      </c>
      <c r="L75" s="115">
        <v>0</v>
      </c>
      <c r="M75" s="115">
        <v>0</v>
      </c>
      <c r="N75" s="115">
        <v>0</v>
      </c>
      <c r="O75" s="115">
        <v>0</v>
      </c>
      <c r="P75" s="115">
        <v>0</v>
      </c>
      <c r="Q75" s="115">
        <v>0</v>
      </c>
      <c r="R75" s="115">
        <v>0</v>
      </c>
      <c r="S75" s="115">
        <v>0</v>
      </c>
      <c r="T75" s="115">
        <v>0</v>
      </c>
      <c r="U75" s="115">
        <v>0</v>
      </c>
      <c r="V75" s="115">
        <v>0</v>
      </c>
      <c r="W75" s="115">
        <v>0</v>
      </c>
      <c r="X75" s="115">
        <v>0</v>
      </c>
      <c r="Y75" s="115">
        <v>0</v>
      </c>
      <c r="Z75" s="115">
        <v>0</v>
      </c>
      <c r="AA75" s="115">
        <v>0</v>
      </c>
      <c r="AB75" s="115">
        <v>0</v>
      </c>
      <c r="AC75" s="115">
        <v>0</v>
      </c>
      <c r="AD75" s="115">
        <v>0</v>
      </c>
      <c r="AE75" s="115">
        <v>0</v>
      </c>
      <c r="AF75" s="115">
        <v>0</v>
      </c>
      <c r="AG75" s="115">
        <v>0</v>
      </c>
      <c r="AH75" s="115">
        <v>0</v>
      </c>
      <c r="AI75" s="115">
        <v>0</v>
      </c>
      <c r="AJ75" s="115">
        <v>0</v>
      </c>
      <c r="AK75" s="115">
        <v>0</v>
      </c>
      <c r="AL75" s="115">
        <v>0</v>
      </c>
      <c r="AM75" s="115">
        <v>0</v>
      </c>
      <c r="AN75" s="115">
        <v>0</v>
      </c>
      <c r="AO75" s="115">
        <v>0</v>
      </c>
      <c r="AP75" s="115">
        <v>0</v>
      </c>
      <c r="AQ75" s="115">
        <v>0</v>
      </c>
      <c r="AR75" s="115">
        <v>0</v>
      </c>
      <c r="AS75" s="115">
        <v>0</v>
      </c>
      <c r="AT75" s="115">
        <v>0</v>
      </c>
      <c r="AU75" s="115">
        <v>0</v>
      </c>
      <c r="AV75" s="115">
        <v>0</v>
      </c>
      <c r="AW75" s="115">
        <v>0</v>
      </c>
      <c r="AX75" s="115">
        <v>0</v>
      </c>
      <c r="AY75" s="115">
        <v>0</v>
      </c>
      <c r="AZ75" s="105">
        <f>SUM($D$75:$AY$75)</f>
        <v>0</v>
      </c>
    </row>
    <row r="76" spans="1:52" x14ac:dyDescent="0.2">
      <c r="A76" s="130"/>
      <c r="B76" s="145" t="s">
        <v>352</v>
      </c>
      <c r="C76" s="130"/>
      <c r="D76" s="130">
        <v>0</v>
      </c>
      <c r="E76" s="130">
        <v>0</v>
      </c>
      <c r="F76" s="130">
        <v>0</v>
      </c>
      <c r="G76" s="130">
        <v>0</v>
      </c>
      <c r="H76" s="130">
        <v>0</v>
      </c>
      <c r="I76" s="130">
        <v>0</v>
      </c>
      <c r="J76" s="130">
        <v>0</v>
      </c>
      <c r="K76" s="130">
        <v>0</v>
      </c>
      <c r="L76" s="130">
        <v>0</v>
      </c>
      <c r="M76" s="130">
        <v>0</v>
      </c>
      <c r="N76" s="130">
        <v>0</v>
      </c>
      <c r="O76" s="130">
        <v>0</v>
      </c>
      <c r="P76" s="130">
        <v>0</v>
      </c>
      <c r="Q76" s="130">
        <v>0</v>
      </c>
      <c r="R76" s="130">
        <v>0</v>
      </c>
      <c r="S76" s="130">
        <v>0</v>
      </c>
      <c r="T76" s="130">
        <v>0</v>
      </c>
      <c r="U76" s="130">
        <v>0</v>
      </c>
      <c r="V76" s="130">
        <v>0</v>
      </c>
      <c r="W76" s="130">
        <v>0</v>
      </c>
      <c r="X76" s="130">
        <v>0</v>
      </c>
      <c r="Y76" s="130">
        <v>0</v>
      </c>
      <c r="Z76" s="130">
        <v>0</v>
      </c>
      <c r="AA76" s="130">
        <v>0</v>
      </c>
      <c r="AB76" s="130">
        <v>0</v>
      </c>
      <c r="AC76" s="130">
        <v>0</v>
      </c>
      <c r="AD76" s="130">
        <v>0</v>
      </c>
      <c r="AE76" s="130">
        <v>0</v>
      </c>
      <c r="AF76" s="130">
        <v>0</v>
      </c>
      <c r="AG76" s="130">
        <v>0</v>
      </c>
      <c r="AH76" s="130">
        <v>0</v>
      </c>
      <c r="AI76" s="130">
        <v>0</v>
      </c>
      <c r="AJ76" s="130">
        <v>0</v>
      </c>
      <c r="AK76" s="130">
        <v>0</v>
      </c>
      <c r="AL76" s="130">
        <v>0</v>
      </c>
      <c r="AM76" s="130">
        <v>0</v>
      </c>
      <c r="AN76" s="130">
        <v>0</v>
      </c>
      <c r="AO76" s="130">
        <v>0</v>
      </c>
      <c r="AP76" s="130">
        <v>0</v>
      </c>
      <c r="AQ76" s="130">
        <v>0</v>
      </c>
      <c r="AR76" s="130">
        <v>0</v>
      </c>
      <c r="AS76" s="130">
        <v>0</v>
      </c>
      <c r="AT76" s="130">
        <v>0</v>
      </c>
      <c r="AU76" s="130">
        <v>0</v>
      </c>
      <c r="AV76" s="130">
        <v>0</v>
      </c>
      <c r="AW76" s="130">
        <v>0</v>
      </c>
      <c r="AX76" s="130">
        <v>0</v>
      </c>
      <c r="AY76" s="130">
        <v>0</v>
      </c>
      <c r="AZ76" s="105">
        <f>SUM($D$76:$AY$76)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76"/>
  <sheetViews>
    <sheetView workbookViewId="0">
      <pane xSplit="2" ySplit="6" topLeftCell="C18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5" customWidth="1"/>
    <col min="2" max="2" width="17.7109375" style="105" customWidth="1"/>
    <col min="3" max="51" width="9.140625" style="105"/>
    <col min="52" max="52" width="10.7109375" style="105" customWidth="1"/>
    <col min="53" max="16384" width="9.140625" style="105"/>
  </cols>
  <sheetData>
    <row r="1" spans="1:52" x14ac:dyDescent="0.2">
      <c r="A1" s="107" t="s">
        <v>118</v>
      </c>
    </row>
    <row r="2" spans="1:52" x14ac:dyDescent="0.2">
      <c r="A2" s="105" t="s">
        <v>303</v>
      </c>
      <c r="B2" s="112" t="s">
        <v>14</v>
      </c>
      <c r="E2" s="115"/>
    </row>
    <row r="3" spans="1:52" x14ac:dyDescent="0.2">
      <c r="A3" s="105" t="s">
        <v>286</v>
      </c>
      <c r="B3" s="112">
        <v>250</v>
      </c>
      <c r="E3" s="115"/>
    </row>
    <row r="4" spans="1:52" x14ac:dyDescent="0.2">
      <c r="A4" s="107"/>
      <c r="C4" s="116" t="s">
        <v>287</v>
      </c>
    </row>
    <row r="5" spans="1:52" x14ac:dyDescent="0.2">
      <c r="B5" s="111"/>
      <c r="C5" s="117">
        <v>0</v>
      </c>
      <c r="D5" s="117">
        <v>1</v>
      </c>
      <c r="E5" s="117">
        <v>2</v>
      </c>
      <c r="F5" s="117">
        <v>3</v>
      </c>
      <c r="G5" s="117">
        <v>4</v>
      </c>
      <c r="H5" s="117">
        <v>5</v>
      </c>
      <c r="I5" s="117">
        <v>6</v>
      </c>
      <c r="J5" s="117">
        <v>7</v>
      </c>
      <c r="K5" s="117">
        <v>8</v>
      </c>
      <c r="L5" s="117">
        <v>9</v>
      </c>
      <c r="M5" s="117">
        <v>10</v>
      </c>
      <c r="N5" s="117">
        <v>11</v>
      </c>
      <c r="O5" s="117">
        <v>12</v>
      </c>
      <c r="P5" s="117">
        <v>13</v>
      </c>
      <c r="Q5" s="117">
        <v>14</v>
      </c>
      <c r="R5" s="117">
        <v>15</v>
      </c>
      <c r="S5" s="117">
        <v>16</v>
      </c>
      <c r="T5" s="117">
        <v>17</v>
      </c>
      <c r="U5" s="117">
        <v>18</v>
      </c>
      <c r="V5" s="117">
        <v>19</v>
      </c>
      <c r="W5" s="117">
        <v>20</v>
      </c>
      <c r="X5" s="117">
        <v>21</v>
      </c>
      <c r="Y5" s="117">
        <v>22</v>
      </c>
      <c r="Z5" s="117">
        <v>23</v>
      </c>
      <c r="AA5" s="117">
        <v>24</v>
      </c>
      <c r="AB5" s="117">
        <v>25</v>
      </c>
      <c r="AC5" s="117">
        <v>26</v>
      </c>
      <c r="AD5" s="117">
        <v>27</v>
      </c>
      <c r="AE5" s="117">
        <v>28</v>
      </c>
      <c r="AF5" s="117">
        <v>29</v>
      </c>
      <c r="AG5" s="117">
        <v>30</v>
      </c>
      <c r="AH5" s="117">
        <v>31</v>
      </c>
      <c r="AI5" s="117">
        <v>32</v>
      </c>
      <c r="AJ5" s="117">
        <v>33</v>
      </c>
      <c r="AK5" s="117">
        <v>34</v>
      </c>
      <c r="AL5" s="117">
        <v>35</v>
      </c>
      <c r="AM5" s="117">
        <v>36</v>
      </c>
      <c r="AN5" s="117">
        <v>37</v>
      </c>
      <c r="AO5" s="117">
        <v>38</v>
      </c>
      <c r="AP5" s="117">
        <v>39</v>
      </c>
      <c r="AQ5" s="117">
        <v>40</v>
      </c>
      <c r="AR5" s="117">
        <v>41</v>
      </c>
      <c r="AS5" s="117">
        <v>42</v>
      </c>
      <c r="AT5" s="117">
        <v>43</v>
      </c>
      <c r="AU5" s="117">
        <v>44</v>
      </c>
      <c r="AV5" s="117">
        <v>45</v>
      </c>
      <c r="AW5" s="117">
        <v>46</v>
      </c>
      <c r="AX5" s="117">
        <v>47</v>
      </c>
      <c r="AY5" s="117">
        <v>48</v>
      </c>
    </row>
    <row r="6" spans="1:52" x14ac:dyDescent="0.2">
      <c r="A6" s="107" t="s">
        <v>304</v>
      </c>
      <c r="B6" s="119"/>
      <c r="C6" s="118" t="s">
        <v>288</v>
      </c>
      <c r="D6" s="117" t="s">
        <v>289</v>
      </c>
      <c r="E6" s="117" t="s">
        <v>289</v>
      </c>
      <c r="F6" s="117" t="s">
        <v>289</v>
      </c>
      <c r="G6" s="117" t="s">
        <v>289</v>
      </c>
      <c r="H6" s="117" t="s">
        <v>289</v>
      </c>
      <c r="I6" s="117" t="s">
        <v>289</v>
      </c>
      <c r="J6" s="117" t="s">
        <v>289</v>
      </c>
      <c r="K6" s="117" t="s">
        <v>289</v>
      </c>
      <c r="L6" s="117" t="s">
        <v>289</v>
      </c>
      <c r="M6" s="117" t="s">
        <v>289</v>
      </c>
      <c r="N6" s="117" t="s">
        <v>289</v>
      </c>
      <c r="O6" s="117" t="s">
        <v>289</v>
      </c>
      <c r="P6" s="117" t="s">
        <v>289</v>
      </c>
      <c r="Q6" s="117" t="s">
        <v>289</v>
      </c>
      <c r="R6" s="117" t="s">
        <v>289</v>
      </c>
      <c r="S6" s="117" t="s">
        <v>289</v>
      </c>
      <c r="T6" s="117" t="s">
        <v>289</v>
      </c>
      <c r="U6" s="117" t="s">
        <v>289</v>
      </c>
      <c r="V6" s="117" t="s">
        <v>289</v>
      </c>
      <c r="W6" s="117" t="s">
        <v>289</v>
      </c>
      <c r="X6" s="117" t="s">
        <v>289</v>
      </c>
      <c r="Y6" s="117" t="s">
        <v>289</v>
      </c>
      <c r="Z6" s="117" t="s">
        <v>289</v>
      </c>
      <c r="AA6" s="117" t="s">
        <v>289</v>
      </c>
      <c r="AB6" s="117" t="s">
        <v>289</v>
      </c>
      <c r="AC6" s="117" t="s">
        <v>289</v>
      </c>
      <c r="AD6" s="117" t="s">
        <v>289</v>
      </c>
      <c r="AE6" s="117" t="s">
        <v>289</v>
      </c>
      <c r="AF6" s="117" t="s">
        <v>289</v>
      </c>
      <c r="AG6" s="117" t="s">
        <v>289</v>
      </c>
      <c r="AH6" s="117" t="s">
        <v>289</v>
      </c>
      <c r="AI6" s="117" t="s">
        <v>289</v>
      </c>
      <c r="AJ6" s="117" t="s">
        <v>289</v>
      </c>
      <c r="AK6" s="117" t="s">
        <v>289</v>
      </c>
      <c r="AL6" s="117" t="s">
        <v>289</v>
      </c>
      <c r="AM6" s="117" t="s">
        <v>289</v>
      </c>
      <c r="AN6" s="117" t="s">
        <v>289</v>
      </c>
      <c r="AO6" s="117" t="s">
        <v>289</v>
      </c>
      <c r="AP6" s="117" t="s">
        <v>289</v>
      </c>
      <c r="AQ6" s="117" t="s">
        <v>289</v>
      </c>
      <c r="AR6" s="117" t="s">
        <v>289</v>
      </c>
      <c r="AS6" s="117" t="s">
        <v>289</v>
      </c>
      <c r="AT6" s="117" t="s">
        <v>289</v>
      </c>
      <c r="AU6" s="117" t="s">
        <v>289</v>
      </c>
      <c r="AV6" s="117" t="s">
        <v>289</v>
      </c>
      <c r="AW6" s="117" t="s">
        <v>289</v>
      </c>
      <c r="AX6" s="117" t="s">
        <v>289</v>
      </c>
      <c r="AY6" s="116" t="s">
        <v>290</v>
      </c>
      <c r="AZ6" s="147" t="s">
        <v>150</v>
      </c>
    </row>
    <row r="7" spans="1:52" x14ac:dyDescent="0.2">
      <c r="A7" s="120" t="s">
        <v>125</v>
      </c>
      <c r="B7" s="148">
        <v>1</v>
      </c>
      <c r="C7" s="149" t="s">
        <v>293</v>
      </c>
      <c r="D7" s="149">
        <v>0</v>
      </c>
      <c r="E7" s="149">
        <v>0</v>
      </c>
      <c r="F7" s="149">
        <v>0</v>
      </c>
      <c r="G7" s="149">
        <v>0</v>
      </c>
      <c r="H7" s="149">
        <v>103.41232553695124</v>
      </c>
      <c r="I7" s="149">
        <v>103.41232553695124</v>
      </c>
      <c r="J7" s="149">
        <v>103.41232553695124</v>
      </c>
      <c r="K7" s="149">
        <v>103.41232553695124</v>
      </c>
      <c r="L7" s="149">
        <v>103.41232553695124</v>
      </c>
      <c r="M7" s="149">
        <v>103.41232553695124</v>
      </c>
      <c r="N7" s="149">
        <v>103.41232553695124</v>
      </c>
      <c r="O7" s="149">
        <v>103.41232553695124</v>
      </c>
      <c r="P7" s="149">
        <v>103.41232553695124</v>
      </c>
      <c r="Q7" s="149">
        <v>103.41232553695124</v>
      </c>
      <c r="R7" s="149">
        <v>103.41232553695124</v>
      </c>
      <c r="S7" s="149">
        <v>103.41232553695124</v>
      </c>
      <c r="T7" s="149">
        <v>103.41232553695124</v>
      </c>
      <c r="U7" s="149">
        <v>103.41232553695124</v>
      </c>
      <c r="V7" s="149">
        <v>103.41232553695124</v>
      </c>
      <c r="W7" s="149">
        <v>103.41232553695124</v>
      </c>
      <c r="X7" s="149">
        <v>103.41232553695124</v>
      </c>
      <c r="Y7" s="149">
        <v>103.41232553695124</v>
      </c>
      <c r="Z7" s="149">
        <v>103.41232553695124</v>
      </c>
      <c r="AA7" s="149">
        <v>103.41232553695124</v>
      </c>
      <c r="AB7" s="149">
        <v>103.41232553695124</v>
      </c>
      <c r="AC7" s="149">
        <v>103.41232553695124</v>
      </c>
      <c r="AD7" s="149">
        <v>103.41232553695124</v>
      </c>
      <c r="AE7" s="149">
        <v>103.41232553695124</v>
      </c>
      <c r="AF7" s="149">
        <v>103.41232553695124</v>
      </c>
      <c r="AG7" s="149">
        <v>103.41232553695124</v>
      </c>
      <c r="AH7" s="149">
        <v>103.41232553695124</v>
      </c>
      <c r="AI7" s="149">
        <v>103.41232553695124</v>
      </c>
      <c r="AJ7" s="149">
        <v>103.41232553695124</v>
      </c>
      <c r="AK7" s="149">
        <v>103.41232553695124</v>
      </c>
      <c r="AL7" s="149">
        <v>103.41232553695124</v>
      </c>
      <c r="AM7" s="149">
        <v>103.41232553695124</v>
      </c>
      <c r="AN7" s="149">
        <v>103.41232553695124</v>
      </c>
      <c r="AO7" s="149">
        <v>103.41232553695124</v>
      </c>
      <c r="AP7" s="149">
        <v>103.41232553695124</v>
      </c>
      <c r="AQ7" s="149">
        <v>103.41232553695124</v>
      </c>
      <c r="AR7" s="149">
        <v>103.41232553695124</v>
      </c>
      <c r="AS7" s="149">
        <v>103.41232553695124</v>
      </c>
      <c r="AT7" s="149">
        <v>103.41232553695124</v>
      </c>
      <c r="AU7" s="149">
        <v>103.41232553695124</v>
      </c>
      <c r="AV7" s="149">
        <v>103.41232553695124</v>
      </c>
      <c r="AW7" s="149">
        <v>103.41232553695124</v>
      </c>
      <c r="AX7" s="149">
        <v>103.41232553695124</v>
      </c>
      <c r="AY7" s="149">
        <v>103.41232553695124</v>
      </c>
      <c r="AZ7" s="111"/>
    </row>
    <row r="8" spans="1:52" x14ac:dyDescent="0.2">
      <c r="A8" s="150"/>
      <c r="B8" s="151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150"/>
      <c r="AY8" s="150"/>
      <c r="AZ8" s="152"/>
    </row>
    <row r="9" spans="1:52" x14ac:dyDescent="0.2">
      <c r="A9" s="107" t="s">
        <v>294</v>
      </c>
      <c r="B9" s="153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11"/>
      <c r="AD9" s="111"/>
      <c r="AE9" s="111"/>
      <c r="AF9" s="111"/>
      <c r="AG9" s="111"/>
      <c r="AH9" s="111"/>
      <c r="AI9" s="111"/>
      <c r="AJ9" s="111"/>
      <c r="AK9" s="111"/>
      <c r="AL9" s="111"/>
      <c r="AM9" s="111"/>
      <c r="AN9" s="111"/>
      <c r="AO9" s="111"/>
      <c r="AP9" s="111"/>
      <c r="AQ9" s="111"/>
      <c r="AR9" s="111"/>
      <c r="AS9" s="111"/>
      <c r="AT9" s="111"/>
      <c r="AU9" s="111"/>
      <c r="AV9" s="111"/>
      <c r="AW9" s="111"/>
      <c r="AX9" s="111"/>
      <c r="AY9" s="111"/>
      <c r="AZ9" s="111"/>
    </row>
    <row r="10" spans="1:52" x14ac:dyDescent="0.2">
      <c r="A10" s="154" t="s">
        <v>125</v>
      </c>
      <c r="B10" s="155">
        <v>1</v>
      </c>
      <c r="C10" s="149" t="s">
        <v>293</v>
      </c>
      <c r="D10" s="149">
        <f t="shared" ref="D10:AY10" si="0">MAX(SUM(D$14:D$16)+D$7-$B$3,0)</f>
        <v>0</v>
      </c>
      <c r="E10" s="149">
        <f t="shared" si="0"/>
        <v>0</v>
      </c>
      <c r="F10" s="149">
        <f t="shared" si="0"/>
        <v>0</v>
      </c>
      <c r="G10" s="149">
        <f t="shared" si="0"/>
        <v>0</v>
      </c>
      <c r="H10" s="149">
        <f t="shared" si="0"/>
        <v>0</v>
      </c>
      <c r="I10" s="149">
        <f t="shared" si="0"/>
        <v>0</v>
      </c>
      <c r="J10" s="149">
        <f t="shared" si="0"/>
        <v>0</v>
      </c>
      <c r="K10" s="149">
        <f t="shared" si="0"/>
        <v>0</v>
      </c>
      <c r="L10" s="149">
        <f t="shared" si="0"/>
        <v>0</v>
      </c>
      <c r="M10" s="149">
        <f t="shared" si="0"/>
        <v>0</v>
      </c>
      <c r="N10" s="149">
        <f t="shared" si="0"/>
        <v>0</v>
      </c>
      <c r="O10" s="149">
        <f t="shared" si="0"/>
        <v>0</v>
      </c>
      <c r="P10" s="149">
        <f t="shared" si="0"/>
        <v>0</v>
      </c>
      <c r="Q10" s="149">
        <f t="shared" si="0"/>
        <v>0</v>
      </c>
      <c r="R10" s="149">
        <f t="shared" si="0"/>
        <v>0</v>
      </c>
      <c r="S10" s="149">
        <f t="shared" si="0"/>
        <v>0</v>
      </c>
      <c r="T10" s="149">
        <f t="shared" si="0"/>
        <v>0</v>
      </c>
      <c r="U10" s="149">
        <f t="shared" si="0"/>
        <v>0</v>
      </c>
      <c r="V10" s="149">
        <f t="shared" si="0"/>
        <v>0</v>
      </c>
      <c r="W10" s="149">
        <f t="shared" si="0"/>
        <v>0</v>
      </c>
      <c r="X10" s="149">
        <f t="shared" si="0"/>
        <v>0</v>
      </c>
      <c r="Y10" s="149">
        <f t="shared" si="0"/>
        <v>0</v>
      </c>
      <c r="Z10" s="149">
        <f t="shared" si="0"/>
        <v>0</v>
      </c>
      <c r="AA10" s="149">
        <f t="shared" si="0"/>
        <v>0</v>
      </c>
      <c r="AB10" s="149">
        <f t="shared" si="0"/>
        <v>0</v>
      </c>
      <c r="AC10" s="149">
        <f t="shared" si="0"/>
        <v>0</v>
      </c>
      <c r="AD10" s="149">
        <f t="shared" si="0"/>
        <v>0</v>
      </c>
      <c r="AE10" s="149">
        <f t="shared" si="0"/>
        <v>0</v>
      </c>
      <c r="AF10" s="149">
        <f t="shared" si="0"/>
        <v>0</v>
      </c>
      <c r="AG10" s="149">
        <f t="shared" si="0"/>
        <v>0</v>
      </c>
      <c r="AH10" s="149">
        <f t="shared" si="0"/>
        <v>0</v>
      </c>
      <c r="AI10" s="149">
        <f t="shared" si="0"/>
        <v>0</v>
      </c>
      <c r="AJ10" s="149">
        <f t="shared" si="0"/>
        <v>0</v>
      </c>
      <c r="AK10" s="149">
        <f t="shared" si="0"/>
        <v>0</v>
      </c>
      <c r="AL10" s="149">
        <f t="shared" si="0"/>
        <v>0</v>
      </c>
      <c r="AM10" s="149">
        <f t="shared" si="0"/>
        <v>0</v>
      </c>
      <c r="AN10" s="149">
        <f t="shared" si="0"/>
        <v>0</v>
      </c>
      <c r="AO10" s="149">
        <f t="shared" si="0"/>
        <v>0</v>
      </c>
      <c r="AP10" s="149">
        <f t="shared" si="0"/>
        <v>0</v>
      </c>
      <c r="AQ10" s="149">
        <f t="shared" si="0"/>
        <v>0</v>
      </c>
      <c r="AR10" s="149">
        <f t="shared" si="0"/>
        <v>0</v>
      </c>
      <c r="AS10" s="149">
        <f t="shared" si="0"/>
        <v>0</v>
      </c>
      <c r="AT10" s="149">
        <f t="shared" si="0"/>
        <v>0</v>
      </c>
      <c r="AU10" s="149">
        <f t="shared" si="0"/>
        <v>0</v>
      </c>
      <c r="AV10" s="149">
        <f t="shared" si="0"/>
        <v>0</v>
      </c>
      <c r="AW10" s="149">
        <f t="shared" si="0"/>
        <v>0</v>
      </c>
      <c r="AX10" s="149">
        <f t="shared" si="0"/>
        <v>0</v>
      </c>
      <c r="AY10" s="149">
        <f t="shared" si="0"/>
        <v>0</v>
      </c>
      <c r="AZ10" s="156">
        <f>SUM($D10:$AY10)</f>
        <v>0</v>
      </c>
    </row>
    <row r="11" spans="1:52" x14ac:dyDescent="0.2">
      <c r="C11" s="115"/>
    </row>
    <row r="12" spans="1:52" x14ac:dyDescent="0.2">
      <c r="A12" s="157" t="s">
        <v>295</v>
      </c>
      <c r="B12" s="151"/>
      <c r="C12" s="115"/>
    </row>
    <row r="13" spans="1:52" x14ac:dyDescent="0.2">
      <c r="A13" s="127" t="s">
        <v>125</v>
      </c>
      <c r="B13" s="128">
        <v>1</v>
      </c>
      <c r="C13" s="129">
        <v>198.79818089944422</v>
      </c>
      <c r="D13" s="143">
        <f t="shared" ref="D13:AY13" si="1">D$7-D$10</f>
        <v>0</v>
      </c>
      <c r="E13" s="143">
        <f t="shared" si="1"/>
        <v>0</v>
      </c>
      <c r="F13" s="143">
        <f t="shared" si="1"/>
        <v>0</v>
      </c>
      <c r="G13" s="143">
        <f t="shared" si="1"/>
        <v>0</v>
      </c>
      <c r="H13" s="143">
        <f t="shared" si="1"/>
        <v>103.41232553695124</v>
      </c>
      <c r="I13" s="143">
        <f t="shared" si="1"/>
        <v>103.41232553695124</v>
      </c>
      <c r="J13" s="143">
        <f t="shared" si="1"/>
        <v>103.41232553695124</v>
      </c>
      <c r="K13" s="143">
        <f t="shared" si="1"/>
        <v>103.41232553695124</v>
      </c>
      <c r="L13" s="143">
        <f t="shared" si="1"/>
        <v>103.41232553695124</v>
      </c>
      <c r="M13" s="143">
        <f t="shared" si="1"/>
        <v>103.41232553695124</v>
      </c>
      <c r="N13" s="143">
        <f t="shared" si="1"/>
        <v>103.41232553695124</v>
      </c>
      <c r="O13" s="143">
        <f t="shared" si="1"/>
        <v>103.41232553695124</v>
      </c>
      <c r="P13" s="143">
        <f t="shared" si="1"/>
        <v>103.41232553695124</v>
      </c>
      <c r="Q13" s="143">
        <f t="shared" si="1"/>
        <v>103.41232553695124</v>
      </c>
      <c r="R13" s="143">
        <f t="shared" si="1"/>
        <v>103.41232553695124</v>
      </c>
      <c r="S13" s="143">
        <f t="shared" si="1"/>
        <v>103.41232553695124</v>
      </c>
      <c r="T13" s="143">
        <f t="shared" si="1"/>
        <v>103.41232553695124</v>
      </c>
      <c r="U13" s="143">
        <f t="shared" si="1"/>
        <v>103.41232553695124</v>
      </c>
      <c r="V13" s="143">
        <f t="shared" si="1"/>
        <v>103.41232553695124</v>
      </c>
      <c r="W13" s="143">
        <f t="shared" si="1"/>
        <v>103.41232553695124</v>
      </c>
      <c r="X13" s="143">
        <f t="shared" si="1"/>
        <v>103.41232553695124</v>
      </c>
      <c r="Y13" s="143">
        <f t="shared" si="1"/>
        <v>103.41232553695124</v>
      </c>
      <c r="Z13" s="143">
        <f t="shared" si="1"/>
        <v>103.41232553695124</v>
      </c>
      <c r="AA13" s="143">
        <f t="shared" si="1"/>
        <v>103.41232553695124</v>
      </c>
      <c r="AB13" s="143">
        <f t="shared" si="1"/>
        <v>103.41232553695124</v>
      </c>
      <c r="AC13" s="143">
        <f t="shared" si="1"/>
        <v>103.41232553695124</v>
      </c>
      <c r="AD13" s="143">
        <f t="shared" si="1"/>
        <v>103.41232553695124</v>
      </c>
      <c r="AE13" s="143">
        <f t="shared" si="1"/>
        <v>103.41232553695124</v>
      </c>
      <c r="AF13" s="143">
        <f t="shared" si="1"/>
        <v>103.41232553695124</v>
      </c>
      <c r="AG13" s="143">
        <f t="shared" si="1"/>
        <v>103.41232553695124</v>
      </c>
      <c r="AH13" s="143">
        <f t="shared" si="1"/>
        <v>103.41232553695124</v>
      </c>
      <c r="AI13" s="143">
        <f t="shared" si="1"/>
        <v>103.41232553695124</v>
      </c>
      <c r="AJ13" s="143">
        <f t="shared" si="1"/>
        <v>103.41232553695124</v>
      </c>
      <c r="AK13" s="143">
        <f t="shared" si="1"/>
        <v>103.41232553695124</v>
      </c>
      <c r="AL13" s="143">
        <f t="shared" si="1"/>
        <v>103.41232553695124</v>
      </c>
      <c r="AM13" s="143">
        <f t="shared" si="1"/>
        <v>103.41232553695124</v>
      </c>
      <c r="AN13" s="143">
        <f t="shared" si="1"/>
        <v>103.41232553695124</v>
      </c>
      <c r="AO13" s="143">
        <f t="shared" si="1"/>
        <v>103.41232553695124</v>
      </c>
      <c r="AP13" s="143">
        <f t="shared" si="1"/>
        <v>103.41232553695124</v>
      </c>
      <c r="AQ13" s="143">
        <f t="shared" si="1"/>
        <v>103.41232553695124</v>
      </c>
      <c r="AR13" s="143">
        <f t="shared" si="1"/>
        <v>103.41232553695124</v>
      </c>
      <c r="AS13" s="143">
        <f t="shared" si="1"/>
        <v>103.41232553695124</v>
      </c>
      <c r="AT13" s="143">
        <f t="shared" si="1"/>
        <v>103.41232553695124</v>
      </c>
      <c r="AU13" s="143">
        <f t="shared" si="1"/>
        <v>103.41232553695124</v>
      </c>
      <c r="AV13" s="143">
        <f t="shared" si="1"/>
        <v>103.41232553695124</v>
      </c>
      <c r="AW13" s="143">
        <f t="shared" si="1"/>
        <v>103.41232553695124</v>
      </c>
      <c r="AX13" s="143">
        <f t="shared" si="1"/>
        <v>103.41232553695124</v>
      </c>
      <c r="AY13" s="143">
        <f t="shared" si="1"/>
        <v>103.41232553695124</v>
      </c>
      <c r="AZ13" s="114"/>
    </row>
    <row r="14" spans="1:52" x14ac:dyDescent="0.2">
      <c r="A14" s="115"/>
      <c r="B14" s="125">
        <v>2</v>
      </c>
      <c r="C14" s="115">
        <v>0</v>
      </c>
      <c r="D14" s="111">
        <f>IF(C$20="Yes",C13,0)</f>
        <v>0</v>
      </c>
      <c r="E14" s="111">
        <f t="shared" ref="E14:AY17" si="2">IF(D$20="Yes",D13,0)</f>
        <v>0</v>
      </c>
      <c r="F14" s="111">
        <f t="shared" si="2"/>
        <v>0</v>
      </c>
      <c r="G14" s="111">
        <f t="shared" si="2"/>
        <v>0</v>
      </c>
      <c r="H14" s="111">
        <f t="shared" si="2"/>
        <v>0</v>
      </c>
      <c r="I14" s="111">
        <f t="shared" si="2"/>
        <v>0</v>
      </c>
      <c r="J14" s="111">
        <f t="shared" si="2"/>
        <v>0</v>
      </c>
      <c r="K14" s="111">
        <f t="shared" si="2"/>
        <v>0</v>
      </c>
      <c r="L14" s="111">
        <f t="shared" si="2"/>
        <v>0</v>
      </c>
      <c r="M14" s="111">
        <f t="shared" si="2"/>
        <v>0</v>
      </c>
      <c r="N14" s="111">
        <f t="shared" si="2"/>
        <v>0</v>
      </c>
      <c r="O14" s="111">
        <f t="shared" si="2"/>
        <v>0</v>
      </c>
      <c r="P14" s="111">
        <f t="shared" si="2"/>
        <v>0</v>
      </c>
      <c r="Q14" s="111">
        <f t="shared" si="2"/>
        <v>0</v>
      </c>
      <c r="R14" s="111">
        <f t="shared" si="2"/>
        <v>0</v>
      </c>
      <c r="S14" s="111">
        <f t="shared" si="2"/>
        <v>0</v>
      </c>
      <c r="T14" s="111">
        <f t="shared" si="2"/>
        <v>103.41232553695124</v>
      </c>
      <c r="U14" s="111">
        <f t="shared" si="2"/>
        <v>0</v>
      </c>
      <c r="V14" s="111">
        <f t="shared" si="2"/>
        <v>0</v>
      </c>
      <c r="W14" s="111">
        <f t="shared" si="2"/>
        <v>0</v>
      </c>
      <c r="X14" s="111">
        <f t="shared" si="2"/>
        <v>0</v>
      </c>
      <c r="Y14" s="111">
        <f t="shared" si="2"/>
        <v>0</v>
      </c>
      <c r="Z14" s="111">
        <f t="shared" si="2"/>
        <v>0</v>
      </c>
      <c r="AA14" s="111">
        <f t="shared" si="2"/>
        <v>0</v>
      </c>
      <c r="AB14" s="111">
        <f t="shared" si="2"/>
        <v>0</v>
      </c>
      <c r="AC14" s="111">
        <f t="shared" si="2"/>
        <v>0</v>
      </c>
      <c r="AD14" s="111">
        <f t="shared" si="2"/>
        <v>0</v>
      </c>
      <c r="AE14" s="111">
        <f t="shared" si="2"/>
        <v>0</v>
      </c>
      <c r="AF14" s="111">
        <f t="shared" si="2"/>
        <v>0</v>
      </c>
      <c r="AG14" s="111">
        <f t="shared" si="2"/>
        <v>0</v>
      </c>
      <c r="AH14" s="111">
        <f t="shared" si="2"/>
        <v>0</v>
      </c>
      <c r="AI14" s="111">
        <f t="shared" si="2"/>
        <v>0</v>
      </c>
      <c r="AJ14" s="111">
        <f t="shared" si="2"/>
        <v>0</v>
      </c>
      <c r="AK14" s="111">
        <f t="shared" si="2"/>
        <v>0</v>
      </c>
      <c r="AL14" s="111">
        <f t="shared" si="2"/>
        <v>0</v>
      </c>
      <c r="AM14" s="111">
        <f t="shared" si="2"/>
        <v>0</v>
      </c>
      <c r="AN14" s="111">
        <f t="shared" si="2"/>
        <v>0</v>
      </c>
      <c r="AO14" s="111">
        <f t="shared" si="2"/>
        <v>0</v>
      </c>
      <c r="AP14" s="111">
        <f t="shared" si="2"/>
        <v>0</v>
      </c>
      <c r="AQ14" s="111">
        <f t="shared" si="2"/>
        <v>0</v>
      </c>
      <c r="AR14" s="111">
        <f t="shared" si="2"/>
        <v>0</v>
      </c>
      <c r="AS14" s="111">
        <f t="shared" si="2"/>
        <v>0</v>
      </c>
      <c r="AT14" s="111">
        <f t="shared" si="2"/>
        <v>0</v>
      </c>
      <c r="AU14" s="111">
        <f t="shared" si="2"/>
        <v>0</v>
      </c>
      <c r="AV14" s="111">
        <f t="shared" si="2"/>
        <v>0</v>
      </c>
      <c r="AW14" s="111">
        <f t="shared" si="2"/>
        <v>0</v>
      </c>
      <c r="AX14" s="111">
        <f t="shared" si="2"/>
        <v>0</v>
      </c>
      <c r="AY14" s="111">
        <f t="shared" si="2"/>
        <v>0</v>
      </c>
      <c r="AZ14" s="114"/>
    </row>
    <row r="15" spans="1:52" x14ac:dyDescent="0.2">
      <c r="A15" s="115"/>
      <c r="B15" s="132">
        <v>3</v>
      </c>
      <c r="C15" s="115">
        <v>0</v>
      </c>
      <c r="D15" s="111">
        <f>IF(C$20="Yes",C14,0)</f>
        <v>0</v>
      </c>
      <c r="E15" s="111">
        <f t="shared" si="2"/>
        <v>0</v>
      </c>
      <c r="F15" s="111">
        <f t="shared" si="2"/>
        <v>0</v>
      </c>
      <c r="G15" s="111">
        <f t="shared" si="2"/>
        <v>0</v>
      </c>
      <c r="H15" s="111">
        <f t="shared" si="2"/>
        <v>0</v>
      </c>
      <c r="I15" s="111">
        <f t="shared" si="2"/>
        <v>0</v>
      </c>
      <c r="J15" s="111">
        <f t="shared" si="2"/>
        <v>0</v>
      </c>
      <c r="K15" s="111">
        <f t="shared" si="2"/>
        <v>0</v>
      </c>
      <c r="L15" s="111">
        <f t="shared" si="2"/>
        <v>0</v>
      </c>
      <c r="M15" s="111">
        <f t="shared" si="2"/>
        <v>0</v>
      </c>
      <c r="N15" s="111">
        <f t="shared" si="2"/>
        <v>0</v>
      </c>
      <c r="O15" s="111">
        <f t="shared" si="2"/>
        <v>0</v>
      </c>
      <c r="P15" s="111">
        <f t="shared" si="2"/>
        <v>0</v>
      </c>
      <c r="Q15" s="111">
        <f t="shared" si="2"/>
        <v>0</v>
      </c>
      <c r="R15" s="111">
        <f t="shared" si="2"/>
        <v>0</v>
      </c>
      <c r="S15" s="111">
        <f t="shared" si="2"/>
        <v>0</v>
      </c>
      <c r="T15" s="111">
        <f t="shared" si="2"/>
        <v>0</v>
      </c>
      <c r="U15" s="111">
        <f t="shared" si="2"/>
        <v>0</v>
      </c>
      <c r="V15" s="111">
        <f t="shared" si="2"/>
        <v>0</v>
      </c>
      <c r="W15" s="111">
        <f t="shared" si="2"/>
        <v>0</v>
      </c>
      <c r="X15" s="111">
        <f t="shared" si="2"/>
        <v>0</v>
      </c>
      <c r="Y15" s="111">
        <f t="shared" si="2"/>
        <v>0</v>
      </c>
      <c r="Z15" s="111">
        <f t="shared" si="2"/>
        <v>0</v>
      </c>
      <c r="AA15" s="111">
        <f t="shared" si="2"/>
        <v>0</v>
      </c>
      <c r="AB15" s="111">
        <f t="shared" si="2"/>
        <v>0</v>
      </c>
      <c r="AC15" s="111">
        <f t="shared" si="2"/>
        <v>0</v>
      </c>
      <c r="AD15" s="111">
        <f t="shared" si="2"/>
        <v>0</v>
      </c>
      <c r="AE15" s="111">
        <f t="shared" si="2"/>
        <v>0</v>
      </c>
      <c r="AF15" s="111">
        <f t="shared" si="2"/>
        <v>0</v>
      </c>
      <c r="AG15" s="111">
        <f t="shared" si="2"/>
        <v>0</v>
      </c>
      <c r="AH15" s="111">
        <f t="shared" si="2"/>
        <v>0</v>
      </c>
      <c r="AI15" s="111">
        <f t="shared" si="2"/>
        <v>0</v>
      </c>
      <c r="AJ15" s="111">
        <f t="shared" si="2"/>
        <v>0</v>
      </c>
      <c r="AK15" s="111">
        <f t="shared" si="2"/>
        <v>0</v>
      </c>
      <c r="AL15" s="111">
        <f t="shared" si="2"/>
        <v>0</v>
      </c>
      <c r="AM15" s="111">
        <f t="shared" si="2"/>
        <v>0</v>
      </c>
      <c r="AN15" s="111">
        <f t="shared" si="2"/>
        <v>0</v>
      </c>
      <c r="AO15" s="111">
        <f t="shared" si="2"/>
        <v>0</v>
      </c>
      <c r="AP15" s="111">
        <f t="shared" si="2"/>
        <v>0</v>
      </c>
      <c r="AQ15" s="111">
        <f t="shared" si="2"/>
        <v>0</v>
      </c>
      <c r="AR15" s="111">
        <f t="shared" si="2"/>
        <v>0</v>
      </c>
      <c r="AS15" s="111">
        <f t="shared" si="2"/>
        <v>0</v>
      </c>
      <c r="AT15" s="111">
        <f t="shared" si="2"/>
        <v>0</v>
      </c>
      <c r="AU15" s="111">
        <f t="shared" si="2"/>
        <v>0</v>
      </c>
      <c r="AV15" s="111">
        <f t="shared" si="2"/>
        <v>0</v>
      </c>
      <c r="AW15" s="111">
        <f t="shared" si="2"/>
        <v>0</v>
      </c>
      <c r="AX15" s="111">
        <f t="shared" si="2"/>
        <v>0</v>
      </c>
      <c r="AY15" s="111">
        <f t="shared" si="2"/>
        <v>0</v>
      </c>
      <c r="AZ15" s="114"/>
    </row>
    <row r="16" spans="1:52" x14ac:dyDescent="0.2">
      <c r="A16" s="115"/>
      <c r="B16" s="135">
        <v>4</v>
      </c>
      <c r="C16" s="115">
        <v>0</v>
      </c>
      <c r="D16" s="111">
        <f>IF(C$20="Yes",C15,0)</f>
        <v>0</v>
      </c>
      <c r="E16" s="111">
        <f t="shared" si="2"/>
        <v>0</v>
      </c>
      <c r="F16" s="111">
        <f t="shared" si="2"/>
        <v>0</v>
      </c>
      <c r="G16" s="111">
        <f t="shared" si="2"/>
        <v>0</v>
      </c>
      <c r="H16" s="111">
        <f t="shared" si="2"/>
        <v>0</v>
      </c>
      <c r="I16" s="111">
        <f t="shared" si="2"/>
        <v>0</v>
      </c>
      <c r="J16" s="111">
        <f t="shared" si="2"/>
        <v>0</v>
      </c>
      <c r="K16" s="111">
        <f t="shared" si="2"/>
        <v>0</v>
      </c>
      <c r="L16" s="111">
        <f t="shared" si="2"/>
        <v>0</v>
      </c>
      <c r="M16" s="111">
        <f t="shared" si="2"/>
        <v>0</v>
      </c>
      <c r="N16" s="111">
        <f t="shared" si="2"/>
        <v>0</v>
      </c>
      <c r="O16" s="111">
        <f t="shared" si="2"/>
        <v>0</v>
      </c>
      <c r="P16" s="111">
        <f t="shared" si="2"/>
        <v>0</v>
      </c>
      <c r="Q16" s="111">
        <f t="shared" si="2"/>
        <v>0</v>
      </c>
      <c r="R16" s="111">
        <f t="shared" si="2"/>
        <v>0</v>
      </c>
      <c r="S16" s="111">
        <f t="shared" si="2"/>
        <v>0</v>
      </c>
      <c r="T16" s="111">
        <f t="shared" si="2"/>
        <v>0</v>
      </c>
      <c r="U16" s="111">
        <f t="shared" si="2"/>
        <v>0</v>
      </c>
      <c r="V16" s="111">
        <f t="shared" si="2"/>
        <v>0</v>
      </c>
      <c r="W16" s="111">
        <f t="shared" si="2"/>
        <v>0</v>
      </c>
      <c r="X16" s="111">
        <f t="shared" si="2"/>
        <v>0</v>
      </c>
      <c r="Y16" s="111">
        <f t="shared" si="2"/>
        <v>0</v>
      </c>
      <c r="Z16" s="111">
        <f t="shared" si="2"/>
        <v>0</v>
      </c>
      <c r="AA16" s="111">
        <f t="shared" si="2"/>
        <v>0</v>
      </c>
      <c r="AB16" s="111">
        <f t="shared" si="2"/>
        <v>0</v>
      </c>
      <c r="AC16" s="111">
        <f t="shared" si="2"/>
        <v>0</v>
      </c>
      <c r="AD16" s="111">
        <f t="shared" si="2"/>
        <v>0</v>
      </c>
      <c r="AE16" s="111">
        <f t="shared" si="2"/>
        <v>0</v>
      </c>
      <c r="AF16" s="111">
        <f t="shared" si="2"/>
        <v>0</v>
      </c>
      <c r="AG16" s="111">
        <f t="shared" si="2"/>
        <v>0</v>
      </c>
      <c r="AH16" s="111">
        <f t="shared" si="2"/>
        <v>0</v>
      </c>
      <c r="AI16" s="111">
        <f t="shared" si="2"/>
        <v>0</v>
      </c>
      <c r="AJ16" s="111">
        <f t="shared" si="2"/>
        <v>0</v>
      </c>
      <c r="AK16" s="111">
        <f t="shared" si="2"/>
        <v>0</v>
      </c>
      <c r="AL16" s="111">
        <f t="shared" si="2"/>
        <v>0</v>
      </c>
      <c r="AM16" s="111">
        <f t="shared" si="2"/>
        <v>0</v>
      </c>
      <c r="AN16" s="111">
        <f t="shared" si="2"/>
        <v>0</v>
      </c>
      <c r="AO16" s="111">
        <f t="shared" si="2"/>
        <v>0</v>
      </c>
      <c r="AP16" s="111">
        <f t="shared" si="2"/>
        <v>0</v>
      </c>
      <c r="AQ16" s="111">
        <f t="shared" si="2"/>
        <v>0</v>
      </c>
      <c r="AR16" s="111">
        <f t="shared" si="2"/>
        <v>0</v>
      </c>
      <c r="AS16" s="111">
        <f t="shared" si="2"/>
        <v>0</v>
      </c>
      <c r="AT16" s="111">
        <f t="shared" si="2"/>
        <v>0</v>
      </c>
      <c r="AU16" s="111">
        <f t="shared" si="2"/>
        <v>0</v>
      </c>
      <c r="AV16" s="111">
        <f t="shared" si="2"/>
        <v>0</v>
      </c>
      <c r="AW16" s="111">
        <f t="shared" si="2"/>
        <v>0</v>
      </c>
      <c r="AX16" s="111">
        <f t="shared" si="2"/>
        <v>0</v>
      </c>
      <c r="AY16" s="111">
        <f t="shared" si="2"/>
        <v>0</v>
      </c>
      <c r="AZ16" s="133"/>
    </row>
    <row r="17" spans="1:52" x14ac:dyDescent="0.2">
      <c r="A17" s="130"/>
      <c r="B17" s="137" t="s">
        <v>296</v>
      </c>
      <c r="C17" s="130">
        <v>0</v>
      </c>
      <c r="D17" s="119">
        <f>IF(C$20="Yes",C16,0)</f>
        <v>0</v>
      </c>
      <c r="E17" s="119">
        <f t="shared" si="2"/>
        <v>0</v>
      </c>
      <c r="F17" s="119">
        <f t="shared" si="2"/>
        <v>0</v>
      </c>
      <c r="G17" s="119">
        <f t="shared" si="2"/>
        <v>0</v>
      </c>
      <c r="H17" s="119">
        <f t="shared" si="2"/>
        <v>0</v>
      </c>
      <c r="I17" s="119">
        <f t="shared" si="2"/>
        <v>0</v>
      </c>
      <c r="J17" s="119">
        <f t="shared" si="2"/>
        <v>0</v>
      </c>
      <c r="K17" s="119">
        <f t="shared" si="2"/>
        <v>0</v>
      </c>
      <c r="L17" s="119">
        <f t="shared" si="2"/>
        <v>0</v>
      </c>
      <c r="M17" s="119">
        <f t="shared" si="2"/>
        <v>0</v>
      </c>
      <c r="N17" s="119">
        <f t="shared" si="2"/>
        <v>0</v>
      </c>
      <c r="O17" s="119">
        <f t="shared" si="2"/>
        <v>0</v>
      </c>
      <c r="P17" s="119">
        <f t="shared" si="2"/>
        <v>0</v>
      </c>
      <c r="Q17" s="119">
        <f t="shared" si="2"/>
        <v>0</v>
      </c>
      <c r="R17" s="119">
        <f t="shared" si="2"/>
        <v>0</v>
      </c>
      <c r="S17" s="119">
        <f t="shared" si="2"/>
        <v>0</v>
      </c>
      <c r="T17" s="119">
        <f t="shared" si="2"/>
        <v>0</v>
      </c>
      <c r="U17" s="119">
        <f t="shared" si="2"/>
        <v>0</v>
      </c>
      <c r="V17" s="119">
        <f t="shared" si="2"/>
        <v>0</v>
      </c>
      <c r="W17" s="119">
        <f t="shared" si="2"/>
        <v>0</v>
      </c>
      <c r="X17" s="119">
        <f t="shared" si="2"/>
        <v>0</v>
      </c>
      <c r="Y17" s="119">
        <f t="shared" si="2"/>
        <v>0</v>
      </c>
      <c r="Z17" s="119">
        <f t="shared" si="2"/>
        <v>0</v>
      </c>
      <c r="AA17" s="119">
        <f t="shared" si="2"/>
        <v>0</v>
      </c>
      <c r="AB17" s="119">
        <f t="shared" si="2"/>
        <v>0</v>
      </c>
      <c r="AC17" s="119">
        <f t="shared" si="2"/>
        <v>0</v>
      </c>
      <c r="AD17" s="119">
        <f t="shared" si="2"/>
        <v>0</v>
      </c>
      <c r="AE17" s="119">
        <f t="shared" si="2"/>
        <v>0</v>
      </c>
      <c r="AF17" s="119">
        <f t="shared" si="2"/>
        <v>0</v>
      </c>
      <c r="AG17" s="119">
        <f t="shared" si="2"/>
        <v>0</v>
      </c>
      <c r="AH17" s="119">
        <f t="shared" si="2"/>
        <v>0</v>
      </c>
      <c r="AI17" s="119">
        <f t="shared" si="2"/>
        <v>0</v>
      </c>
      <c r="AJ17" s="119">
        <f t="shared" si="2"/>
        <v>0</v>
      </c>
      <c r="AK17" s="119">
        <f t="shared" si="2"/>
        <v>0</v>
      </c>
      <c r="AL17" s="119">
        <f t="shared" si="2"/>
        <v>0</v>
      </c>
      <c r="AM17" s="119">
        <f t="shared" si="2"/>
        <v>0</v>
      </c>
      <c r="AN17" s="119">
        <f t="shared" si="2"/>
        <v>0</v>
      </c>
      <c r="AO17" s="119">
        <f t="shared" si="2"/>
        <v>0</v>
      </c>
      <c r="AP17" s="119">
        <f t="shared" si="2"/>
        <v>0</v>
      </c>
      <c r="AQ17" s="119">
        <f t="shared" si="2"/>
        <v>0</v>
      </c>
      <c r="AR17" s="119">
        <f t="shared" si="2"/>
        <v>0</v>
      </c>
      <c r="AS17" s="119">
        <f t="shared" si="2"/>
        <v>0</v>
      </c>
      <c r="AT17" s="119">
        <f t="shared" si="2"/>
        <v>0</v>
      </c>
      <c r="AU17" s="119">
        <f t="shared" si="2"/>
        <v>0</v>
      </c>
      <c r="AV17" s="119">
        <f t="shared" si="2"/>
        <v>0</v>
      </c>
      <c r="AW17" s="119">
        <f t="shared" si="2"/>
        <v>0</v>
      </c>
      <c r="AX17" s="119">
        <f t="shared" si="2"/>
        <v>0</v>
      </c>
      <c r="AY17" s="119">
        <f t="shared" si="2"/>
        <v>0</v>
      </c>
      <c r="AZ17" s="156">
        <f>SUM($D$17:$AY$17)</f>
        <v>0</v>
      </c>
    </row>
    <row r="18" spans="1:52" x14ac:dyDescent="0.2">
      <c r="A18" s="111"/>
      <c r="B18" s="158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  <c r="AO18" s="143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11"/>
    </row>
    <row r="19" spans="1:52" x14ac:dyDescent="0.2">
      <c r="A19" s="107" t="s">
        <v>116</v>
      </c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</row>
    <row r="20" spans="1:52" s="115" customFormat="1" x14ac:dyDescent="0.2">
      <c r="A20" s="120" t="s">
        <v>305</v>
      </c>
      <c r="B20" s="159" t="s">
        <v>306</v>
      </c>
      <c r="C20" s="122"/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 t="s">
        <v>313</v>
      </c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  <c r="AH20" s="122"/>
      <c r="AI20" s="122"/>
      <c r="AJ20" s="122"/>
      <c r="AK20" s="122"/>
      <c r="AL20" s="122"/>
      <c r="AM20" s="122"/>
      <c r="AN20" s="122"/>
      <c r="AO20" s="122"/>
      <c r="AP20" s="122"/>
      <c r="AQ20" s="122"/>
      <c r="AR20" s="122"/>
      <c r="AS20" s="122"/>
      <c r="AT20" s="122"/>
      <c r="AU20" s="122"/>
      <c r="AV20" s="122"/>
      <c r="AW20" s="122"/>
      <c r="AX20" s="122"/>
      <c r="AY20" s="122"/>
      <c r="AZ20" s="112"/>
    </row>
    <row r="21" spans="1:52" s="115" customFormat="1" x14ac:dyDescent="0.2">
      <c r="A21" s="160" t="s">
        <v>133</v>
      </c>
      <c r="B21" s="161">
        <f>shipping_manufacturing!$I$19/100</f>
        <v>0.54661059999999995</v>
      </c>
      <c r="C21" s="161" t="s">
        <v>293</v>
      </c>
      <c r="D21" s="111">
        <f>IF(C$20="Yes",0,SUM(C$13:C$16)*$B$21)</f>
        <v>108.66519294035373</v>
      </c>
      <c r="E21" s="111">
        <f t="shared" ref="E21:AY21" si="3">IF(D$20="Yes",0,SUM(D$13:D$16)*$B$21)</f>
        <v>0</v>
      </c>
      <c r="F21" s="111">
        <f t="shared" si="3"/>
        <v>0</v>
      </c>
      <c r="G21" s="111">
        <f t="shared" si="3"/>
        <v>0</v>
      </c>
      <c r="H21" s="111">
        <f t="shared" si="3"/>
        <v>0</v>
      </c>
      <c r="I21" s="111">
        <f t="shared" si="3"/>
        <v>56.526273309148237</v>
      </c>
      <c r="J21" s="111">
        <f t="shared" si="3"/>
        <v>56.526273309148237</v>
      </c>
      <c r="K21" s="111">
        <f t="shared" si="3"/>
        <v>56.526273309148237</v>
      </c>
      <c r="L21" s="111">
        <f t="shared" si="3"/>
        <v>56.526273309148237</v>
      </c>
      <c r="M21" s="111">
        <f t="shared" si="3"/>
        <v>56.526273309148237</v>
      </c>
      <c r="N21" s="111">
        <f t="shared" si="3"/>
        <v>56.526273309148237</v>
      </c>
      <c r="O21" s="111">
        <f t="shared" si="3"/>
        <v>56.526273309148237</v>
      </c>
      <c r="P21" s="111">
        <f t="shared" si="3"/>
        <v>56.526273309148237</v>
      </c>
      <c r="Q21" s="111">
        <f t="shared" si="3"/>
        <v>56.526273309148237</v>
      </c>
      <c r="R21" s="111">
        <f t="shared" si="3"/>
        <v>56.526273309148237</v>
      </c>
      <c r="S21" s="111">
        <f t="shared" si="3"/>
        <v>56.526273309148237</v>
      </c>
      <c r="T21" s="111">
        <f t="shared" si="3"/>
        <v>0</v>
      </c>
      <c r="U21" s="111">
        <f t="shared" si="3"/>
        <v>113.05254661829647</v>
      </c>
      <c r="V21" s="111">
        <f t="shared" si="3"/>
        <v>56.526273309148237</v>
      </c>
      <c r="W21" s="111">
        <f t="shared" si="3"/>
        <v>56.526273309148237</v>
      </c>
      <c r="X21" s="111">
        <f t="shared" si="3"/>
        <v>56.526273309148237</v>
      </c>
      <c r="Y21" s="111">
        <f t="shared" si="3"/>
        <v>56.526273309148237</v>
      </c>
      <c r="Z21" s="111">
        <f t="shared" si="3"/>
        <v>56.526273309148237</v>
      </c>
      <c r="AA21" s="111">
        <f t="shared" si="3"/>
        <v>56.526273309148237</v>
      </c>
      <c r="AB21" s="111">
        <f t="shared" si="3"/>
        <v>56.526273309148237</v>
      </c>
      <c r="AC21" s="111">
        <f t="shared" si="3"/>
        <v>56.526273309148237</v>
      </c>
      <c r="AD21" s="111">
        <f t="shared" si="3"/>
        <v>56.526273309148237</v>
      </c>
      <c r="AE21" s="111">
        <f t="shared" si="3"/>
        <v>56.526273309148237</v>
      </c>
      <c r="AF21" s="111">
        <f t="shared" si="3"/>
        <v>56.526273309148237</v>
      </c>
      <c r="AG21" s="111">
        <f t="shared" si="3"/>
        <v>56.526273309148237</v>
      </c>
      <c r="AH21" s="111">
        <f t="shared" si="3"/>
        <v>56.526273309148237</v>
      </c>
      <c r="AI21" s="111">
        <f t="shared" si="3"/>
        <v>56.526273309148237</v>
      </c>
      <c r="AJ21" s="111">
        <f t="shared" si="3"/>
        <v>56.526273309148237</v>
      </c>
      <c r="AK21" s="111">
        <f t="shared" si="3"/>
        <v>56.526273309148237</v>
      </c>
      <c r="AL21" s="111">
        <f t="shared" si="3"/>
        <v>56.526273309148237</v>
      </c>
      <c r="AM21" s="111">
        <f t="shared" si="3"/>
        <v>56.526273309148237</v>
      </c>
      <c r="AN21" s="111">
        <f t="shared" si="3"/>
        <v>56.526273309148237</v>
      </c>
      <c r="AO21" s="111">
        <f t="shared" si="3"/>
        <v>56.526273309148237</v>
      </c>
      <c r="AP21" s="111">
        <f t="shared" si="3"/>
        <v>56.526273309148237</v>
      </c>
      <c r="AQ21" s="111">
        <f t="shared" si="3"/>
        <v>56.526273309148237</v>
      </c>
      <c r="AR21" s="111">
        <f t="shared" si="3"/>
        <v>56.526273309148237</v>
      </c>
      <c r="AS21" s="111">
        <f t="shared" si="3"/>
        <v>56.526273309148237</v>
      </c>
      <c r="AT21" s="111">
        <f t="shared" si="3"/>
        <v>56.526273309148237</v>
      </c>
      <c r="AU21" s="111">
        <f t="shared" si="3"/>
        <v>56.526273309148237</v>
      </c>
      <c r="AV21" s="111">
        <f t="shared" si="3"/>
        <v>56.526273309148237</v>
      </c>
      <c r="AW21" s="111">
        <f t="shared" si="3"/>
        <v>56.526273309148237</v>
      </c>
      <c r="AX21" s="111">
        <f t="shared" si="3"/>
        <v>56.526273309148237</v>
      </c>
      <c r="AY21" s="111">
        <f t="shared" si="3"/>
        <v>56.526273309148237</v>
      </c>
      <c r="AZ21" s="162">
        <f>SUM($D21:$AY21)</f>
        <v>2539.2949452337284</v>
      </c>
    </row>
    <row r="22" spans="1:52" s="115" customFormat="1" x14ac:dyDescent="0.2">
      <c r="A22" s="163" t="s">
        <v>123</v>
      </c>
      <c r="B22" s="164">
        <f>1-$B$21</f>
        <v>0.45338940000000005</v>
      </c>
      <c r="C22" s="164" t="s">
        <v>293</v>
      </c>
      <c r="D22" s="119">
        <f>IF(C$20="Yes",0,SUM(C$13:C$16)*$B$22)</f>
        <v>90.132987959090485</v>
      </c>
      <c r="E22" s="119">
        <f t="shared" ref="E22:AY22" si="4">IF(D$20="Yes",0,SUM(D$13:D$16)*$B$22)</f>
        <v>0</v>
      </c>
      <c r="F22" s="119">
        <f t="shared" si="4"/>
        <v>0</v>
      </c>
      <c r="G22" s="119">
        <f t="shared" si="4"/>
        <v>0</v>
      </c>
      <c r="H22" s="119">
        <f t="shared" si="4"/>
        <v>0</v>
      </c>
      <c r="I22" s="119">
        <f t="shared" si="4"/>
        <v>46.886052227803006</v>
      </c>
      <c r="J22" s="119">
        <f t="shared" si="4"/>
        <v>46.886052227803006</v>
      </c>
      <c r="K22" s="119">
        <f t="shared" si="4"/>
        <v>46.886052227803006</v>
      </c>
      <c r="L22" s="119">
        <f t="shared" si="4"/>
        <v>46.886052227803006</v>
      </c>
      <c r="M22" s="119">
        <f t="shared" si="4"/>
        <v>46.886052227803006</v>
      </c>
      <c r="N22" s="119">
        <f t="shared" si="4"/>
        <v>46.886052227803006</v>
      </c>
      <c r="O22" s="119">
        <f t="shared" si="4"/>
        <v>46.886052227803006</v>
      </c>
      <c r="P22" s="119">
        <f t="shared" si="4"/>
        <v>46.886052227803006</v>
      </c>
      <c r="Q22" s="119">
        <f t="shared" si="4"/>
        <v>46.886052227803006</v>
      </c>
      <c r="R22" s="119">
        <f t="shared" si="4"/>
        <v>46.886052227803006</v>
      </c>
      <c r="S22" s="119">
        <f t="shared" si="4"/>
        <v>46.886052227803006</v>
      </c>
      <c r="T22" s="119">
        <f t="shared" si="4"/>
        <v>0</v>
      </c>
      <c r="U22" s="119">
        <f t="shared" si="4"/>
        <v>93.772104455606012</v>
      </c>
      <c r="V22" s="119">
        <f t="shared" si="4"/>
        <v>46.886052227803006</v>
      </c>
      <c r="W22" s="119">
        <f t="shared" si="4"/>
        <v>46.886052227803006</v>
      </c>
      <c r="X22" s="119">
        <f t="shared" si="4"/>
        <v>46.886052227803006</v>
      </c>
      <c r="Y22" s="119">
        <f t="shared" si="4"/>
        <v>46.886052227803006</v>
      </c>
      <c r="Z22" s="119">
        <f t="shared" si="4"/>
        <v>46.886052227803006</v>
      </c>
      <c r="AA22" s="119">
        <f t="shared" si="4"/>
        <v>46.886052227803006</v>
      </c>
      <c r="AB22" s="119">
        <f t="shared" si="4"/>
        <v>46.886052227803006</v>
      </c>
      <c r="AC22" s="119">
        <f t="shared" si="4"/>
        <v>46.886052227803006</v>
      </c>
      <c r="AD22" s="119">
        <f t="shared" si="4"/>
        <v>46.886052227803006</v>
      </c>
      <c r="AE22" s="119">
        <f t="shared" si="4"/>
        <v>46.886052227803006</v>
      </c>
      <c r="AF22" s="119">
        <f t="shared" si="4"/>
        <v>46.886052227803006</v>
      </c>
      <c r="AG22" s="119">
        <f t="shared" si="4"/>
        <v>46.886052227803006</v>
      </c>
      <c r="AH22" s="119">
        <f t="shared" si="4"/>
        <v>46.886052227803006</v>
      </c>
      <c r="AI22" s="119">
        <f t="shared" si="4"/>
        <v>46.886052227803006</v>
      </c>
      <c r="AJ22" s="119">
        <f t="shared" si="4"/>
        <v>46.886052227803006</v>
      </c>
      <c r="AK22" s="119">
        <f t="shared" si="4"/>
        <v>46.886052227803006</v>
      </c>
      <c r="AL22" s="119">
        <f t="shared" si="4"/>
        <v>46.886052227803006</v>
      </c>
      <c r="AM22" s="119">
        <f t="shared" si="4"/>
        <v>46.886052227803006</v>
      </c>
      <c r="AN22" s="119">
        <f t="shared" si="4"/>
        <v>46.886052227803006</v>
      </c>
      <c r="AO22" s="119">
        <f t="shared" si="4"/>
        <v>46.886052227803006</v>
      </c>
      <c r="AP22" s="119">
        <f t="shared" si="4"/>
        <v>46.886052227803006</v>
      </c>
      <c r="AQ22" s="119">
        <f t="shared" si="4"/>
        <v>46.886052227803006</v>
      </c>
      <c r="AR22" s="119">
        <f t="shared" si="4"/>
        <v>46.886052227803006</v>
      </c>
      <c r="AS22" s="119">
        <f t="shared" si="4"/>
        <v>46.886052227803006</v>
      </c>
      <c r="AT22" s="119">
        <f t="shared" si="4"/>
        <v>46.886052227803006</v>
      </c>
      <c r="AU22" s="119">
        <f t="shared" si="4"/>
        <v>46.886052227803006</v>
      </c>
      <c r="AV22" s="119">
        <f t="shared" si="4"/>
        <v>46.886052227803006</v>
      </c>
      <c r="AW22" s="119">
        <f t="shared" si="4"/>
        <v>46.886052227803006</v>
      </c>
      <c r="AX22" s="119">
        <f t="shared" si="4"/>
        <v>46.886052227803006</v>
      </c>
      <c r="AY22" s="119">
        <f t="shared" si="4"/>
        <v>46.886052227803006</v>
      </c>
      <c r="AZ22" s="146">
        <f t="shared" ref="AZ22:AZ30" si="5">SUM($D22:$AY22)</f>
        <v>2106.23323375462</v>
      </c>
    </row>
    <row r="23" spans="1:52" x14ac:dyDescent="0.2">
      <c r="A23" s="165" t="s">
        <v>307</v>
      </c>
      <c r="B23" s="129">
        <v>2000</v>
      </c>
      <c r="C23" s="105" t="s">
        <v>293</v>
      </c>
      <c r="D23" s="105">
        <f>D$21*$B$23</f>
        <v>217330.38588070747</v>
      </c>
      <c r="E23" s="105">
        <f t="shared" ref="E23:AY23" si="6">E$21*$B$23</f>
        <v>0</v>
      </c>
      <c r="F23" s="105">
        <f t="shared" si="6"/>
        <v>0</v>
      </c>
      <c r="G23" s="105">
        <f t="shared" si="6"/>
        <v>0</v>
      </c>
      <c r="H23" s="105">
        <f t="shared" si="6"/>
        <v>0</v>
      </c>
      <c r="I23" s="105">
        <f t="shared" si="6"/>
        <v>113052.54661829647</v>
      </c>
      <c r="J23" s="105">
        <f t="shared" si="6"/>
        <v>113052.54661829647</v>
      </c>
      <c r="K23" s="105">
        <f t="shared" si="6"/>
        <v>113052.54661829647</v>
      </c>
      <c r="L23" s="105">
        <f t="shared" si="6"/>
        <v>113052.54661829647</v>
      </c>
      <c r="M23" s="105">
        <f t="shared" si="6"/>
        <v>113052.54661829647</v>
      </c>
      <c r="N23" s="105">
        <f t="shared" si="6"/>
        <v>113052.54661829647</v>
      </c>
      <c r="O23" s="105">
        <f t="shared" si="6"/>
        <v>113052.54661829647</v>
      </c>
      <c r="P23" s="105">
        <f t="shared" si="6"/>
        <v>113052.54661829647</v>
      </c>
      <c r="Q23" s="105">
        <f t="shared" si="6"/>
        <v>113052.54661829647</v>
      </c>
      <c r="R23" s="105">
        <f t="shared" si="6"/>
        <v>113052.54661829647</v>
      </c>
      <c r="S23" s="105">
        <f t="shared" si="6"/>
        <v>113052.54661829647</v>
      </c>
      <c r="T23" s="105">
        <f t="shared" si="6"/>
        <v>0</v>
      </c>
      <c r="U23" s="105">
        <f t="shared" si="6"/>
        <v>226105.09323659295</v>
      </c>
      <c r="V23" s="105">
        <f t="shared" si="6"/>
        <v>113052.54661829647</v>
      </c>
      <c r="W23" s="105">
        <f t="shared" si="6"/>
        <v>113052.54661829647</v>
      </c>
      <c r="X23" s="105">
        <f t="shared" si="6"/>
        <v>113052.54661829647</v>
      </c>
      <c r="Y23" s="105">
        <f t="shared" si="6"/>
        <v>113052.54661829647</v>
      </c>
      <c r="Z23" s="105">
        <f t="shared" si="6"/>
        <v>113052.54661829647</v>
      </c>
      <c r="AA23" s="105">
        <f t="shared" si="6"/>
        <v>113052.54661829647</v>
      </c>
      <c r="AB23" s="105">
        <f t="shared" si="6"/>
        <v>113052.54661829647</v>
      </c>
      <c r="AC23" s="105">
        <f t="shared" si="6"/>
        <v>113052.54661829647</v>
      </c>
      <c r="AD23" s="105">
        <f t="shared" si="6"/>
        <v>113052.54661829647</v>
      </c>
      <c r="AE23" s="105">
        <f t="shared" si="6"/>
        <v>113052.54661829647</v>
      </c>
      <c r="AF23" s="105">
        <f t="shared" si="6"/>
        <v>113052.54661829647</v>
      </c>
      <c r="AG23" s="105">
        <f t="shared" si="6"/>
        <v>113052.54661829647</v>
      </c>
      <c r="AH23" s="105">
        <f t="shared" si="6"/>
        <v>113052.54661829647</v>
      </c>
      <c r="AI23" s="105">
        <f t="shared" si="6"/>
        <v>113052.54661829647</v>
      </c>
      <c r="AJ23" s="105">
        <f t="shared" si="6"/>
        <v>113052.54661829647</v>
      </c>
      <c r="AK23" s="105">
        <f t="shared" si="6"/>
        <v>113052.54661829647</v>
      </c>
      <c r="AL23" s="105">
        <f t="shared" si="6"/>
        <v>113052.54661829647</v>
      </c>
      <c r="AM23" s="105">
        <f t="shared" si="6"/>
        <v>113052.54661829647</v>
      </c>
      <c r="AN23" s="105">
        <f t="shared" si="6"/>
        <v>113052.54661829647</v>
      </c>
      <c r="AO23" s="105">
        <f t="shared" si="6"/>
        <v>113052.54661829647</v>
      </c>
      <c r="AP23" s="105">
        <f t="shared" si="6"/>
        <v>113052.54661829647</v>
      </c>
      <c r="AQ23" s="105">
        <f t="shared" si="6"/>
        <v>113052.54661829647</v>
      </c>
      <c r="AR23" s="105">
        <f t="shared" si="6"/>
        <v>113052.54661829647</v>
      </c>
      <c r="AS23" s="105">
        <f t="shared" si="6"/>
        <v>113052.54661829647</v>
      </c>
      <c r="AT23" s="105">
        <f t="shared" si="6"/>
        <v>113052.54661829647</v>
      </c>
      <c r="AU23" s="105">
        <f t="shared" si="6"/>
        <v>113052.54661829647</v>
      </c>
      <c r="AV23" s="105">
        <f t="shared" si="6"/>
        <v>113052.54661829647</v>
      </c>
      <c r="AW23" s="105">
        <f t="shared" si="6"/>
        <v>113052.54661829647</v>
      </c>
      <c r="AX23" s="105">
        <f t="shared" si="6"/>
        <v>113052.54661829647</v>
      </c>
      <c r="AY23" s="105">
        <f t="shared" si="6"/>
        <v>113052.54661829647</v>
      </c>
      <c r="AZ23" s="144">
        <f t="shared" si="5"/>
        <v>5078589.8904674556</v>
      </c>
    </row>
    <row r="24" spans="1:52" s="115" customFormat="1" x14ac:dyDescent="0.2">
      <c r="A24" s="166" t="s">
        <v>308</v>
      </c>
      <c r="B24" s="167">
        <v>1000</v>
      </c>
      <c r="C24" s="161" t="s">
        <v>293</v>
      </c>
      <c r="D24" s="111">
        <f>D$22*$B$24</f>
        <v>90132.987959090489</v>
      </c>
      <c r="E24" s="111">
        <f t="shared" ref="E24:AY24" si="7">E$22*$B$24</f>
        <v>0</v>
      </c>
      <c r="F24" s="111">
        <f t="shared" si="7"/>
        <v>0</v>
      </c>
      <c r="G24" s="111">
        <f t="shared" si="7"/>
        <v>0</v>
      </c>
      <c r="H24" s="111">
        <f t="shared" si="7"/>
        <v>0</v>
      </c>
      <c r="I24" s="111">
        <f t="shared" si="7"/>
        <v>46886.052227803004</v>
      </c>
      <c r="J24" s="111">
        <f t="shared" si="7"/>
        <v>46886.052227803004</v>
      </c>
      <c r="K24" s="111">
        <f t="shared" si="7"/>
        <v>46886.052227803004</v>
      </c>
      <c r="L24" s="111">
        <f t="shared" si="7"/>
        <v>46886.052227803004</v>
      </c>
      <c r="M24" s="111">
        <f t="shared" si="7"/>
        <v>46886.052227803004</v>
      </c>
      <c r="N24" s="111">
        <f t="shared" si="7"/>
        <v>46886.052227803004</v>
      </c>
      <c r="O24" s="111">
        <f t="shared" si="7"/>
        <v>46886.052227803004</v>
      </c>
      <c r="P24" s="111">
        <f t="shared" si="7"/>
        <v>46886.052227803004</v>
      </c>
      <c r="Q24" s="111">
        <f t="shared" si="7"/>
        <v>46886.052227803004</v>
      </c>
      <c r="R24" s="111">
        <f t="shared" si="7"/>
        <v>46886.052227803004</v>
      </c>
      <c r="S24" s="111">
        <f t="shared" si="7"/>
        <v>46886.052227803004</v>
      </c>
      <c r="T24" s="111">
        <f t="shared" si="7"/>
        <v>0</v>
      </c>
      <c r="U24" s="111">
        <f t="shared" si="7"/>
        <v>93772.104455606008</v>
      </c>
      <c r="V24" s="111">
        <f t="shared" si="7"/>
        <v>46886.052227803004</v>
      </c>
      <c r="W24" s="111">
        <f t="shared" si="7"/>
        <v>46886.052227803004</v>
      </c>
      <c r="X24" s="111">
        <f t="shared" si="7"/>
        <v>46886.052227803004</v>
      </c>
      <c r="Y24" s="111">
        <f t="shared" si="7"/>
        <v>46886.052227803004</v>
      </c>
      <c r="Z24" s="111">
        <f t="shared" si="7"/>
        <v>46886.052227803004</v>
      </c>
      <c r="AA24" s="111">
        <f t="shared" si="7"/>
        <v>46886.052227803004</v>
      </c>
      <c r="AB24" s="111">
        <f t="shared" si="7"/>
        <v>46886.052227803004</v>
      </c>
      <c r="AC24" s="111">
        <f t="shared" si="7"/>
        <v>46886.052227803004</v>
      </c>
      <c r="AD24" s="111">
        <f t="shared" si="7"/>
        <v>46886.052227803004</v>
      </c>
      <c r="AE24" s="111">
        <f t="shared" si="7"/>
        <v>46886.052227803004</v>
      </c>
      <c r="AF24" s="111">
        <f t="shared" si="7"/>
        <v>46886.052227803004</v>
      </c>
      <c r="AG24" s="111">
        <f t="shared" si="7"/>
        <v>46886.052227803004</v>
      </c>
      <c r="AH24" s="111">
        <f t="shared" si="7"/>
        <v>46886.052227803004</v>
      </c>
      <c r="AI24" s="111">
        <f t="shared" si="7"/>
        <v>46886.052227803004</v>
      </c>
      <c r="AJ24" s="111">
        <f t="shared" si="7"/>
        <v>46886.052227803004</v>
      </c>
      <c r="AK24" s="111">
        <f t="shared" si="7"/>
        <v>46886.052227803004</v>
      </c>
      <c r="AL24" s="111">
        <f t="shared" si="7"/>
        <v>46886.052227803004</v>
      </c>
      <c r="AM24" s="111">
        <f t="shared" si="7"/>
        <v>46886.052227803004</v>
      </c>
      <c r="AN24" s="111">
        <f t="shared" si="7"/>
        <v>46886.052227803004</v>
      </c>
      <c r="AO24" s="111">
        <f t="shared" si="7"/>
        <v>46886.052227803004</v>
      </c>
      <c r="AP24" s="111">
        <f t="shared" si="7"/>
        <v>46886.052227803004</v>
      </c>
      <c r="AQ24" s="111">
        <f t="shared" si="7"/>
        <v>46886.052227803004</v>
      </c>
      <c r="AR24" s="111">
        <f t="shared" si="7"/>
        <v>46886.052227803004</v>
      </c>
      <c r="AS24" s="111">
        <f t="shared" si="7"/>
        <v>46886.052227803004</v>
      </c>
      <c r="AT24" s="111">
        <f t="shared" si="7"/>
        <v>46886.052227803004</v>
      </c>
      <c r="AU24" s="111">
        <f t="shared" si="7"/>
        <v>46886.052227803004</v>
      </c>
      <c r="AV24" s="111">
        <f t="shared" si="7"/>
        <v>46886.052227803004</v>
      </c>
      <c r="AW24" s="111">
        <f t="shared" si="7"/>
        <v>46886.052227803004</v>
      </c>
      <c r="AX24" s="111">
        <f t="shared" si="7"/>
        <v>46886.052227803004</v>
      </c>
      <c r="AY24" s="111">
        <f t="shared" si="7"/>
        <v>46886.052227803004</v>
      </c>
      <c r="AZ24" s="146">
        <f t="shared" si="5"/>
        <v>2106233.2337546204</v>
      </c>
    </row>
    <row r="25" spans="1:52" x14ac:dyDescent="0.2">
      <c r="C25" s="143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11"/>
    </row>
    <row r="26" spans="1:52" x14ac:dyDescent="0.2">
      <c r="A26" s="168" t="s">
        <v>18</v>
      </c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11"/>
      <c r="AB26" s="111"/>
      <c r="AC26" s="111"/>
      <c r="AD26" s="111"/>
      <c r="AE26" s="111"/>
      <c r="AF26" s="111"/>
      <c r="AG26" s="111"/>
      <c r="AH26" s="111"/>
      <c r="AI26" s="111"/>
      <c r="AJ26" s="111"/>
      <c r="AK26" s="111"/>
      <c r="AL26" s="111"/>
      <c r="AM26" s="111"/>
      <c r="AN26" s="111"/>
      <c r="AO26" s="111"/>
      <c r="AP26" s="111"/>
      <c r="AQ26" s="111"/>
      <c r="AR26" s="111"/>
      <c r="AS26" s="111"/>
      <c r="AT26" s="111"/>
      <c r="AU26" s="111"/>
      <c r="AV26" s="111"/>
      <c r="AW26" s="111"/>
      <c r="AX26" s="111"/>
      <c r="AY26" s="111"/>
      <c r="AZ26" s="111"/>
    </row>
    <row r="27" spans="1:52" x14ac:dyDescent="0.2">
      <c r="B27" s="140" t="s">
        <v>309</v>
      </c>
      <c r="C27" s="129">
        <v>10</v>
      </c>
      <c r="D27" s="129">
        <f>C$27-C$28+C$29</f>
        <v>10</v>
      </c>
      <c r="E27" s="129">
        <f t="shared" ref="E27:AY27" si="8">D27-D28+D29</f>
        <v>10</v>
      </c>
      <c r="F27" s="129">
        <f t="shared" si="8"/>
        <v>17</v>
      </c>
      <c r="G27" s="129">
        <f t="shared" si="8"/>
        <v>17</v>
      </c>
      <c r="H27" s="129">
        <f t="shared" si="8"/>
        <v>17</v>
      </c>
      <c r="I27" s="129">
        <f t="shared" si="8"/>
        <v>17</v>
      </c>
      <c r="J27" s="129">
        <f t="shared" si="8"/>
        <v>13</v>
      </c>
      <c r="K27" s="129">
        <f t="shared" si="8"/>
        <v>13</v>
      </c>
      <c r="L27" s="129">
        <f t="shared" si="8"/>
        <v>13</v>
      </c>
      <c r="M27" s="129">
        <f t="shared" si="8"/>
        <v>13</v>
      </c>
      <c r="N27" s="129">
        <f t="shared" si="8"/>
        <v>13</v>
      </c>
      <c r="O27" s="129">
        <f t="shared" si="8"/>
        <v>13</v>
      </c>
      <c r="P27" s="129">
        <f t="shared" si="8"/>
        <v>13</v>
      </c>
      <c r="Q27" s="129">
        <f t="shared" si="8"/>
        <v>13</v>
      </c>
      <c r="R27" s="129">
        <f t="shared" si="8"/>
        <v>13</v>
      </c>
      <c r="S27" s="129">
        <f t="shared" si="8"/>
        <v>13</v>
      </c>
      <c r="T27" s="129">
        <f t="shared" si="8"/>
        <v>13</v>
      </c>
      <c r="U27" s="129">
        <f t="shared" si="8"/>
        <v>17</v>
      </c>
      <c r="V27" s="129">
        <f t="shared" si="8"/>
        <v>10</v>
      </c>
      <c r="W27" s="129">
        <f t="shared" si="8"/>
        <v>13</v>
      </c>
      <c r="X27" s="129">
        <f t="shared" si="8"/>
        <v>13</v>
      </c>
      <c r="Y27" s="129">
        <f t="shared" si="8"/>
        <v>13</v>
      </c>
      <c r="Z27" s="129">
        <f t="shared" si="8"/>
        <v>13</v>
      </c>
      <c r="AA27" s="129">
        <f t="shared" si="8"/>
        <v>13</v>
      </c>
      <c r="AB27" s="129">
        <f t="shared" si="8"/>
        <v>13</v>
      </c>
      <c r="AC27" s="129">
        <f t="shared" si="8"/>
        <v>13</v>
      </c>
      <c r="AD27" s="129">
        <f t="shared" si="8"/>
        <v>13</v>
      </c>
      <c r="AE27" s="129">
        <f t="shared" si="8"/>
        <v>13</v>
      </c>
      <c r="AF27" s="129">
        <f t="shared" si="8"/>
        <v>13</v>
      </c>
      <c r="AG27" s="129">
        <f t="shared" si="8"/>
        <v>13</v>
      </c>
      <c r="AH27" s="129">
        <f t="shared" si="8"/>
        <v>13</v>
      </c>
      <c r="AI27" s="129">
        <f t="shared" si="8"/>
        <v>13</v>
      </c>
      <c r="AJ27" s="129">
        <f t="shared" si="8"/>
        <v>13</v>
      </c>
      <c r="AK27" s="129">
        <f t="shared" si="8"/>
        <v>13</v>
      </c>
      <c r="AL27" s="129">
        <f t="shared" si="8"/>
        <v>13</v>
      </c>
      <c r="AM27" s="129">
        <f t="shared" si="8"/>
        <v>13</v>
      </c>
      <c r="AN27" s="129">
        <f t="shared" si="8"/>
        <v>13</v>
      </c>
      <c r="AO27" s="129">
        <f t="shared" si="8"/>
        <v>13</v>
      </c>
      <c r="AP27" s="129">
        <f t="shared" si="8"/>
        <v>13</v>
      </c>
      <c r="AQ27" s="129">
        <f t="shared" si="8"/>
        <v>13</v>
      </c>
      <c r="AR27" s="129">
        <f t="shared" si="8"/>
        <v>13</v>
      </c>
      <c r="AS27" s="129">
        <f t="shared" si="8"/>
        <v>13</v>
      </c>
      <c r="AT27" s="129">
        <f t="shared" si="8"/>
        <v>13</v>
      </c>
      <c r="AU27" s="129">
        <f t="shared" si="8"/>
        <v>13</v>
      </c>
      <c r="AV27" s="129">
        <f t="shared" si="8"/>
        <v>13</v>
      </c>
      <c r="AW27" s="129">
        <f t="shared" si="8"/>
        <v>13</v>
      </c>
      <c r="AX27" s="129">
        <f t="shared" si="8"/>
        <v>13</v>
      </c>
      <c r="AY27" s="169">
        <f t="shared" si="8"/>
        <v>13</v>
      </c>
      <c r="AZ27" s="111"/>
    </row>
    <row r="28" spans="1:52" x14ac:dyDescent="0.2">
      <c r="B28" s="170" t="s">
        <v>310</v>
      </c>
      <c r="C28" s="115">
        <v>7</v>
      </c>
      <c r="D28" s="115">
        <v>7</v>
      </c>
      <c r="E28" s="115">
        <v>0</v>
      </c>
      <c r="F28" s="115">
        <v>0</v>
      </c>
      <c r="G28" s="115">
        <v>0</v>
      </c>
      <c r="H28" s="115">
        <v>0</v>
      </c>
      <c r="I28" s="115">
        <v>4</v>
      </c>
      <c r="J28" s="115">
        <v>4</v>
      </c>
      <c r="K28" s="115">
        <v>4</v>
      </c>
      <c r="L28" s="115">
        <v>4</v>
      </c>
      <c r="M28" s="115">
        <v>4</v>
      </c>
      <c r="N28" s="115">
        <v>4</v>
      </c>
      <c r="O28" s="115">
        <v>4</v>
      </c>
      <c r="P28" s="115">
        <v>4</v>
      </c>
      <c r="Q28" s="115">
        <v>4</v>
      </c>
      <c r="R28" s="115">
        <v>4</v>
      </c>
      <c r="S28" s="115">
        <v>4</v>
      </c>
      <c r="T28" s="115">
        <v>0</v>
      </c>
      <c r="U28" s="115">
        <v>7</v>
      </c>
      <c r="V28" s="115">
        <v>4</v>
      </c>
      <c r="W28" s="115">
        <v>4</v>
      </c>
      <c r="X28" s="115">
        <v>4</v>
      </c>
      <c r="Y28" s="115">
        <v>4</v>
      </c>
      <c r="Z28" s="115">
        <v>4</v>
      </c>
      <c r="AA28" s="115">
        <v>4</v>
      </c>
      <c r="AB28" s="115">
        <v>4</v>
      </c>
      <c r="AC28" s="115">
        <v>4</v>
      </c>
      <c r="AD28" s="115">
        <v>4</v>
      </c>
      <c r="AE28" s="115">
        <v>4</v>
      </c>
      <c r="AF28" s="115">
        <v>4</v>
      </c>
      <c r="AG28" s="115">
        <v>4</v>
      </c>
      <c r="AH28" s="115">
        <v>4</v>
      </c>
      <c r="AI28" s="115">
        <v>4</v>
      </c>
      <c r="AJ28" s="115">
        <v>4</v>
      </c>
      <c r="AK28" s="115">
        <v>4</v>
      </c>
      <c r="AL28" s="115">
        <v>4</v>
      </c>
      <c r="AM28" s="115">
        <v>4</v>
      </c>
      <c r="AN28" s="115">
        <v>4</v>
      </c>
      <c r="AO28" s="115">
        <v>4</v>
      </c>
      <c r="AP28" s="115">
        <v>4</v>
      </c>
      <c r="AQ28" s="115">
        <v>4</v>
      </c>
      <c r="AR28" s="115">
        <v>4</v>
      </c>
      <c r="AS28" s="115">
        <v>4</v>
      </c>
      <c r="AT28" s="115">
        <v>4</v>
      </c>
      <c r="AU28" s="115">
        <v>4</v>
      </c>
      <c r="AV28" s="115">
        <v>4</v>
      </c>
      <c r="AW28" s="115">
        <v>4</v>
      </c>
      <c r="AX28" s="115">
        <v>4</v>
      </c>
      <c r="AY28" s="171">
        <v>4</v>
      </c>
      <c r="AZ28" s="111"/>
    </row>
    <row r="29" spans="1:52" x14ac:dyDescent="0.2">
      <c r="B29" s="141" t="s">
        <v>311</v>
      </c>
      <c r="C29" s="130">
        <v>7</v>
      </c>
      <c r="D29" s="130">
        <f>C$28</f>
        <v>7</v>
      </c>
      <c r="E29" s="130">
        <f t="shared" ref="E29:AY29" si="9">D$28</f>
        <v>7</v>
      </c>
      <c r="F29" s="130">
        <f t="shared" si="9"/>
        <v>0</v>
      </c>
      <c r="G29" s="130">
        <f t="shared" si="9"/>
        <v>0</v>
      </c>
      <c r="H29" s="130">
        <f t="shared" si="9"/>
        <v>0</v>
      </c>
      <c r="I29" s="130">
        <f t="shared" si="9"/>
        <v>0</v>
      </c>
      <c r="J29" s="130">
        <f t="shared" si="9"/>
        <v>4</v>
      </c>
      <c r="K29" s="130">
        <f t="shared" si="9"/>
        <v>4</v>
      </c>
      <c r="L29" s="130">
        <f t="shared" si="9"/>
        <v>4</v>
      </c>
      <c r="M29" s="130">
        <f t="shared" si="9"/>
        <v>4</v>
      </c>
      <c r="N29" s="130">
        <f t="shared" si="9"/>
        <v>4</v>
      </c>
      <c r="O29" s="130">
        <f t="shared" si="9"/>
        <v>4</v>
      </c>
      <c r="P29" s="130">
        <f t="shared" si="9"/>
        <v>4</v>
      </c>
      <c r="Q29" s="130">
        <f t="shared" si="9"/>
        <v>4</v>
      </c>
      <c r="R29" s="130">
        <f t="shared" si="9"/>
        <v>4</v>
      </c>
      <c r="S29" s="130">
        <f t="shared" si="9"/>
        <v>4</v>
      </c>
      <c r="T29" s="130">
        <f t="shared" si="9"/>
        <v>4</v>
      </c>
      <c r="U29" s="130">
        <f t="shared" si="9"/>
        <v>0</v>
      </c>
      <c r="V29" s="130">
        <f t="shared" si="9"/>
        <v>7</v>
      </c>
      <c r="W29" s="130">
        <f t="shared" si="9"/>
        <v>4</v>
      </c>
      <c r="X29" s="130">
        <f t="shared" si="9"/>
        <v>4</v>
      </c>
      <c r="Y29" s="130">
        <f t="shared" si="9"/>
        <v>4</v>
      </c>
      <c r="Z29" s="130">
        <f t="shared" si="9"/>
        <v>4</v>
      </c>
      <c r="AA29" s="130">
        <f t="shared" si="9"/>
        <v>4</v>
      </c>
      <c r="AB29" s="130">
        <f t="shared" si="9"/>
        <v>4</v>
      </c>
      <c r="AC29" s="130">
        <f t="shared" si="9"/>
        <v>4</v>
      </c>
      <c r="AD29" s="130">
        <f t="shared" si="9"/>
        <v>4</v>
      </c>
      <c r="AE29" s="130">
        <f t="shared" si="9"/>
        <v>4</v>
      </c>
      <c r="AF29" s="130">
        <f t="shared" si="9"/>
        <v>4</v>
      </c>
      <c r="AG29" s="130">
        <f t="shared" si="9"/>
        <v>4</v>
      </c>
      <c r="AH29" s="130">
        <f t="shared" si="9"/>
        <v>4</v>
      </c>
      <c r="AI29" s="130">
        <f t="shared" si="9"/>
        <v>4</v>
      </c>
      <c r="AJ29" s="130">
        <f t="shared" si="9"/>
        <v>4</v>
      </c>
      <c r="AK29" s="130">
        <f t="shared" si="9"/>
        <v>4</v>
      </c>
      <c r="AL29" s="130">
        <f t="shared" si="9"/>
        <v>4</v>
      </c>
      <c r="AM29" s="130">
        <f t="shared" si="9"/>
        <v>4</v>
      </c>
      <c r="AN29" s="130">
        <f t="shared" si="9"/>
        <v>4</v>
      </c>
      <c r="AO29" s="130">
        <f t="shared" si="9"/>
        <v>4</v>
      </c>
      <c r="AP29" s="130">
        <f t="shared" si="9"/>
        <v>4</v>
      </c>
      <c r="AQ29" s="130">
        <f t="shared" si="9"/>
        <v>4</v>
      </c>
      <c r="AR29" s="130">
        <f t="shared" si="9"/>
        <v>4</v>
      </c>
      <c r="AS29" s="130">
        <f t="shared" si="9"/>
        <v>4</v>
      </c>
      <c r="AT29" s="130">
        <f t="shared" si="9"/>
        <v>4</v>
      </c>
      <c r="AU29" s="130">
        <f t="shared" si="9"/>
        <v>4</v>
      </c>
      <c r="AV29" s="130">
        <f t="shared" si="9"/>
        <v>4</v>
      </c>
      <c r="AW29" s="130">
        <f t="shared" si="9"/>
        <v>4</v>
      </c>
      <c r="AX29" s="130">
        <f t="shared" si="9"/>
        <v>4</v>
      </c>
      <c r="AY29" s="172">
        <f t="shared" si="9"/>
        <v>4</v>
      </c>
      <c r="AZ29" s="173"/>
    </row>
    <row r="30" spans="1:52" x14ac:dyDescent="0.2">
      <c r="A30" s="174" t="s">
        <v>312</v>
      </c>
      <c r="B30" s="149">
        <v>10</v>
      </c>
      <c r="C30" s="122" t="s">
        <v>293</v>
      </c>
      <c r="D30" s="122">
        <f>D$27*$B$30</f>
        <v>100</v>
      </c>
      <c r="E30" s="122">
        <f t="shared" ref="E30:AY30" si="10">E$27*$B$30</f>
        <v>100</v>
      </c>
      <c r="F30" s="122">
        <f t="shared" si="10"/>
        <v>170</v>
      </c>
      <c r="G30" s="122">
        <f t="shared" si="10"/>
        <v>170</v>
      </c>
      <c r="H30" s="122">
        <f t="shared" si="10"/>
        <v>170</v>
      </c>
      <c r="I30" s="122">
        <f t="shared" si="10"/>
        <v>170</v>
      </c>
      <c r="J30" s="122">
        <f t="shared" si="10"/>
        <v>130</v>
      </c>
      <c r="K30" s="122">
        <f t="shared" si="10"/>
        <v>130</v>
      </c>
      <c r="L30" s="122">
        <f t="shared" si="10"/>
        <v>130</v>
      </c>
      <c r="M30" s="122">
        <f t="shared" si="10"/>
        <v>130</v>
      </c>
      <c r="N30" s="122">
        <f t="shared" si="10"/>
        <v>130</v>
      </c>
      <c r="O30" s="122">
        <f t="shared" si="10"/>
        <v>130</v>
      </c>
      <c r="P30" s="122">
        <f t="shared" si="10"/>
        <v>130</v>
      </c>
      <c r="Q30" s="122">
        <f t="shared" si="10"/>
        <v>130</v>
      </c>
      <c r="R30" s="122">
        <f>R$27*$B$30</f>
        <v>130</v>
      </c>
      <c r="S30" s="122">
        <f t="shared" si="10"/>
        <v>130</v>
      </c>
      <c r="T30" s="122">
        <f t="shared" si="10"/>
        <v>130</v>
      </c>
      <c r="U30" s="122">
        <f t="shared" si="10"/>
        <v>170</v>
      </c>
      <c r="V30" s="122">
        <f t="shared" si="10"/>
        <v>100</v>
      </c>
      <c r="W30" s="122">
        <f t="shared" si="10"/>
        <v>130</v>
      </c>
      <c r="X30" s="122">
        <f t="shared" si="10"/>
        <v>130</v>
      </c>
      <c r="Y30" s="122">
        <f t="shared" si="10"/>
        <v>130</v>
      </c>
      <c r="Z30" s="122">
        <f t="shared" si="10"/>
        <v>130</v>
      </c>
      <c r="AA30" s="122">
        <f t="shared" si="10"/>
        <v>130</v>
      </c>
      <c r="AB30" s="122">
        <f t="shared" si="10"/>
        <v>130</v>
      </c>
      <c r="AC30" s="122">
        <f t="shared" si="10"/>
        <v>130</v>
      </c>
      <c r="AD30" s="122">
        <f t="shared" si="10"/>
        <v>130</v>
      </c>
      <c r="AE30" s="122">
        <f>AE$27*$B$30</f>
        <v>130</v>
      </c>
      <c r="AF30" s="122">
        <f t="shared" si="10"/>
        <v>130</v>
      </c>
      <c r="AG30" s="122">
        <f t="shared" si="10"/>
        <v>130</v>
      </c>
      <c r="AH30" s="122">
        <f t="shared" si="10"/>
        <v>130</v>
      </c>
      <c r="AI30" s="122">
        <f t="shared" si="10"/>
        <v>130</v>
      </c>
      <c r="AJ30" s="122">
        <f t="shared" si="10"/>
        <v>130</v>
      </c>
      <c r="AK30" s="122">
        <f t="shared" si="10"/>
        <v>130</v>
      </c>
      <c r="AL30" s="122">
        <f t="shared" si="10"/>
        <v>130</v>
      </c>
      <c r="AM30" s="122">
        <f t="shared" si="10"/>
        <v>130</v>
      </c>
      <c r="AN30" s="122">
        <f t="shared" si="10"/>
        <v>130</v>
      </c>
      <c r="AO30" s="122">
        <f t="shared" si="10"/>
        <v>130</v>
      </c>
      <c r="AP30" s="122">
        <f t="shared" si="10"/>
        <v>130</v>
      </c>
      <c r="AQ30" s="122">
        <f t="shared" si="10"/>
        <v>130</v>
      </c>
      <c r="AR30" s="122">
        <f t="shared" si="10"/>
        <v>130</v>
      </c>
      <c r="AS30" s="122">
        <f t="shared" si="10"/>
        <v>130</v>
      </c>
      <c r="AT30" s="122">
        <f t="shared" si="10"/>
        <v>130</v>
      </c>
      <c r="AU30" s="122">
        <f t="shared" si="10"/>
        <v>130</v>
      </c>
      <c r="AV30" s="122">
        <f t="shared" si="10"/>
        <v>130</v>
      </c>
      <c r="AW30" s="122">
        <f t="shared" si="10"/>
        <v>130</v>
      </c>
      <c r="AX30" s="122">
        <f t="shared" si="10"/>
        <v>130</v>
      </c>
      <c r="AY30" s="122">
        <f t="shared" si="10"/>
        <v>130</v>
      </c>
      <c r="AZ30" s="146">
        <f t="shared" si="5"/>
        <v>6350</v>
      </c>
    </row>
    <row r="32" spans="1:52" x14ac:dyDescent="0.2">
      <c r="A32" s="107" t="s">
        <v>300</v>
      </c>
    </row>
    <row r="33" spans="1:52" x14ac:dyDescent="0.2">
      <c r="A33" s="140" t="s">
        <v>34</v>
      </c>
      <c r="B33" s="140" t="s">
        <v>342</v>
      </c>
      <c r="C33" s="129"/>
      <c r="D33" s="129">
        <f>D$21*shipping_manufacturing!$J$27/100</f>
        <v>0</v>
      </c>
      <c r="E33" s="129">
        <f>E$21*shipping_manufacturing!$J$27/100</f>
        <v>0</v>
      </c>
      <c r="F33" s="129">
        <f>F$21*shipping_manufacturing!$J$27/100</f>
        <v>0</v>
      </c>
      <c r="G33" s="129">
        <f>G$21*shipping_manufacturing!$J$27/100</f>
        <v>0</v>
      </c>
      <c r="H33" s="129">
        <f>H$21*shipping_manufacturing!$J$27/100</f>
        <v>0</v>
      </c>
      <c r="I33" s="129">
        <f>I$21*shipping_manufacturing!$J$27/100</f>
        <v>0</v>
      </c>
      <c r="J33" s="129">
        <f>J$21*shipping_manufacturing!$J$27/100</f>
        <v>0</v>
      </c>
      <c r="K33" s="129">
        <f>K$21*shipping_manufacturing!$J$27/100</f>
        <v>0</v>
      </c>
      <c r="L33" s="129">
        <f>L$21*shipping_manufacturing!$J$27/100</f>
        <v>0</v>
      </c>
      <c r="M33" s="129">
        <f>M$21*shipping_manufacturing!$J$27/100</f>
        <v>0</v>
      </c>
      <c r="N33" s="129">
        <f>N$21*shipping_manufacturing!$J$27/100</f>
        <v>0</v>
      </c>
      <c r="O33" s="129">
        <f>O$21*shipping_manufacturing!$J$27/100</f>
        <v>0</v>
      </c>
      <c r="P33" s="129">
        <f>P$21*shipping_manufacturing!$J$27/100</f>
        <v>0</v>
      </c>
      <c r="Q33" s="129">
        <f>Q$21*shipping_manufacturing!$J$27/100</f>
        <v>0</v>
      </c>
      <c r="R33" s="129">
        <f>R$21*shipping_manufacturing!$J$27/100</f>
        <v>0</v>
      </c>
      <c r="S33" s="129">
        <f>S$21*shipping_manufacturing!$J$27/100</f>
        <v>0</v>
      </c>
      <c r="T33" s="129">
        <f>T$21*shipping_manufacturing!$J$27/100</f>
        <v>0</v>
      </c>
      <c r="U33" s="129">
        <f>U$21*shipping_manufacturing!$J$27/100</f>
        <v>0</v>
      </c>
      <c r="V33" s="129">
        <f>V$21*shipping_manufacturing!$J$27/100</f>
        <v>0</v>
      </c>
      <c r="W33" s="129">
        <f>W$21*shipping_manufacturing!$J$27/100</f>
        <v>0</v>
      </c>
      <c r="X33" s="129">
        <f>X$21*shipping_manufacturing!$J$27/100</f>
        <v>0</v>
      </c>
      <c r="Y33" s="129">
        <f>Y$21*shipping_manufacturing!$J$27/100</f>
        <v>0</v>
      </c>
      <c r="Z33" s="129">
        <f>Z$21*shipping_manufacturing!$J$27/100</f>
        <v>0</v>
      </c>
      <c r="AA33" s="129">
        <f>AA$21*shipping_manufacturing!$J$27/100</f>
        <v>0</v>
      </c>
      <c r="AB33" s="129">
        <f>AB$21*shipping_manufacturing!$J$27/100</f>
        <v>0</v>
      </c>
      <c r="AC33" s="129">
        <f>AC$21*shipping_manufacturing!$J$27/100</f>
        <v>0</v>
      </c>
      <c r="AD33" s="129">
        <f>AD$21*shipping_manufacturing!$J$27/100</f>
        <v>0</v>
      </c>
      <c r="AE33" s="129">
        <f>AE$21*shipping_manufacturing!$J$27/100</f>
        <v>0</v>
      </c>
      <c r="AF33" s="129">
        <f>AF$21*shipping_manufacturing!$J$27/100</f>
        <v>0</v>
      </c>
      <c r="AG33" s="129">
        <f>AG$21*shipping_manufacturing!$J$27/100</f>
        <v>0</v>
      </c>
      <c r="AH33" s="129">
        <f>AH$21*shipping_manufacturing!$J$27/100</f>
        <v>0</v>
      </c>
      <c r="AI33" s="129">
        <f>AI$21*shipping_manufacturing!$J$27/100</f>
        <v>0</v>
      </c>
      <c r="AJ33" s="129">
        <f>AJ$21*shipping_manufacturing!$J$27/100</f>
        <v>0</v>
      </c>
      <c r="AK33" s="129">
        <f>AK$21*shipping_manufacturing!$J$27/100</f>
        <v>0</v>
      </c>
      <c r="AL33" s="129">
        <f>AL$21*shipping_manufacturing!$J$27/100</f>
        <v>0</v>
      </c>
      <c r="AM33" s="129">
        <f>AM$21*shipping_manufacturing!$J$27/100</f>
        <v>0</v>
      </c>
      <c r="AN33" s="129">
        <f>AN$21*shipping_manufacturing!$J$27/100</f>
        <v>0</v>
      </c>
      <c r="AO33" s="129">
        <f>AO$21*shipping_manufacturing!$J$27/100</f>
        <v>0</v>
      </c>
      <c r="AP33" s="129">
        <f>AP$21*shipping_manufacturing!$J$27/100</f>
        <v>0</v>
      </c>
      <c r="AQ33" s="129">
        <f>AQ$21*shipping_manufacturing!$J$27/100</f>
        <v>0</v>
      </c>
      <c r="AR33" s="129">
        <f>AR$21*shipping_manufacturing!$J$27/100</f>
        <v>0</v>
      </c>
      <c r="AS33" s="129">
        <f>AS$21*shipping_manufacturing!$J$27/100</f>
        <v>0</v>
      </c>
      <c r="AT33" s="129">
        <f>AT$21*shipping_manufacturing!$J$27/100</f>
        <v>0</v>
      </c>
      <c r="AU33" s="129">
        <f>AU$21*shipping_manufacturing!$J$27/100</f>
        <v>0</v>
      </c>
      <c r="AV33" s="129">
        <f>AV$21*shipping_manufacturing!$J$27/100</f>
        <v>0</v>
      </c>
      <c r="AW33" s="129">
        <f>AW$21*shipping_manufacturing!$J$27/100</f>
        <v>0</v>
      </c>
      <c r="AX33" s="129">
        <f>AX$21*shipping_manufacturing!$J$27/100</f>
        <v>0</v>
      </c>
      <c r="AY33" s="129">
        <f>AY$21*shipping_manufacturing!$J$27/100</f>
        <v>0</v>
      </c>
    </row>
    <row r="34" spans="1:52" x14ac:dyDescent="0.2">
      <c r="A34" s="118" t="s">
        <v>341</v>
      </c>
      <c r="B34" s="170" t="s">
        <v>343</v>
      </c>
      <c r="C34" s="115"/>
      <c r="D34" s="115">
        <f>D$22*shipping_manufacturing!$K$27/100</f>
        <v>0</v>
      </c>
      <c r="E34" s="115">
        <f>E$22*shipping_manufacturing!$K$27/100</f>
        <v>0</v>
      </c>
      <c r="F34" s="115">
        <f>F$22*shipping_manufacturing!$K$27/100</f>
        <v>0</v>
      </c>
      <c r="G34" s="115">
        <f>G$22*shipping_manufacturing!$K$27/100</f>
        <v>0</v>
      </c>
      <c r="H34" s="115">
        <f>H$22*shipping_manufacturing!$K$27/100</f>
        <v>0</v>
      </c>
      <c r="I34" s="115">
        <f>I$22*shipping_manufacturing!$K$27/100</f>
        <v>0</v>
      </c>
      <c r="J34" s="115">
        <f>J$22*shipping_manufacturing!$K$27/100</f>
        <v>0</v>
      </c>
      <c r="K34" s="115">
        <f>K$22*shipping_manufacturing!$K$27/100</f>
        <v>0</v>
      </c>
      <c r="L34" s="115">
        <f>L$22*shipping_manufacturing!$K$27/100</f>
        <v>0</v>
      </c>
      <c r="M34" s="115">
        <f>M$22*shipping_manufacturing!$K$27/100</f>
        <v>0</v>
      </c>
      <c r="N34" s="115">
        <f>N$22*shipping_manufacturing!$K$27/100</f>
        <v>0</v>
      </c>
      <c r="O34" s="115">
        <f>O$22*shipping_manufacturing!$K$27/100</f>
        <v>0</v>
      </c>
      <c r="P34" s="115">
        <f>P$22*shipping_manufacturing!$K$27/100</f>
        <v>0</v>
      </c>
      <c r="Q34" s="115">
        <f>Q$22*shipping_manufacturing!$K$27/100</f>
        <v>0</v>
      </c>
      <c r="R34" s="115">
        <f>R$22*shipping_manufacturing!$K$27/100</f>
        <v>0</v>
      </c>
      <c r="S34" s="115">
        <f>S$22*shipping_manufacturing!$K$27/100</f>
        <v>0</v>
      </c>
      <c r="T34" s="115">
        <f>T$22*shipping_manufacturing!$K$27/100</f>
        <v>0</v>
      </c>
      <c r="U34" s="115">
        <f>U$22*shipping_manufacturing!$K$27/100</f>
        <v>0</v>
      </c>
      <c r="V34" s="115">
        <f>V$22*shipping_manufacturing!$K$27/100</f>
        <v>0</v>
      </c>
      <c r="W34" s="115">
        <f>W$22*shipping_manufacturing!$K$27/100</f>
        <v>0</v>
      </c>
      <c r="X34" s="115">
        <f>X$22*shipping_manufacturing!$K$27/100</f>
        <v>0</v>
      </c>
      <c r="Y34" s="115">
        <f>Y$22*shipping_manufacturing!$K$27/100</f>
        <v>0</v>
      </c>
      <c r="Z34" s="115">
        <f>Z$22*shipping_manufacturing!$K$27/100</f>
        <v>0</v>
      </c>
      <c r="AA34" s="115">
        <f>AA$22*shipping_manufacturing!$K$27/100</f>
        <v>0</v>
      </c>
      <c r="AB34" s="115">
        <f>AB$22*shipping_manufacturing!$K$27/100</f>
        <v>0</v>
      </c>
      <c r="AC34" s="115">
        <f>AC$22*shipping_manufacturing!$K$27/100</f>
        <v>0</v>
      </c>
      <c r="AD34" s="115">
        <f>AD$22*shipping_manufacturing!$K$27/100</f>
        <v>0</v>
      </c>
      <c r="AE34" s="115">
        <f>AE$22*shipping_manufacturing!$K$27/100</f>
        <v>0</v>
      </c>
      <c r="AF34" s="115">
        <f>AF$22*shipping_manufacturing!$K$27/100</f>
        <v>0</v>
      </c>
      <c r="AG34" s="115">
        <f>AG$22*shipping_manufacturing!$K$27/100</f>
        <v>0</v>
      </c>
      <c r="AH34" s="115">
        <f>AH$22*shipping_manufacturing!$K$27/100</f>
        <v>0</v>
      </c>
      <c r="AI34" s="115">
        <f>AI$22*shipping_manufacturing!$K$27/100</f>
        <v>0</v>
      </c>
      <c r="AJ34" s="115">
        <f>AJ$22*shipping_manufacturing!$K$27/100</f>
        <v>0</v>
      </c>
      <c r="AK34" s="115">
        <f>AK$22*shipping_manufacturing!$K$27/100</f>
        <v>0</v>
      </c>
      <c r="AL34" s="115">
        <f>AL$22*shipping_manufacturing!$K$27/100</f>
        <v>0</v>
      </c>
      <c r="AM34" s="115">
        <f>AM$22*shipping_manufacturing!$K$27/100</f>
        <v>0</v>
      </c>
      <c r="AN34" s="115">
        <f>AN$22*shipping_manufacturing!$K$27/100</f>
        <v>0</v>
      </c>
      <c r="AO34" s="115">
        <f>AO$22*shipping_manufacturing!$K$27/100</f>
        <v>0</v>
      </c>
      <c r="AP34" s="115">
        <f>AP$22*shipping_manufacturing!$K$27/100</f>
        <v>0</v>
      </c>
      <c r="AQ34" s="115">
        <f>AQ$22*shipping_manufacturing!$K$27/100</f>
        <v>0</v>
      </c>
      <c r="AR34" s="115">
        <f>AR$22*shipping_manufacturing!$K$27/100</f>
        <v>0</v>
      </c>
      <c r="AS34" s="115">
        <f>AS$22*shipping_manufacturing!$K$27/100</f>
        <v>0</v>
      </c>
      <c r="AT34" s="115">
        <f>AT$22*shipping_manufacturing!$K$27/100</f>
        <v>0</v>
      </c>
      <c r="AU34" s="115">
        <f>AU$22*shipping_manufacturing!$K$27/100</f>
        <v>0</v>
      </c>
      <c r="AV34" s="115">
        <f>AV$22*shipping_manufacturing!$K$27/100</f>
        <v>0</v>
      </c>
      <c r="AW34" s="115">
        <f>AW$22*shipping_manufacturing!$K$27/100</f>
        <v>0</v>
      </c>
      <c r="AX34" s="115">
        <f>AX$22*shipping_manufacturing!$K$27/100</f>
        <v>0</v>
      </c>
      <c r="AY34" s="115">
        <f>AY$22*shipping_manufacturing!$K$27/100</f>
        <v>0</v>
      </c>
    </row>
    <row r="35" spans="1:52" x14ac:dyDescent="0.2">
      <c r="A35" s="115">
        <v>1132</v>
      </c>
      <c r="B35" s="170" t="s">
        <v>344</v>
      </c>
      <c r="C35" s="115"/>
      <c r="D35" s="115">
        <f>SUM(D33:D34)</f>
        <v>0</v>
      </c>
      <c r="E35" s="115">
        <f t="shared" ref="E35:AY35" si="11">SUM(E33:E34)</f>
        <v>0</v>
      </c>
      <c r="F35" s="115">
        <f t="shared" si="11"/>
        <v>0</v>
      </c>
      <c r="G35" s="115">
        <f t="shared" si="11"/>
        <v>0</v>
      </c>
      <c r="H35" s="115">
        <f t="shared" si="11"/>
        <v>0</v>
      </c>
      <c r="I35" s="115">
        <f t="shared" si="11"/>
        <v>0</v>
      </c>
      <c r="J35" s="115">
        <f t="shared" si="11"/>
        <v>0</v>
      </c>
      <c r="K35" s="115">
        <f t="shared" si="11"/>
        <v>0</v>
      </c>
      <c r="L35" s="115">
        <f t="shared" si="11"/>
        <v>0</v>
      </c>
      <c r="M35" s="115">
        <f t="shared" si="11"/>
        <v>0</v>
      </c>
      <c r="N35" s="115">
        <f t="shared" si="11"/>
        <v>0</v>
      </c>
      <c r="O35" s="115">
        <f t="shared" si="11"/>
        <v>0</v>
      </c>
      <c r="P35" s="115">
        <f t="shared" si="11"/>
        <v>0</v>
      </c>
      <c r="Q35" s="115">
        <f t="shared" si="11"/>
        <v>0</v>
      </c>
      <c r="R35" s="115">
        <f t="shared" si="11"/>
        <v>0</v>
      </c>
      <c r="S35" s="115">
        <f t="shared" si="11"/>
        <v>0</v>
      </c>
      <c r="T35" s="115">
        <f t="shared" si="11"/>
        <v>0</v>
      </c>
      <c r="U35" s="115">
        <f t="shared" si="11"/>
        <v>0</v>
      </c>
      <c r="V35" s="115">
        <f t="shared" si="11"/>
        <v>0</v>
      </c>
      <c r="W35" s="115">
        <f t="shared" si="11"/>
        <v>0</v>
      </c>
      <c r="X35" s="115">
        <f t="shared" si="11"/>
        <v>0</v>
      </c>
      <c r="Y35" s="115">
        <f t="shared" si="11"/>
        <v>0</v>
      </c>
      <c r="Z35" s="115">
        <f t="shared" si="11"/>
        <v>0</v>
      </c>
      <c r="AA35" s="115">
        <f t="shared" si="11"/>
        <v>0</v>
      </c>
      <c r="AB35" s="115">
        <f t="shared" si="11"/>
        <v>0</v>
      </c>
      <c r="AC35" s="115">
        <f t="shared" si="11"/>
        <v>0</v>
      </c>
      <c r="AD35" s="115">
        <f t="shared" si="11"/>
        <v>0</v>
      </c>
      <c r="AE35" s="115">
        <f t="shared" si="11"/>
        <v>0</v>
      </c>
      <c r="AF35" s="115">
        <f t="shared" si="11"/>
        <v>0</v>
      </c>
      <c r="AG35" s="115">
        <f t="shared" si="11"/>
        <v>0</v>
      </c>
      <c r="AH35" s="115">
        <f t="shared" si="11"/>
        <v>0</v>
      </c>
      <c r="AI35" s="115">
        <f t="shared" si="11"/>
        <v>0</v>
      </c>
      <c r="AJ35" s="115">
        <f t="shared" si="11"/>
        <v>0</v>
      </c>
      <c r="AK35" s="115">
        <f t="shared" si="11"/>
        <v>0</v>
      </c>
      <c r="AL35" s="115">
        <f t="shared" si="11"/>
        <v>0</v>
      </c>
      <c r="AM35" s="115">
        <f t="shared" si="11"/>
        <v>0</v>
      </c>
      <c r="AN35" s="115">
        <f t="shared" si="11"/>
        <v>0</v>
      </c>
      <c r="AO35" s="115">
        <f t="shared" si="11"/>
        <v>0</v>
      </c>
      <c r="AP35" s="115">
        <f t="shared" si="11"/>
        <v>0</v>
      </c>
      <c r="AQ35" s="115">
        <f t="shared" si="11"/>
        <v>0</v>
      </c>
      <c r="AR35" s="115">
        <f t="shared" si="11"/>
        <v>0</v>
      </c>
      <c r="AS35" s="115">
        <f t="shared" si="11"/>
        <v>0</v>
      </c>
      <c r="AT35" s="115">
        <f t="shared" si="11"/>
        <v>0</v>
      </c>
      <c r="AU35" s="115">
        <f t="shared" si="11"/>
        <v>0</v>
      </c>
      <c r="AV35" s="115">
        <f t="shared" si="11"/>
        <v>0</v>
      </c>
      <c r="AW35" s="115">
        <f t="shared" si="11"/>
        <v>0</v>
      </c>
      <c r="AX35" s="115">
        <f t="shared" si="11"/>
        <v>0</v>
      </c>
      <c r="AY35" s="115">
        <f t="shared" si="11"/>
        <v>0</v>
      </c>
    </row>
    <row r="36" spans="1:52" x14ac:dyDescent="0.2">
      <c r="A36" s="115"/>
      <c r="B36" s="170" t="s">
        <v>345</v>
      </c>
      <c r="C36" s="115"/>
      <c r="D36" s="115"/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  <c r="AA36" s="115"/>
      <c r="AB36" s="115"/>
      <c r="AC36" s="115"/>
      <c r="AD36" s="115"/>
      <c r="AE36" s="115"/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</row>
    <row r="37" spans="1:52" x14ac:dyDescent="0.2">
      <c r="A37" s="115"/>
      <c r="B37" s="170" t="s">
        <v>346</v>
      </c>
      <c r="C37" s="115"/>
      <c r="D37" s="115"/>
      <c r="E37" s="115"/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  <c r="AA37" s="115"/>
      <c r="AB37" s="115"/>
      <c r="AC37" s="115"/>
      <c r="AD37" s="115"/>
      <c r="AE37" s="115"/>
      <c r="AF37" s="115"/>
      <c r="AG37" s="115"/>
      <c r="AH37" s="115"/>
      <c r="AI37" s="115"/>
      <c r="AJ37" s="115"/>
      <c r="AK37" s="115"/>
      <c r="AL37" s="115"/>
      <c r="AM37" s="115"/>
      <c r="AN37" s="115"/>
      <c r="AO37" s="115"/>
      <c r="AP37" s="115"/>
      <c r="AQ37" s="115"/>
      <c r="AR37" s="115"/>
      <c r="AS37" s="115"/>
      <c r="AT37" s="115"/>
      <c r="AU37" s="115"/>
      <c r="AV37" s="115"/>
      <c r="AW37" s="115"/>
      <c r="AX37" s="115"/>
      <c r="AY37" s="115"/>
    </row>
    <row r="38" spans="1:52" x14ac:dyDescent="0.2">
      <c r="A38" s="115"/>
      <c r="B38" s="170" t="s">
        <v>347</v>
      </c>
      <c r="C38" s="115"/>
      <c r="D38" s="115"/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  <c r="AH38" s="115"/>
      <c r="AI38" s="115"/>
      <c r="AJ38" s="115"/>
      <c r="AK38" s="115"/>
      <c r="AL38" s="115"/>
      <c r="AM38" s="115"/>
      <c r="AN38" s="115"/>
      <c r="AO38" s="115"/>
      <c r="AP38" s="115"/>
      <c r="AQ38" s="115"/>
      <c r="AR38" s="115"/>
      <c r="AS38" s="115"/>
      <c r="AT38" s="115"/>
      <c r="AU38" s="115"/>
      <c r="AV38" s="115"/>
      <c r="AW38" s="115"/>
      <c r="AX38" s="115"/>
      <c r="AY38" s="115"/>
    </row>
    <row r="39" spans="1:52" x14ac:dyDescent="0.2">
      <c r="A39" s="115"/>
      <c r="B39" s="170" t="s">
        <v>348</v>
      </c>
      <c r="C39" s="115"/>
      <c r="D39" s="115">
        <f>D33-D36</f>
        <v>0</v>
      </c>
      <c r="E39" s="115">
        <f t="shared" ref="E39:AY39" si="12">E33-E36</f>
        <v>0</v>
      </c>
      <c r="F39" s="115">
        <f t="shared" si="12"/>
        <v>0</v>
      </c>
      <c r="G39" s="115">
        <f t="shared" si="12"/>
        <v>0</v>
      </c>
      <c r="H39" s="115">
        <f t="shared" si="12"/>
        <v>0</v>
      </c>
      <c r="I39" s="115">
        <f t="shared" si="12"/>
        <v>0</v>
      </c>
      <c r="J39" s="115">
        <f t="shared" si="12"/>
        <v>0</v>
      </c>
      <c r="K39" s="115">
        <f t="shared" si="12"/>
        <v>0</v>
      </c>
      <c r="L39" s="115">
        <f t="shared" si="12"/>
        <v>0</v>
      </c>
      <c r="M39" s="115">
        <f t="shared" si="12"/>
        <v>0</v>
      </c>
      <c r="N39" s="115">
        <f t="shared" si="12"/>
        <v>0</v>
      </c>
      <c r="O39" s="115">
        <f t="shared" si="12"/>
        <v>0</v>
      </c>
      <c r="P39" s="115">
        <f t="shared" si="12"/>
        <v>0</v>
      </c>
      <c r="Q39" s="115">
        <f t="shared" si="12"/>
        <v>0</v>
      </c>
      <c r="R39" s="115">
        <f t="shared" si="12"/>
        <v>0</v>
      </c>
      <c r="S39" s="115">
        <f t="shared" si="12"/>
        <v>0</v>
      </c>
      <c r="T39" s="115">
        <f t="shared" si="12"/>
        <v>0</v>
      </c>
      <c r="U39" s="115">
        <f t="shared" si="12"/>
        <v>0</v>
      </c>
      <c r="V39" s="115">
        <f t="shared" si="12"/>
        <v>0</v>
      </c>
      <c r="W39" s="115">
        <f t="shared" si="12"/>
        <v>0</v>
      </c>
      <c r="X39" s="115">
        <f t="shared" si="12"/>
        <v>0</v>
      </c>
      <c r="Y39" s="115">
        <f t="shared" si="12"/>
        <v>0</v>
      </c>
      <c r="Z39" s="115">
        <f t="shared" si="12"/>
        <v>0</v>
      </c>
      <c r="AA39" s="115">
        <f t="shared" si="12"/>
        <v>0</v>
      </c>
      <c r="AB39" s="115">
        <f t="shared" si="12"/>
        <v>0</v>
      </c>
      <c r="AC39" s="115">
        <f t="shared" si="12"/>
        <v>0</v>
      </c>
      <c r="AD39" s="115">
        <f t="shared" si="12"/>
        <v>0</v>
      </c>
      <c r="AE39" s="115">
        <f t="shared" si="12"/>
        <v>0</v>
      </c>
      <c r="AF39" s="115">
        <f t="shared" si="12"/>
        <v>0</v>
      </c>
      <c r="AG39" s="115">
        <f t="shared" si="12"/>
        <v>0</v>
      </c>
      <c r="AH39" s="115">
        <f t="shared" si="12"/>
        <v>0</v>
      </c>
      <c r="AI39" s="115">
        <f t="shared" si="12"/>
        <v>0</v>
      </c>
      <c r="AJ39" s="115">
        <f t="shared" si="12"/>
        <v>0</v>
      </c>
      <c r="AK39" s="115">
        <f t="shared" si="12"/>
        <v>0</v>
      </c>
      <c r="AL39" s="115">
        <f t="shared" si="12"/>
        <v>0</v>
      </c>
      <c r="AM39" s="115">
        <f t="shared" si="12"/>
        <v>0</v>
      </c>
      <c r="AN39" s="115">
        <f t="shared" si="12"/>
        <v>0</v>
      </c>
      <c r="AO39" s="115">
        <f t="shared" si="12"/>
        <v>0</v>
      </c>
      <c r="AP39" s="115">
        <f t="shared" si="12"/>
        <v>0</v>
      </c>
      <c r="AQ39" s="115">
        <f t="shared" si="12"/>
        <v>0</v>
      </c>
      <c r="AR39" s="115">
        <f t="shared" si="12"/>
        <v>0</v>
      </c>
      <c r="AS39" s="115">
        <f t="shared" si="12"/>
        <v>0</v>
      </c>
      <c r="AT39" s="115">
        <f t="shared" si="12"/>
        <v>0</v>
      </c>
      <c r="AU39" s="115">
        <f t="shared" si="12"/>
        <v>0</v>
      </c>
      <c r="AV39" s="115">
        <f t="shared" si="12"/>
        <v>0</v>
      </c>
      <c r="AW39" s="115">
        <f t="shared" si="12"/>
        <v>0</v>
      </c>
      <c r="AX39" s="115">
        <f t="shared" si="12"/>
        <v>0</v>
      </c>
      <c r="AY39" s="115">
        <f t="shared" si="12"/>
        <v>0</v>
      </c>
    </row>
    <row r="40" spans="1:52" x14ac:dyDescent="0.2">
      <c r="A40" s="115"/>
      <c r="B40" s="170" t="s">
        <v>349</v>
      </c>
      <c r="C40" s="115"/>
      <c r="D40" s="115">
        <f>D34-D37</f>
        <v>0</v>
      </c>
      <c r="E40" s="115">
        <f t="shared" ref="E40:AY40" si="13">E34-E37</f>
        <v>0</v>
      </c>
      <c r="F40" s="115">
        <f t="shared" si="13"/>
        <v>0</v>
      </c>
      <c r="G40" s="115">
        <f t="shared" si="13"/>
        <v>0</v>
      </c>
      <c r="H40" s="115">
        <f t="shared" si="13"/>
        <v>0</v>
      </c>
      <c r="I40" s="115">
        <f t="shared" si="13"/>
        <v>0</v>
      </c>
      <c r="J40" s="115">
        <f t="shared" si="13"/>
        <v>0</v>
      </c>
      <c r="K40" s="115">
        <f t="shared" si="13"/>
        <v>0</v>
      </c>
      <c r="L40" s="115">
        <f t="shared" si="13"/>
        <v>0</v>
      </c>
      <c r="M40" s="115">
        <f t="shared" si="13"/>
        <v>0</v>
      </c>
      <c r="N40" s="115">
        <f t="shared" si="13"/>
        <v>0</v>
      </c>
      <c r="O40" s="115">
        <f t="shared" si="13"/>
        <v>0</v>
      </c>
      <c r="P40" s="115">
        <f t="shared" si="13"/>
        <v>0</v>
      </c>
      <c r="Q40" s="115">
        <f t="shared" si="13"/>
        <v>0</v>
      </c>
      <c r="R40" s="115">
        <f t="shared" si="13"/>
        <v>0</v>
      </c>
      <c r="S40" s="115">
        <f t="shared" si="13"/>
        <v>0</v>
      </c>
      <c r="T40" s="115">
        <f t="shared" si="13"/>
        <v>0</v>
      </c>
      <c r="U40" s="115">
        <f t="shared" si="13"/>
        <v>0</v>
      </c>
      <c r="V40" s="115">
        <f t="shared" si="13"/>
        <v>0</v>
      </c>
      <c r="W40" s="115">
        <f t="shared" si="13"/>
        <v>0</v>
      </c>
      <c r="X40" s="115">
        <f t="shared" si="13"/>
        <v>0</v>
      </c>
      <c r="Y40" s="115">
        <f t="shared" si="13"/>
        <v>0</v>
      </c>
      <c r="Z40" s="115">
        <f t="shared" si="13"/>
        <v>0</v>
      </c>
      <c r="AA40" s="115">
        <f t="shared" si="13"/>
        <v>0</v>
      </c>
      <c r="AB40" s="115">
        <f t="shared" si="13"/>
        <v>0</v>
      </c>
      <c r="AC40" s="115">
        <f t="shared" si="13"/>
        <v>0</v>
      </c>
      <c r="AD40" s="115">
        <f t="shared" si="13"/>
        <v>0</v>
      </c>
      <c r="AE40" s="115">
        <f t="shared" si="13"/>
        <v>0</v>
      </c>
      <c r="AF40" s="115">
        <f t="shared" si="13"/>
        <v>0</v>
      </c>
      <c r="AG40" s="115">
        <f t="shared" si="13"/>
        <v>0</v>
      </c>
      <c r="AH40" s="115">
        <f t="shared" si="13"/>
        <v>0</v>
      </c>
      <c r="AI40" s="115">
        <f t="shared" si="13"/>
        <v>0</v>
      </c>
      <c r="AJ40" s="115">
        <f t="shared" si="13"/>
        <v>0</v>
      </c>
      <c r="AK40" s="115">
        <f t="shared" si="13"/>
        <v>0</v>
      </c>
      <c r="AL40" s="115">
        <f t="shared" si="13"/>
        <v>0</v>
      </c>
      <c r="AM40" s="115">
        <f t="shared" si="13"/>
        <v>0</v>
      </c>
      <c r="AN40" s="115">
        <f t="shared" si="13"/>
        <v>0</v>
      </c>
      <c r="AO40" s="115">
        <f t="shared" si="13"/>
        <v>0</v>
      </c>
      <c r="AP40" s="115">
        <f t="shared" si="13"/>
        <v>0</v>
      </c>
      <c r="AQ40" s="115">
        <f t="shared" si="13"/>
        <v>0</v>
      </c>
      <c r="AR40" s="115">
        <f t="shared" si="13"/>
        <v>0</v>
      </c>
      <c r="AS40" s="115">
        <f t="shared" si="13"/>
        <v>0</v>
      </c>
      <c r="AT40" s="115">
        <f t="shared" si="13"/>
        <v>0</v>
      </c>
      <c r="AU40" s="115">
        <f t="shared" si="13"/>
        <v>0</v>
      </c>
      <c r="AV40" s="115">
        <f t="shared" si="13"/>
        <v>0</v>
      </c>
      <c r="AW40" s="115">
        <f t="shared" si="13"/>
        <v>0</v>
      </c>
      <c r="AX40" s="115">
        <f t="shared" si="13"/>
        <v>0</v>
      </c>
      <c r="AY40" s="115">
        <f t="shared" si="13"/>
        <v>0</v>
      </c>
    </row>
    <row r="41" spans="1:52" x14ac:dyDescent="0.2">
      <c r="A41" s="115"/>
      <c r="B41" s="170" t="s">
        <v>350</v>
      </c>
      <c r="C41" s="115"/>
      <c r="D41" s="115">
        <v>1</v>
      </c>
      <c r="E41" s="115">
        <v>2</v>
      </c>
      <c r="F41" s="115">
        <v>1</v>
      </c>
      <c r="G41" s="115">
        <v>1</v>
      </c>
      <c r="H41" s="115">
        <v>2</v>
      </c>
      <c r="I41" s="115">
        <v>1</v>
      </c>
      <c r="J41" s="115">
        <v>1</v>
      </c>
      <c r="K41" s="115">
        <v>3</v>
      </c>
      <c r="L41" s="115">
        <v>1</v>
      </c>
      <c r="M41" s="115">
        <v>1</v>
      </c>
      <c r="N41" s="115">
        <v>2</v>
      </c>
      <c r="O41" s="115">
        <v>1</v>
      </c>
      <c r="P41" s="115">
        <v>1</v>
      </c>
      <c r="Q41" s="115">
        <v>2</v>
      </c>
      <c r="R41" s="115">
        <v>1</v>
      </c>
      <c r="S41" s="115">
        <v>2</v>
      </c>
      <c r="T41" s="115">
        <v>2</v>
      </c>
      <c r="U41" s="115">
        <v>2</v>
      </c>
      <c r="V41" s="115">
        <v>1</v>
      </c>
      <c r="W41" s="115">
        <v>1</v>
      </c>
      <c r="X41" s="115">
        <v>2</v>
      </c>
      <c r="Y41" s="115">
        <v>1</v>
      </c>
      <c r="Z41" s="115">
        <v>3</v>
      </c>
      <c r="AA41" s="115">
        <v>2</v>
      </c>
      <c r="AB41" s="115">
        <v>2</v>
      </c>
      <c r="AC41" s="115">
        <v>1</v>
      </c>
      <c r="AD41" s="115">
        <v>1</v>
      </c>
      <c r="AE41" s="115">
        <v>1</v>
      </c>
      <c r="AF41" s="115">
        <v>2</v>
      </c>
      <c r="AG41" s="115">
        <v>1</v>
      </c>
      <c r="AH41" s="115">
        <v>1</v>
      </c>
      <c r="AI41" s="115">
        <v>1</v>
      </c>
      <c r="AJ41" s="115">
        <v>1</v>
      </c>
      <c r="AK41" s="115">
        <v>1</v>
      </c>
      <c r="AL41" s="115">
        <v>2</v>
      </c>
      <c r="AM41" s="115">
        <v>1</v>
      </c>
      <c r="AN41" s="115">
        <v>3</v>
      </c>
      <c r="AO41" s="115">
        <v>1</v>
      </c>
      <c r="AP41" s="115">
        <v>1</v>
      </c>
      <c r="AQ41" s="115">
        <v>2</v>
      </c>
      <c r="AR41" s="115">
        <v>1</v>
      </c>
      <c r="AS41" s="115">
        <v>1</v>
      </c>
      <c r="AT41" s="115">
        <v>1</v>
      </c>
      <c r="AU41" s="115">
        <v>1</v>
      </c>
      <c r="AV41" s="115">
        <v>2</v>
      </c>
      <c r="AW41" s="115">
        <v>2</v>
      </c>
      <c r="AX41" s="115">
        <v>1</v>
      </c>
      <c r="AY41" s="115">
        <v>1</v>
      </c>
    </row>
    <row r="42" spans="1:52" x14ac:dyDescent="0.2">
      <c r="A42" s="115"/>
      <c r="B42" s="183" t="s">
        <v>351</v>
      </c>
      <c r="C42" s="115"/>
      <c r="D42" s="115">
        <v>0</v>
      </c>
      <c r="E42" s="115">
        <v>0</v>
      </c>
      <c r="F42" s="115">
        <v>0</v>
      </c>
      <c r="G42" s="115">
        <v>0</v>
      </c>
      <c r="H42" s="115">
        <v>0</v>
      </c>
      <c r="I42" s="115">
        <v>0</v>
      </c>
      <c r="J42" s="115">
        <v>0</v>
      </c>
      <c r="K42" s="115">
        <v>0</v>
      </c>
      <c r="L42" s="115">
        <v>0</v>
      </c>
      <c r="M42" s="115">
        <v>0</v>
      </c>
      <c r="N42" s="115">
        <v>0</v>
      </c>
      <c r="O42" s="115">
        <v>0</v>
      </c>
      <c r="P42" s="115">
        <v>0</v>
      </c>
      <c r="Q42" s="115">
        <v>0</v>
      </c>
      <c r="R42" s="115">
        <v>0</v>
      </c>
      <c r="S42" s="115">
        <v>0</v>
      </c>
      <c r="T42" s="115">
        <v>0</v>
      </c>
      <c r="U42" s="115">
        <v>0</v>
      </c>
      <c r="V42" s="115">
        <v>0</v>
      </c>
      <c r="W42" s="115">
        <v>0</v>
      </c>
      <c r="X42" s="115">
        <v>0</v>
      </c>
      <c r="Y42" s="115">
        <v>0</v>
      </c>
      <c r="Z42" s="115">
        <v>0</v>
      </c>
      <c r="AA42" s="115">
        <v>0</v>
      </c>
      <c r="AB42" s="115">
        <v>0</v>
      </c>
      <c r="AC42" s="115">
        <v>0</v>
      </c>
      <c r="AD42" s="115">
        <v>0</v>
      </c>
      <c r="AE42" s="115">
        <v>0</v>
      </c>
      <c r="AF42" s="115">
        <v>0</v>
      </c>
      <c r="AG42" s="115">
        <v>0</v>
      </c>
      <c r="AH42" s="115">
        <v>0</v>
      </c>
      <c r="AI42" s="115">
        <v>0</v>
      </c>
      <c r="AJ42" s="115">
        <v>0</v>
      </c>
      <c r="AK42" s="115">
        <v>0</v>
      </c>
      <c r="AL42" s="115">
        <v>0</v>
      </c>
      <c r="AM42" s="115">
        <v>0</v>
      </c>
      <c r="AN42" s="115">
        <v>0</v>
      </c>
      <c r="AO42" s="115">
        <v>0</v>
      </c>
      <c r="AP42" s="115">
        <v>0</v>
      </c>
      <c r="AQ42" s="115">
        <v>0</v>
      </c>
      <c r="AR42" s="115">
        <v>0</v>
      </c>
      <c r="AS42" s="115">
        <v>0</v>
      </c>
      <c r="AT42" s="115">
        <v>0</v>
      </c>
      <c r="AU42" s="115">
        <v>0</v>
      </c>
      <c r="AV42" s="115">
        <v>0</v>
      </c>
      <c r="AW42" s="115">
        <v>0</v>
      </c>
      <c r="AX42" s="115">
        <v>0</v>
      </c>
      <c r="AY42" s="115">
        <v>0</v>
      </c>
      <c r="AZ42" s="105">
        <f>SUM($D$42:$AY$42)</f>
        <v>0</v>
      </c>
    </row>
    <row r="43" spans="1:52" x14ac:dyDescent="0.2">
      <c r="A43" s="115"/>
      <c r="B43" s="183" t="s">
        <v>352</v>
      </c>
      <c r="C43" s="115"/>
      <c r="D43" s="115">
        <v>0</v>
      </c>
      <c r="E43" s="115">
        <v>0</v>
      </c>
      <c r="F43" s="115">
        <v>0</v>
      </c>
      <c r="G43" s="115">
        <v>0</v>
      </c>
      <c r="H43" s="115">
        <v>0</v>
      </c>
      <c r="I43" s="115">
        <v>0</v>
      </c>
      <c r="J43" s="115">
        <v>0</v>
      </c>
      <c r="K43" s="115">
        <v>0</v>
      </c>
      <c r="L43" s="115">
        <v>0</v>
      </c>
      <c r="M43" s="115">
        <v>0</v>
      </c>
      <c r="N43" s="115">
        <v>0</v>
      </c>
      <c r="O43" s="115">
        <v>0</v>
      </c>
      <c r="P43" s="115">
        <v>0</v>
      </c>
      <c r="Q43" s="115">
        <v>0</v>
      </c>
      <c r="R43" s="115">
        <v>0</v>
      </c>
      <c r="S43" s="115">
        <v>0</v>
      </c>
      <c r="T43" s="115">
        <v>0</v>
      </c>
      <c r="U43" s="115">
        <v>0</v>
      </c>
      <c r="V43" s="115">
        <v>0</v>
      </c>
      <c r="W43" s="115">
        <v>0</v>
      </c>
      <c r="X43" s="115">
        <v>0</v>
      </c>
      <c r="Y43" s="115">
        <v>0</v>
      </c>
      <c r="Z43" s="115">
        <v>0</v>
      </c>
      <c r="AA43" s="115">
        <v>0</v>
      </c>
      <c r="AB43" s="115">
        <v>0</v>
      </c>
      <c r="AC43" s="115">
        <v>0</v>
      </c>
      <c r="AD43" s="115">
        <v>0</v>
      </c>
      <c r="AE43" s="115">
        <v>0</v>
      </c>
      <c r="AF43" s="115">
        <v>0</v>
      </c>
      <c r="AG43" s="115">
        <v>0</v>
      </c>
      <c r="AH43" s="115">
        <v>0</v>
      </c>
      <c r="AI43" s="115">
        <v>0</v>
      </c>
      <c r="AJ43" s="115">
        <v>0</v>
      </c>
      <c r="AK43" s="115">
        <v>0</v>
      </c>
      <c r="AL43" s="115">
        <v>0</v>
      </c>
      <c r="AM43" s="115">
        <v>0</v>
      </c>
      <c r="AN43" s="115">
        <v>0</v>
      </c>
      <c r="AO43" s="115">
        <v>0</v>
      </c>
      <c r="AP43" s="115">
        <v>0</v>
      </c>
      <c r="AQ43" s="115">
        <v>0</v>
      </c>
      <c r="AR43" s="115">
        <v>0</v>
      </c>
      <c r="AS43" s="115">
        <v>0</v>
      </c>
      <c r="AT43" s="115">
        <v>0</v>
      </c>
      <c r="AU43" s="115">
        <v>0</v>
      </c>
      <c r="AV43" s="115">
        <v>0</v>
      </c>
      <c r="AW43" s="115">
        <v>0</v>
      </c>
      <c r="AX43" s="115">
        <v>0</v>
      </c>
      <c r="AY43" s="115">
        <v>0</v>
      </c>
      <c r="AZ43" s="105">
        <f>SUM($D$43:$AY$43)</f>
        <v>0</v>
      </c>
    </row>
    <row r="44" spans="1:52" x14ac:dyDescent="0.2">
      <c r="A44" s="140" t="s">
        <v>49</v>
      </c>
      <c r="B44" s="140" t="s">
        <v>342</v>
      </c>
      <c r="C44" s="129"/>
      <c r="D44" s="129">
        <f>D$21*shipping_manufacturing!$J$28/100</f>
        <v>0</v>
      </c>
      <c r="E44" s="129">
        <f>E$21*shipping_manufacturing!$J$28/100</f>
        <v>0</v>
      </c>
      <c r="F44" s="129">
        <f>F$21*shipping_manufacturing!$J$28/100</f>
        <v>0</v>
      </c>
      <c r="G44" s="129">
        <f>G$21*shipping_manufacturing!$J$28/100</f>
        <v>0</v>
      </c>
      <c r="H44" s="129">
        <f>H$21*shipping_manufacturing!$J$28/100</f>
        <v>0</v>
      </c>
      <c r="I44" s="129">
        <f>I$21*shipping_manufacturing!$J$28/100</f>
        <v>0</v>
      </c>
      <c r="J44" s="129">
        <f>J$21*shipping_manufacturing!$J$28/100</f>
        <v>0</v>
      </c>
      <c r="K44" s="129">
        <f>K$21*shipping_manufacturing!$J$28/100</f>
        <v>0</v>
      </c>
      <c r="L44" s="129">
        <f>L$21*shipping_manufacturing!$J$28/100</f>
        <v>0</v>
      </c>
      <c r="M44" s="129">
        <f>M$21*shipping_manufacturing!$J$28/100</f>
        <v>0</v>
      </c>
      <c r="N44" s="129">
        <f>N$21*shipping_manufacturing!$J$28/100</f>
        <v>0</v>
      </c>
      <c r="O44" s="129">
        <f>O$21*shipping_manufacturing!$J$28/100</f>
        <v>0</v>
      </c>
      <c r="P44" s="129">
        <f>P$21*shipping_manufacturing!$J$28/100</f>
        <v>0</v>
      </c>
      <c r="Q44" s="129">
        <f>Q$21*shipping_manufacturing!$J$28/100</f>
        <v>0</v>
      </c>
      <c r="R44" s="129">
        <f>R$21*shipping_manufacturing!$J$28/100</f>
        <v>0</v>
      </c>
      <c r="S44" s="129">
        <f>S$21*shipping_manufacturing!$J$28/100</f>
        <v>0</v>
      </c>
      <c r="T44" s="129">
        <f>T$21*shipping_manufacturing!$J$28/100</f>
        <v>0</v>
      </c>
      <c r="U44" s="129">
        <f>U$21*shipping_manufacturing!$J$28/100</f>
        <v>0</v>
      </c>
      <c r="V44" s="129">
        <f>V$21*shipping_manufacturing!$J$28/100</f>
        <v>0</v>
      </c>
      <c r="W44" s="129">
        <f>W$21*shipping_manufacturing!$J$28/100</f>
        <v>0</v>
      </c>
      <c r="X44" s="129">
        <f>X$21*shipping_manufacturing!$J$28/100</f>
        <v>0</v>
      </c>
      <c r="Y44" s="129">
        <f>Y$21*shipping_manufacturing!$J$28/100</f>
        <v>0</v>
      </c>
      <c r="Z44" s="129">
        <f>Z$21*shipping_manufacturing!$J$28/100</f>
        <v>0</v>
      </c>
      <c r="AA44" s="129">
        <f>AA$21*shipping_manufacturing!$J$28/100</f>
        <v>0</v>
      </c>
      <c r="AB44" s="129">
        <f>AB$21*shipping_manufacturing!$J$28/100</f>
        <v>0</v>
      </c>
      <c r="AC44" s="129">
        <f>AC$21*shipping_manufacturing!$J$28/100</f>
        <v>0</v>
      </c>
      <c r="AD44" s="129">
        <f>AD$21*shipping_manufacturing!$J$28/100</f>
        <v>0</v>
      </c>
      <c r="AE44" s="129">
        <f>AE$21*shipping_manufacturing!$J$28/100</f>
        <v>0</v>
      </c>
      <c r="AF44" s="129">
        <f>AF$21*shipping_manufacturing!$J$28/100</f>
        <v>0</v>
      </c>
      <c r="AG44" s="129">
        <f>AG$21*shipping_manufacturing!$J$28/100</f>
        <v>0</v>
      </c>
      <c r="AH44" s="129">
        <f>AH$21*shipping_manufacturing!$J$28/100</f>
        <v>0</v>
      </c>
      <c r="AI44" s="129">
        <f>AI$21*shipping_manufacturing!$J$28/100</f>
        <v>0</v>
      </c>
      <c r="AJ44" s="129">
        <f>AJ$21*shipping_manufacturing!$J$28/100</f>
        <v>0</v>
      </c>
      <c r="AK44" s="129">
        <f>AK$21*shipping_manufacturing!$J$28/100</f>
        <v>0</v>
      </c>
      <c r="AL44" s="129">
        <f>AL$21*shipping_manufacturing!$J$28/100</f>
        <v>0</v>
      </c>
      <c r="AM44" s="129">
        <f>AM$21*shipping_manufacturing!$J$28/100</f>
        <v>0</v>
      </c>
      <c r="AN44" s="129">
        <f>AN$21*shipping_manufacturing!$J$28/100</f>
        <v>0</v>
      </c>
      <c r="AO44" s="129">
        <f>AO$21*shipping_manufacturing!$J$28/100</f>
        <v>0</v>
      </c>
      <c r="AP44" s="129">
        <f>AP$21*shipping_manufacturing!$J$28/100</f>
        <v>0</v>
      </c>
      <c r="AQ44" s="129">
        <f>AQ$21*shipping_manufacturing!$J$28/100</f>
        <v>0</v>
      </c>
      <c r="AR44" s="129">
        <f>AR$21*shipping_manufacturing!$J$28/100</f>
        <v>0</v>
      </c>
      <c r="AS44" s="129">
        <f>AS$21*shipping_manufacturing!$J$28/100</f>
        <v>0</v>
      </c>
      <c r="AT44" s="129">
        <f>AT$21*shipping_manufacturing!$J$28/100</f>
        <v>0</v>
      </c>
      <c r="AU44" s="129">
        <f>AU$21*shipping_manufacturing!$J$28/100</f>
        <v>0</v>
      </c>
      <c r="AV44" s="129">
        <f>AV$21*shipping_manufacturing!$J$28/100</f>
        <v>0</v>
      </c>
      <c r="AW44" s="129">
        <f>AW$21*shipping_manufacturing!$J$28/100</f>
        <v>0</v>
      </c>
      <c r="AX44" s="129">
        <f>AX$21*shipping_manufacturing!$J$28/100</f>
        <v>0</v>
      </c>
      <c r="AY44" s="129">
        <f>AY$21*shipping_manufacturing!$J$28/100</f>
        <v>0</v>
      </c>
    </row>
    <row r="45" spans="1:52" x14ac:dyDescent="0.2">
      <c r="A45" s="118" t="s">
        <v>341</v>
      </c>
      <c r="B45" s="170" t="s">
        <v>343</v>
      </c>
      <c r="C45" s="115"/>
      <c r="D45" s="115">
        <f>D$22*shipping_manufacturing!$K$28/100</f>
        <v>0</v>
      </c>
      <c r="E45" s="115">
        <f>E$22*shipping_manufacturing!$K$28/100</f>
        <v>0</v>
      </c>
      <c r="F45" s="115">
        <f>F$22*shipping_manufacturing!$K$28/100</f>
        <v>0</v>
      </c>
      <c r="G45" s="115">
        <f>G$22*shipping_manufacturing!$K$28/100</f>
        <v>0</v>
      </c>
      <c r="H45" s="115">
        <f>H$22*shipping_manufacturing!$K$28/100</f>
        <v>0</v>
      </c>
      <c r="I45" s="115">
        <f>I$22*shipping_manufacturing!$K$28/100</f>
        <v>0</v>
      </c>
      <c r="J45" s="115">
        <f>J$22*shipping_manufacturing!$K$28/100</f>
        <v>0</v>
      </c>
      <c r="K45" s="115">
        <f>K$22*shipping_manufacturing!$K$28/100</f>
        <v>0</v>
      </c>
      <c r="L45" s="115">
        <f>L$22*shipping_manufacturing!$K$28/100</f>
        <v>0</v>
      </c>
      <c r="M45" s="115">
        <f>M$22*shipping_manufacturing!$K$28/100</f>
        <v>0</v>
      </c>
      <c r="N45" s="115">
        <f>N$22*shipping_manufacturing!$K$28/100</f>
        <v>0</v>
      </c>
      <c r="O45" s="115">
        <f>O$22*shipping_manufacturing!$K$28/100</f>
        <v>0</v>
      </c>
      <c r="P45" s="115">
        <f>P$22*shipping_manufacturing!$K$28/100</f>
        <v>0</v>
      </c>
      <c r="Q45" s="115">
        <f>Q$22*shipping_manufacturing!$K$28/100</f>
        <v>0</v>
      </c>
      <c r="R45" s="115">
        <f>R$22*shipping_manufacturing!$K$28/100</f>
        <v>0</v>
      </c>
      <c r="S45" s="115">
        <f>S$22*shipping_manufacturing!$K$28/100</f>
        <v>0</v>
      </c>
      <c r="T45" s="115">
        <f>T$22*shipping_manufacturing!$K$28/100</f>
        <v>0</v>
      </c>
      <c r="U45" s="115">
        <f>U$22*shipping_manufacturing!$K$28/100</f>
        <v>0</v>
      </c>
      <c r="V45" s="115">
        <f>V$22*shipping_manufacturing!$K$28/100</f>
        <v>0</v>
      </c>
      <c r="W45" s="115">
        <f>W$22*shipping_manufacturing!$K$28/100</f>
        <v>0</v>
      </c>
      <c r="X45" s="115">
        <f>X$22*shipping_manufacturing!$K$28/100</f>
        <v>0</v>
      </c>
      <c r="Y45" s="115">
        <f>Y$22*shipping_manufacturing!$K$28/100</f>
        <v>0</v>
      </c>
      <c r="Z45" s="115">
        <f>Z$22*shipping_manufacturing!$K$28/100</f>
        <v>0</v>
      </c>
      <c r="AA45" s="115">
        <f>AA$22*shipping_manufacturing!$K$28/100</f>
        <v>0</v>
      </c>
      <c r="AB45" s="115">
        <f>AB$22*shipping_manufacturing!$K$28/100</f>
        <v>0</v>
      </c>
      <c r="AC45" s="115">
        <f>AC$22*shipping_manufacturing!$K$28/100</f>
        <v>0</v>
      </c>
      <c r="AD45" s="115">
        <f>AD$22*shipping_manufacturing!$K$28/100</f>
        <v>0</v>
      </c>
      <c r="AE45" s="115">
        <f>AE$22*shipping_manufacturing!$K$28/100</f>
        <v>0</v>
      </c>
      <c r="AF45" s="115">
        <f>AF$22*shipping_manufacturing!$K$28/100</f>
        <v>0</v>
      </c>
      <c r="AG45" s="115">
        <f>AG$22*shipping_manufacturing!$K$28/100</f>
        <v>0</v>
      </c>
      <c r="AH45" s="115">
        <f>AH$22*shipping_manufacturing!$K$28/100</f>
        <v>0</v>
      </c>
      <c r="AI45" s="115">
        <f>AI$22*shipping_manufacturing!$K$28/100</f>
        <v>0</v>
      </c>
      <c r="AJ45" s="115">
        <f>AJ$22*shipping_manufacturing!$K$28/100</f>
        <v>0</v>
      </c>
      <c r="AK45" s="115">
        <f>AK$22*shipping_manufacturing!$K$28/100</f>
        <v>0</v>
      </c>
      <c r="AL45" s="115">
        <f>AL$22*shipping_manufacturing!$K$28/100</f>
        <v>0</v>
      </c>
      <c r="AM45" s="115">
        <f>AM$22*shipping_manufacturing!$K$28/100</f>
        <v>0</v>
      </c>
      <c r="AN45" s="115">
        <f>AN$22*shipping_manufacturing!$K$28/100</f>
        <v>0</v>
      </c>
      <c r="AO45" s="115">
        <f>AO$22*shipping_manufacturing!$K$28/100</f>
        <v>0</v>
      </c>
      <c r="AP45" s="115">
        <f>AP$22*shipping_manufacturing!$K$28/100</f>
        <v>0</v>
      </c>
      <c r="AQ45" s="115">
        <f>AQ$22*shipping_manufacturing!$K$28/100</f>
        <v>0</v>
      </c>
      <c r="AR45" s="115">
        <f>AR$22*shipping_manufacturing!$K$28/100</f>
        <v>0</v>
      </c>
      <c r="AS45" s="115">
        <f>AS$22*shipping_manufacturing!$K$28/100</f>
        <v>0</v>
      </c>
      <c r="AT45" s="115">
        <f>AT$22*shipping_manufacturing!$K$28/100</f>
        <v>0</v>
      </c>
      <c r="AU45" s="115">
        <f>AU$22*shipping_manufacturing!$K$28/100</f>
        <v>0</v>
      </c>
      <c r="AV45" s="115">
        <f>AV$22*shipping_manufacturing!$K$28/100</f>
        <v>0</v>
      </c>
      <c r="AW45" s="115">
        <f>AW$22*shipping_manufacturing!$K$28/100</f>
        <v>0</v>
      </c>
      <c r="AX45" s="115">
        <f>AX$22*shipping_manufacturing!$K$28/100</f>
        <v>0</v>
      </c>
      <c r="AY45" s="115">
        <f>AY$22*shipping_manufacturing!$K$28/100</f>
        <v>0</v>
      </c>
    </row>
    <row r="46" spans="1:52" x14ac:dyDescent="0.2">
      <c r="A46" s="115">
        <v>742</v>
      </c>
      <c r="B46" s="170" t="s">
        <v>344</v>
      </c>
      <c r="C46" s="115"/>
      <c r="D46" s="115">
        <f>SUM(D44:D45)</f>
        <v>0</v>
      </c>
      <c r="E46" s="115">
        <f t="shared" ref="E46:AY46" si="14">SUM(E44:E45)</f>
        <v>0</v>
      </c>
      <c r="F46" s="115">
        <f t="shared" si="14"/>
        <v>0</v>
      </c>
      <c r="G46" s="115">
        <f t="shared" si="14"/>
        <v>0</v>
      </c>
      <c r="H46" s="115">
        <f t="shared" si="14"/>
        <v>0</v>
      </c>
      <c r="I46" s="115">
        <f t="shared" si="14"/>
        <v>0</v>
      </c>
      <c r="J46" s="115">
        <f t="shared" si="14"/>
        <v>0</v>
      </c>
      <c r="K46" s="115">
        <f t="shared" si="14"/>
        <v>0</v>
      </c>
      <c r="L46" s="115">
        <f t="shared" si="14"/>
        <v>0</v>
      </c>
      <c r="M46" s="115">
        <f t="shared" si="14"/>
        <v>0</v>
      </c>
      <c r="N46" s="115">
        <f t="shared" si="14"/>
        <v>0</v>
      </c>
      <c r="O46" s="115">
        <f t="shared" si="14"/>
        <v>0</v>
      </c>
      <c r="P46" s="115">
        <f t="shared" si="14"/>
        <v>0</v>
      </c>
      <c r="Q46" s="115">
        <f t="shared" si="14"/>
        <v>0</v>
      </c>
      <c r="R46" s="115">
        <f t="shared" si="14"/>
        <v>0</v>
      </c>
      <c r="S46" s="115">
        <f t="shared" si="14"/>
        <v>0</v>
      </c>
      <c r="T46" s="115">
        <f t="shared" si="14"/>
        <v>0</v>
      </c>
      <c r="U46" s="115">
        <f t="shared" si="14"/>
        <v>0</v>
      </c>
      <c r="V46" s="115">
        <f t="shared" si="14"/>
        <v>0</v>
      </c>
      <c r="W46" s="115">
        <f t="shared" si="14"/>
        <v>0</v>
      </c>
      <c r="X46" s="115">
        <f t="shared" si="14"/>
        <v>0</v>
      </c>
      <c r="Y46" s="115">
        <f t="shared" si="14"/>
        <v>0</v>
      </c>
      <c r="Z46" s="115">
        <f t="shared" si="14"/>
        <v>0</v>
      </c>
      <c r="AA46" s="115">
        <f t="shared" si="14"/>
        <v>0</v>
      </c>
      <c r="AB46" s="115">
        <f t="shared" si="14"/>
        <v>0</v>
      </c>
      <c r="AC46" s="115">
        <f t="shared" si="14"/>
        <v>0</v>
      </c>
      <c r="AD46" s="115">
        <f t="shared" si="14"/>
        <v>0</v>
      </c>
      <c r="AE46" s="115">
        <f t="shared" si="14"/>
        <v>0</v>
      </c>
      <c r="AF46" s="115">
        <f t="shared" si="14"/>
        <v>0</v>
      </c>
      <c r="AG46" s="115">
        <f t="shared" si="14"/>
        <v>0</v>
      </c>
      <c r="AH46" s="115">
        <f t="shared" si="14"/>
        <v>0</v>
      </c>
      <c r="AI46" s="115">
        <f t="shared" si="14"/>
        <v>0</v>
      </c>
      <c r="AJ46" s="115">
        <f t="shared" si="14"/>
        <v>0</v>
      </c>
      <c r="AK46" s="115">
        <f t="shared" si="14"/>
        <v>0</v>
      </c>
      <c r="AL46" s="115">
        <f t="shared" si="14"/>
        <v>0</v>
      </c>
      <c r="AM46" s="115">
        <f t="shared" si="14"/>
        <v>0</v>
      </c>
      <c r="AN46" s="115">
        <f t="shared" si="14"/>
        <v>0</v>
      </c>
      <c r="AO46" s="115">
        <f t="shared" si="14"/>
        <v>0</v>
      </c>
      <c r="AP46" s="115">
        <f t="shared" si="14"/>
        <v>0</v>
      </c>
      <c r="AQ46" s="115">
        <f t="shared" si="14"/>
        <v>0</v>
      </c>
      <c r="AR46" s="115">
        <f t="shared" si="14"/>
        <v>0</v>
      </c>
      <c r="AS46" s="115">
        <f t="shared" si="14"/>
        <v>0</v>
      </c>
      <c r="AT46" s="115">
        <f t="shared" si="14"/>
        <v>0</v>
      </c>
      <c r="AU46" s="115">
        <f t="shared" si="14"/>
        <v>0</v>
      </c>
      <c r="AV46" s="115">
        <f t="shared" si="14"/>
        <v>0</v>
      </c>
      <c r="AW46" s="115">
        <f t="shared" si="14"/>
        <v>0</v>
      </c>
      <c r="AX46" s="115">
        <f t="shared" si="14"/>
        <v>0</v>
      </c>
      <c r="AY46" s="115">
        <f t="shared" si="14"/>
        <v>0</v>
      </c>
    </row>
    <row r="47" spans="1:52" x14ac:dyDescent="0.2">
      <c r="A47" s="115"/>
      <c r="B47" s="170" t="s">
        <v>345</v>
      </c>
      <c r="C47" s="115"/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</row>
    <row r="48" spans="1:52" x14ac:dyDescent="0.2">
      <c r="A48" s="115"/>
      <c r="B48" s="170" t="s">
        <v>346</v>
      </c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</row>
    <row r="49" spans="1:52" x14ac:dyDescent="0.2">
      <c r="A49" s="115"/>
      <c r="B49" s="170" t="s">
        <v>347</v>
      </c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</row>
    <row r="50" spans="1:52" x14ac:dyDescent="0.2">
      <c r="A50" s="115"/>
      <c r="B50" s="170" t="s">
        <v>348</v>
      </c>
      <c r="C50" s="115"/>
      <c r="D50" s="115">
        <f>D44-D47</f>
        <v>0</v>
      </c>
      <c r="E50" s="115">
        <f t="shared" ref="E50:AY50" si="15">E44-E47</f>
        <v>0</v>
      </c>
      <c r="F50" s="115">
        <f t="shared" si="15"/>
        <v>0</v>
      </c>
      <c r="G50" s="115">
        <f t="shared" si="15"/>
        <v>0</v>
      </c>
      <c r="H50" s="115">
        <f t="shared" si="15"/>
        <v>0</v>
      </c>
      <c r="I50" s="115">
        <f t="shared" si="15"/>
        <v>0</v>
      </c>
      <c r="J50" s="115">
        <f t="shared" si="15"/>
        <v>0</v>
      </c>
      <c r="K50" s="115">
        <f t="shared" si="15"/>
        <v>0</v>
      </c>
      <c r="L50" s="115">
        <f t="shared" si="15"/>
        <v>0</v>
      </c>
      <c r="M50" s="115">
        <f t="shared" si="15"/>
        <v>0</v>
      </c>
      <c r="N50" s="115">
        <f t="shared" si="15"/>
        <v>0</v>
      </c>
      <c r="O50" s="115">
        <f t="shared" si="15"/>
        <v>0</v>
      </c>
      <c r="P50" s="115">
        <f t="shared" si="15"/>
        <v>0</v>
      </c>
      <c r="Q50" s="115">
        <f t="shared" si="15"/>
        <v>0</v>
      </c>
      <c r="R50" s="115">
        <f t="shared" si="15"/>
        <v>0</v>
      </c>
      <c r="S50" s="115">
        <f t="shared" si="15"/>
        <v>0</v>
      </c>
      <c r="T50" s="115">
        <f t="shared" si="15"/>
        <v>0</v>
      </c>
      <c r="U50" s="115">
        <f t="shared" si="15"/>
        <v>0</v>
      </c>
      <c r="V50" s="115">
        <f t="shared" si="15"/>
        <v>0</v>
      </c>
      <c r="W50" s="115">
        <f t="shared" si="15"/>
        <v>0</v>
      </c>
      <c r="X50" s="115">
        <f t="shared" si="15"/>
        <v>0</v>
      </c>
      <c r="Y50" s="115">
        <f t="shared" si="15"/>
        <v>0</v>
      </c>
      <c r="Z50" s="115">
        <f t="shared" si="15"/>
        <v>0</v>
      </c>
      <c r="AA50" s="115">
        <f t="shared" si="15"/>
        <v>0</v>
      </c>
      <c r="AB50" s="115">
        <f t="shared" si="15"/>
        <v>0</v>
      </c>
      <c r="AC50" s="115">
        <f t="shared" si="15"/>
        <v>0</v>
      </c>
      <c r="AD50" s="115">
        <f t="shared" si="15"/>
        <v>0</v>
      </c>
      <c r="AE50" s="115">
        <f t="shared" si="15"/>
        <v>0</v>
      </c>
      <c r="AF50" s="115">
        <f t="shared" si="15"/>
        <v>0</v>
      </c>
      <c r="AG50" s="115">
        <f t="shared" si="15"/>
        <v>0</v>
      </c>
      <c r="AH50" s="115">
        <f t="shared" si="15"/>
        <v>0</v>
      </c>
      <c r="AI50" s="115">
        <f t="shared" si="15"/>
        <v>0</v>
      </c>
      <c r="AJ50" s="115">
        <f t="shared" si="15"/>
        <v>0</v>
      </c>
      <c r="AK50" s="115">
        <f t="shared" si="15"/>
        <v>0</v>
      </c>
      <c r="AL50" s="115">
        <f t="shared" si="15"/>
        <v>0</v>
      </c>
      <c r="AM50" s="115">
        <f t="shared" si="15"/>
        <v>0</v>
      </c>
      <c r="AN50" s="115">
        <f t="shared" si="15"/>
        <v>0</v>
      </c>
      <c r="AO50" s="115">
        <f t="shared" si="15"/>
        <v>0</v>
      </c>
      <c r="AP50" s="115">
        <f t="shared" si="15"/>
        <v>0</v>
      </c>
      <c r="AQ50" s="115">
        <f t="shared" si="15"/>
        <v>0</v>
      </c>
      <c r="AR50" s="115">
        <f t="shared" si="15"/>
        <v>0</v>
      </c>
      <c r="AS50" s="115">
        <f t="shared" si="15"/>
        <v>0</v>
      </c>
      <c r="AT50" s="115">
        <f t="shared" si="15"/>
        <v>0</v>
      </c>
      <c r="AU50" s="115">
        <f t="shared" si="15"/>
        <v>0</v>
      </c>
      <c r="AV50" s="115">
        <f t="shared" si="15"/>
        <v>0</v>
      </c>
      <c r="AW50" s="115">
        <f t="shared" si="15"/>
        <v>0</v>
      </c>
      <c r="AX50" s="115">
        <f t="shared" si="15"/>
        <v>0</v>
      </c>
      <c r="AY50" s="115">
        <f t="shared" si="15"/>
        <v>0</v>
      </c>
    </row>
    <row r="51" spans="1:52" x14ac:dyDescent="0.2">
      <c r="A51" s="115"/>
      <c r="B51" s="170" t="s">
        <v>349</v>
      </c>
      <c r="C51" s="115"/>
      <c r="D51" s="115">
        <f>D45-D48</f>
        <v>0</v>
      </c>
      <c r="E51" s="115">
        <f t="shared" ref="E51:AY51" si="16">E45-E48</f>
        <v>0</v>
      </c>
      <c r="F51" s="115">
        <f t="shared" si="16"/>
        <v>0</v>
      </c>
      <c r="G51" s="115">
        <f t="shared" si="16"/>
        <v>0</v>
      </c>
      <c r="H51" s="115">
        <f t="shared" si="16"/>
        <v>0</v>
      </c>
      <c r="I51" s="115">
        <f t="shared" si="16"/>
        <v>0</v>
      </c>
      <c r="J51" s="115">
        <f t="shared" si="16"/>
        <v>0</v>
      </c>
      <c r="K51" s="115">
        <f t="shared" si="16"/>
        <v>0</v>
      </c>
      <c r="L51" s="115">
        <f t="shared" si="16"/>
        <v>0</v>
      </c>
      <c r="M51" s="115">
        <f t="shared" si="16"/>
        <v>0</v>
      </c>
      <c r="N51" s="115">
        <f t="shared" si="16"/>
        <v>0</v>
      </c>
      <c r="O51" s="115">
        <f t="shared" si="16"/>
        <v>0</v>
      </c>
      <c r="P51" s="115">
        <f t="shared" si="16"/>
        <v>0</v>
      </c>
      <c r="Q51" s="115">
        <f t="shared" si="16"/>
        <v>0</v>
      </c>
      <c r="R51" s="115">
        <f t="shared" si="16"/>
        <v>0</v>
      </c>
      <c r="S51" s="115">
        <f t="shared" si="16"/>
        <v>0</v>
      </c>
      <c r="T51" s="115">
        <f t="shared" si="16"/>
        <v>0</v>
      </c>
      <c r="U51" s="115">
        <f t="shared" si="16"/>
        <v>0</v>
      </c>
      <c r="V51" s="115">
        <f t="shared" si="16"/>
        <v>0</v>
      </c>
      <c r="W51" s="115">
        <f t="shared" si="16"/>
        <v>0</v>
      </c>
      <c r="X51" s="115">
        <f t="shared" si="16"/>
        <v>0</v>
      </c>
      <c r="Y51" s="115">
        <f t="shared" si="16"/>
        <v>0</v>
      </c>
      <c r="Z51" s="115">
        <f t="shared" si="16"/>
        <v>0</v>
      </c>
      <c r="AA51" s="115">
        <f t="shared" si="16"/>
        <v>0</v>
      </c>
      <c r="AB51" s="115">
        <f t="shared" si="16"/>
        <v>0</v>
      </c>
      <c r="AC51" s="115">
        <f t="shared" si="16"/>
        <v>0</v>
      </c>
      <c r="AD51" s="115">
        <f t="shared" si="16"/>
        <v>0</v>
      </c>
      <c r="AE51" s="115">
        <f t="shared" si="16"/>
        <v>0</v>
      </c>
      <c r="AF51" s="115">
        <f t="shared" si="16"/>
        <v>0</v>
      </c>
      <c r="AG51" s="115">
        <f t="shared" si="16"/>
        <v>0</v>
      </c>
      <c r="AH51" s="115">
        <f t="shared" si="16"/>
        <v>0</v>
      </c>
      <c r="AI51" s="115">
        <f t="shared" si="16"/>
        <v>0</v>
      </c>
      <c r="AJ51" s="115">
        <f t="shared" si="16"/>
        <v>0</v>
      </c>
      <c r="AK51" s="115">
        <f t="shared" si="16"/>
        <v>0</v>
      </c>
      <c r="AL51" s="115">
        <f t="shared" si="16"/>
        <v>0</v>
      </c>
      <c r="AM51" s="115">
        <f t="shared" si="16"/>
        <v>0</v>
      </c>
      <c r="AN51" s="115">
        <f t="shared" si="16"/>
        <v>0</v>
      </c>
      <c r="AO51" s="115">
        <f t="shared" si="16"/>
        <v>0</v>
      </c>
      <c r="AP51" s="115">
        <f t="shared" si="16"/>
        <v>0</v>
      </c>
      <c r="AQ51" s="115">
        <f t="shared" si="16"/>
        <v>0</v>
      </c>
      <c r="AR51" s="115">
        <f t="shared" si="16"/>
        <v>0</v>
      </c>
      <c r="AS51" s="115">
        <f t="shared" si="16"/>
        <v>0</v>
      </c>
      <c r="AT51" s="115">
        <f t="shared" si="16"/>
        <v>0</v>
      </c>
      <c r="AU51" s="115">
        <f t="shared" si="16"/>
        <v>0</v>
      </c>
      <c r="AV51" s="115">
        <f t="shared" si="16"/>
        <v>0</v>
      </c>
      <c r="AW51" s="115">
        <f t="shared" si="16"/>
        <v>0</v>
      </c>
      <c r="AX51" s="115">
        <f t="shared" si="16"/>
        <v>0</v>
      </c>
      <c r="AY51" s="115">
        <f t="shared" si="16"/>
        <v>0</v>
      </c>
    </row>
    <row r="52" spans="1:52" x14ac:dyDescent="0.2">
      <c r="A52" s="115"/>
      <c r="B52" s="170" t="s">
        <v>350</v>
      </c>
      <c r="C52" s="115"/>
      <c r="D52" s="115">
        <v>2</v>
      </c>
      <c r="E52" s="115">
        <v>2</v>
      </c>
      <c r="F52" s="115">
        <v>1</v>
      </c>
      <c r="G52" s="115">
        <v>1</v>
      </c>
      <c r="H52" s="115">
        <v>1</v>
      </c>
      <c r="I52" s="115">
        <v>1</v>
      </c>
      <c r="J52" s="115">
        <v>1</v>
      </c>
      <c r="K52" s="115">
        <v>3</v>
      </c>
      <c r="L52" s="115">
        <v>1</v>
      </c>
      <c r="M52" s="115">
        <v>1</v>
      </c>
      <c r="N52" s="115">
        <v>2</v>
      </c>
      <c r="O52" s="115">
        <v>2</v>
      </c>
      <c r="P52" s="115">
        <v>1</v>
      </c>
      <c r="Q52" s="115">
        <v>1</v>
      </c>
      <c r="R52" s="115">
        <v>2</v>
      </c>
      <c r="S52" s="115">
        <v>1</v>
      </c>
      <c r="T52" s="115">
        <v>1</v>
      </c>
      <c r="U52" s="115">
        <v>2</v>
      </c>
      <c r="V52" s="115">
        <v>1</v>
      </c>
      <c r="W52" s="115">
        <v>1</v>
      </c>
      <c r="X52" s="115">
        <v>1</v>
      </c>
      <c r="Y52" s="115">
        <v>1</v>
      </c>
      <c r="Z52" s="115">
        <v>2</v>
      </c>
      <c r="AA52" s="115">
        <v>1</v>
      </c>
      <c r="AB52" s="115">
        <v>1</v>
      </c>
      <c r="AC52" s="115">
        <v>1</v>
      </c>
      <c r="AD52" s="115">
        <v>1</v>
      </c>
      <c r="AE52" s="115">
        <v>2</v>
      </c>
      <c r="AF52" s="115">
        <v>1</v>
      </c>
      <c r="AG52" s="115">
        <v>1</v>
      </c>
      <c r="AH52" s="115">
        <v>2</v>
      </c>
      <c r="AI52" s="115">
        <v>2</v>
      </c>
      <c r="AJ52" s="115">
        <v>1</v>
      </c>
      <c r="AK52" s="115">
        <v>1</v>
      </c>
      <c r="AL52" s="115">
        <v>2</v>
      </c>
      <c r="AM52" s="115">
        <v>3</v>
      </c>
      <c r="AN52" s="115">
        <v>2</v>
      </c>
      <c r="AO52" s="115">
        <v>1</v>
      </c>
      <c r="AP52" s="115">
        <v>2</v>
      </c>
      <c r="AQ52" s="115">
        <v>1</v>
      </c>
      <c r="AR52" s="115">
        <v>2</v>
      </c>
      <c r="AS52" s="115">
        <v>1</v>
      </c>
      <c r="AT52" s="115">
        <v>2</v>
      </c>
      <c r="AU52" s="115">
        <v>1</v>
      </c>
      <c r="AV52" s="115">
        <v>2</v>
      </c>
      <c r="AW52" s="115">
        <v>2</v>
      </c>
      <c r="AX52" s="115">
        <v>3</v>
      </c>
      <c r="AY52" s="115">
        <v>1</v>
      </c>
    </row>
    <row r="53" spans="1:52" x14ac:dyDescent="0.2">
      <c r="A53" s="115"/>
      <c r="B53" s="183" t="s">
        <v>351</v>
      </c>
      <c r="C53" s="115"/>
      <c r="D53" s="115">
        <v>0</v>
      </c>
      <c r="E53" s="115">
        <v>0</v>
      </c>
      <c r="F53" s="115">
        <v>0</v>
      </c>
      <c r="G53" s="115">
        <v>0</v>
      </c>
      <c r="H53" s="115">
        <v>0</v>
      </c>
      <c r="I53" s="115">
        <v>0</v>
      </c>
      <c r="J53" s="115">
        <v>0</v>
      </c>
      <c r="K53" s="115">
        <v>0</v>
      </c>
      <c r="L53" s="115">
        <v>0</v>
      </c>
      <c r="M53" s="115">
        <v>0</v>
      </c>
      <c r="N53" s="115">
        <v>0</v>
      </c>
      <c r="O53" s="115">
        <v>0</v>
      </c>
      <c r="P53" s="115">
        <v>0</v>
      </c>
      <c r="Q53" s="115">
        <v>0</v>
      </c>
      <c r="R53" s="115">
        <v>0</v>
      </c>
      <c r="S53" s="115">
        <v>0</v>
      </c>
      <c r="T53" s="115">
        <v>0</v>
      </c>
      <c r="U53" s="115">
        <v>0</v>
      </c>
      <c r="V53" s="115">
        <v>0</v>
      </c>
      <c r="W53" s="115">
        <v>0</v>
      </c>
      <c r="X53" s="115">
        <v>0</v>
      </c>
      <c r="Y53" s="115">
        <v>0</v>
      </c>
      <c r="Z53" s="115">
        <v>0</v>
      </c>
      <c r="AA53" s="115">
        <v>0</v>
      </c>
      <c r="AB53" s="115">
        <v>0</v>
      </c>
      <c r="AC53" s="115">
        <v>0</v>
      </c>
      <c r="AD53" s="115">
        <v>0</v>
      </c>
      <c r="AE53" s="115">
        <v>0</v>
      </c>
      <c r="AF53" s="115">
        <v>0</v>
      </c>
      <c r="AG53" s="115">
        <v>0</v>
      </c>
      <c r="AH53" s="115">
        <v>0</v>
      </c>
      <c r="AI53" s="115">
        <v>0</v>
      </c>
      <c r="AJ53" s="115">
        <v>0</v>
      </c>
      <c r="AK53" s="115">
        <v>0</v>
      </c>
      <c r="AL53" s="115">
        <v>0</v>
      </c>
      <c r="AM53" s="115">
        <v>0</v>
      </c>
      <c r="AN53" s="115">
        <v>0</v>
      </c>
      <c r="AO53" s="115">
        <v>0</v>
      </c>
      <c r="AP53" s="115">
        <v>0</v>
      </c>
      <c r="AQ53" s="115">
        <v>0</v>
      </c>
      <c r="AR53" s="115">
        <v>0</v>
      </c>
      <c r="AS53" s="115">
        <v>0</v>
      </c>
      <c r="AT53" s="115">
        <v>0</v>
      </c>
      <c r="AU53" s="115">
        <v>0</v>
      </c>
      <c r="AV53" s="115">
        <v>0</v>
      </c>
      <c r="AW53" s="115">
        <v>0</v>
      </c>
      <c r="AX53" s="115">
        <v>0</v>
      </c>
      <c r="AY53" s="115">
        <v>0</v>
      </c>
      <c r="AZ53" s="105">
        <f>SUM($D$53:$AY$53)</f>
        <v>0</v>
      </c>
    </row>
    <row r="54" spans="1:52" x14ac:dyDescent="0.2">
      <c r="A54" s="115"/>
      <c r="B54" s="183" t="s">
        <v>352</v>
      </c>
      <c r="C54" s="115"/>
      <c r="D54" s="115">
        <v>0</v>
      </c>
      <c r="E54" s="115">
        <v>0</v>
      </c>
      <c r="F54" s="115">
        <v>0</v>
      </c>
      <c r="G54" s="115">
        <v>0</v>
      </c>
      <c r="H54" s="115">
        <v>0</v>
      </c>
      <c r="I54" s="115">
        <v>0</v>
      </c>
      <c r="J54" s="115">
        <v>0</v>
      </c>
      <c r="K54" s="115">
        <v>0</v>
      </c>
      <c r="L54" s="115">
        <v>0</v>
      </c>
      <c r="M54" s="115">
        <v>0</v>
      </c>
      <c r="N54" s="115">
        <v>0</v>
      </c>
      <c r="O54" s="115">
        <v>0</v>
      </c>
      <c r="P54" s="115">
        <v>0</v>
      </c>
      <c r="Q54" s="115">
        <v>0</v>
      </c>
      <c r="R54" s="115">
        <v>0</v>
      </c>
      <c r="S54" s="115">
        <v>0</v>
      </c>
      <c r="T54" s="115">
        <v>0</v>
      </c>
      <c r="U54" s="115">
        <v>0</v>
      </c>
      <c r="V54" s="115">
        <v>0</v>
      </c>
      <c r="W54" s="115">
        <v>0</v>
      </c>
      <c r="X54" s="115">
        <v>0</v>
      </c>
      <c r="Y54" s="115">
        <v>0</v>
      </c>
      <c r="Z54" s="115">
        <v>0</v>
      </c>
      <c r="AA54" s="115">
        <v>0</v>
      </c>
      <c r="AB54" s="115">
        <v>0</v>
      </c>
      <c r="AC54" s="115">
        <v>0</v>
      </c>
      <c r="AD54" s="115">
        <v>0</v>
      </c>
      <c r="AE54" s="115">
        <v>0</v>
      </c>
      <c r="AF54" s="115">
        <v>0</v>
      </c>
      <c r="AG54" s="115">
        <v>0</v>
      </c>
      <c r="AH54" s="115">
        <v>0</v>
      </c>
      <c r="AI54" s="115">
        <v>0</v>
      </c>
      <c r="AJ54" s="115">
        <v>0</v>
      </c>
      <c r="AK54" s="115">
        <v>0</v>
      </c>
      <c r="AL54" s="115">
        <v>0</v>
      </c>
      <c r="AM54" s="115">
        <v>0</v>
      </c>
      <c r="AN54" s="115">
        <v>0</v>
      </c>
      <c r="AO54" s="115">
        <v>0</v>
      </c>
      <c r="AP54" s="115">
        <v>0</v>
      </c>
      <c r="AQ54" s="115">
        <v>0</v>
      </c>
      <c r="AR54" s="115">
        <v>0</v>
      </c>
      <c r="AS54" s="115">
        <v>0</v>
      </c>
      <c r="AT54" s="115">
        <v>0</v>
      </c>
      <c r="AU54" s="115">
        <v>0</v>
      </c>
      <c r="AV54" s="115">
        <v>0</v>
      </c>
      <c r="AW54" s="115">
        <v>0</v>
      </c>
      <c r="AX54" s="115">
        <v>0</v>
      </c>
      <c r="AY54" s="115">
        <v>0</v>
      </c>
      <c r="AZ54" s="105">
        <f>SUM($D$54:$AY$54)</f>
        <v>0</v>
      </c>
    </row>
    <row r="55" spans="1:52" x14ac:dyDescent="0.2">
      <c r="A55" s="140" t="s">
        <v>57</v>
      </c>
      <c r="B55" s="140" t="s">
        <v>342</v>
      </c>
      <c r="C55" s="129"/>
      <c r="D55" s="129">
        <f>D$21*shipping_manufacturing!$J$29/100</f>
        <v>0</v>
      </c>
      <c r="E55" s="129">
        <f>E$21*shipping_manufacturing!$J$29/100</f>
        <v>0</v>
      </c>
      <c r="F55" s="129">
        <f>F$21*shipping_manufacturing!$J$29/100</f>
        <v>0</v>
      </c>
      <c r="G55" s="129">
        <f>G$21*shipping_manufacturing!$J$29/100</f>
        <v>0</v>
      </c>
      <c r="H55" s="129">
        <f>H$21*shipping_manufacturing!$J$29/100</f>
        <v>0</v>
      </c>
      <c r="I55" s="129">
        <f>I$21*shipping_manufacturing!$J$29/100</f>
        <v>0</v>
      </c>
      <c r="J55" s="129">
        <f>J$21*shipping_manufacturing!$J$29/100</f>
        <v>0</v>
      </c>
      <c r="K55" s="129">
        <f>K$21*shipping_manufacturing!$J$29/100</f>
        <v>0</v>
      </c>
      <c r="L55" s="129">
        <f>L$21*shipping_manufacturing!$J$29/100</f>
        <v>0</v>
      </c>
      <c r="M55" s="129">
        <f>M$21*shipping_manufacturing!$J$29/100</f>
        <v>0</v>
      </c>
      <c r="N55" s="129">
        <f>N$21*shipping_manufacturing!$J$29/100</f>
        <v>0</v>
      </c>
      <c r="O55" s="129">
        <f>O$21*shipping_manufacturing!$J$29/100</f>
        <v>0</v>
      </c>
      <c r="P55" s="129">
        <f>P$21*shipping_manufacturing!$J$29/100</f>
        <v>0</v>
      </c>
      <c r="Q55" s="129">
        <f>Q$21*shipping_manufacturing!$J$29/100</f>
        <v>0</v>
      </c>
      <c r="R55" s="129">
        <f>R$21*shipping_manufacturing!$J$29/100</f>
        <v>0</v>
      </c>
      <c r="S55" s="129">
        <f>S$21*shipping_manufacturing!$J$29/100</f>
        <v>0</v>
      </c>
      <c r="T55" s="129">
        <f>T$21*shipping_manufacturing!$J$29/100</f>
        <v>0</v>
      </c>
      <c r="U55" s="129">
        <f>U$21*shipping_manufacturing!$J$29/100</f>
        <v>0</v>
      </c>
      <c r="V55" s="129">
        <f>V$21*shipping_manufacturing!$J$29/100</f>
        <v>0</v>
      </c>
      <c r="W55" s="129">
        <f>W$21*shipping_manufacturing!$J$29/100</f>
        <v>0</v>
      </c>
      <c r="X55" s="129">
        <f>X$21*shipping_manufacturing!$J$29/100</f>
        <v>0</v>
      </c>
      <c r="Y55" s="129">
        <f>Y$21*shipping_manufacturing!$J$29/100</f>
        <v>0</v>
      </c>
      <c r="Z55" s="129">
        <f>Z$21*shipping_manufacturing!$J$29/100</f>
        <v>0</v>
      </c>
      <c r="AA55" s="129">
        <f>AA$21*shipping_manufacturing!$J$29/100</f>
        <v>0</v>
      </c>
      <c r="AB55" s="129">
        <f>AB$21*shipping_manufacturing!$J$29/100</f>
        <v>0</v>
      </c>
      <c r="AC55" s="129">
        <f>AC$21*shipping_manufacturing!$J$29/100</f>
        <v>0</v>
      </c>
      <c r="AD55" s="129">
        <f>AD$21*shipping_manufacturing!$J$29/100</f>
        <v>0</v>
      </c>
      <c r="AE55" s="129">
        <f>AE$21*shipping_manufacturing!$J$29/100</f>
        <v>0</v>
      </c>
      <c r="AF55" s="129">
        <f>AF$21*shipping_manufacturing!$J$29/100</f>
        <v>0</v>
      </c>
      <c r="AG55" s="129">
        <f>AG$21*shipping_manufacturing!$J$29/100</f>
        <v>0</v>
      </c>
      <c r="AH55" s="129">
        <f>AH$21*shipping_manufacturing!$J$29/100</f>
        <v>0</v>
      </c>
      <c r="AI55" s="129">
        <f>AI$21*shipping_manufacturing!$J$29/100</f>
        <v>0</v>
      </c>
      <c r="AJ55" s="129">
        <f>AJ$21*shipping_manufacturing!$J$29/100</f>
        <v>0</v>
      </c>
      <c r="AK55" s="129">
        <f>AK$21*shipping_manufacturing!$J$29/100</f>
        <v>0</v>
      </c>
      <c r="AL55" s="129">
        <f>AL$21*shipping_manufacturing!$J$29/100</f>
        <v>0</v>
      </c>
      <c r="AM55" s="129">
        <f>AM$21*shipping_manufacturing!$J$29/100</f>
        <v>0</v>
      </c>
      <c r="AN55" s="129">
        <f>AN$21*shipping_manufacturing!$J$29/100</f>
        <v>0</v>
      </c>
      <c r="AO55" s="129">
        <f>AO$21*shipping_manufacturing!$J$29/100</f>
        <v>0</v>
      </c>
      <c r="AP55" s="129">
        <f>AP$21*shipping_manufacturing!$J$29/100</f>
        <v>0</v>
      </c>
      <c r="AQ55" s="129">
        <f>AQ$21*shipping_manufacturing!$J$29/100</f>
        <v>0</v>
      </c>
      <c r="AR55" s="129">
        <f>AR$21*shipping_manufacturing!$J$29/100</f>
        <v>0</v>
      </c>
      <c r="AS55" s="129">
        <f>AS$21*shipping_manufacturing!$J$29/100</f>
        <v>0</v>
      </c>
      <c r="AT55" s="129">
        <f>AT$21*shipping_manufacturing!$J$29/100</f>
        <v>0</v>
      </c>
      <c r="AU55" s="129">
        <f>AU$21*shipping_manufacturing!$J$29/100</f>
        <v>0</v>
      </c>
      <c r="AV55" s="129">
        <f>AV$21*shipping_manufacturing!$J$29/100</f>
        <v>0</v>
      </c>
      <c r="AW55" s="129">
        <f>AW$21*shipping_manufacturing!$J$29/100</f>
        <v>0</v>
      </c>
      <c r="AX55" s="129">
        <f>AX$21*shipping_manufacturing!$J$29/100</f>
        <v>0</v>
      </c>
      <c r="AY55" s="129">
        <f>AY$21*shipping_manufacturing!$J$29/100</f>
        <v>0</v>
      </c>
    </row>
    <row r="56" spans="1:52" x14ac:dyDescent="0.2">
      <c r="A56" s="118" t="s">
        <v>341</v>
      </c>
      <c r="B56" s="170" t="s">
        <v>343</v>
      </c>
      <c r="C56" s="115"/>
      <c r="D56" s="115">
        <f>D$22*shipping_manufacturing!$K$29/100</f>
        <v>0</v>
      </c>
      <c r="E56" s="115">
        <f>E$22*shipping_manufacturing!$K$29/100</f>
        <v>0</v>
      </c>
      <c r="F56" s="115">
        <f>F$22*shipping_manufacturing!$K$29/100</f>
        <v>0</v>
      </c>
      <c r="G56" s="115">
        <f>G$22*shipping_manufacturing!$K$29/100</f>
        <v>0</v>
      </c>
      <c r="H56" s="115">
        <f>H$22*shipping_manufacturing!$K$29/100</f>
        <v>0</v>
      </c>
      <c r="I56" s="115">
        <f>I$22*shipping_manufacturing!$K$29/100</f>
        <v>0</v>
      </c>
      <c r="J56" s="115">
        <f>J$22*shipping_manufacturing!$K$29/100</f>
        <v>0</v>
      </c>
      <c r="K56" s="115">
        <f>K$22*shipping_manufacturing!$K$29/100</f>
        <v>0</v>
      </c>
      <c r="L56" s="115">
        <f>L$22*shipping_manufacturing!$K$29/100</f>
        <v>0</v>
      </c>
      <c r="M56" s="115">
        <f>M$22*shipping_manufacturing!$K$29/100</f>
        <v>0</v>
      </c>
      <c r="N56" s="115">
        <f>N$22*shipping_manufacturing!$K$29/100</f>
        <v>0</v>
      </c>
      <c r="O56" s="115">
        <f>O$22*shipping_manufacturing!$K$29/100</f>
        <v>0</v>
      </c>
      <c r="P56" s="115">
        <f>P$22*shipping_manufacturing!$K$29/100</f>
        <v>0</v>
      </c>
      <c r="Q56" s="115">
        <f>Q$22*shipping_manufacturing!$K$29/100</f>
        <v>0</v>
      </c>
      <c r="R56" s="115">
        <f>R$22*shipping_manufacturing!$K$29/100</f>
        <v>0</v>
      </c>
      <c r="S56" s="115">
        <f>S$22*shipping_manufacturing!$K$29/100</f>
        <v>0</v>
      </c>
      <c r="T56" s="115">
        <f>T$22*shipping_manufacturing!$K$29/100</f>
        <v>0</v>
      </c>
      <c r="U56" s="115">
        <f>U$22*shipping_manufacturing!$K$29/100</f>
        <v>0</v>
      </c>
      <c r="V56" s="115">
        <f>V$22*shipping_manufacturing!$K$29/100</f>
        <v>0</v>
      </c>
      <c r="W56" s="115">
        <f>W$22*shipping_manufacturing!$K$29/100</f>
        <v>0</v>
      </c>
      <c r="X56" s="115">
        <f>X$22*shipping_manufacturing!$K$29/100</f>
        <v>0</v>
      </c>
      <c r="Y56" s="115">
        <f>Y$22*shipping_manufacturing!$K$29/100</f>
        <v>0</v>
      </c>
      <c r="Z56" s="115">
        <f>Z$22*shipping_manufacturing!$K$29/100</f>
        <v>0</v>
      </c>
      <c r="AA56" s="115">
        <f>AA$22*shipping_manufacturing!$K$29/100</f>
        <v>0</v>
      </c>
      <c r="AB56" s="115">
        <f>AB$22*shipping_manufacturing!$K$29/100</f>
        <v>0</v>
      </c>
      <c r="AC56" s="115">
        <f>AC$22*shipping_manufacturing!$K$29/100</f>
        <v>0</v>
      </c>
      <c r="AD56" s="115">
        <f>AD$22*shipping_manufacturing!$K$29/100</f>
        <v>0</v>
      </c>
      <c r="AE56" s="115">
        <f>AE$22*shipping_manufacturing!$K$29/100</f>
        <v>0</v>
      </c>
      <c r="AF56" s="115">
        <f>AF$22*shipping_manufacturing!$K$29/100</f>
        <v>0</v>
      </c>
      <c r="AG56" s="115">
        <f>AG$22*shipping_manufacturing!$K$29/100</f>
        <v>0</v>
      </c>
      <c r="AH56" s="115">
        <f>AH$22*shipping_manufacturing!$K$29/100</f>
        <v>0</v>
      </c>
      <c r="AI56" s="115">
        <f>AI$22*shipping_manufacturing!$K$29/100</f>
        <v>0</v>
      </c>
      <c r="AJ56" s="115">
        <f>AJ$22*shipping_manufacturing!$K$29/100</f>
        <v>0</v>
      </c>
      <c r="AK56" s="115">
        <f>AK$22*shipping_manufacturing!$K$29/100</f>
        <v>0</v>
      </c>
      <c r="AL56" s="115">
        <f>AL$22*shipping_manufacturing!$K$29/100</f>
        <v>0</v>
      </c>
      <c r="AM56" s="115">
        <f>AM$22*shipping_manufacturing!$K$29/100</f>
        <v>0</v>
      </c>
      <c r="AN56" s="115">
        <f>AN$22*shipping_manufacturing!$K$29/100</f>
        <v>0</v>
      </c>
      <c r="AO56" s="115">
        <f>AO$22*shipping_manufacturing!$K$29/100</f>
        <v>0</v>
      </c>
      <c r="AP56" s="115">
        <f>AP$22*shipping_manufacturing!$K$29/100</f>
        <v>0</v>
      </c>
      <c r="AQ56" s="115">
        <f>AQ$22*shipping_manufacturing!$K$29/100</f>
        <v>0</v>
      </c>
      <c r="AR56" s="115">
        <f>AR$22*shipping_manufacturing!$K$29/100</f>
        <v>0</v>
      </c>
      <c r="AS56" s="115">
        <f>AS$22*shipping_manufacturing!$K$29/100</f>
        <v>0</v>
      </c>
      <c r="AT56" s="115">
        <f>AT$22*shipping_manufacturing!$K$29/100</f>
        <v>0</v>
      </c>
      <c r="AU56" s="115">
        <f>AU$22*shipping_manufacturing!$K$29/100</f>
        <v>0</v>
      </c>
      <c r="AV56" s="115">
        <f>AV$22*shipping_manufacturing!$K$29/100</f>
        <v>0</v>
      </c>
      <c r="AW56" s="115">
        <f>AW$22*shipping_manufacturing!$K$29/100</f>
        <v>0</v>
      </c>
      <c r="AX56" s="115">
        <f>AX$22*shipping_manufacturing!$K$29/100</f>
        <v>0</v>
      </c>
      <c r="AY56" s="115">
        <f>AY$22*shipping_manufacturing!$K$29/100</f>
        <v>0</v>
      </c>
    </row>
    <row r="57" spans="1:52" x14ac:dyDescent="0.2">
      <c r="A57" s="115">
        <v>2015</v>
      </c>
      <c r="B57" s="170" t="s">
        <v>344</v>
      </c>
      <c r="C57" s="115"/>
      <c r="D57" s="115">
        <f>SUM(D55:D56)</f>
        <v>0</v>
      </c>
      <c r="E57" s="115">
        <f t="shared" ref="E57:AY57" si="17">SUM(E55:E56)</f>
        <v>0</v>
      </c>
      <c r="F57" s="115">
        <f t="shared" si="17"/>
        <v>0</v>
      </c>
      <c r="G57" s="115">
        <f t="shared" si="17"/>
        <v>0</v>
      </c>
      <c r="H57" s="115">
        <f t="shared" si="17"/>
        <v>0</v>
      </c>
      <c r="I57" s="115">
        <f t="shared" si="17"/>
        <v>0</v>
      </c>
      <c r="J57" s="115">
        <f t="shared" si="17"/>
        <v>0</v>
      </c>
      <c r="K57" s="115">
        <f t="shared" si="17"/>
        <v>0</v>
      </c>
      <c r="L57" s="115">
        <f t="shared" si="17"/>
        <v>0</v>
      </c>
      <c r="M57" s="115">
        <f t="shared" si="17"/>
        <v>0</v>
      </c>
      <c r="N57" s="115">
        <f t="shared" si="17"/>
        <v>0</v>
      </c>
      <c r="O57" s="115">
        <f t="shared" si="17"/>
        <v>0</v>
      </c>
      <c r="P57" s="115">
        <f t="shared" si="17"/>
        <v>0</v>
      </c>
      <c r="Q57" s="115">
        <f t="shared" si="17"/>
        <v>0</v>
      </c>
      <c r="R57" s="115">
        <f t="shared" si="17"/>
        <v>0</v>
      </c>
      <c r="S57" s="115">
        <f t="shared" si="17"/>
        <v>0</v>
      </c>
      <c r="T57" s="115">
        <f t="shared" si="17"/>
        <v>0</v>
      </c>
      <c r="U57" s="115">
        <f t="shared" si="17"/>
        <v>0</v>
      </c>
      <c r="V57" s="115">
        <f t="shared" si="17"/>
        <v>0</v>
      </c>
      <c r="W57" s="115">
        <f t="shared" si="17"/>
        <v>0</v>
      </c>
      <c r="X57" s="115">
        <f t="shared" si="17"/>
        <v>0</v>
      </c>
      <c r="Y57" s="115">
        <f t="shared" si="17"/>
        <v>0</v>
      </c>
      <c r="Z57" s="115">
        <f t="shared" si="17"/>
        <v>0</v>
      </c>
      <c r="AA57" s="115">
        <f t="shared" si="17"/>
        <v>0</v>
      </c>
      <c r="AB57" s="115">
        <f t="shared" si="17"/>
        <v>0</v>
      </c>
      <c r="AC57" s="115">
        <f t="shared" si="17"/>
        <v>0</v>
      </c>
      <c r="AD57" s="115">
        <f t="shared" si="17"/>
        <v>0</v>
      </c>
      <c r="AE57" s="115">
        <f t="shared" si="17"/>
        <v>0</v>
      </c>
      <c r="AF57" s="115">
        <f t="shared" si="17"/>
        <v>0</v>
      </c>
      <c r="AG57" s="115">
        <f t="shared" si="17"/>
        <v>0</v>
      </c>
      <c r="AH57" s="115">
        <f t="shared" si="17"/>
        <v>0</v>
      </c>
      <c r="AI57" s="115">
        <f t="shared" si="17"/>
        <v>0</v>
      </c>
      <c r="AJ57" s="115">
        <f t="shared" si="17"/>
        <v>0</v>
      </c>
      <c r="AK57" s="115">
        <f t="shared" si="17"/>
        <v>0</v>
      </c>
      <c r="AL57" s="115">
        <f t="shared" si="17"/>
        <v>0</v>
      </c>
      <c r="AM57" s="115">
        <f t="shared" si="17"/>
        <v>0</v>
      </c>
      <c r="AN57" s="115">
        <f t="shared" si="17"/>
        <v>0</v>
      </c>
      <c r="AO57" s="115">
        <f t="shared" si="17"/>
        <v>0</v>
      </c>
      <c r="AP57" s="115">
        <f t="shared" si="17"/>
        <v>0</v>
      </c>
      <c r="AQ57" s="115">
        <f t="shared" si="17"/>
        <v>0</v>
      </c>
      <c r="AR57" s="115">
        <f t="shared" si="17"/>
        <v>0</v>
      </c>
      <c r="AS57" s="115">
        <f t="shared" si="17"/>
        <v>0</v>
      </c>
      <c r="AT57" s="115">
        <f t="shared" si="17"/>
        <v>0</v>
      </c>
      <c r="AU57" s="115">
        <f t="shared" si="17"/>
        <v>0</v>
      </c>
      <c r="AV57" s="115">
        <f t="shared" si="17"/>
        <v>0</v>
      </c>
      <c r="AW57" s="115">
        <f t="shared" si="17"/>
        <v>0</v>
      </c>
      <c r="AX57" s="115">
        <f t="shared" si="17"/>
        <v>0</v>
      </c>
      <c r="AY57" s="115">
        <f t="shared" si="17"/>
        <v>0</v>
      </c>
    </row>
    <row r="58" spans="1:52" x14ac:dyDescent="0.2">
      <c r="A58" s="115"/>
      <c r="B58" s="170" t="s">
        <v>345</v>
      </c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</row>
    <row r="59" spans="1:52" x14ac:dyDescent="0.2">
      <c r="A59" s="115"/>
      <c r="B59" s="170" t="s">
        <v>346</v>
      </c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</row>
    <row r="60" spans="1:52" x14ac:dyDescent="0.2">
      <c r="A60" s="115"/>
      <c r="B60" s="170" t="s">
        <v>347</v>
      </c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</row>
    <row r="61" spans="1:52" x14ac:dyDescent="0.2">
      <c r="A61" s="115"/>
      <c r="B61" s="170" t="s">
        <v>348</v>
      </c>
      <c r="C61" s="115"/>
      <c r="D61" s="115">
        <f>D55-D58</f>
        <v>0</v>
      </c>
      <c r="E61" s="115">
        <f t="shared" ref="E61:AY61" si="18">E55-E58</f>
        <v>0</v>
      </c>
      <c r="F61" s="115">
        <f t="shared" si="18"/>
        <v>0</v>
      </c>
      <c r="G61" s="115">
        <f t="shared" si="18"/>
        <v>0</v>
      </c>
      <c r="H61" s="115">
        <f t="shared" si="18"/>
        <v>0</v>
      </c>
      <c r="I61" s="115">
        <f t="shared" si="18"/>
        <v>0</v>
      </c>
      <c r="J61" s="115">
        <f t="shared" si="18"/>
        <v>0</v>
      </c>
      <c r="K61" s="115">
        <f t="shared" si="18"/>
        <v>0</v>
      </c>
      <c r="L61" s="115">
        <f t="shared" si="18"/>
        <v>0</v>
      </c>
      <c r="M61" s="115">
        <f t="shared" si="18"/>
        <v>0</v>
      </c>
      <c r="N61" s="115">
        <f t="shared" si="18"/>
        <v>0</v>
      </c>
      <c r="O61" s="115">
        <f t="shared" si="18"/>
        <v>0</v>
      </c>
      <c r="P61" s="115">
        <f t="shared" si="18"/>
        <v>0</v>
      </c>
      <c r="Q61" s="115">
        <f t="shared" si="18"/>
        <v>0</v>
      </c>
      <c r="R61" s="115">
        <f t="shared" si="18"/>
        <v>0</v>
      </c>
      <c r="S61" s="115">
        <f t="shared" si="18"/>
        <v>0</v>
      </c>
      <c r="T61" s="115">
        <f t="shared" si="18"/>
        <v>0</v>
      </c>
      <c r="U61" s="115">
        <f t="shared" si="18"/>
        <v>0</v>
      </c>
      <c r="V61" s="115">
        <f t="shared" si="18"/>
        <v>0</v>
      </c>
      <c r="W61" s="115">
        <f t="shared" si="18"/>
        <v>0</v>
      </c>
      <c r="X61" s="115">
        <f t="shared" si="18"/>
        <v>0</v>
      </c>
      <c r="Y61" s="115">
        <f t="shared" si="18"/>
        <v>0</v>
      </c>
      <c r="Z61" s="115">
        <f t="shared" si="18"/>
        <v>0</v>
      </c>
      <c r="AA61" s="115">
        <f t="shared" si="18"/>
        <v>0</v>
      </c>
      <c r="AB61" s="115">
        <f t="shared" si="18"/>
        <v>0</v>
      </c>
      <c r="AC61" s="115">
        <f t="shared" si="18"/>
        <v>0</v>
      </c>
      <c r="AD61" s="115">
        <f t="shared" si="18"/>
        <v>0</v>
      </c>
      <c r="AE61" s="115">
        <f t="shared" si="18"/>
        <v>0</v>
      </c>
      <c r="AF61" s="115">
        <f t="shared" si="18"/>
        <v>0</v>
      </c>
      <c r="AG61" s="115">
        <f t="shared" si="18"/>
        <v>0</v>
      </c>
      <c r="AH61" s="115">
        <f t="shared" si="18"/>
        <v>0</v>
      </c>
      <c r="AI61" s="115">
        <f t="shared" si="18"/>
        <v>0</v>
      </c>
      <c r="AJ61" s="115">
        <f t="shared" si="18"/>
        <v>0</v>
      </c>
      <c r="AK61" s="115">
        <f t="shared" si="18"/>
        <v>0</v>
      </c>
      <c r="AL61" s="115">
        <f t="shared" si="18"/>
        <v>0</v>
      </c>
      <c r="AM61" s="115">
        <f t="shared" si="18"/>
        <v>0</v>
      </c>
      <c r="AN61" s="115">
        <f t="shared" si="18"/>
        <v>0</v>
      </c>
      <c r="AO61" s="115">
        <f t="shared" si="18"/>
        <v>0</v>
      </c>
      <c r="AP61" s="115">
        <f t="shared" si="18"/>
        <v>0</v>
      </c>
      <c r="AQ61" s="115">
        <f t="shared" si="18"/>
        <v>0</v>
      </c>
      <c r="AR61" s="115">
        <f t="shared" si="18"/>
        <v>0</v>
      </c>
      <c r="AS61" s="115">
        <f t="shared" si="18"/>
        <v>0</v>
      </c>
      <c r="AT61" s="115">
        <f t="shared" si="18"/>
        <v>0</v>
      </c>
      <c r="AU61" s="115">
        <f t="shared" si="18"/>
        <v>0</v>
      </c>
      <c r="AV61" s="115">
        <f t="shared" si="18"/>
        <v>0</v>
      </c>
      <c r="AW61" s="115">
        <f t="shared" si="18"/>
        <v>0</v>
      </c>
      <c r="AX61" s="115">
        <f t="shared" si="18"/>
        <v>0</v>
      </c>
      <c r="AY61" s="115">
        <f t="shared" si="18"/>
        <v>0</v>
      </c>
    </row>
    <row r="62" spans="1:52" x14ac:dyDescent="0.2">
      <c r="A62" s="115"/>
      <c r="B62" s="170" t="s">
        <v>349</v>
      </c>
      <c r="C62" s="115"/>
      <c r="D62" s="115">
        <f>D56-D59</f>
        <v>0</v>
      </c>
      <c r="E62" s="115">
        <f t="shared" ref="E62:AY62" si="19">E56-E59</f>
        <v>0</v>
      </c>
      <c r="F62" s="115">
        <f t="shared" si="19"/>
        <v>0</v>
      </c>
      <c r="G62" s="115">
        <f t="shared" si="19"/>
        <v>0</v>
      </c>
      <c r="H62" s="115">
        <f t="shared" si="19"/>
        <v>0</v>
      </c>
      <c r="I62" s="115">
        <f t="shared" si="19"/>
        <v>0</v>
      </c>
      <c r="J62" s="115">
        <f t="shared" si="19"/>
        <v>0</v>
      </c>
      <c r="K62" s="115">
        <f t="shared" si="19"/>
        <v>0</v>
      </c>
      <c r="L62" s="115">
        <f t="shared" si="19"/>
        <v>0</v>
      </c>
      <c r="M62" s="115">
        <f t="shared" si="19"/>
        <v>0</v>
      </c>
      <c r="N62" s="115">
        <f t="shared" si="19"/>
        <v>0</v>
      </c>
      <c r="O62" s="115">
        <f t="shared" si="19"/>
        <v>0</v>
      </c>
      <c r="P62" s="115">
        <f t="shared" si="19"/>
        <v>0</v>
      </c>
      <c r="Q62" s="115">
        <f t="shared" si="19"/>
        <v>0</v>
      </c>
      <c r="R62" s="115">
        <f t="shared" si="19"/>
        <v>0</v>
      </c>
      <c r="S62" s="115">
        <f t="shared" si="19"/>
        <v>0</v>
      </c>
      <c r="T62" s="115">
        <f t="shared" si="19"/>
        <v>0</v>
      </c>
      <c r="U62" s="115">
        <f t="shared" si="19"/>
        <v>0</v>
      </c>
      <c r="V62" s="115">
        <f t="shared" si="19"/>
        <v>0</v>
      </c>
      <c r="W62" s="115">
        <f t="shared" si="19"/>
        <v>0</v>
      </c>
      <c r="X62" s="115">
        <f t="shared" si="19"/>
        <v>0</v>
      </c>
      <c r="Y62" s="115">
        <f t="shared" si="19"/>
        <v>0</v>
      </c>
      <c r="Z62" s="115">
        <f t="shared" si="19"/>
        <v>0</v>
      </c>
      <c r="AA62" s="115">
        <f t="shared" si="19"/>
        <v>0</v>
      </c>
      <c r="AB62" s="115">
        <f t="shared" si="19"/>
        <v>0</v>
      </c>
      <c r="AC62" s="115">
        <f t="shared" si="19"/>
        <v>0</v>
      </c>
      <c r="AD62" s="115">
        <f t="shared" si="19"/>
        <v>0</v>
      </c>
      <c r="AE62" s="115">
        <f t="shared" si="19"/>
        <v>0</v>
      </c>
      <c r="AF62" s="115">
        <f t="shared" si="19"/>
        <v>0</v>
      </c>
      <c r="AG62" s="115">
        <f t="shared" si="19"/>
        <v>0</v>
      </c>
      <c r="AH62" s="115">
        <f t="shared" si="19"/>
        <v>0</v>
      </c>
      <c r="AI62" s="115">
        <f t="shared" si="19"/>
        <v>0</v>
      </c>
      <c r="AJ62" s="115">
        <f t="shared" si="19"/>
        <v>0</v>
      </c>
      <c r="AK62" s="115">
        <f t="shared" si="19"/>
        <v>0</v>
      </c>
      <c r="AL62" s="115">
        <f t="shared" si="19"/>
        <v>0</v>
      </c>
      <c r="AM62" s="115">
        <f t="shared" si="19"/>
        <v>0</v>
      </c>
      <c r="AN62" s="115">
        <f t="shared" si="19"/>
        <v>0</v>
      </c>
      <c r="AO62" s="115">
        <f t="shared" si="19"/>
        <v>0</v>
      </c>
      <c r="AP62" s="115">
        <f t="shared" si="19"/>
        <v>0</v>
      </c>
      <c r="AQ62" s="115">
        <f t="shared" si="19"/>
        <v>0</v>
      </c>
      <c r="AR62" s="115">
        <f t="shared" si="19"/>
        <v>0</v>
      </c>
      <c r="AS62" s="115">
        <f t="shared" si="19"/>
        <v>0</v>
      </c>
      <c r="AT62" s="115">
        <f t="shared" si="19"/>
        <v>0</v>
      </c>
      <c r="AU62" s="115">
        <f t="shared" si="19"/>
        <v>0</v>
      </c>
      <c r="AV62" s="115">
        <f t="shared" si="19"/>
        <v>0</v>
      </c>
      <c r="AW62" s="115">
        <f t="shared" si="19"/>
        <v>0</v>
      </c>
      <c r="AX62" s="115">
        <f t="shared" si="19"/>
        <v>0</v>
      </c>
      <c r="AY62" s="115">
        <f t="shared" si="19"/>
        <v>0</v>
      </c>
    </row>
    <row r="63" spans="1:52" x14ac:dyDescent="0.2">
      <c r="A63" s="115"/>
      <c r="B63" s="170" t="s">
        <v>350</v>
      </c>
      <c r="C63" s="115"/>
      <c r="D63" s="115">
        <v>4</v>
      </c>
      <c r="E63" s="115">
        <v>2</v>
      </c>
      <c r="F63" s="115">
        <v>2</v>
      </c>
      <c r="G63" s="115">
        <v>3</v>
      </c>
      <c r="H63" s="115">
        <v>2</v>
      </c>
      <c r="I63" s="115">
        <v>3</v>
      </c>
      <c r="J63" s="115">
        <v>2</v>
      </c>
      <c r="K63" s="115">
        <v>2</v>
      </c>
      <c r="L63" s="115">
        <v>3</v>
      </c>
      <c r="M63" s="115">
        <v>4</v>
      </c>
      <c r="N63" s="115">
        <v>4</v>
      </c>
      <c r="O63" s="115">
        <v>3</v>
      </c>
      <c r="P63" s="115">
        <v>2</v>
      </c>
      <c r="Q63" s="115">
        <v>2</v>
      </c>
      <c r="R63" s="115">
        <v>2</v>
      </c>
      <c r="S63" s="115">
        <v>2</v>
      </c>
      <c r="T63" s="115">
        <v>2</v>
      </c>
      <c r="U63" s="115">
        <v>2</v>
      </c>
      <c r="V63" s="115">
        <v>2</v>
      </c>
      <c r="W63" s="115">
        <v>3</v>
      </c>
      <c r="X63" s="115">
        <v>2</v>
      </c>
      <c r="Y63" s="115">
        <v>2</v>
      </c>
      <c r="Z63" s="115">
        <v>2</v>
      </c>
      <c r="AA63" s="115">
        <v>3</v>
      </c>
      <c r="AB63" s="115">
        <v>3</v>
      </c>
      <c r="AC63" s="115">
        <v>2</v>
      </c>
      <c r="AD63" s="115">
        <v>2</v>
      </c>
      <c r="AE63" s="115">
        <v>2</v>
      </c>
      <c r="AF63" s="115">
        <v>3</v>
      </c>
      <c r="AG63" s="115">
        <v>2</v>
      </c>
      <c r="AH63" s="115">
        <v>2</v>
      </c>
      <c r="AI63" s="115">
        <v>2</v>
      </c>
      <c r="AJ63" s="115">
        <v>2</v>
      </c>
      <c r="AK63" s="115">
        <v>4</v>
      </c>
      <c r="AL63" s="115">
        <v>2</v>
      </c>
      <c r="AM63" s="115">
        <v>2</v>
      </c>
      <c r="AN63" s="115">
        <v>3</v>
      </c>
      <c r="AO63" s="115">
        <v>2</v>
      </c>
      <c r="AP63" s="115">
        <v>3</v>
      </c>
      <c r="AQ63" s="115">
        <v>3</v>
      </c>
      <c r="AR63" s="115">
        <v>2</v>
      </c>
      <c r="AS63" s="115">
        <v>3</v>
      </c>
      <c r="AT63" s="115">
        <v>3</v>
      </c>
      <c r="AU63" s="115">
        <v>3</v>
      </c>
      <c r="AV63" s="115">
        <v>3</v>
      </c>
      <c r="AW63" s="115">
        <v>2</v>
      </c>
      <c r="AX63" s="115">
        <v>2</v>
      </c>
      <c r="AY63" s="115">
        <v>2</v>
      </c>
    </row>
    <row r="64" spans="1:52" x14ac:dyDescent="0.2">
      <c r="A64" s="115"/>
      <c r="B64" s="183" t="s">
        <v>351</v>
      </c>
      <c r="C64" s="115"/>
      <c r="D64" s="115">
        <v>0</v>
      </c>
      <c r="E64" s="115">
        <v>0</v>
      </c>
      <c r="F64" s="115">
        <v>0</v>
      </c>
      <c r="G64" s="115">
        <v>0</v>
      </c>
      <c r="H64" s="115">
        <v>0</v>
      </c>
      <c r="I64" s="115">
        <v>0</v>
      </c>
      <c r="J64" s="115">
        <v>0</v>
      </c>
      <c r="K64" s="115">
        <v>0</v>
      </c>
      <c r="L64" s="115">
        <v>0</v>
      </c>
      <c r="M64" s="115">
        <v>0</v>
      </c>
      <c r="N64" s="115">
        <v>0</v>
      </c>
      <c r="O64" s="115">
        <v>0</v>
      </c>
      <c r="P64" s="115">
        <v>0</v>
      </c>
      <c r="Q64" s="115">
        <v>0</v>
      </c>
      <c r="R64" s="115">
        <v>0</v>
      </c>
      <c r="S64" s="115">
        <v>0</v>
      </c>
      <c r="T64" s="115">
        <v>0</v>
      </c>
      <c r="U64" s="115">
        <v>0</v>
      </c>
      <c r="V64" s="115">
        <v>0</v>
      </c>
      <c r="W64" s="115">
        <v>0</v>
      </c>
      <c r="X64" s="115">
        <v>0</v>
      </c>
      <c r="Y64" s="115">
        <v>0</v>
      </c>
      <c r="Z64" s="115">
        <v>0</v>
      </c>
      <c r="AA64" s="115">
        <v>0</v>
      </c>
      <c r="AB64" s="115">
        <v>0</v>
      </c>
      <c r="AC64" s="115">
        <v>0</v>
      </c>
      <c r="AD64" s="115">
        <v>0</v>
      </c>
      <c r="AE64" s="115">
        <v>0</v>
      </c>
      <c r="AF64" s="115">
        <v>0</v>
      </c>
      <c r="AG64" s="115">
        <v>0</v>
      </c>
      <c r="AH64" s="115">
        <v>0</v>
      </c>
      <c r="AI64" s="115">
        <v>0</v>
      </c>
      <c r="AJ64" s="115">
        <v>0</v>
      </c>
      <c r="AK64" s="115">
        <v>0</v>
      </c>
      <c r="AL64" s="115">
        <v>0</v>
      </c>
      <c r="AM64" s="115">
        <v>0</v>
      </c>
      <c r="AN64" s="115">
        <v>0</v>
      </c>
      <c r="AO64" s="115">
        <v>0</v>
      </c>
      <c r="AP64" s="115">
        <v>0</v>
      </c>
      <c r="AQ64" s="115">
        <v>0</v>
      </c>
      <c r="AR64" s="115">
        <v>0</v>
      </c>
      <c r="AS64" s="115">
        <v>0</v>
      </c>
      <c r="AT64" s="115">
        <v>0</v>
      </c>
      <c r="AU64" s="115">
        <v>0</v>
      </c>
      <c r="AV64" s="115">
        <v>0</v>
      </c>
      <c r="AW64" s="115">
        <v>0</v>
      </c>
      <c r="AX64" s="115">
        <v>0</v>
      </c>
      <c r="AY64" s="115">
        <v>0</v>
      </c>
      <c r="AZ64" s="105">
        <f>SUM($D$64:$AY$64)</f>
        <v>0</v>
      </c>
    </row>
    <row r="65" spans="1:52" x14ac:dyDescent="0.2">
      <c r="A65" s="115"/>
      <c r="B65" s="183" t="s">
        <v>352</v>
      </c>
      <c r="C65" s="115"/>
      <c r="D65" s="115">
        <v>0</v>
      </c>
      <c r="E65" s="115">
        <v>0</v>
      </c>
      <c r="F65" s="115">
        <v>0</v>
      </c>
      <c r="G65" s="115">
        <v>0</v>
      </c>
      <c r="H65" s="115">
        <v>0</v>
      </c>
      <c r="I65" s="115">
        <v>0</v>
      </c>
      <c r="J65" s="115">
        <v>0</v>
      </c>
      <c r="K65" s="115">
        <v>0</v>
      </c>
      <c r="L65" s="115">
        <v>0</v>
      </c>
      <c r="M65" s="115">
        <v>0</v>
      </c>
      <c r="N65" s="115">
        <v>0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15">
        <v>0</v>
      </c>
      <c r="V65" s="115">
        <v>0</v>
      </c>
      <c r="W65" s="115">
        <v>0</v>
      </c>
      <c r="X65" s="115">
        <v>0</v>
      </c>
      <c r="Y65" s="115">
        <v>0</v>
      </c>
      <c r="Z65" s="115">
        <v>0</v>
      </c>
      <c r="AA65" s="115">
        <v>0</v>
      </c>
      <c r="AB65" s="115">
        <v>0</v>
      </c>
      <c r="AC65" s="115">
        <v>0</v>
      </c>
      <c r="AD65" s="115">
        <v>0</v>
      </c>
      <c r="AE65" s="115">
        <v>0</v>
      </c>
      <c r="AF65" s="115">
        <v>0</v>
      </c>
      <c r="AG65" s="115">
        <v>0</v>
      </c>
      <c r="AH65" s="115">
        <v>0</v>
      </c>
      <c r="AI65" s="115">
        <v>0</v>
      </c>
      <c r="AJ65" s="115">
        <v>0</v>
      </c>
      <c r="AK65" s="115">
        <v>0</v>
      </c>
      <c r="AL65" s="115">
        <v>0</v>
      </c>
      <c r="AM65" s="115">
        <v>0</v>
      </c>
      <c r="AN65" s="115">
        <v>0</v>
      </c>
      <c r="AO65" s="115">
        <v>0</v>
      </c>
      <c r="AP65" s="115">
        <v>0</v>
      </c>
      <c r="AQ65" s="115">
        <v>0</v>
      </c>
      <c r="AR65" s="115">
        <v>0</v>
      </c>
      <c r="AS65" s="115">
        <v>0</v>
      </c>
      <c r="AT65" s="115">
        <v>0</v>
      </c>
      <c r="AU65" s="115">
        <v>0</v>
      </c>
      <c r="AV65" s="115">
        <v>0</v>
      </c>
      <c r="AW65" s="115">
        <v>0</v>
      </c>
      <c r="AX65" s="115">
        <v>0</v>
      </c>
      <c r="AY65" s="115">
        <v>0</v>
      </c>
      <c r="AZ65" s="105">
        <f>SUM($D$65:$AY$65)</f>
        <v>0</v>
      </c>
    </row>
    <row r="66" spans="1:52" x14ac:dyDescent="0.2">
      <c r="A66" s="140" t="s">
        <v>70</v>
      </c>
      <c r="B66" s="140" t="s">
        <v>342</v>
      </c>
      <c r="C66" s="129"/>
      <c r="D66" s="129">
        <f>D$21*shipping_manufacturing!$J$30/100</f>
        <v>108.66519294035373</v>
      </c>
      <c r="E66" s="129">
        <f>E$21*shipping_manufacturing!$J$30/100</f>
        <v>0</v>
      </c>
      <c r="F66" s="129">
        <f>F$21*shipping_manufacturing!$J$30/100</f>
        <v>0</v>
      </c>
      <c r="G66" s="129">
        <f>G$21*shipping_manufacturing!$J$30/100</f>
        <v>0</v>
      </c>
      <c r="H66" s="129">
        <f>H$21*shipping_manufacturing!$J$30/100</f>
        <v>0</v>
      </c>
      <c r="I66" s="129">
        <f>I$21*shipping_manufacturing!$J$30/100</f>
        <v>56.526273309148237</v>
      </c>
      <c r="J66" s="129">
        <f>J$21*shipping_manufacturing!$J$30/100</f>
        <v>56.526273309148237</v>
      </c>
      <c r="K66" s="129">
        <f>K$21*shipping_manufacturing!$J$30/100</f>
        <v>56.526273309148237</v>
      </c>
      <c r="L66" s="129">
        <f>L$21*shipping_manufacturing!$J$30/100</f>
        <v>56.526273309148237</v>
      </c>
      <c r="M66" s="129">
        <f>M$21*shipping_manufacturing!$J$30/100</f>
        <v>56.526273309148237</v>
      </c>
      <c r="N66" s="129">
        <f>N$21*shipping_manufacturing!$J$30/100</f>
        <v>56.526273309148237</v>
      </c>
      <c r="O66" s="129">
        <f>O$21*shipping_manufacturing!$J$30/100</f>
        <v>56.526273309148237</v>
      </c>
      <c r="P66" s="129">
        <f>P$21*shipping_manufacturing!$J$30/100</f>
        <v>56.526273309148237</v>
      </c>
      <c r="Q66" s="129">
        <f>Q$21*shipping_manufacturing!$J$30/100</f>
        <v>56.526273309148237</v>
      </c>
      <c r="R66" s="129">
        <f>R$21*shipping_manufacturing!$J$30/100</f>
        <v>56.526273309148237</v>
      </c>
      <c r="S66" s="129">
        <f>S$21*shipping_manufacturing!$J$30/100</f>
        <v>56.526273309148237</v>
      </c>
      <c r="T66" s="129">
        <f>T$21*shipping_manufacturing!$J$30/100</f>
        <v>0</v>
      </c>
      <c r="U66" s="129">
        <f>U$21*shipping_manufacturing!$J$30/100</f>
        <v>113.05254661829647</v>
      </c>
      <c r="V66" s="129">
        <f>V$21*shipping_manufacturing!$J$30/100</f>
        <v>56.526273309148237</v>
      </c>
      <c r="W66" s="129">
        <f>W$21*shipping_manufacturing!$J$30/100</f>
        <v>56.526273309148237</v>
      </c>
      <c r="X66" s="129">
        <f>X$21*shipping_manufacturing!$J$30/100</f>
        <v>56.526273309148237</v>
      </c>
      <c r="Y66" s="129">
        <f>Y$21*shipping_manufacturing!$J$30/100</f>
        <v>56.526273309148237</v>
      </c>
      <c r="Z66" s="129">
        <f>Z$21*shipping_manufacturing!$J$30/100</f>
        <v>56.526273309148237</v>
      </c>
      <c r="AA66" s="129">
        <f>AA$21*shipping_manufacturing!$J$30/100</f>
        <v>56.526273309148237</v>
      </c>
      <c r="AB66" s="129">
        <f>AB$21*shipping_manufacturing!$J$30/100</f>
        <v>56.526273309148237</v>
      </c>
      <c r="AC66" s="129">
        <f>AC$21*shipping_manufacturing!$J$30/100</f>
        <v>56.526273309148237</v>
      </c>
      <c r="AD66" s="129">
        <f>AD$21*shipping_manufacturing!$J$30/100</f>
        <v>56.526273309148237</v>
      </c>
      <c r="AE66" s="129">
        <f>AE$21*shipping_manufacturing!$J$30/100</f>
        <v>56.526273309148237</v>
      </c>
      <c r="AF66" s="129">
        <f>AF$21*shipping_manufacturing!$J$30/100</f>
        <v>56.526273309148237</v>
      </c>
      <c r="AG66" s="129">
        <f>AG$21*shipping_manufacturing!$J$30/100</f>
        <v>56.526273309148237</v>
      </c>
      <c r="AH66" s="129">
        <f>AH$21*shipping_manufacturing!$J$30/100</f>
        <v>56.526273309148237</v>
      </c>
      <c r="AI66" s="129">
        <f>AI$21*shipping_manufacturing!$J$30/100</f>
        <v>56.526273309148237</v>
      </c>
      <c r="AJ66" s="129">
        <f>AJ$21*shipping_manufacturing!$J$30/100</f>
        <v>56.526273309148237</v>
      </c>
      <c r="AK66" s="129">
        <f>AK$21*shipping_manufacturing!$J$30/100</f>
        <v>56.526273309148237</v>
      </c>
      <c r="AL66" s="129">
        <f>AL$21*shipping_manufacturing!$J$30/100</f>
        <v>56.526273309148237</v>
      </c>
      <c r="AM66" s="129">
        <f>AM$21*shipping_manufacturing!$J$30/100</f>
        <v>56.526273309148237</v>
      </c>
      <c r="AN66" s="129">
        <f>AN$21*shipping_manufacturing!$J$30/100</f>
        <v>56.526273309148237</v>
      </c>
      <c r="AO66" s="129">
        <f>AO$21*shipping_manufacturing!$J$30/100</f>
        <v>56.526273309148237</v>
      </c>
      <c r="AP66" s="129">
        <f>AP$21*shipping_manufacturing!$J$30/100</f>
        <v>56.526273309148237</v>
      </c>
      <c r="AQ66" s="129">
        <f>AQ$21*shipping_manufacturing!$J$30/100</f>
        <v>56.526273309148237</v>
      </c>
      <c r="AR66" s="129">
        <f>AR$21*shipping_manufacturing!$J$30/100</f>
        <v>56.526273309148237</v>
      </c>
      <c r="AS66" s="129">
        <f>AS$21*shipping_manufacturing!$J$30/100</f>
        <v>56.526273309148237</v>
      </c>
      <c r="AT66" s="129">
        <f>AT$21*shipping_manufacturing!$J$30/100</f>
        <v>56.526273309148237</v>
      </c>
      <c r="AU66" s="129">
        <f>AU$21*shipping_manufacturing!$J$30/100</f>
        <v>56.526273309148237</v>
      </c>
      <c r="AV66" s="129">
        <f>AV$21*shipping_manufacturing!$J$30/100</f>
        <v>56.526273309148237</v>
      </c>
      <c r="AW66" s="129">
        <f>AW$21*shipping_manufacturing!$J$30/100</f>
        <v>56.526273309148237</v>
      </c>
      <c r="AX66" s="129">
        <f>AX$21*shipping_manufacturing!$J$30/100</f>
        <v>56.526273309148237</v>
      </c>
      <c r="AY66" s="129">
        <f>AY$21*shipping_manufacturing!$J$30/100</f>
        <v>56.526273309148237</v>
      </c>
    </row>
    <row r="67" spans="1:52" x14ac:dyDescent="0.2">
      <c r="A67" s="118" t="s">
        <v>341</v>
      </c>
      <c r="B67" s="170" t="s">
        <v>343</v>
      </c>
      <c r="C67" s="115"/>
      <c r="D67" s="115">
        <f>D$22*shipping_manufacturing!$K$30/100</f>
        <v>90.132987959090485</v>
      </c>
      <c r="E67" s="115">
        <f>E$22*shipping_manufacturing!$K$30/100</f>
        <v>0</v>
      </c>
      <c r="F67" s="115">
        <f>F$22*shipping_manufacturing!$K$30/100</f>
        <v>0</v>
      </c>
      <c r="G67" s="115">
        <f>G$22*shipping_manufacturing!$K$30/100</f>
        <v>0</v>
      </c>
      <c r="H67" s="115">
        <f>H$22*shipping_manufacturing!$K$30/100</f>
        <v>0</v>
      </c>
      <c r="I67" s="115">
        <f>I$22*shipping_manufacturing!$K$30/100</f>
        <v>46.886052227802999</v>
      </c>
      <c r="J67" s="115">
        <f>J$22*shipping_manufacturing!$K$30/100</f>
        <v>46.886052227802999</v>
      </c>
      <c r="K67" s="115">
        <f>K$22*shipping_manufacturing!$K$30/100</f>
        <v>46.886052227802999</v>
      </c>
      <c r="L67" s="115">
        <f>L$22*shipping_manufacturing!$K$30/100</f>
        <v>46.886052227802999</v>
      </c>
      <c r="M67" s="115">
        <f>M$22*shipping_manufacturing!$K$30/100</f>
        <v>46.886052227802999</v>
      </c>
      <c r="N67" s="115">
        <f>N$22*shipping_manufacturing!$K$30/100</f>
        <v>46.886052227802999</v>
      </c>
      <c r="O67" s="115">
        <f>O$22*shipping_manufacturing!$K$30/100</f>
        <v>46.886052227802999</v>
      </c>
      <c r="P67" s="115">
        <f>P$22*shipping_manufacturing!$K$30/100</f>
        <v>46.886052227802999</v>
      </c>
      <c r="Q67" s="115">
        <f>Q$22*shipping_manufacturing!$K$30/100</f>
        <v>46.886052227802999</v>
      </c>
      <c r="R67" s="115">
        <f>R$22*shipping_manufacturing!$K$30/100</f>
        <v>46.886052227802999</v>
      </c>
      <c r="S67" s="115">
        <f>S$22*shipping_manufacturing!$K$30/100</f>
        <v>46.886052227802999</v>
      </c>
      <c r="T67" s="115">
        <f>T$22*shipping_manufacturing!$K$30/100</f>
        <v>0</v>
      </c>
      <c r="U67" s="115">
        <f>U$22*shipping_manufacturing!$K$30/100</f>
        <v>93.772104455605998</v>
      </c>
      <c r="V67" s="115">
        <f>V$22*shipping_manufacturing!$K$30/100</f>
        <v>46.886052227802999</v>
      </c>
      <c r="W67" s="115">
        <f>W$22*shipping_manufacturing!$K$30/100</f>
        <v>46.886052227802999</v>
      </c>
      <c r="X67" s="115">
        <f>X$22*shipping_manufacturing!$K$30/100</f>
        <v>46.886052227802999</v>
      </c>
      <c r="Y67" s="115">
        <f>Y$22*shipping_manufacturing!$K$30/100</f>
        <v>46.886052227802999</v>
      </c>
      <c r="Z67" s="115">
        <f>Z$22*shipping_manufacturing!$K$30/100</f>
        <v>46.886052227802999</v>
      </c>
      <c r="AA67" s="115">
        <f>AA$22*shipping_manufacturing!$K$30/100</f>
        <v>46.886052227802999</v>
      </c>
      <c r="AB67" s="115">
        <f>AB$22*shipping_manufacturing!$K$30/100</f>
        <v>46.886052227802999</v>
      </c>
      <c r="AC67" s="115">
        <f>AC$22*shipping_manufacturing!$K$30/100</f>
        <v>46.886052227802999</v>
      </c>
      <c r="AD67" s="115">
        <f>AD$22*shipping_manufacturing!$K$30/100</f>
        <v>46.886052227802999</v>
      </c>
      <c r="AE67" s="115">
        <f>AE$22*shipping_manufacturing!$K$30/100</f>
        <v>46.886052227802999</v>
      </c>
      <c r="AF67" s="115">
        <f>AF$22*shipping_manufacturing!$K$30/100</f>
        <v>46.886052227802999</v>
      </c>
      <c r="AG67" s="115">
        <f>AG$22*shipping_manufacturing!$K$30/100</f>
        <v>46.886052227802999</v>
      </c>
      <c r="AH67" s="115">
        <f>AH$22*shipping_manufacturing!$K$30/100</f>
        <v>46.886052227802999</v>
      </c>
      <c r="AI67" s="115">
        <f>AI$22*shipping_manufacturing!$K$30/100</f>
        <v>46.886052227802999</v>
      </c>
      <c r="AJ67" s="115">
        <f>AJ$22*shipping_manufacturing!$K$30/100</f>
        <v>46.886052227802999</v>
      </c>
      <c r="AK67" s="115">
        <f>AK$22*shipping_manufacturing!$K$30/100</f>
        <v>46.886052227802999</v>
      </c>
      <c r="AL67" s="115">
        <f>AL$22*shipping_manufacturing!$K$30/100</f>
        <v>46.886052227802999</v>
      </c>
      <c r="AM67" s="115">
        <f>AM$22*shipping_manufacturing!$K$30/100</f>
        <v>46.886052227802999</v>
      </c>
      <c r="AN67" s="115">
        <f>AN$22*shipping_manufacturing!$K$30/100</f>
        <v>46.886052227802999</v>
      </c>
      <c r="AO67" s="115">
        <f>AO$22*shipping_manufacturing!$K$30/100</f>
        <v>46.886052227802999</v>
      </c>
      <c r="AP67" s="115">
        <f>AP$22*shipping_manufacturing!$K$30/100</f>
        <v>46.886052227802999</v>
      </c>
      <c r="AQ67" s="115">
        <f>AQ$22*shipping_manufacturing!$K$30/100</f>
        <v>46.886052227802999</v>
      </c>
      <c r="AR67" s="115">
        <f>AR$22*shipping_manufacturing!$K$30/100</f>
        <v>46.886052227802999</v>
      </c>
      <c r="AS67" s="115">
        <f>AS$22*shipping_manufacturing!$K$30/100</f>
        <v>46.886052227802999</v>
      </c>
      <c r="AT67" s="115">
        <f>AT$22*shipping_manufacturing!$K$30/100</f>
        <v>46.886052227802999</v>
      </c>
      <c r="AU67" s="115">
        <f>AU$22*shipping_manufacturing!$K$30/100</f>
        <v>46.886052227802999</v>
      </c>
      <c r="AV67" s="115">
        <f>AV$22*shipping_manufacturing!$K$30/100</f>
        <v>46.886052227802999</v>
      </c>
      <c r="AW67" s="115">
        <f>AW$22*shipping_manufacturing!$K$30/100</f>
        <v>46.886052227802999</v>
      </c>
      <c r="AX67" s="115">
        <f>AX$22*shipping_manufacturing!$K$30/100</f>
        <v>46.886052227802999</v>
      </c>
      <c r="AY67" s="115">
        <f>AY$22*shipping_manufacturing!$K$30/100</f>
        <v>46.886052227802999</v>
      </c>
    </row>
    <row r="68" spans="1:52" x14ac:dyDescent="0.2">
      <c r="A68" s="115">
        <v>98</v>
      </c>
      <c r="B68" s="170" t="s">
        <v>344</v>
      </c>
      <c r="C68" s="115"/>
      <c r="D68" s="115">
        <f>SUM(D66:D67)</f>
        <v>198.79818089944422</v>
      </c>
      <c r="E68" s="115">
        <f t="shared" ref="E68:AY68" si="20">SUM(E66:E67)</f>
        <v>0</v>
      </c>
      <c r="F68" s="115">
        <f t="shared" si="20"/>
        <v>0</v>
      </c>
      <c r="G68" s="115">
        <f t="shared" si="20"/>
        <v>0</v>
      </c>
      <c r="H68" s="115">
        <f t="shared" si="20"/>
        <v>0</v>
      </c>
      <c r="I68" s="115">
        <f t="shared" si="20"/>
        <v>103.41232553695124</v>
      </c>
      <c r="J68" s="115">
        <f t="shared" si="20"/>
        <v>103.41232553695124</v>
      </c>
      <c r="K68" s="115">
        <f t="shared" si="20"/>
        <v>103.41232553695124</v>
      </c>
      <c r="L68" s="115">
        <f t="shared" si="20"/>
        <v>103.41232553695124</v>
      </c>
      <c r="M68" s="115">
        <f t="shared" si="20"/>
        <v>103.41232553695124</v>
      </c>
      <c r="N68" s="115">
        <f t="shared" si="20"/>
        <v>103.41232553695124</v>
      </c>
      <c r="O68" s="115">
        <f t="shared" si="20"/>
        <v>103.41232553695124</v>
      </c>
      <c r="P68" s="115">
        <f t="shared" si="20"/>
        <v>103.41232553695124</v>
      </c>
      <c r="Q68" s="115">
        <f t="shared" si="20"/>
        <v>103.41232553695124</v>
      </c>
      <c r="R68" s="115">
        <f t="shared" si="20"/>
        <v>103.41232553695124</v>
      </c>
      <c r="S68" s="115">
        <f t="shared" si="20"/>
        <v>103.41232553695124</v>
      </c>
      <c r="T68" s="115">
        <f t="shared" si="20"/>
        <v>0</v>
      </c>
      <c r="U68" s="115">
        <f t="shared" si="20"/>
        <v>206.82465107390249</v>
      </c>
      <c r="V68" s="115">
        <f t="shared" si="20"/>
        <v>103.41232553695124</v>
      </c>
      <c r="W68" s="115">
        <f t="shared" si="20"/>
        <v>103.41232553695124</v>
      </c>
      <c r="X68" s="115">
        <f t="shared" si="20"/>
        <v>103.41232553695124</v>
      </c>
      <c r="Y68" s="115">
        <f t="shared" si="20"/>
        <v>103.41232553695124</v>
      </c>
      <c r="Z68" s="115">
        <f t="shared" si="20"/>
        <v>103.41232553695124</v>
      </c>
      <c r="AA68" s="115">
        <f t="shared" si="20"/>
        <v>103.41232553695124</v>
      </c>
      <c r="AB68" s="115">
        <f t="shared" si="20"/>
        <v>103.41232553695124</v>
      </c>
      <c r="AC68" s="115">
        <f t="shared" si="20"/>
        <v>103.41232553695124</v>
      </c>
      <c r="AD68" s="115">
        <f t="shared" si="20"/>
        <v>103.41232553695124</v>
      </c>
      <c r="AE68" s="115">
        <f t="shared" si="20"/>
        <v>103.41232553695124</v>
      </c>
      <c r="AF68" s="115">
        <f t="shared" si="20"/>
        <v>103.41232553695124</v>
      </c>
      <c r="AG68" s="115">
        <f t="shared" si="20"/>
        <v>103.41232553695124</v>
      </c>
      <c r="AH68" s="115">
        <f t="shared" si="20"/>
        <v>103.41232553695124</v>
      </c>
      <c r="AI68" s="115">
        <f t="shared" si="20"/>
        <v>103.41232553695124</v>
      </c>
      <c r="AJ68" s="115">
        <f t="shared" si="20"/>
        <v>103.41232553695124</v>
      </c>
      <c r="AK68" s="115">
        <f t="shared" si="20"/>
        <v>103.41232553695124</v>
      </c>
      <c r="AL68" s="115">
        <f t="shared" si="20"/>
        <v>103.41232553695124</v>
      </c>
      <c r="AM68" s="115">
        <f t="shared" si="20"/>
        <v>103.41232553695124</v>
      </c>
      <c r="AN68" s="115">
        <f t="shared" si="20"/>
        <v>103.41232553695124</v>
      </c>
      <c r="AO68" s="115">
        <f t="shared" si="20"/>
        <v>103.41232553695124</v>
      </c>
      <c r="AP68" s="115">
        <f t="shared" si="20"/>
        <v>103.41232553695124</v>
      </c>
      <c r="AQ68" s="115">
        <f t="shared" si="20"/>
        <v>103.41232553695124</v>
      </c>
      <c r="AR68" s="115">
        <f t="shared" si="20"/>
        <v>103.41232553695124</v>
      </c>
      <c r="AS68" s="115">
        <f t="shared" si="20"/>
        <v>103.41232553695124</v>
      </c>
      <c r="AT68" s="115">
        <f t="shared" si="20"/>
        <v>103.41232553695124</v>
      </c>
      <c r="AU68" s="115">
        <f t="shared" si="20"/>
        <v>103.41232553695124</v>
      </c>
      <c r="AV68" s="115">
        <f t="shared" si="20"/>
        <v>103.41232553695124</v>
      </c>
      <c r="AW68" s="115">
        <f t="shared" si="20"/>
        <v>103.41232553695124</v>
      </c>
      <c r="AX68" s="115">
        <f t="shared" si="20"/>
        <v>103.41232553695124</v>
      </c>
      <c r="AY68" s="115">
        <f t="shared" si="20"/>
        <v>103.41232553695124</v>
      </c>
    </row>
    <row r="69" spans="1:52" x14ac:dyDescent="0.2">
      <c r="A69" s="115"/>
      <c r="B69" s="170" t="s">
        <v>345</v>
      </c>
      <c r="C69" s="115"/>
      <c r="D69" s="115">
        <v>108.66519294035371</v>
      </c>
      <c r="E69" s="115"/>
      <c r="F69" s="115"/>
      <c r="G69" s="115"/>
      <c r="H69" s="115"/>
      <c r="I69" s="115">
        <v>56.526273309148237</v>
      </c>
      <c r="J69" s="115">
        <v>56.526273309148237</v>
      </c>
      <c r="K69" s="115">
        <v>56.526273309148237</v>
      </c>
      <c r="L69" s="115">
        <v>56.526273309148237</v>
      </c>
      <c r="M69" s="115">
        <v>56.526273309148237</v>
      </c>
      <c r="N69" s="115">
        <v>56.526273309148237</v>
      </c>
      <c r="O69" s="115">
        <v>56.526273309148237</v>
      </c>
      <c r="P69" s="115">
        <v>56.526273309148237</v>
      </c>
      <c r="Q69" s="115">
        <v>56.526273309148237</v>
      </c>
      <c r="R69" s="115">
        <v>56.526273309148237</v>
      </c>
      <c r="S69" s="115">
        <v>56.526273309148237</v>
      </c>
      <c r="T69" s="115"/>
      <c r="U69" s="115">
        <v>113.05254661829646</v>
      </c>
      <c r="V69" s="115">
        <v>56.526273309148237</v>
      </c>
      <c r="W69" s="115">
        <v>56.526273309148237</v>
      </c>
      <c r="X69" s="115">
        <v>56.526273309148237</v>
      </c>
      <c r="Y69" s="115">
        <v>56.526273309148237</v>
      </c>
      <c r="Z69" s="115">
        <v>56.526273309148237</v>
      </c>
      <c r="AA69" s="115">
        <v>56.526273309148237</v>
      </c>
      <c r="AB69" s="115">
        <v>56.526273309148237</v>
      </c>
      <c r="AC69" s="115">
        <v>56.526273309148237</v>
      </c>
      <c r="AD69" s="115">
        <v>56.526273309148237</v>
      </c>
      <c r="AE69" s="115">
        <v>56.526273309148237</v>
      </c>
      <c r="AF69" s="115">
        <v>56.526273309148237</v>
      </c>
      <c r="AG69" s="115">
        <v>56.526273309148237</v>
      </c>
      <c r="AH69" s="115">
        <v>56.526273309148237</v>
      </c>
      <c r="AI69" s="115">
        <v>56.526273309148237</v>
      </c>
      <c r="AJ69" s="115">
        <v>56.526273309148237</v>
      </c>
      <c r="AK69" s="115">
        <v>56.526273309148237</v>
      </c>
      <c r="AL69" s="115">
        <v>56.526273309148237</v>
      </c>
      <c r="AM69" s="115">
        <v>56.526273309148237</v>
      </c>
      <c r="AN69" s="115">
        <v>56.526273309148237</v>
      </c>
      <c r="AO69" s="115">
        <v>56.526273309148237</v>
      </c>
      <c r="AP69" s="115">
        <v>56.526273309148237</v>
      </c>
      <c r="AQ69" s="115">
        <v>56.526273309148237</v>
      </c>
      <c r="AR69" s="115">
        <v>56.526273309148237</v>
      </c>
      <c r="AS69" s="115">
        <v>56.526273309148237</v>
      </c>
      <c r="AT69" s="115">
        <v>56.526273309148237</v>
      </c>
      <c r="AU69" s="115">
        <v>56.526273309148237</v>
      </c>
      <c r="AV69" s="115">
        <v>56.526273309148237</v>
      </c>
      <c r="AW69" s="115">
        <v>56.526273309148237</v>
      </c>
      <c r="AX69" s="115">
        <v>56.526273309148237</v>
      </c>
      <c r="AY69" s="115">
        <v>56.526273309148237</v>
      </c>
    </row>
    <row r="70" spans="1:52" x14ac:dyDescent="0.2">
      <c r="A70" s="115"/>
      <c r="B70" s="170" t="s">
        <v>346</v>
      </c>
      <c r="C70" s="115"/>
      <c r="D70" s="115">
        <v>90.132987959090485</v>
      </c>
      <c r="E70" s="115"/>
      <c r="F70" s="115"/>
      <c r="G70" s="115"/>
      <c r="H70" s="115"/>
      <c r="I70" s="115">
        <v>46.886052227803006</v>
      </c>
      <c r="J70" s="115">
        <v>46.886052227803006</v>
      </c>
      <c r="K70" s="115">
        <v>46.886052227803006</v>
      </c>
      <c r="L70" s="115">
        <v>46.886052227803006</v>
      </c>
      <c r="M70" s="115">
        <v>46.886052227803006</v>
      </c>
      <c r="N70" s="115">
        <v>46.886052227803006</v>
      </c>
      <c r="O70" s="115">
        <v>46.886052227803006</v>
      </c>
      <c r="P70" s="115">
        <v>46.886052227803006</v>
      </c>
      <c r="Q70" s="115">
        <v>46.886052227803006</v>
      </c>
      <c r="R70" s="115">
        <v>46.886052227803006</v>
      </c>
      <c r="S70" s="115">
        <v>46.886052227803006</v>
      </c>
      <c r="T70" s="115"/>
      <c r="U70" s="115">
        <v>93.772104455605998</v>
      </c>
      <c r="V70" s="115">
        <v>46.886052227803006</v>
      </c>
      <c r="W70" s="115">
        <v>46.886052227803006</v>
      </c>
      <c r="X70" s="115">
        <v>46.886052227803006</v>
      </c>
      <c r="Y70" s="115">
        <v>46.886052227803006</v>
      </c>
      <c r="Z70" s="115">
        <v>46.886052227803006</v>
      </c>
      <c r="AA70" s="115">
        <v>46.886052227803006</v>
      </c>
      <c r="AB70" s="115">
        <v>46.886052227803006</v>
      </c>
      <c r="AC70" s="115">
        <v>46.886052227803006</v>
      </c>
      <c r="AD70" s="115">
        <v>46.886052227803006</v>
      </c>
      <c r="AE70" s="115">
        <v>46.886052227803006</v>
      </c>
      <c r="AF70" s="115">
        <v>46.886052227803006</v>
      </c>
      <c r="AG70" s="115">
        <v>46.886052227803006</v>
      </c>
      <c r="AH70" s="115">
        <v>46.886052227803006</v>
      </c>
      <c r="AI70" s="115">
        <v>46.886052227803006</v>
      </c>
      <c r="AJ70" s="115">
        <v>46.886052227803006</v>
      </c>
      <c r="AK70" s="115">
        <v>46.886052227803006</v>
      </c>
      <c r="AL70" s="115">
        <v>46.886052227803006</v>
      </c>
      <c r="AM70" s="115">
        <v>46.886052227803006</v>
      </c>
      <c r="AN70" s="115">
        <v>46.886052227803006</v>
      </c>
      <c r="AO70" s="115">
        <v>46.886052227803006</v>
      </c>
      <c r="AP70" s="115">
        <v>46.886052227803006</v>
      </c>
      <c r="AQ70" s="115">
        <v>46.886052227803006</v>
      </c>
      <c r="AR70" s="115">
        <v>46.886052227803006</v>
      </c>
      <c r="AS70" s="115">
        <v>46.886052227803006</v>
      </c>
      <c r="AT70" s="115">
        <v>46.886052227803006</v>
      </c>
      <c r="AU70" s="115">
        <v>46.886052227803006</v>
      </c>
      <c r="AV70" s="115">
        <v>46.886052227803006</v>
      </c>
      <c r="AW70" s="115">
        <v>46.886052227803006</v>
      </c>
      <c r="AX70" s="115">
        <v>46.886052227803006</v>
      </c>
      <c r="AY70" s="115">
        <v>46.886052227803006</v>
      </c>
    </row>
    <row r="71" spans="1:52" x14ac:dyDescent="0.2">
      <c r="A71" s="115"/>
      <c r="B71" s="170" t="s">
        <v>347</v>
      </c>
      <c r="C71" s="115"/>
      <c r="D71" s="115">
        <v>7</v>
      </c>
      <c r="E71" s="115"/>
      <c r="F71" s="115"/>
      <c r="G71" s="115"/>
      <c r="H71" s="115"/>
      <c r="I71" s="115">
        <v>4</v>
      </c>
      <c r="J71" s="115">
        <v>4</v>
      </c>
      <c r="K71" s="115">
        <v>4</v>
      </c>
      <c r="L71" s="115">
        <v>4</v>
      </c>
      <c r="M71" s="115">
        <v>4</v>
      </c>
      <c r="N71" s="115">
        <v>4</v>
      </c>
      <c r="O71" s="115">
        <v>4</v>
      </c>
      <c r="P71" s="115">
        <v>4</v>
      </c>
      <c r="Q71" s="115">
        <v>4</v>
      </c>
      <c r="R71" s="115">
        <v>4</v>
      </c>
      <c r="S71" s="115">
        <v>4</v>
      </c>
      <c r="T71" s="115"/>
      <c r="U71" s="115">
        <v>7</v>
      </c>
      <c r="V71" s="115">
        <v>4</v>
      </c>
      <c r="W71" s="115">
        <v>4</v>
      </c>
      <c r="X71" s="115">
        <v>4</v>
      </c>
      <c r="Y71" s="115">
        <v>4</v>
      </c>
      <c r="Z71" s="115">
        <v>4</v>
      </c>
      <c r="AA71" s="115">
        <v>4</v>
      </c>
      <c r="AB71" s="115">
        <v>4</v>
      </c>
      <c r="AC71" s="115">
        <v>4</v>
      </c>
      <c r="AD71" s="115">
        <v>4</v>
      </c>
      <c r="AE71" s="115">
        <v>4</v>
      </c>
      <c r="AF71" s="115">
        <v>4</v>
      </c>
      <c r="AG71" s="115">
        <v>4</v>
      </c>
      <c r="AH71" s="115">
        <v>4</v>
      </c>
      <c r="AI71" s="115">
        <v>4</v>
      </c>
      <c r="AJ71" s="115">
        <v>4</v>
      </c>
      <c r="AK71" s="115">
        <v>4</v>
      </c>
      <c r="AL71" s="115">
        <v>4</v>
      </c>
      <c r="AM71" s="115">
        <v>4</v>
      </c>
      <c r="AN71" s="115">
        <v>4</v>
      </c>
      <c r="AO71" s="115">
        <v>4</v>
      </c>
      <c r="AP71" s="115">
        <v>4</v>
      </c>
      <c r="AQ71" s="115">
        <v>4</v>
      </c>
      <c r="AR71" s="115">
        <v>4</v>
      </c>
      <c r="AS71" s="115">
        <v>4</v>
      </c>
      <c r="AT71" s="115">
        <v>4</v>
      </c>
      <c r="AU71" s="115">
        <v>4</v>
      </c>
      <c r="AV71" s="115">
        <v>4</v>
      </c>
      <c r="AW71" s="115">
        <v>4</v>
      </c>
      <c r="AX71" s="115">
        <v>4</v>
      </c>
      <c r="AY71" s="115">
        <v>4</v>
      </c>
    </row>
    <row r="72" spans="1:52" x14ac:dyDescent="0.2">
      <c r="A72" s="115"/>
      <c r="B72" s="170" t="s">
        <v>348</v>
      </c>
      <c r="C72" s="115"/>
      <c r="D72" s="115">
        <f>D66-D69</f>
        <v>0</v>
      </c>
      <c r="E72" s="115">
        <f t="shared" ref="E72:AY72" si="21">E66-E69</f>
        <v>0</v>
      </c>
      <c r="F72" s="115">
        <f t="shared" si="21"/>
        <v>0</v>
      </c>
      <c r="G72" s="115">
        <f t="shared" si="21"/>
        <v>0</v>
      </c>
      <c r="H72" s="115">
        <f t="shared" si="21"/>
        <v>0</v>
      </c>
      <c r="I72" s="115">
        <f t="shared" si="21"/>
        <v>0</v>
      </c>
      <c r="J72" s="115">
        <f t="shared" si="21"/>
        <v>0</v>
      </c>
      <c r="K72" s="115">
        <f t="shared" si="21"/>
        <v>0</v>
      </c>
      <c r="L72" s="115">
        <f t="shared" si="21"/>
        <v>0</v>
      </c>
      <c r="M72" s="115">
        <f t="shared" si="21"/>
        <v>0</v>
      </c>
      <c r="N72" s="115">
        <f t="shared" si="21"/>
        <v>0</v>
      </c>
      <c r="O72" s="115">
        <f t="shared" si="21"/>
        <v>0</v>
      </c>
      <c r="P72" s="115">
        <f t="shared" si="21"/>
        <v>0</v>
      </c>
      <c r="Q72" s="115">
        <f t="shared" si="21"/>
        <v>0</v>
      </c>
      <c r="R72" s="115">
        <f t="shared" si="21"/>
        <v>0</v>
      </c>
      <c r="S72" s="115">
        <f t="shared" si="21"/>
        <v>0</v>
      </c>
      <c r="T72" s="115">
        <f t="shared" si="21"/>
        <v>0</v>
      </c>
      <c r="U72" s="115">
        <f t="shared" si="21"/>
        <v>0</v>
      </c>
      <c r="V72" s="115">
        <f t="shared" si="21"/>
        <v>0</v>
      </c>
      <c r="W72" s="115">
        <f t="shared" si="21"/>
        <v>0</v>
      </c>
      <c r="X72" s="115">
        <f t="shared" si="21"/>
        <v>0</v>
      </c>
      <c r="Y72" s="115">
        <f t="shared" si="21"/>
        <v>0</v>
      </c>
      <c r="Z72" s="115">
        <f t="shared" si="21"/>
        <v>0</v>
      </c>
      <c r="AA72" s="115">
        <f t="shared" si="21"/>
        <v>0</v>
      </c>
      <c r="AB72" s="115">
        <f t="shared" si="21"/>
        <v>0</v>
      </c>
      <c r="AC72" s="115">
        <f t="shared" si="21"/>
        <v>0</v>
      </c>
      <c r="AD72" s="115">
        <f t="shared" si="21"/>
        <v>0</v>
      </c>
      <c r="AE72" s="115">
        <f t="shared" si="21"/>
        <v>0</v>
      </c>
      <c r="AF72" s="115">
        <f t="shared" si="21"/>
        <v>0</v>
      </c>
      <c r="AG72" s="115">
        <f t="shared" si="21"/>
        <v>0</v>
      </c>
      <c r="AH72" s="115">
        <f t="shared" si="21"/>
        <v>0</v>
      </c>
      <c r="AI72" s="115">
        <f t="shared" si="21"/>
        <v>0</v>
      </c>
      <c r="AJ72" s="115">
        <f t="shared" si="21"/>
        <v>0</v>
      </c>
      <c r="AK72" s="115">
        <f t="shared" si="21"/>
        <v>0</v>
      </c>
      <c r="AL72" s="115">
        <f t="shared" si="21"/>
        <v>0</v>
      </c>
      <c r="AM72" s="115">
        <f t="shared" si="21"/>
        <v>0</v>
      </c>
      <c r="AN72" s="115">
        <f t="shared" si="21"/>
        <v>0</v>
      </c>
      <c r="AO72" s="115">
        <f t="shared" si="21"/>
        <v>0</v>
      </c>
      <c r="AP72" s="115">
        <f t="shared" si="21"/>
        <v>0</v>
      </c>
      <c r="AQ72" s="115">
        <f t="shared" si="21"/>
        <v>0</v>
      </c>
      <c r="AR72" s="115">
        <f t="shared" si="21"/>
        <v>0</v>
      </c>
      <c r="AS72" s="115">
        <f t="shared" si="21"/>
        <v>0</v>
      </c>
      <c r="AT72" s="115">
        <f t="shared" si="21"/>
        <v>0</v>
      </c>
      <c r="AU72" s="115">
        <f t="shared" si="21"/>
        <v>0</v>
      </c>
      <c r="AV72" s="115">
        <f t="shared" si="21"/>
        <v>0</v>
      </c>
      <c r="AW72" s="115">
        <f t="shared" si="21"/>
        <v>0</v>
      </c>
      <c r="AX72" s="115">
        <f t="shared" si="21"/>
        <v>0</v>
      </c>
      <c r="AY72" s="115">
        <f t="shared" si="21"/>
        <v>0</v>
      </c>
    </row>
    <row r="73" spans="1:52" x14ac:dyDescent="0.2">
      <c r="A73" s="115"/>
      <c r="B73" s="170" t="s">
        <v>349</v>
      </c>
      <c r="C73" s="115"/>
      <c r="D73" s="115">
        <f>D67-D70</f>
        <v>0</v>
      </c>
      <c r="E73" s="115">
        <f t="shared" ref="E73:AY73" si="22">E67-E70</f>
        <v>0</v>
      </c>
      <c r="F73" s="115">
        <f t="shared" si="22"/>
        <v>0</v>
      </c>
      <c r="G73" s="115">
        <f t="shared" si="22"/>
        <v>0</v>
      </c>
      <c r="H73" s="115">
        <f t="shared" si="22"/>
        <v>0</v>
      </c>
      <c r="I73" s="115">
        <f t="shared" si="22"/>
        <v>0</v>
      </c>
      <c r="J73" s="115">
        <f t="shared" si="22"/>
        <v>0</v>
      </c>
      <c r="K73" s="115">
        <f t="shared" si="22"/>
        <v>0</v>
      </c>
      <c r="L73" s="115">
        <f t="shared" si="22"/>
        <v>0</v>
      </c>
      <c r="M73" s="115">
        <f t="shared" si="22"/>
        <v>0</v>
      </c>
      <c r="N73" s="115">
        <f t="shared" si="22"/>
        <v>0</v>
      </c>
      <c r="O73" s="115">
        <f t="shared" si="22"/>
        <v>0</v>
      </c>
      <c r="P73" s="115">
        <f t="shared" si="22"/>
        <v>0</v>
      </c>
      <c r="Q73" s="115">
        <f t="shared" si="22"/>
        <v>0</v>
      </c>
      <c r="R73" s="115">
        <f t="shared" si="22"/>
        <v>0</v>
      </c>
      <c r="S73" s="115">
        <f t="shared" si="22"/>
        <v>0</v>
      </c>
      <c r="T73" s="115">
        <f t="shared" si="22"/>
        <v>0</v>
      </c>
      <c r="U73" s="115">
        <f t="shared" si="22"/>
        <v>0</v>
      </c>
      <c r="V73" s="115">
        <f t="shared" si="22"/>
        <v>0</v>
      </c>
      <c r="W73" s="115">
        <f t="shared" si="22"/>
        <v>0</v>
      </c>
      <c r="X73" s="115">
        <f t="shared" si="22"/>
        <v>0</v>
      </c>
      <c r="Y73" s="115">
        <f t="shared" si="22"/>
        <v>0</v>
      </c>
      <c r="Z73" s="115">
        <f t="shared" si="22"/>
        <v>0</v>
      </c>
      <c r="AA73" s="115">
        <f t="shared" si="22"/>
        <v>0</v>
      </c>
      <c r="AB73" s="115">
        <f t="shared" si="22"/>
        <v>0</v>
      </c>
      <c r="AC73" s="115">
        <f t="shared" si="22"/>
        <v>0</v>
      </c>
      <c r="AD73" s="115">
        <f t="shared" si="22"/>
        <v>0</v>
      </c>
      <c r="AE73" s="115">
        <f t="shared" si="22"/>
        <v>0</v>
      </c>
      <c r="AF73" s="115">
        <f t="shared" si="22"/>
        <v>0</v>
      </c>
      <c r="AG73" s="115">
        <f t="shared" si="22"/>
        <v>0</v>
      </c>
      <c r="AH73" s="115">
        <f t="shared" si="22"/>
        <v>0</v>
      </c>
      <c r="AI73" s="115">
        <f t="shared" si="22"/>
        <v>0</v>
      </c>
      <c r="AJ73" s="115">
        <f t="shared" si="22"/>
        <v>0</v>
      </c>
      <c r="AK73" s="115">
        <f t="shared" si="22"/>
        <v>0</v>
      </c>
      <c r="AL73" s="115">
        <f t="shared" si="22"/>
        <v>0</v>
      </c>
      <c r="AM73" s="115">
        <f t="shared" si="22"/>
        <v>0</v>
      </c>
      <c r="AN73" s="115">
        <f t="shared" si="22"/>
        <v>0</v>
      </c>
      <c r="AO73" s="115">
        <f t="shared" si="22"/>
        <v>0</v>
      </c>
      <c r="AP73" s="115">
        <f t="shared" si="22"/>
        <v>0</v>
      </c>
      <c r="AQ73" s="115">
        <f t="shared" si="22"/>
        <v>0</v>
      </c>
      <c r="AR73" s="115">
        <f t="shared" si="22"/>
        <v>0</v>
      </c>
      <c r="AS73" s="115">
        <f t="shared" si="22"/>
        <v>0</v>
      </c>
      <c r="AT73" s="115">
        <f t="shared" si="22"/>
        <v>0</v>
      </c>
      <c r="AU73" s="115">
        <f t="shared" si="22"/>
        <v>0</v>
      </c>
      <c r="AV73" s="115">
        <f t="shared" si="22"/>
        <v>0</v>
      </c>
      <c r="AW73" s="115">
        <f t="shared" si="22"/>
        <v>0</v>
      </c>
      <c r="AX73" s="115">
        <f t="shared" si="22"/>
        <v>0</v>
      </c>
      <c r="AY73" s="115">
        <f t="shared" si="22"/>
        <v>0</v>
      </c>
    </row>
    <row r="74" spans="1:52" x14ac:dyDescent="0.2">
      <c r="A74" s="115"/>
      <c r="B74" s="170" t="s">
        <v>350</v>
      </c>
      <c r="C74" s="115"/>
      <c r="D74" s="115">
        <v>1</v>
      </c>
      <c r="E74" s="115">
        <v>1</v>
      </c>
      <c r="F74" s="115">
        <v>2</v>
      </c>
      <c r="G74" s="115">
        <v>2</v>
      </c>
      <c r="H74" s="115">
        <v>1</v>
      </c>
      <c r="I74" s="115">
        <v>2</v>
      </c>
      <c r="J74" s="115">
        <v>2</v>
      </c>
      <c r="K74" s="115">
        <v>3</v>
      </c>
      <c r="L74" s="115">
        <v>1</v>
      </c>
      <c r="M74" s="115">
        <v>2</v>
      </c>
      <c r="N74" s="115">
        <v>1</v>
      </c>
      <c r="O74" s="115">
        <v>1</v>
      </c>
      <c r="P74" s="115">
        <v>1</v>
      </c>
      <c r="Q74" s="115">
        <v>2</v>
      </c>
      <c r="R74" s="115">
        <v>1</v>
      </c>
      <c r="S74" s="115">
        <v>1</v>
      </c>
      <c r="T74" s="115">
        <v>2</v>
      </c>
      <c r="U74" s="115">
        <v>2</v>
      </c>
      <c r="V74" s="115">
        <v>3</v>
      </c>
      <c r="W74" s="115">
        <v>1</v>
      </c>
      <c r="X74" s="115">
        <v>1</v>
      </c>
      <c r="Y74" s="115">
        <v>2</v>
      </c>
      <c r="Z74" s="115">
        <v>1</v>
      </c>
      <c r="AA74" s="115">
        <v>2</v>
      </c>
      <c r="AB74" s="115">
        <v>3</v>
      </c>
      <c r="AC74" s="115">
        <v>1</v>
      </c>
      <c r="AD74" s="115">
        <v>1</v>
      </c>
      <c r="AE74" s="115">
        <v>2</v>
      </c>
      <c r="AF74" s="115">
        <v>1</v>
      </c>
      <c r="AG74" s="115">
        <v>1</v>
      </c>
      <c r="AH74" s="115">
        <v>2</v>
      </c>
      <c r="AI74" s="115">
        <v>1</v>
      </c>
      <c r="AJ74" s="115">
        <v>1</v>
      </c>
      <c r="AK74" s="115">
        <v>1</v>
      </c>
      <c r="AL74" s="115">
        <v>3</v>
      </c>
      <c r="AM74" s="115">
        <v>2</v>
      </c>
      <c r="AN74" s="115">
        <v>2</v>
      </c>
      <c r="AO74" s="115">
        <v>2</v>
      </c>
      <c r="AP74" s="115">
        <v>1</v>
      </c>
      <c r="AQ74" s="115">
        <v>1</v>
      </c>
      <c r="AR74" s="115">
        <v>1</v>
      </c>
      <c r="AS74" s="115">
        <v>1</v>
      </c>
      <c r="AT74" s="115">
        <v>1</v>
      </c>
      <c r="AU74" s="115">
        <v>1</v>
      </c>
      <c r="AV74" s="115">
        <v>2</v>
      </c>
      <c r="AW74" s="115">
        <v>1</v>
      </c>
      <c r="AX74" s="115">
        <v>1</v>
      </c>
      <c r="AY74" s="115">
        <v>1</v>
      </c>
    </row>
    <row r="75" spans="1:52" x14ac:dyDescent="0.2">
      <c r="A75" s="115"/>
      <c r="B75" s="183" t="s">
        <v>351</v>
      </c>
      <c r="C75" s="115"/>
      <c r="D75" s="115">
        <v>24696</v>
      </c>
      <c r="E75" s="115">
        <v>0</v>
      </c>
      <c r="F75" s="115">
        <v>0</v>
      </c>
      <c r="G75" s="115">
        <v>0</v>
      </c>
      <c r="H75" s="115">
        <v>0</v>
      </c>
      <c r="I75" s="115">
        <v>14112</v>
      </c>
      <c r="J75" s="115">
        <v>14112</v>
      </c>
      <c r="K75" s="115">
        <v>14112</v>
      </c>
      <c r="L75" s="115">
        <v>14112</v>
      </c>
      <c r="M75" s="115">
        <v>14112</v>
      </c>
      <c r="N75" s="115">
        <v>14112</v>
      </c>
      <c r="O75" s="115">
        <v>14112</v>
      </c>
      <c r="P75" s="115">
        <v>14112</v>
      </c>
      <c r="Q75" s="115">
        <v>14112</v>
      </c>
      <c r="R75" s="115">
        <v>14112</v>
      </c>
      <c r="S75" s="115">
        <v>14112</v>
      </c>
      <c r="T75" s="115">
        <v>0</v>
      </c>
      <c r="U75" s="115">
        <v>24696</v>
      </c>
      <c r="V75" s="115">
        <v>14112</v>
      </c>
      <c r="W75" s="115">
        <v>14112</v>
      </c>
      <c r="X75" s="115">
        <v>14112</v>
      </c>
      <c r="Y75" s="115">
        <v>14112</v>
      </c>
      <c r="Z75" s="115">
        <v>14112</v>
      </c>
      <c r="AA75" s="115">
        <v>14112</v>
      </c>
      <c r="AB75" s="115">
        <v>14112</v>
      </c>
      <c r="AC75" s="115">
        <v>14112</v>
      </c>
      <c r="AD75" s="115">
        <v>14112</v>
      </c>
      <c r="AE75" s="115">
        <v>14112</v>
      </c>
      <c r="AF75" s="115">
        <v>14112</v>
      </c>
      <c r="AG75" s="115">
        <v>14112</v>
      </c>
      <c r="AH75" s="115">
        <v>14112</v>
      </c>
      <c r="AI75" s="115">
        <v>14112</v>
      </c>
      <c r="AJ75" s="115">
        <v>14112</v>
      </c>
      <c r="AK75" s="115">
        <v>14112</v>
      </c>
      <c r="AL75" s="115">
        <v>14112</v>
      </c>
      <c r="AM75" s="115">
        <v>14112</v>
      </c>
      <c r="AN75" s="115">
        <v>14112</v>
      </c>
      <c r="AO75" s="115">
        <v>14112</v>
      </c>
      <c r="AP75" s="115">
        <v>14112</v>
      </c>
      <c r="AQ75" s="115">
        <v>14112</v>
      </c>
      <c r="AR75" s="115">
        <v>14112</v>
      </c>
      <c r="AS75" s="115">
        <v>14112</v>
      </c>
      <c r="AT75" s="115">
        <v>14112</v>
      </c>
      <c r="AU75" s="115">
        <v>14112</v>
      </c>
      <c r="AV75" s="115">
        <v>14112</v>
      </c>
      <c r="AW75" s="115">
        <v>14112</v>
      </c>
      <c r="AX75" s="115">
        <v>14112</v>
      </c>
      <c r="AY75" s="115">
        <v>14112</v>
      </c>
      <c r="AZ75" s="105">
        <f>SUM($D$75:$AY$75)</f>
        <v>627984</v>
      </c>
    </row>
    <row r="76" spans="1:52" x14ac:dyDescent="0.2">
      <c r="A76" s="130"/>
      <c r="B76" s="145" t="s">
        <v>352</v>
      </c>
      <c r="C76" s="130"/>
      <c r="D76" s="130">
        <v>0</v>
      </c>
      <c r="E76" s="130">
        <v>0</v>
      </c>
      <c r="F76" s="130">
        <v>0</v>
      </c>
      <c r="G76" s="130">
        <v>0</v>
      </c>
      <c r="H76" s="130">
        <v>0</v>
      </c>
      <c r="I76" s="130">
        <v>0</v>
      </c>
      <c r="J76" s="130">
        <v>0</v>
      </c>
      <c r="K76" s="130">
        <v>0</v>
      </c>
      <c r="L76" s="130">
        <v>0</v>
      </c>
      <c r="M76" s="130">
        <v>0</v>
      </c>
      <c r="N76" s="130">
        <v>0</v>
      </c>
      <c r="O76" s="130">
        <v>0</v>
      </c>
      <c r="P76" s="130">
        <v>0</v>
      </c>
      <c r="Q76" s="130">
        <v>0</v>
      </c>
      <c r="R76" s="130">
        <v>0</v>
      </c>
      <c r="S76" s="130">
        <v>0</v>
      </c>
      <c r="T76" s="130">
        <v>0</v>
      </c>
      <c r="U76" s="130">
        <v>0</v>
      </c>
      <c r="V76" s="130">
        <v>0</v>
      </c>
      <c r="W76" s="130">
        <v>0</v>
      </c>
      <c r="X76" s="130">
        <v>0</v>
      </c>
      <c r="Y76" s="130">
        <v>0</v>
      </c>
      <c r="Z76" s="130">
        <v>0</v>
      </c>
      <c r="AA76" s="130">
        <v>0</v>
      </c>
      <c r="AB76" s="130">
        <v>0</v>
      </c>
      <c r="AC76" s="130">
        <v>0</v>
      </c>
      <c r="AD76" s="130">
        <v>0</v>
      </c>
      <c r="AE76" s="130">
        <v>0</v>
      </c>
      <c r="AF76" s="130">
        <v>0</v>
      </c>
      <c r="AG76" s="130">
        <v>0</v>
      </c>
      <c r="AH76" s="130">
        <v>0</v>
      </c>
      <c r="AI76" s="130">
        <v>0</v>
      </c>
      <c r="AJ76" s="130">
        <v>0</v>
      </c>
      <c r="AK76" s="130">
        <v>0</v>
      </c>
      <c r="AL76" s="130">
        <v>0</v>
      </c>
      <c r="AM76" s="130">
        <v>0</v>
      </c>
      <c r="AN76" s="130">
        <v>0</v>
      </c>
      <c r="AO76" s="130">
        <v>0</v>
      </c>
      <c r="AP76" s="130">
        <v>0</v>
      </c>
      <c r="AQ76" s="130">
        <v>0</v>
      </c>
      <c r="AR76" s="130">
        <v>0</v>
      </c>
      <c r="AS76" s="130">
        <v>0</v>
      </c>
      <c r="AT76" s="130">
        <v>0</v>
      </c>
      <c r="AU76" s="130">
        <v>0</v>
      </c>
      <c r="AV76" s="130">
        <v>0</v>
      </c>
      <c r="AW76" s="130">
        <v>0</v>
      </c>
      <c r="AX76" s="130">
        <v>0</v>
      </c>
      <c r="AY76" s="130">
        <v>0</v>
      </c>
      <c r="AZ76" s="105">
        <f>SUM($D$76:$AY$76)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76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5" customWidth="1"/>
    <col min="2" max="2" width="12.7109375" style="105" customWidth="1"/>
    <col min="3" max="16384" width="9.140625" style="105"/>
  </cols>
  <sheetData>
    <row r="1" spans="1:53" x14ac:dyDescent="0.2">
      <c r="A1" s="107" t="s">
        <v>284</v>
      </c>
    </row>
    <row r="2" spans="1:53" x14ac:dyDescent="0.2">
      <c r="A2" s="105" t="s">
        <v>285</v>
      </c>
      <c r="B2" s="112" t="s">
        <v>34</v>
      </c>
    </row>
    <row r="3" spans="1:53" x14ac:dyDescent="0.2">
      <c r="A3" s="105" t="s">
        <v>286</v>
      </c>
      <c r="B3" s="113">
        <v>1000</v>
      </c>
      <c r="C3" s="114"/>
    </row>
    <row r="4" spans="1:53" x14ac:dyDescent="0.2">
      <c r="B4" s="115"/>
      <c r="C4" s="115"/>
    </row>
    <row r="5" spans="1:53" x14ac:dyDescent="0.2">
      <c r="C5" s="116" t="s">
        <v>287</v>
      </c>
    </row>
    <row r="6" spans="1:53" x14ac:dyDescent="0.2">
      <c r="C6" s="117">
        <v>0</v>
      </c>
      <c r="D6" s="117">
        <v>1</v>
      </c>
      <c r="E6" s="117">
        <v>2</v>
      </c>
      <c r="F6" s="117">
        <v>3</v>
      </c>
      <c r="G6" s="117">
        <v>4</v>
      </c>
      <c r="H6" s="117">
        <v>5</v>
      </c>
      <c r="I6" s="117">
        <v>6</v>
      </c>
      <c r="J6" s="117">
        <v>7</v>
      </c>
      <c r="K6" s="117">
        <v>8</v>
      </c>
      <c r="L6" s="117">
        <v>9</v>
      </c>
      <c r="M6" s="117">
        <v>10</v>
      </c>
      <c r="N6" s="117">
        <v>11</v>
      </c>
      <c r="O6" s="117">
        <v>12</v>
      </c>
      <c r="P6" s="117">
        <v>13</v>
      </c>
      <c r="Q6" s="117">
        <v>14</v>
      </c>
      <c r="R6" s="117">
        <v>15</v>
      </c>
      <c r="S6" s="117">
        <v>16</v>
      </c>
      <c r="T6" s="117">
        <v>17</v>
      </c>
      <c r="U6" s="117">
        <v>18</v>
      </c>
      <c r="V6" s="117">
        <v>19</v>
      </c>
      <c r="W6" s="117">
        <v>20</v>
      </c>
      <c r="X6" s="117">
        <v>21</v>
      </c>
      <c r="Y6" s="117">
        <v>22</v>
      </c>
      <c r="Z6" s="117">
        <v>23</v>
      </c>
      <c r="AA6" s="117">
        <v>24</v>
      </c>
      <c r="AB6" s="117">
        <v>25</v>
      </c>
      <c r="AC6" s="117">
        <v>26</v>
      </c>
      <c r="AD6" s="117">
        <v>27</v>
      </c>
      <c r="AE6" s="117">
        <v>28</v>
      </c>
      <c r="AF6" s="117">
        <v>29</v>
      </c>
      <c r="AG6" s="117">
        <v>30</v>
      </c>
      <c r="AH6" s="117">
        <v>31</v>
      </c>
      <c r="AI6" s="117">
        <v>32</v>
      </c>
      <c r="AJ6" s="117">
        <v>33</v>
      </c>
      <c r="AK6" s="117">
        <v>34</v>
      </c>
      <c r="AL6" s="117">
        <v>35</v>
      </c>
      <c r="AM6" s="117">
        <v>36</v>
      </c>
      <c r="AN6" s="117">
        <v>37</v>
      </c>
      <c r="AO6" s="117">
        <v>38</v>
      </c>
      <c r="AP6" s="117">
        <v>39</v>
      </c>
      <c r="AQ6" s="117">
        <v>40</v>
      </c>
      <c r="AR6" s="117">
        <v>41</v>
      </c>
      <c r="AS6" s="117">
        <v>42</v>
      </c>
      <c r="AT6" s="117">
        <v>43</v>
      </c>
      <c r="AU6" s="117">
        <v>44</v>
      </c>
      <c r="AV6" s="117">
        <v>45</v>
      </c>
      <c r="AW6" s="117">
        <v>46</v>
      </c>
      <c r="AX6" s="117">
        <v>47</v>
      </c>
      <c r="AY6" s="117">
        <v>48</v>
      </c>
    </row>
    <row r="7" spans="1:53" x14ac:dyDescent="0.2">
      <c r="B7" s="115"/>
      <c r="C7" s="118" t="s">
        <v>288</v>
      </c>
      <c r="D7" s="117" t="s">
        <v>289</v>
      </c>
      <c r="E7" s="117" t="s">
        <v>289</v>
      </c>
      <c r="F7" s="117" t="s">
        <v>289</v>
      </c>
      <c r="G7" s="117" t="s">
        <v>289</v>
      </c>
      <c r="H7" s="117" t="s">
        <v>289</v>
      </c>
      <c r="I7" s="117" t="s">
        <v>289</v>
      </c>
      <c r="J7" s="117" t="s">
        <v>289</v>
      </c>
      <c r="K7" s="117" t="s">
        <v>289</v>
      </c>
      <c r="L7" s="117" t="s">
        <v>289</v>
      </c>
      <c r="M7" s="117" t="s">
        <v>289</v>
      </c>
      <c r="N7" s="117" t="s">
        <v>289</v>
      </c>
      <c r="O7" s="117" t="s">
        <v>289</v>
      </c>
      <c r="P7" s="117" t="s">
        <v>289</v>
      </c>
      <c r="Q7" s="117" t="s">
        <v>289</v>
      </c>
      <c r="R7" s="117" t="s">
        <v>289</v>
      </c>
      <c r="S7" s="117" t="s">
        <v>289</v>
      </c>
      <c r="T7" s="117" t="s">
        <v>289</v>
      </c>
      <c r="U7" s="117" t="s">
        <v>289</v>
      </c>
      <c r="V7" s="117" t="s">
        <v>289</v>
      </c>
      <c r="W7" s="117" t="s">
        <v>289</v>
      </c>
      <c r="X7" s="117" t="s">
        <v>289</v>
      </c>
      <c r="Y7" s="117" t="s">
        <v>289</v>
      </c>
      <c r="Z7" s="117" t="s">
        <v>289</v>
      </c>
      <c r="AA7" s="117" t="s">
        <v>289</v>
      </c>
      <c r="AB7" s="117" t="s">
        <v>289</v>
      </c>
      <c r="AC7" s="117" t="s">
        <v>289</v>
      </c>
      <c r="AD7" s="117" t="s">
        <v>289</v>
      </c>
      <c r="AE7" s="117" t="s">
        <v>289</v>
      </c>
      <c r="AF7" s="117" t="s">
        <v>289</v>
      </c>
      <c r="AG7" s="117" t="s">
        <v>289</v>
      </c>
      <c r="AH7" s="117" t="s">
        <v>289</v>
      </c>
      <c r="AI7" s="117" t="s">
        <v>289</v>
      </c>
      <c r="AJ7" s="117" t="s">
        <v>289</v>
      </c>
      <c r="AK7" s="117" t="s">
        <v>289</v>
      </c>
      <c r="AL7" s="117" t="s">
        <v>289</v>
      </c>
      <c r="AM7" s="117" t="s">
        <v>289</v>
      </c>
      <c r="AN7" s="117" t="s">
        <v>289</v>
      </c>
      <c r="AO7" s="117" t="s">
        <v>289</v>
      </c>
      <c r="AP7" s="117" t="s">
        <v>289</v>
      </c>
      <c r="AQ7" s="117" t="s">
        <v>289</v>
      </c>
      <c r="AR7" s="117" t="s">
        <v>289</v>
      </c>
      <c r="AS7" s="117" t="s">
        <v>289</v>
      </c>
      <c r="AT7" s="117" t="s">
        <v>289</v>
      </c>
      <c r="AU7" s="117" t="s">
        <v>289</v>
      </c>
      <c r="AV7" s="117" t="s">
        <v>289</v>
      </c>
      <c r="AW7" s="117" t="s">
        <v>289</v>
      </c>
      <c r="AX7" s="117" t="s">
        <v>289</v>
      </c>
      <c r="AY7" s="116" t="s">
        <v>290</v>
      </c>
      <c r="AZ7" s="116" t="s">
        <v>291</v>
      </c>
    </row>
    <row r="8" spans="1:53" x14ac:dyDescent="0.2">
      <c r="A8" s="107" t="s">
        <v>292</v>
      </c>
      <c r="B8" s="119"/>
      <c r="AY8" s="115"/>
    </row>
    <row r="9" spans="1:53" x14ac:dyDescent="0.2">
      <c r="A9" s="120" t="s">
        <v>125</v>
      </c>
      <c r="B9" s="121">
        <v>1</v>
      </c>
      <c r="C9" s="122" t="s">
        <v>293</v>
      </c>
      <c r="D9" s="122">
        <v>0</v>
      </c>
      <c r="E9" s="122">
        <v>0</v>
      </c>
      <c r="F9" s="122">
        <v>0</v>
      </c>
      <c r="G9" s="122">
        <v>0</v>
      </c>
      <c r="H9" s="122">
        <v>192.77315830165</v>
      </c>
      <c r="I9" s="122">
        <v>192.77315830165</v>
      </c>
      <c r="J9" s="122">
        <v>192.77315830165</v>
      </c>
      <c r="K9" s="122">
        <v>192.77315830165</v>
      </c>
      <c r="L9" s="122">
        <v>154.21852664132001</v>
      </c>
      <c r="M9" s="122">
        <v>154.21852664132001</v>
      </c>
      <c r="N9" s="122">
        <v>154.21852664132001</v>
      </c>
      <c r="O9" s="122">
        <v>154.21852664132001</v>
      </c>
      <c r="P9" s="122">
        <v>154.21852664132001</v>
      </c>
      <c r="Q9" s="122">
        <v>154.21852664132001</v>
      </c>
      <c r="R9" s="122">
        <v>154.21852664132001</v>
      </c>
      <c r="S9" s="122">
        <v>154.21852664132001</v>
      </c>
      <c r="T9" s="122">
        <v>154.21852664132001</v>
      </c>
      <c r="U9" s="122">
        <v>154.21852664132001</v>
      </c>
      <c r="V9" s="122">
        <v>154.21852664132001</v>
      </c>
      <c r="W9" s="122">
        <v>154.21852664132001</v>
      </c>
      <c r="X9" s="122">
        <v>154.21852664132001</v>
      </c>
      <c r="Y9" s="122">
        <v>154.21852664132001</v>
      </c>
      <c r="Z9" s="122">
        <v>154.21852664132001</v>
      </c>
      <c r="AA9" s="122">
        <v>154.21852664132001</v>
      </c>
      <c r="AB9" s="122">
        <v>154.21852664132001</v>
      </c>
      <c r="AC9" s="122">
        <v>154.21852664132001</v>
      </c>
      <c r="AD9" s="122">
        <v>154.21852664132001</v>
      </c>
      <c r="AE9" s="122">
        <v>154.21852664132001</v>
      </c>
      <c r="AF9" s="122">
        <v>154.21852664132001</v>
      </c>
      <c r="AG9" s="122">
        <v>154.21852664132001</v>
      </c>
      <c r="AH9" s="122">
        <v>154.21852664132001</v>
      </c>
      <c r="AI9" s="122">
        <v>154.21852664132001</v>
      </c>
      <c r="AJ9" s="122">
        <v>154.21852664132001</v>
      </c>
      <c r="AK9" s="122">
        <v>154.21852664132001</v>
      </c>
      <c r="AL9" s="122">
        <v>154.21852664132001</v>
      </c>
      <c r="AM9" s="122">
        <v>154.21852664132001</v>
      </c>
      <c r="AN9" s="122">
        <v>154.21852664132001</v>
      </c>
      <c r="AO9" s="122">
        <v>154.21852664132001</v>
      </c>
      <c r="AP9" s="122">
        <v>154.21852664132001</v>
      </c>
      <c r="AQ9" s="122">
        <v>154.21852664132001</v>
      </c>
      <c r="AR9" s="122">
        <v>154.21852664132001</v>
      </c>
      <c r="AS9" s="122">
        <v>154.21852664132001</v>
      </c>
      <c r="AT9" s="122">
        <v>154.21852664132001</v>
      </c>
      <c r="AU9" s="122">
        <v>154.21852664132001</v>
      </c>
      <c r="AV9" s="122">
        <v>154.21852664132001</v>
      </c>
      <c r="AW9" s="122">
        <v>154.21852664132001</v>
      </c>
      <c r="AX9" s="122">
        <v>154.21852664132001</v>
      </c>
      <c r="AY9" s="122">
        <v>154.21852664132001</v>
      </c>
    </row>
    <row r="10" spans="1:53" x14ac:dyDescent="0.2">
      <c r="A10" s="123" t="s">
        <v>133</v>
      </c>
      <c r="B10" s="124">
        <v>1</v>
      </c>
      <c r="C10" s="111" t="s">
        <v>293</v>
      </c>
      <c r="D10" s="105">
        <v>146.00000000000003</v>
      </c>
      <c r="E10" s="105">
        <v>140.38372240000001</v>
      </c>
      <c r="F10" s="105">
        <v>0</v>
      </c>
      <c r="G10" s="105">
        <v>0</v>
      </c>
      <c r="H10" s="105">
        <v>0</v>
      </c>
      <c r="I10" s="105">
        <v>0</v>
      </c>
      <c r="J10" s="105">
        <v>123.29279827385241</v>
      </c>
      <c r="K10" s="105">
        <v>123.29279827385241</v>
      </c>
      <c r="L10" s="105">
        <v>123.29279827385241</v>
      </c>
      <c r="M10" s="105">
        <v>123.29279827385241</v>
      </c>
      <c r="N10" s="105">
        <v>98.634238619081941</v>
      </c>
      <c r="O10" s="105">
        <v>98.634238619081941</v>
      </c>
      <c r="P10" s="105">
        <v>98.634238619081941</v>
      </c>
      <c r="Q10" s="105">
        <v>98.634238619081941</v>
      </c>
      <c r="R10" s="105">
        <v>98.634238619081941</v>
      </c>
      <c r="S10" s="105">
        <v>98.634238619081941</v>
      </c>
      <c r="T10" s="105">
        <v>0</v>
      </c>
      <c r="U10" s="105">
        <v>181.8442</v>
      </c>
      <c r="V10" s="105">
        <v>98.634238619081941</v>
      </c>
      <c r="W10" s="105">
        <v>98.634238619081941</v>
      </c>
      <c r="X10" s="105">
        <v>98.634238619081941</v>
      </c>
      <c r="Y10" s="105">
        <v>98.634238619081941</v>
      </c>
      <c r="Z10" s="105">
        <v>98.634238619081941</v>
      </c>
      <c r="AA10" s="105">
        <v>98.634238619081941</v>
      </c>
      <c r="AB10" s="105">
        <v>98.634238619081941</v>
      </c>
      <c r="AC10" s="105">
        <v>98.634238619081941</v>
      </c>
      <c r="AD10" s="105">
        <v>98.634238619081941</v>
      </c>
      <c r="AE10" s="105">
        <v>98.634238619081941</v>
      </c>
      <c r="AF10" s="105">
        <v>98.634238619081941</v>
      </c>
      <c r="AG10" s="105">
        <v>98.634238619081941</v>
      </c>
      <c r="AH10" s="105">
        <v>98.634238619081941</v>
      </c>
      <c r="AI10" s="105">
        <v>98.634238619081941</v>
      </c>
      <c r="AJ10" s="105">
        <v>98.634238619081941</v>
      </c>
      <c r="AK10" s="105">
        <v>98.634238619081941</v>
      </c>
      <c r="AL10" s="105">
        <v>98.634238619081941</v>
      </c>
      <c r="AM10" s="105">
        <v>98.634238619081941</v>
      </c>
      <c r="AN10" s="105">
        <v>98.634238619081941</v>
      </c>
      <c r="AO10" s="105">
        <v>98.634238619081941</v>
      </c>
      <c r="AP10" s="105">
        <v>98.634238619081941</v>
      </c>
      <c r="AQ10" s="105">
        <v>98.634238619081941</v>
      </c>
      <c r="AR10" s="105">
        <v>98.634238619081941</v>
      </c>
      <c r="AS10" s="105">
        <v>98.634238619081941</v>
      </c>
      <c r="AT10" s="105">
        <v>98.634238619081941</v>
      </c>
      <c r="AU10" s="105">
        <v>98.634238619081941</v>
      </c>
      <c r="AV10" s="105">
        <v>98.634238619081941</v>
      </c>
      <c r="AW10" s="105">
        <v>98.634238619081941</v>
      </c>
      <c r="AX10" s="105">
        <v>98.634238619081941</v>
      </c>
      <c r="AY10" s="105">
        <v>98.634238619081941</v>
      </c>
      <c r="AZ10" s="105">
        <v>98.634238619081941</v>
      </c>
    </row>
    <row r="11" spans="1:53" x14ac:dyDescent="0.2">
      <c r="B11" s="124">
        <v>2</v>
      </c>
      <c r="C11" s="111" t="s">
        <v>293</v>
      </c>
      <c r="D11" s="105">
        <v>0</v>
      </c>
      <c r="E11" s="105">
        <v>0</v>
      </c>
      <c r="F11" s="105">
        <v>0</v>
      </c>
      <c r="G11" s="105">
        <v>0</v>
      </c>
      <c r="H11" s="105">
        <v>0</v>
      </c>
      <c r="I11" s="105">
        <v>0</v>
      </c>
      <c r="J11" s="105">
        <v>0</v>
      </c>
      <c r="K11" s="105">
        <v>0</v>
      </c>
      <c r="O11" s="105">
        <v>0</v>
      </c>
      <c r="P11" s="105">
        <v>0</v>
      </c>
      <c r="Q11" s="105">
        <v>0</v>
      </c>
      <c r="S11" s="105">
        <v>0</v>
      </c>
      <c r="T11" s="105">
        <v>0</v>
      </c>
      <c r="U11" s="105">
        <v>0</v>
      </c>
      <c r="V11" s="105">
        <v>0</v>
      </c>
      <c r="W11" s="105">
        <v>0</v>
      </c>
      <c r="X11" s="105">
        <v>0</v>
      </c>
      <c r="Y11" s="105">
        <v>0</v>
      </c>
      <c r="Z11" s="105">
        <v>0</v>
      </c>
      <c r="AA11" s="105">
        <v>0</v>
      </c>
      <c r="AB11" s="105">
        <v>0</v>
      </c>
      <c r="AC11" s="105">
        <v>0</v>
      </c>
      <c r="AD11" s="105">
        <v>0</v>
      </c>
      <c r="AE11" s="105">
        <v>0</v>
      </c>
      <c r="AH11" s="105">
        <v>0</v>
      </c>
      <c r="AM11" s="105">
        <v>0</v>
      </c>
      <c r="AN11" s="105">
        <v>0</v>
      </c>
      <c r="AO11" s="105">
        <v>0</v>
      </c>
      <c r="AR11" s="105">
        <v>0</v>
      </c>
      <c r="AS11" s="105">
        <v>0</v>
      </c>
      <c r="AT11" s="105">
        <v>0</v>
      </c>
      <c r="AU11" s="105">
        <v>0</v>
      </c>
      <c r="AV11" s="105">
        <v>0</v>
      </c>
      <c r="AX11" s="105">
        <v>0</v>
      </c>
      <c r="AY11" s="105">
        <v>0</v>
      </c>
      <c r="AZ11" s="105">
        <v>0</v>
      </c>
      <c r="BA11" s="105">
        <v>0</v>
      </c>
    </row>
    <row r="12" spans="1:53" x14ac:dyDescent="0.2">
      <c r="B12" s="125">
        <v>3</v>
      </c>
      <c r="C12" s="111" t="s">
        <v>293</v>
      </c>
      <c r="L12" s="105">
        <v>0</v>
      </c>
      <c r="N12" s="105">
        <v>0</v>
      </c>
      <c r="U12" s="105">
        <v>0</v>
      </c>
      <c r="W12" s="105">
        <v>0</v>
      </c>
      <c r="X12" s="105">
        <v>0</v>
      </c>
      <c r="AB12" s="105">
        <v>0</v>
      </c>
      <c r="AC12" s="105">
        <v>0</v>
      </c>
      <c r="AG12" s="105">
        <v>0</v>
      </c>
      <c r="AM12" s="105">
        <v>0</v>
      </c>
      <c r="AP12" s="105">
        <v>0</v>
      </c>
      <c r="AQ12" s="105">
        <v>0</v>
      </c>
      <c r="AR12" s="105">
        <v>0</v>
      </c>
      <c r="AV12" s="105">
        <v>0</v>
      </c>
      <c r="AW12" s="105">
        <v>0</v>
      </c>
      <c r="AY12" s="105">
        <v>0</v>
      </c>
    </row>
    <row r="13" spans="1:53" x14ac:dyDescent="0.2">
      <c r="B13" s="125">
        <v>4</v>
      </c>
      <c r="C13" s="111" t="s">
        <v>293</v>
      </c>
    </row>
    <row r="14" spans="1:53" x14ac:dyDescent="0.2">
      <c r="A14" s="120" t="s">
        <v>134</v>
      </c>
      <c r="B14" s="126">
        <v>1</v>
      </c>
      <c r="C14" s="122" t="s">
        <v>293</v>
      </c>
      <c r="D14" s="122">
        <v>51.706406195001762</v>
      </c>
      <c r="E14" s="122">
        <f t="shared" ref="E14:AZ14" si="0">D$172*SUM(D$122:D$169)</f>
        <v>0</v>
      </c>
      <c r="F14" s="122">
        <f t="shared" si="0"/>
        <v>0</v>
      </c>
      <c r="G14" s="122">
        <f t="shared" si="0"/>
        <v>0</v>
      </c>
      <c r="H14" s="122">
        <f t="shared" si="0"/>
        <v>0</v>
      </c>
      <c r="I14" s="122">
        <f t="shared" si="0"/>
        <v>42.219549026862545</v>
      </c>
      <c r="J14" s="122">
        <f t="shared" si="0"/>
        <v>42.219549026862545</v>
      </c>
      <c r="K14" s="122">
        <f t="shared" si="0"/>
        <v>46.685062376988917</v>
      </c>
      <c r="L14" s="122">
        <f t="shared" si="0"/>
        <v>46.685062376988917</v>
      </c>
      <c r="M14" s="122">
        <f t="shared" si="0"/>
        <v>46.685062376988917</v>
      </c>
      <c r="N14" s="122">
        <f t="shared" si="0"/>
        <v>46.685062376988917</v>
      </c>
      <c r="O14" s="122">
        <f t="shared" si="0"/>
        <v>45.791959706963645</v>
      </c>
      <c r="P14" s="122">
        <f t="shared" si="0"/>
        <v>45.791959706963645</v>
      </c>
      <c r="Q14" s="122">
        <f t="shared" si="0"/>
        <v>45.791959706963645</v>
      </c>
      <c r="R14" s="122">
        <f t="shared" si="0"/>
        <v>45.791959706963645</v>
      </c>
      <c r="S14" s="122">
        <f t="shared" si="0"/>
        <v>45.791959706963645</v>
      </c>
      <c r="T14" s="122">
        <f t="shared" si="0"/>
        <v>45.791959706963645</v>
      </c>
      <c r="U14" s="122">
        <f t="shared" si="0"/>
        <v>42.219549026862545</v>
      </c>
      <c r="V14" s="122">
        <f t="shared" si="0"/>
        <v>48.805722056526541</v>
      </c>
      <c r="W14" s="122">
        <f t="shared" si="0"/>
        <v>47.496850234236057</v>
      </c>
      <c r="X14" s="122">
        <f t="shared" si="0"/>
        <v>45.791959706963645</v>
      </c>
      <c r="Y14" s="122">
        <f t="shared" si="0"/>
        <v>45.791959706963645</v>
      </c>
      <c r="Z14" s="122">
        <f t="shared" si="0"/>
        <v>45.791959706963645</v>
      </c>
      <c r="AA14" s="122">
        <f t="shared" si="0"/>
        <v>45.791959706963645</v>
      </c>
      <c r="AB14" s="122">
        <f t="shared" si="0"/>
        <v>45.791959706963645</v>
      </c>
      <c r="AC14" s="122">
        <f t="shared" si="0"/>
        <v>45.791959706963645</v>
      </c>
      <c r="AD14" s="122">
        <f t="shared" si="0"/>
        <v>48.802074127269606</v>
      </c>
      <c r="AE14" s="122">
        <f t="shared" si="0"/>
        <v>45.791959706963645</v>
      </c>
      <c r="AF14" s="122">
        <f t="shared" si="0"/>
        <v>45.791959706963645</v>
      </c>
      <c r="AG14" s="122">
        <f t="shared" si="0"/>
        <v>45.791959706963645</v>
      </c>
      <c r="AH14" s="122">
        <f t="shared" si="0"/>
        <v>45.791959706963645</v>
      </c>
      <c r="AI14" s="122">
        <f t="shared" si="0"/>
        <v>45.791959706963645</v>
      </c>
      <c r="AJ14" s="122">
        <f t="shared" si="0"/>
        <v>46.834093204288699</v>
      </c>
      <c r="AK14" s="122">
        <f t="shared" si="0"/>
        <v>46.092269630674942</v>
      </c>
      <c r="AL14" s="122">
        <f t="shared" si="0"/>
        <v>45.791959706963645</v>
      </c>
      <c r="AM14" s="122">
        <f t="shared" si="0"/>
        <v>45.791959706963645</v>
      </c>
      <c r="AN14" s="122">
        <f t="shared" si="0"/>
        <v>45.791959706963645</v>
      </c>
      <c r="AO14" s="122">
        <f t="shared" si="0"/>
        <v>45.791959706963645</v>
      </c>
      <c r="AP14" s="122">
        <f t="shared" si="0"/>
        <v>45.791959706963645</v>
      </c>
      <c r="AQ14" s="122">
        <f t="shared" si="0"/>
        <v>45.791959706963645</v>
      </c>
      <c r="AR14" s="122">
        <f t="shared" si="0"/>
        <v>45.791959706963645</v>
      </c>
      <c r="AS14" s="122">
        <f t="shared" si="0"/>
        <v>45.791959706963645</v>
      </c>
      <c r="AT14" s="122">
        <f t="shared" si="0"/>
        <v>45.791959706963645</v>
      </c>
      <c r="AU14" s="122">
        <f t="shared" si="0"/>
        <v>45.791959706963645</v>
      </c>
      <c r="AV14" s="122">
        <f t="shared" si="0"/>
        <v>45.791959706963645</v>
      </c>
      <c r="AW14" s="122">
        <f t="shared" si="0"/>
        <v>45.791959706963645</v>
      </c>
      <c r="AX14" s="122">
        <f t="shared" si="0"/>
        <v>46.979416511090555</v>
      </c>
      <c r="AY14" s="122">
        <f t="shared" si="0"/>
        <v>46.360577784653572</v>
      </c>
      <c r="AZ14" s="115">
        <f t="shared" si="0"/>
        <v>46.302289503497612</v>
      </c>
      <c r="BA14" s="112">
        <f>SUM($E14:$AZ14)</f>
        <v>2019.039021142725</v>
      </c>
    </row>
    <row r="15" spans="1:53" x14ac:dyDescent="0.2">
      <c r="A15" s="127" t="s">
        <v>123</v>
      </c>
      <c r="B15" s="128">
        <v>1</v>
      </c>
      <c r="C15" s="129" t="s">
        <v>293</v>
      </c>
      <c r="D15" s="129">
        <v>46.999999999999993</v>
      </c>
      <c r="E15" s="129">
        <v>52.616277599999968</v>
      </c>
      <c r="F15" s="129">
        <v>0</v>
      </c>
      <c r="G15" s="129">
        <v>0</v>
      </c>
      <c r="H15" s="129">
        <v>436.90123636363631</v>
      </c>
      <c r="I15" s="129">
        <v>436.90123636363631</v>
      </c>
      <c r="J15" s="129">
        <v>483.1117797881339</v>
      </c>
      <c r="K15" s="129">
        <v>483.1117797881339</v>
      </c>
      <c r="L15" s="129">
        <v>483.1117797881339</v>
      </c>
      <c r="M15" s="129">
        <v>483.1117797881339</v>
      </c>
      <c r="N15" s="129">
        <v>473.8696711032344</v>
      </c>
      <c r="O15" s="129">
        <v>473.8696711032344</v>
      </c>
      <c r="P15" s="129">
        <v>473.8696711032344</v>
      </c>
      <c r="Q15" s="129">
        <v>473.8696711032344</v>
      </c>
      <c r="R15" s="129">
        <v>473.8696711032344</v>
      </c>
      <c r="S15" s="129">
        <v>473.8696711032344</v>
      </c>
      <c r="T15" s="129">
        <v>436.90123636363631</v>
      </c>
      <c r="U15" s="129">
        <v>505.05703636363626</v>
      </c>
      <c r="V15" s="129">
        <v>473.8696711032344</v>
      </c>
      <c r="W15" s="129">
        <v>473.8696711032344</v>
      </c>
      <c r="X15" s="129">
        <v>473.8696711032344</v>
      </c>
      <c r="Y15" s="129">
        <v>473.8696711032344</v>
      </c>
      <c r="Z15" s="129">
        <v>473.8696711032344</v>
      </c>
      <c r="AA15" s="129">
        <v>473.8696711032344</v>
      </c>
      <c r="AB15" s="129">
        <v>473.8696711032344</v>
      </c>
      <c r="AC15" s="129">
        <v>473.8696711032344</v>
      </c>
      <c r="AD15" s="129">
        <v>473.8696711032344</v>
      </c>
      <c r="AE15" s="129">
        <v>473.8696711032344</v>
      </c>
      <c r="AF15" s="129">
        <v>473.8696711032344</v>
      </c>
      <c r="AG15" s="129">
        <v>473.8696711032344</v>
      </c>
      <c r="AH15" s="129">
        <v>473.8696711032344</v>
      </c>
      <c r="AI15" s="129">
        <v>473.8696711032344</v>
      </c>
      <c r="AJ15" s="129">
        <v>473.8696711032344</v>
      </c>
      <c r="AK15" s="129">
        <v>473.8696711032344</v>
      </c>
      <c r="AL15" s="129">
        <v>473.8696711032344</v>
      </c>
      <c r="AM15" s="129">
        <v>473.8696711032344</v>
      </c>
      <c r="AN15" s="129">
        <v>473.8696711032344</v>
      </c>
      <c r="AO15" s="129">
        <v>473.8696711032344</v>
      </c>
      <c r="AP15" s="129">
        <v>473.8696711032344</v>
      </c>
      <c r="AQ15" s="129">
        <v>473.8696711032344</v>
      </c>
      <c r="AR15" s="129">
        <v>473.8696711032344</v>
      </c>
      <c r="AS15" s="129">
        <v>473.8696711032344</v>
      </c>
      <c r="AT15" s="129">
        <v>473.8696711032344</v>
      </c>
      <c r="AU15" s="129">
        <v>473.8696711032344</v>
      </c>
      <c r="AV15" s="129">
        <v>473.8696711032344</v>
      </c>
      <c r="AW15" s="129">
        <v>473.8696711032344</v>
      </c>
      <c r="AX15" s="129">
        <v>473.8696711032344</v>
      </c>
      <c r="AY15" s="129">
        <v>473.8696711032344</v>
      </c>
      <c r="AZ15" s="105">
        <v>36.968434739598074</v>
      </c>
    </row>
    <row r="16" spans="1:53" x14ac:dyDescent="0.2">
      <c r="A16" s="115"/>
      <c r="B16" s="124">
        <v>2</v>
      </c>
      <c r="C16" s="114" t="s">
        <v>293</v>
      </c>
      <c r="D16" s="111">
        <v>0</v>
      </c>
      <c r="E16" s="115">
        <v>0</v>
      </c>
      <c r="F16" s="115">
        <v>0</v>
      </c>
      <c r="G16" s="115">
        <v>0</v>
      </c>
      <c r="H16" s="115">
        <v>0</v>
      </c>
      <c r="I16" s="115">
        <v>0</v>
      </c>
      <c r="J16" s="115">
        <v>0</v>
      </c>
      <c r="K16" s="115">
        <v>0</v>
      </c>
      <c r="L16" s="115"/>
      <c r="M16" s="115"/>
      <c r="N16" s="115"/>
      <c r="O16" s="115">
        <v>0</v>
      </c>
      <c r="P16" s="115">
        <v>0</v>
      </c>
      <c r="Q16" s="115">
        <v>0</v>
      </c>
      <c r="R16" s="115"/>
      <c r="S16" s="115">
        <v>0</v>
      </c>
      <c r="T16" s="115">
        <v>0</v>
      </c>
      <c r="U16" s="115">
        <v>0</v>
      </c>
      <c r="V16" s="115">
        <v>0</v>
      </c>
      <c r="W16" s="115">
        <v>0</v>
      </c>
      <c r="X16" s="115">
        <v>0</v>
      </c>
      <c r="Y16" s="115">
        <v>0</v>
      </c>
      <c r="Z16" s="115">
        <v>0</v>
      </c>
      <c r="AA16" s="115">
        <v>0</v>
      </c>
      <c r="AB16" s="115">
        <v>0</v>
      </c>
      <c r="AC16" s="115">
        <v>0</v>
      </c>
      <c r="AD16" s="115">
        <v>0</v>
      </c>
      <c r="AE16" s="115">
        <v>0</v>
      </c>
      <c r="AF16" s="115"/>
      <c r="AG16" s="115"/>
      <c r="AH16" s="115">
        <v>0</v>
      </c>
      <c r="AI16" s="115"/>
      <c r="AJ16" s="115"/>
      <c r="AK16" s="115"/>
      <c r="AL16" s="115"/>
      <c r="AM16" s="115">
        <v>0</v>
      </c>
      <c r="AN16" s="115">
        <v>0</v>
      </c>
      <c r="AO16" s="115">
        <v>0</v>
      </c>
      <c r="AP16" s="115"/>
      <c r="AQ16" s="115"/>
      <c r="AR16" s="115">
        <v>0</v>
      </c>
      <c r="AS16" s="115">
        <v>0</v>
      </c>
      <c r="AT16" s="115">
        <v>0</v>
      </c>
      <c r="AU16" s="115">
        <v>0</v>
      </c>
      <c r="AV16" s="115">
        <v>0</v>
      </c>
      <c r="AW16" s="115"/>
      <c r="AX16" s="115">
        <v>0</v>
      </c>
      <c r="AY16" s="115">
        <v>0</v>
      </c>
      <c r="AZ16" s="105">
        <v>0</v>
      </c>
      <c r="BA16" s="105">
        <v>0</v>
      </c>
    </row>
    <row r="17" spans="1:51" x14ac:dyDescent="0.2">
      <c r="A17" s="115"/>
      <c r="B17" s="124">
        <v>3</v>
      </c>
      <c r="C17" s="114" t="s">
        <v>293</v>
      </c>
      <c r="D17" s="111"/>
      <c r="E17" s="115"/>
      <c r="F17" s="115"/>
      <c r="G17" s="115"/>
      <c r="H17" s="115"/>
      <c r="I17" s="115"/>
      <c r="J17" s="115"/>
      <c r="K17" s="115"/>
      <c r="L17" s="115">
        <v>0</v>
      </c>
      <c r="M17" s="115"/>
      <c r="N17" s="115">
        <v>0</v>
      </c>
      <c r="O17" s="115"/>
      <c r="P17" s="115"/>
      <c r="Q17" s="115"/>
      <c r="R17" s="115"/>
      <c r="S17" s="115"/>
      <c r="T17" s="115"/>
      <c r="U17" s="115">
        <v>0</v>
      </c>
      <c r="V17" s="115"/>
      <c r="W17" s="115">
        <v>0</v>
      </c>
      <c r="X17" s="115">
        <v>0</v>
      </c>
      <c r="Y17" s="115"/>
      <c r="Z17" s="115"/>
      <c r="AA17" s="115"/>
      <c r="AB17" s="115">
        <v>0</v>
      </c>
      <c r="AC17" s="115">
        <v>0</v>
      </c>
      <c r="AD17" s="115"/>
      <c r="AE17" s="115"/>
      <c r="AF17" s="115"/>
      <c r="AG17" s="115">
        <v>0</v>
      </c>
      <c r="AH17" s="115"/>
      <c r="AI17" s="115"/>
      <c r="AJ17" s="115"/>
      <c r="AK17" s="115"/>
      <c r="AL17" s="115"/>
      <c r="AM17" s="115">
        <v>0</v>
      </c>
      <c r="AN17" s="115"/>
      <c r="AO17" s="115"/>
      <c r="AP17" s="115">
        <v>0</v>
      </c>
      <c r="AQ17" s="115">
        <v>0</v>
      </c>
      <c r="AR17" s="115">
        <v>0</v>
      </c>
      <c r="AS17" s="115"/>
      <c r="AT17" s="115"/>
      <c r="AU17" s="115"/>
      <c r="AV17" s="115">
        <v>0</v>
      </c>
      <c r="AW17" s="115">
        <v>0</v>
      </c>
      <c r="AX17" s="115"/>
      <c r="AY17" s="115">
        <v>0</v>
      </c>
    </row>
    <row r="18" spans="1:51" x14ac:dyDescent="0.2">
      <c r="A18" s="130"/>
      <c r="B18" s="121">
        <v>4</v>
      </c>
      <c r="C18" s="130" t="s">
        <v>293</v>
      </c>
      <c r="D18" s="130"/>
      <c r="E18" s="13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0"/>
      <c r="AC18" s="130"/>
      <c r="AD18" s="130"/>
      <c r="AE18" s="130"/>
      <c r="AF18" s="130"/>
      <c r="AG18" s="130"/>
      <c r="AH18" s="130"/>
      <c r="AI18" s="130"/>
      <c r="AJ18" s="130"/>
      <c r="AK18" s="130"/>
      <c r="AL18" s="130"/>
      <c r="AM18" s="130"/>
      <c r="AN18" s="130"/>
      <c r="AO18" s="130"/>
      <c r="AP18" s="130"/>
      <c r="AQ18" s="130"/>
      <c r="AR18" s="130"/>
      <c r="AS18" s="130"/>
      <c r="AT18" s="130"/>
      <c r="AU18" s="130"/>
      <c r="AV18" s="130"/>
      <c r="AW18" s="130"/>
      <c r="AX18" s="130"/>
      <c r="AY18" s="130"/>
    </row>
    <row r="20" spans="1:51" x14ac:dyDescent="0.2">
      <c r="A20" s="107" t="s">
        <v>294</v>
      </c>
    </row>
    <row r="21" spans="1:51" x14ac:dyDescent="0.2">
      <c r="A21" s="131" t="s">
        <v>125</v>
      </c>
      <c r="B21" s="128">
        <v>1</v>
      </c>
      <c r="C21" s="129" t="s">
        <v>293</v>
      </c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129"/>
      <c r="X21" s="129"/>
      <c r="Y21" s="129"/>
      <c r="Z21" s="129"/>
      <c r="AA21" s="129"/>
      <c r="AB21" s="129"/>
      <c r="AC21" s="129"/>
      <c r="AD21" s="129"/>
      <c r="AE21" s="129"/>
      <c r="AF21" s="129"/>
      <c r="AG21" s="129"/>
      <c r="AH21" s="129"/>
      <c r="AI21" s="129"/>
      <c r="AJ21" s="129"/>
      <c r="AK21" s="129"/>
      <c r="AL21" s="129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</row>
    <row r="22" spans="1:51" x14ac:dyDescent="0.2">
      <c r="A22" s="114"/>
      <c r="B22" s="125">
        <v>2</v>
      </c>
      <c r="C22" s="115" t="s">
        <v>293</v>
      </c>
      <c r="D22" s="115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115"/>
      <c r="AK22" s="115"/>
      <c r="AL22" s="115"/>
      <c r="AM22" s="115"/>
      <c r="AN22" s="115"/>
      <c r="AO22" s="115"/>
      <c r="AP22" s="115"/>
      <c r="AQ22" s="115"/>
      <c r="AR22" s="115"/>
      <c r="AS22" s="115"/>
      <c r="AT22" s="115"/>
      <c r="AU22" s="115"/>
      <c r="AV22" s="115"/>
      <c r="AW22" s="115"/>
      <c r="AX22" s="115"/>
      <c r="AY22" s="115"/>
    </row>
    <row r="23" spans="1:51" x14ac:dyDescent="0.2">
      <c r="A23" s="114"/>
      <c r="B23" s="132">
        <v>3</v>
      </c>
      <c r="C23" s="115" t="s">
        <v>293</v>
      </c>
      <c r="D23" s="115"/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115"/>
      <c r="AK23" s="115"/>
      <c r="AL23" s="115"/>
      <c r="AM23" s="115"/>
      <c r="AN23" s="115"/>
      <c r="AO23" s="115"/>
      <c r="AP23" s="115"/>
      <c r="AQ23" s="115"/>
      <c r="AR23" s="115"/>
      <c r="AS23" s="115"/>
      <c r="AT23" s="115"/>
      <c r="AU23" s="115"/>
      <c r="AV23" s="115"/>
      <c r="AW23" s="115"/>
      <c r="AX23" s="115"/>
      <c r="AY23" s="115"/>
    </row>
    <row r="24" spans="1:51" x14ac:dyDescent="0.2">
      <c r="A24" s="133"/>
      <c r="B24" s="134">
        <v>4</v>
      </c>
      <c r="C24" s="133" t="s">
        <v>293</v>
      </c>
      <c r="D24" s="130">
        <v>0</v>
      </c>
      <c r="E24" s="130">
        <v>0</v>
      </c>
      <c r="F24" s="130">
        <v>0</v>
      </c>
      <c r="G24" s="130">
        <v>0</v>
      </c>
      <c r="H24" s="130">
        <v>0</v>
      </c>
      <c r="I24" s="130">
        <v>0</v>
      </c>
      <c r="J24" s="130">
        <v>0</v>
      </c>
      <c r="K24" s="130">
        <v>0</v>
      </c>
      <c r="L24" s="130">
        <v>0</v>
      </c>
      <c r="M24" s="130">
        <v>0</v>
      </c>
      <c r="N24" s="130">
        <v>0</v>
      </c>
      <c r="O24" s="130">
        <v>0</v>
      </c>
      <c r="P24" s="130">
        <v>0</v>
      </c>
      <c r="Q24" s="130">
        <v>0</v>
      </c>
      <c r="R24" s="130">
        <v>0</v>
      </c>
      <c r="S24" s="130">
        <v>0</v>
      </c>
      <c r="T24" s="130">
        <v>0</v>
      </c>
      <c r="U24" s="130">
        <v>0</v>
      </c>
      <c r="V24" s="130">
        <v>0</v>
      </c>
      <c r="W24" s="130">
        <v>0</v>
      </c>
      <c r="X24" s="130">
        <v>0</v>
      </c>
      <c r="Y24" s="130">
        <v>0</v>
      </c>
      <c r="Z24" s="130">
        <v>0</v>
      </c>
      <c r="AA24" s="130">
        <v>0</v>
      </c>
      <c r="AB24" s="130">
        <v>0</v>
      </c>
      <c r="AC24" s="130">
        <v>0</v>
      </c>
      <c r="AD24" s="130">
        <v>0</v>
      </c>
      <c r="AE24" s="130">
        <v>0</v>
      </c>
      <c r="AF24" s="130">
        <v>0</v>
      </c>
      <c r="AG24" s="130">
        <v>0</v>
      </c>
      <c r="AH24" s="130">
        <v>0</v>
      </c>
      <c r="AI24" s="130">
        <v>0</v>
      </c>
      <c r="AJ24" s="130">
        <v>0</v>
      </c>
      <c r="AK24" s="130">
        <v>0</v>
      </c>
      <c r="AL24" s="130">
        <v>0</v>
      </c>
      <c r="AM24" s="130">
        <v>0</v>
      </c>
      <c r="AN24" s="130">
        <v>0</v>
      </c>
      <c r="AO24" s="130">
        <v>0</v>
      </c>
      <c r="AP24" s="130">
        <v>0</v>
      </c>
      <c r="AQ24" s="130">
        <v>0</v>
      </c>
      <c r="AR24" s="130">
        <v>0</v>
      </c>
      <c r="AS24" s="130">
        <v>0</v>
      </c>
      <c r="AT24" s="130">
        <v>0</v>
      </c>
      <c r="AU24" s="130">
        <v>0</v>
      </c>
      <c r="AV24" s="130">
        <v>0</v>
      </c>
      <c r="AW24" s="130">
        <v>0</v>
      </c>
      <c r="AX24" s="130">
        <v>0</v>
      </c>
      <c r="AY24" s="130">
        <v>0</v>
      </c>
    </row>
    <row r="25" spans="1:51" x14ac:dyDescent="0.2">
      <c r="A25" s="131" t="s">
        <v>133</v>
      </c>
      <c r="B25" s="128">
        <v>1</v>
      </c>
      <c r="C25" s="114" t="s">
        <v>293</v>
      </c>
      <c r="D25" s="115"/>
      <c r="E25" s="115"/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115"/>
      <c r="AK25" s="115"/>
      <c r="AL25" s="115"/>
      <c r="AM25" s="115"/>
      <c r="AN25" s="115"/>
      <c r="AO25" s="115"/>
      <c r="AP25" s="115"/>
      <c r="AQ25" s="115"/>
      <c r="AR25" s="115"/>
      <c r="AS25" s="115"/>
      <c r="AT25" s="115"/>
      <c r="AU25" s="115"/>
      <c r="AV25" s="115"/>
      <c r="AW25" s="115"/>
      <c r="AX25" s="115"/>
      <c r="AY25" s="115"/>
    </row>
    <row r="26" spans="1:51" x14ac:dyDescent="0.2">
      <c r="A26" s="114"/>
      <c r="B26" s="124">
        <v>2</v>
      </c>
      <c r="C26" s="114" t="s">
        <v>293</v>
      </c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5"/>
      <c r="AF26" s="115"/>
      <c r="AG26" s="115"/>
      <c r="AH26" s="115"/>
      <c r="AI26" s="115"/>
      <c r="AJ26" s="115"/>
      <c r="AK26" s="115"/>
      <c r="AL26" s="115"/>
      <c r="AM26" s="115"/>
      <c r="AN26" s="115"/>
      <c r="AO26" s="115"/>
      <c r="AP26" s="115"/>
      <c r="AQ26" s="115"/>
      <c r="AR26" s="115"/>
      <c r="AS26" s="115"/>
      <c r="AT26" s="115"/>
      <c r="AU26" s="115"/>
      <c r="AV26" s="115"/>
      <c r="AW26" s="115"/>
      <c r="AX26" s="115"/>
      <c r="AY26" s="115"/>
    </row>
    <row r="27" spans="1:51" x14ac:dyDescent="0.2">
      <c r="A27" s="114"/>
      <c r="B27" s="125">
        <v>3</v>
      </c>
      <c r="C27" s="114" t="s">
        <v>293</v>
      </c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115"/>
      <c r="AC27" s="115"/>
      <c r="AD27" s="115"/>
      <c r="AE27" s="115"/>
      <c r="AF27" s="115"/>
      <c r="AG27" s="115"/>
      <c r="AH27" s="115"/>
      <c r="AI27" s="115"/>
      <c r="AJ27" s="115"/>
      <c r="AK27" s="115"/>
      <c r="AL27" s="115"/>
      <c r="AM27" s="115"/>
      <c r="AN27" s="115"/>
      <c r="AO27" s="115"/>
      <c r="AP27" s="115"/>
      <c r="AQ27" s="115"/>
      <c r="AR27" s="115"/>
      <c r="AS27" s="115"/>
      <c r="AT27" s="115"/>
      <c r="AU27" s="115"/>
      <c r="AV27" s="115"/>
      <c r="AW27" s="115"/>
      <c r="AX27" s="115"/>
      <c r="AY27" s="115"/>
    </row>
    <row r="28" spans="1:51" x14ac:dyDescent="0.2">
      <c r="A28" s="114"/>
      <c r="B28" s="125">
        <v>4</v>
      </c>
      <c r="C28" s="114" t="s">
        <v>293</v>
      </c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15"/>
      <c r="AM28" s="115"/>
      <c r="AN28" s="115"/>
      <c r="AO28" s="115"/>
      <c r="AP28" s="115"/>
      <c r="AQ28" s="115"/>
      <c r="AR28" s="115"/>
      <c r="AS28" s="115"/>
      <c r="AT28" s="115"/>
      <c r="AU28" s="115"/>
      <c r="AV28" s="115"/>
      <c r="AW28" s="115"/>
      <c r="AX28" s="115"/>
      <c r="AY28" s="115"/>
    </row>
    <row r="29" spans="1:51" x14ac:dyDescent="0.2">
      <c r="A29" s="114"/>
      <c r="B29" s="132">
        <v>5</v>
      </c>
      <c r="C29" s="114" t="s">
        <v>293</v>
      </c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5"/>
      <c r="AF29" s="115"/>
      <c r="AG29" s="115"/>
      <c r="AH29" s="115"/>
      <c r="AI29" s="115"/>
      <c r="AJ29" s="115"/>
      <c r="AK29" s="115"/>
      <c r="AL29" s="115"/>
      <c r="AM29" s="115"/>
      <c r="AN29" s="115"/>
      <c r="AO29" s="115"/>
      <c r="AP29" s="115"/>
      <c r="AQ29" s="115"/>
      <c r="AR29" s="115"/>
      <c r="AS29" s="115"/>
      <c r="AT29" s="115"/>
      <c r="AU29" s="115"/>
      <c r="AV29" s="115"/>
      <c r="AW29" s="115"/>
      <c r="AX29" s="115"/>
      <c r="AY29" s="115"/>
    </row>
    <row r="30" spans="1:51" x14ac:dyDescent="0.2">
      <c r="A30" s="114"/>
      <c r="B30" s="132">
        <v>6</v>
      </c>
      <c r="C30" s="114" t="s">
        <v>293</v>
      </c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5"/>
      <c r="AF30" s="115"/>
      <c r="AG30" s="115"/>
      <c r="AH30" s="115"/>
      <c r="AI30" s="115"/>
      <c r="AJ30" s="115"/>
      <c r="AK30" s="115"/>
      <c r="AL30" s="115"/>
      <c r="AM30" s="115"/>
      <c r="AN30" s="115"/>
      <c r="AO30" s="115"/>
      <c r="AP30" s="115"/>
      <c r="AQ30" s="115"/>
      <c r="AR30" s="115"/>
      <c r="AS30" s="115"/>
      <c r="AT30" s="115"/>
      <c r="AU30" s="115"/>
      <c r="AV30" s="115"/>
      <c r="AW30" s="115"/>
      <c r="AX30" s="115"/>
      <c r="AY30" s="115"/>
    </row>
    <row r="31" spans="1:51" x14ac:dyDescent="0.2">
      <c r="A31" s="114"/>
      <c r="B31" s="135">
        <v>7</v>
      </c>
      <c r="C31" s="114" t="s">
        <v>293</v>
      </c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5"/>
      <c r="AF31" s="115"/>
      <c r="AG31" s="115"/>
      <c r="AH31" s="115"/>
      <c r="AI31" s="115"/>
      <c r="AJ31" s="115"/>
      <c r="AK31" s="115"/>
      <c r="AL31" s="115"/>
      <c r="AM31" s="115"/>
      <c r="AN31" s="115"/>
      <c r="AO31" s="115"/>
      <c r="AP31" s="115"/>
      <c r="AQ31" s="115"/>
      <c r="AR31" s="115"/>
      <c r="AS31" s="115"/>
      <c r="AT31" s="115"/>
      <c r="AU31" s="115"/>
      <c r="AV31" s="115"/>
      <c r="AW31" s="115"/>
      <c r="AX31" s="115"/>
      <c r="AY31" s="115"/>
    </row>
    <row r="32" spans="1:51" x14ac:dyDescent="0.2">
      <c r="A32" s="133"/>
      <c r="B32" s="134">
        <v>8</v>
      </c>
      <c r="C32" s="133" t="s">
        <v>293</v>
      </c>
      <c r="D32" s="130">
        <v>0</v>
      </c>
      <c r="E32" s="130">
        <v>0</v>
      </c>
      <c r="F32" s="130">
        <v>0</v>
      </c>
      <c r="G32" s="130">
        <v>0</v>
      </c>
      <c r="H32" s="130">
        <v>0</v>
      </c>
      <c r="I32" s="130">
        <v>0</v>
      </c>
      <c r="J32" s="130">
        <v>0</v>
      </c>
      <c r="K32" s="130">
        <v>0</v>
      </c>
      <c r="L32" s="130">
        <v>0</v>
      </c>
      <c r="M32" s="130">
        <v>0</v>
      </c>
      <c r="N32" s="130">
        <v>0</v>
      </c>
      <c r="O32" s="130">
        <v>0</v>
      </c>
      <c r="P32" s="130">
        <v>0</v>
      </c>
      <c r="Q32" s="130">
        <v>0</v>
      </c>
      <c r="R32" s="130">
        <v>0</v>
      </c>
      <c r="S32" s="130">
        <v>0</v>
      </c>
      <c r="T32" s="130">
        <v>0</v>
      </c>
      <c r="U32" s="130">
        <v>0</v>
      </c>
      <c r="V32" s="130">
        <v>0</v>
      </c>
      <c r="W32" s="130">
        <v>0</v>
      </c>
      <c r="X32" s="130">
        <v>0</v>
      </c>
      <c r="Y32" s="130">
        <v>0</v>
      </c>
      <c r="Z32" s="130">
        <v>0</v>
      </c>
      <c r="AA32" s="130">
        <v>0</v>
      </c>
      <c r="AB32" s="130">
        <v>0</v>
      </c>
      <c r="AC32" s="130">
        <v>0</v>
      </c>
      <c r="AD32" s="130">
        <v>0</v>
      </c>
      <c r="AE32" s="130">
        <v>0</v>
      </c>
      <c r="AF32" s="130">
        <v>0</v>
      </c>
      <c r="AG32" s="130">
        <v>0</v>
      </c>
      <c r="AH32" s="130">
        <v>0</v>
      </c>
      <c r="AI32" s="130">
        <v>0</v>
      </c>
      <c r="AJ32" s="130">
        <v>0</v>
      </c>
      <c r="AK32" s="130">
        <v>0</v>
      </c>
      <c r="AL32" s="130">
        <v>0</v>
      </c>
      <c r="AM32" s="130">
        <v>0</v>
      </c>
      <c r="AN32" s="130">
        <v>0</v>
      </c>
      <c r="AO32" s="130">
        <v>0</v>
      </c>
      <c r="AP32" s="130">
        <v>0</v>
      </c>
      <c r="AQ32" s="130">
        <v>0</v>
      </c>
      <c r="AR32" s="130">
        <v>0</v>
      </c>
      <c r="AS32" s="130">
        <v>0</v>
      </c>
      <c r="AT32" s="130">
        <v>0</v>
      </c>
      <c r="AU32" s="130">
        <v>0</v>
      </c>
      <c r="AV32" s="130">
        <v>0</v>
      </c>
      <c r="AW32" s="130">
        <v>0</v>
      </c>
      <c r="AX32" s="130">
        <v>0</v>
      </c>
      <c r="AY32" s="130">
        <v>0</v>
      </c>
    </row>
    <row r="33" spans="1:51" x14ac:dyDescent="0.2">
      <c r="A33" s="136" t="s">
        <v>134</v>
      </c>
      <c r="B33" s="124">
        <v>1</v>
      </c>
      <c r="C33" s="114" t="s">
        <v>293</v>
      </c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111"/>
      <c r="AM33" s="111"/>
      <c r="AN33" s="111"/>
      <c r="AO33" s="111"/>
      <c r="AP33" s="111"/>
      <c r="AQ33" s="111"/>
      <c r="AR33" s="111"/>
      <c r="AS33" s="111"/>
      <c r="AT33" s="111"/>
      <c r="AU33" s="111"/>
      <c r="AV33" s="111"/>
      <c r="AW33" s="111"/>
      <c r="AX33" s="111"/>
      <c r="AY33" s="111"/>
    </row>
    <row r="34" spans="1:51" x14ac:dyDescent="0.2">
      <c r="A34" s="114"/>
      <c r="B34" s="124">
        <v>2</v>
      </c>
      <c r="C34" s="114" t="s">
        <v>293</v>
      </c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  <c r="AB34" s="111"/>
      <c r="AC34" s="111"/>
      <c r="AD34" s="111"/>
      <c r="AE34" s="111"/>
      <c r="AF34" s="111"/>
      <c r="AG34" s="111"/>
      <c r="AH34" s="111"/>
      <c r="AI34" s="111"/>
      <c r="AJ34" s="111"/>
      <c r="AK34" s="111"/>
      <c r="AL34" s="111"/>
      <c r="AM34" s="111"/>
      <c r="AN34" s="111"/>
      <c r="AO34" s="111"/>
      <c r="AP34" s="111"/>
      <c r="AQ34" s="111"/>
      <c r="AR34" s="111"/>
      <c r="AS34" s="111"/>
      <c r="AT34" s="111"/>
      <c r="AU34" s="111"/>
      <c r="AV34" s="111"/>
      <c r="AW34" s="111"/>
      <c r="AX34" s="111"/>
      <c r="AY34" s="111"/>
    </row>
    <row r="35" spans="1:51" x14ac:dyDescent="0.2">
      <c r="A35" s="114"/>
      <c r="B35" s="124">
        <v>3</v>
      </c>
      <c r="C35" s="114" t="s">
        <v>293</v>
      </c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111"/>
      <c r="AB35" s="111"/>
      <c r="AC35" s="111"/>
      <c r="AD35" s="111"/>
      <c r="AE35" s="111"/>
      <c r="AF35" s="111"/>
      <c r="AG35" s="111"/>
      <c r="AH35" s="111"/>
      <c r="AI35" s="111"/>
      <c r="AJ35" s="111"/>
      <c r="AK35" s="111"/>
      <c r="AL35" s="111"/>
      <c r="AM35" s="111"/>
      <c r="AN35" s="111"/>
      <c r="AO35" s="111"/>
      <c r="AP35" s="111"/>
      <c r="AQ35" s="111"/>
      <c r="AR35" s="111"/>
      <c r="AS35" s="111"/>
      <c r="AT35" s="111"/>
      <c r="AU35" s="111"/>
      <c r="AV35" s="111"/>
      <c r="AW35" s="111"/>
      <c r="AX35" s="111"/>
      <c r="AY35" s="111"/>
    </row>
    <row r="36" spans="1:51" x14ac:dyDescent="0.2">
      <c r="A36" s="114"/>
      <c r="B36" s="125">
        <v>4</v>
      </c>
      <c r="C36" s="114" t="s">
        <v>293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  <c r="AH36" s="111"/>
      <c r="AI36" s="111"/>
      <c r="AJ36" s="111"/>
      <c r="AK36" s="111"/>
      <c r="AL36" s="111"/>
      <c r="AM36" s="111"/>
      <c r="AN36" s="111"/>
      <c r="AO36" s="111"/>
      <c r="AP36" s="111"/>
      <c r="AQ36" s="111"/>
      <c r="AR36" s="111"/>
      <c r="AS36" s="111"/>
      <c r="AT36" s="111"/>
      <c r="AU36" s="111"/>
      <c r="AV36" s="111"/>
      <c r="AW36" s="111"/>
      <c r="AX36" s="111"/>
      <c r="AY36" s="111"/>
    </row>
    <row r="37" spans="1:51" x14ac:dyDescent="0.2">
      <c r="A37" s="114"/>
      <c r="B37" s="125">
        <v>5</v>
      </c>
      <c r="C37" s="114" t="s">
        <v>293</v>
      </c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  <c r="AB37" s="111"/>
      <c r="AC37" s="111"/>
      <c r="AD37" s="111"/>
      <c r="AE37" s="111"/>
      <c r="AF37" s="111"/>
      <c r="AG37" s="111"/>
      <c r="AH37" s="111"/>
      <c r="AI37" s="111"/>
      <c r="AJ37" s="111"/>
      <c r="AK37" s="111"/>
      <c r="AL37" s="111"/>
      <c r="AM37" s="111"/>
      <c r="AN37" s="111"/>
      <c r="AO37" s="111"/>
      <c r="AP37" s="111"/>
      <c r="AQ37" s="111"/>
      <c r="AR37" s="111"/>
      <c r="AS37" s="111"/>
      <c r="AT37" s="111"/>
      <c r="AU37" s="111"/>
      <c r="AV37" s="111"/>
      <c r="AW37" s="111"/>
      <c r="AX37" s="111"/>
      <c r="AY37" s="111"/>
    </row>
    <row r="38" spans="1:51" x14ac:dyDescent="0.2">
      <c r="A38" s="114"/>
      <c r="B38" s="125">
        <v>6</v>
      </c>
      <c r="C38" s="114" t="s">
        <v>293</v>
      </c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1"/>
      <c r="AL38" s="111"/>
      <c r="AM38" s="111"/>
      <c r="AN38" s="111"/>
      <c r="AO38" s="111"/>
      <c r="AP38" s="111"/>
      <c r="AQ38" s="111"/>
      <c r="AR38" s="111"/>
      <c r="AS38" s="111"/>
      <c r="AT38" s="111"/>
      <c r="AU38" s="111"/>
      <c r="AV38" s="111"/>
      <c r="AW38" s="111"/>
      <c r="AX38" s="111"/>
      <c r="AY38" s="111"/>
    </row>
    <row r="39" spans="1:51" x14ac:dyDescent="0.2">
      <c r="A39" s="114"/>
      <c r="B39" s="132">
        <v>7</v>
      </c>
      <c r="C39" s="114" t="s">
        <v>293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  <c r="AL39" s="111"/>
      <c r="AM39" s="111"/>
      <c r="AN39" s="111"/>
      <c r="AO39" s="111"/>
      <c r="AP39" s="111"/>
      <c r="AQ39" s="111"/>
      <c r="AR39" s="111"/>
      <c r="AS39" s="111"/>
      <c r="AT39" s="111"/>
      <c r="AU39" s="111"/>
      <c r="AV39" s="111"/>
      <c r="AW39" s="111"/>
      <c r="AX39" s="111"/>
      <c r="AY39" s="111"/>
    </row>
    <row r="40" spans="1:51" x14ac:dyDescent="0.2">
      <c r="A40" s="114"/>
      <c r="B40" s="132">
        <v>8</v>
      </c>
      <c r="C40" s="114" t="s">
        <v>293</v>
      </c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1"/>
      <c r="AL40" s="111"/>
      <c r="AM40" s="111"/>
      <c r="AN40" s="111"/>
      <c r="AO40" s="111"/>
      <c r="AP40" s="111"/>
      <c r="AQ40" s="111"/>
      <c r="AR40" s="111"/>
      <c r="AS40" s="111"/>
      <c r="AT40" s="111"/>
      <c r="AU40" s="111"/>
      <c r="AV40" s="111"/>
      <c r="AW40" s="111"/>
      <c r="AX40" s="111"/>
      <c r="AY40" s="111"/>
    </row>
    <row r="41" spans="1:51" x14ac:dyDescent="0.2">
      <c r="A41" s="114"/>
      <c r="B41" s="132">
        <v>9</v>
      </c>
      <c r="C41" s="114" t="s">
        <v>293</v>
      </c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111"/>
      <c r="AM41" s="111"/>
      <c r="AN41" s="111"/>
      <c r="AO41" s="111"/>
      <c r="AP41" s="111"/>
      <c r="AQ41" s="111"/>
      <c r="AR41" s="111"/>
      <c r="AS41" s="111"/>
      <c r="AT41" s="111"/>
      <c r="AU41" s="111"/>
      <c r="AV41" s="111"/>
      <c r="AW41" s="111"/>
      <c r="AX41" s="111"/>
      <c r="AY41" s="111"/>
    </row>
    <row r="42" spans="1:51" x14ac:dyDescent="0.2">
      <c r="A42" s="114"/>
      <c r="B42" s="135">
        <v>10</v>
      </c>
      <c r="C42" s="114" t="s">
        <v>293</v>
      </c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  <c r="AH42" s="111"/>
      <c r="AI42" s="111"/>
      <c r="AJ42" s="111"/>
      <c r="AK42" s="111"/>
      <c r="AL42" s="111"/>
      <c r="AM42" s="111"/>
      <c r="AN42" s="111"/>
      <c r="AO42" s="111"/>
      <c r="AP42" s="111"/>
      <c r="AQ42" s="111"/>
      <c r="AR42" s="111"/>
      <c r="AS42" s="111"/>
      <c r="AT42" s="111"/>
      <c r="AU42" s="111"/>
      <c r="AV42" s="111"/>
      <c r="AW42" s="111"/>
      <c r="AX42" s="111"/>
      <c r="AY42" s="111"/>
    </row>
    <row r="43" spans="1:51" x14ac:dyDescent="0.2">
      <c r="A43" s="114"/>
      <c r="B43" s="135">
        <v>11</v>
      </c>
      <c r="C43" s="114" t="s">
        <v>293</v>
      </c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11"/>
      <c r="Y43" s="111"/>
      <c r="Z43" s="111"/>
      <c r="AA43" s="111"/>
      <c r="AB43" s="111"/>
      <c r="AC43" s="111"/>
      <c r="AD43" s="111"/>
      <c r="AE43" s="111"/>
      <c r="AF43" s="111"/>
      <c r="AG43" s="111"/>
      <c r="AH43" s="111"/>
      <c r="AI43" s="111"/>
      <c r="AJ43" s="111"/>
      <c r="AK43" s="111"/>
      <c r="AL43" s="111"/>
      <c r="AM43" s="111"/>
      <c r="AN43" s="111"/>
      <c r="AO43" s="111"/>
      <c r="AP43" s="111"/>
      <c r="AQ43" s="111"/>
      <c r="AR43" s="111"/>
      <c r="AS43" s="111"/>
      <c r="AT43" s="111"/>
      <c r="AU43" s="111"/>
      <c r="AV43" s="111"/>
      <c r="AW43" s="111"/>
      <c r="AX43" s="111"/>
      <c r="AY43" s="111"/>
    </row>
    <row r="44" spans="1:51" x14ac:dyDescent="0.2">
      <c r="A44" s="114"/>
      <c r="B44" s="135">
        <v>12</v>
      </c>
      <c r="C44" s="133" t="s">
        <v>293</v>
      </c>
      <c r="D44" s="111">
        <v>0</v>
      </c>
      <c r="E44" s="111">
        <v>0</v>
      </c>
      <c r="F44" s="111">
        <v>0</v>
      </c>
      <c r="G44" s="111">
        <v>0</v>
      </c>
      <c r="H44" s="111">
        <v>0</v>
      </c>
      <c r="I44" s="111">
        <v>0</v>
      </c>
      <c r="J44" s="111">
        <v>0</v>
      </c>
      <c r="K44" s="111">
        <v>0</v>
      </c>
      <c r="L44" s="111">
        <v>0</v>
      </c>
      <c r="M44" s="111">
        <v>0</v>
      </c>
      <c r="N44" s="111">
        <v>0</v>
      </c>
      <c r="O44" s="111">
        <v>0</v>
      </c>
      <c r="P44" s="111">
        <v>0</v>
      </c>
      <c r="Q44" s="111">
        <v>0</v>
      </c>
      <c r="R44" s="111">
        <v>0</v>
      </c>
      <c r="S44" s="111">
        <v>0</v>
      </c>
      <c r="T44" s="111">
        <v>0</v>
      </c>
      <c r="U44" s="111">
        <v>0</v>
      </c>
      <c r="V44" s="111">
        <v>0</v>
      </c>
      <c r="W44" s="111">
        <v>0</v>
      </c>
      <c r="X44" s="111">
        <v>0</v>
      </c>
      <c r="Y44" s="111">
        <v>0</v>
      </c>
      <c r="Z44" s="111">
        <v>0</v>
      </c>
      <c r="AA44" s="111">
        <v>0</v>
      </c>
      <c r="AB44" s="111">
        <v>0</v>
      </c>
      <c r="AC44" s="111">
        <v>0</v>
      </c>
      <c r="AD44" s="111">
        <v>0</v>
      </c>
      <c r="AE44" s="111">
        <v>0</v>
      </c>
      <c r="AF44" s="111">
        <v>0</v>
      </c>
      <c r="AG44" s="111">
        <v>0</v>
      </c>
      <c r="AH44" s="111">
        <v>0</v>
      </c>
      <c r="AI44" s="111">
        <v>0</v>
      </c>
      <c r="AJ44" s="111">
        <v>0</v>
      </c>
      <c r="AK44" s="111">
        <v>0</v>
      </c>
      <c r="AL44" s="111">
        <v>0</v>
      </c>
      <c r="AM44" s="111">
        <v>0</v>
      </c>
      <c r="AN44" s="111">
        <v>0</v>
      </c>
      <c r="AO44" s="111">
        <v>0</v>
      </c>
      <c r="AP44" s="111">
        <v>0</v>
      </c>
      <c r="AQ44" s="111">
        <v>0</v>
      </c>
      <c r="AR44" s="111">
        <v>0</v>
      </c>
      <c r="AS44" s="111">
        <v>0</v>
      </c>
      <c r="AT44" s="111">
        <v>0</v>
      </c>
      <c r="AU44" s="111">
        <v>0</v>
      </c>
      <c r="AV44" s="111">
        <v>0</v>
      </c>
      <c r="AW44" s="111">
        <v>0</v>
      </c>
      <c r="AX44" s="111">
        <v>0</v>
      </c>
      <c r="AY44" s="111">
        <v>0</v>
      </c>
    </row>
    <row r="45" spans="1:51" x14ac:dyDescent="0.2">
      <c r="A45" s="131" t="s">
        <v>123</v>
      </c>
      <c r="B45" s="128">
        <v>1</v>
      </c>
      <c r="C45" s="114" t="s">
        <v>293</v>
      </c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</row>
    <row r="46" spans="1:51" x14ac:dyDescent="0.2">
      <c r="A46" s="114"/>
      <c r="B46" s="124">
        <v>2</v>
      </c>
      <c r="C46" s="114" t="s">
        <v>293</v>
      </c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</row>
    <row r="47" spans="1:51" x14ac:dyDescent="0.2">
      <c r="A47" s="114"/>
      <c r="B47" s="124">
        <v>3</v>
      </c>
      <c r="C47" s="114" t="s">
        <v>293</v>
      </c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</row>
    <row r="48" spans="1:51" x14ac:dyDescent="0.2">
      <c r="A48" s="114"/>
      <c r="B48" s="124">
        <v>4</v>
      </c>
      <c r="C48" s="114" t="s">
        <v>293</v>
      </c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</row>
    <row r="49" spans="1:51" x14ac:dyDescent="0.2">
      <c r="A49" s="114"/>
      <c r="B49" s="124">
        <v>5</v>
      </c>
      <c r="C49" s="114" t="s">
        <v>293</v>
      </c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</row>
    <row r="50" spans="1:51" x14ac:dyDescent="0.2">
      <c r="A50" s="114"/>
      <c r="B50" s="124">
        <v>6</v>
      </c>
      <c r="C50" s="114" t="s">
        <v>293</v>
      </c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5"/>
      <c r="AF50" s="115"/>
      <c r="AG50" s="115"/>
      <c r="AH50" s="115"/>
      <c r="AI50" s="115"/>
      <c r="AJ50" s="115"/>
      <c r="AK50" s="115"/>
      <c r="AL50" s="115"/>
      <c r="AM50" s="115"/>
      <c r="AN50" s="115"/>
      <c r="AO50" s="115"/>
      <c r="AP50" s="115"/>
      <c r="AQ50" s="115"/>
      <c r="AR50" s="115"/>
      <c r="AS50" s="115"/>
      <c r="AT50" s="115"/>
      <c r="AU50" s="115"/>
      <c r="AV50" s="115"/>
      <c r="AW50" s="115"/>
      <c r="AX50" s="115"/>
      <c r="AY50" s="115"/>
    </row>
    <row r="51" spans="1:51" x14ac:dyDescent="0.2">
      <c r="A51" s="114"/>
      <c r="B51" s="124">
        <v>7</v>
      </c>
      <c r="C51" s="114" t="s">
        <v>293</v>
      </c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  <c r="AA51" s="115"/>
      <c r="AB51" s="115"/>
      <c r="AC51" s="115"/>
      <c r="AD51" s="115"/>
      <c r="AE51" s="115"/>
      <c r="AF51" s="115"/>
      <c r="AG51" s="115"/>
      <c r="AH51" s="115"/>
      <c r="AI51" s="115"/>
      <c r="AJ51" s="115"/>
      <c r="AK51" s="115"/>
      <c r="AL51" s="115"/>
      <c r="AM51" s="115"/>
      <c r="AN51" s="115"/>
      <c r="AO51" s="115"/>
      <c r="AP51" s="115"/>
      <c r="AQ51" s="115"/>
      <c r="AR51" s="115"/>
      <c r="AS51" s="115"/>
      <c r="AT51" s="115"/>
      <c r="AU51" s="115"/>
      <c r="AV51" s="115"/>
      <c r="AW51" s="115"/>
      <c r="AX51" s="115"/>
      <c r="AY51" s="115"/>
    </row>
    <row r="52" spans="1:51" x14ac:dyDescent="0.2">
      <c r="A52" s="114"/>
      <c r="B52" s="124">
        <v>8</v>
      </c>
      <c r="C52" s="114" t="s">
        <v>293</v>
      </c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  <c r="AA52" s="115"/>
      <c r="AB52" s="115"/>
      <c r="AC52" s="115"/>
      <c r="AD52" s="115"/>
      <c r="AE52" s="115"/>
      <c r="AF52" s="115"/>
      <c r="AG52" s="115"/>
      <c r="AH52" s="115"/>
      <c r="AI52" s="115"/>
      <c r="AJ52" s="115"/>
      <c r="AK52" s="115"/>
      <c r="AL52" s="115"/>
      <c r="AM52" s="115"/>
      <c r="AN52" s="115"/>
      <c r="AO52" s="115"/>
      <c r="AP52" s="115"/>
      <c r="AQ52" s="115"/>
      <c r="AR52" s="115"/>
      <c r="AS52" s="115"/>
      <c r="AT52" s="115"/>
      <c r="AU52" s="115"/>
      <c r="AV52" s="115"/>
      <c r="AW52" s="115"/>
      <c r="AX52" s="115"/>
      <c r="AY52" s="115"/>
    </row>
    <row r="53" spans="1:51" x14ac:dyDescent="0.2">
      <c r="A53" s="114"/>
      <c r="B53" s="124">
        <v>9</v>
      </c>
      <c r="C53" s="114" t="s">
        <v>293</v>
      </c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15"/>
      <c r="AH53" s="115"/>
      <c r="AI53" s="115"/>
      <c r="AJ53" s="115"/>
      <c r="AK53" s="115"/>
      <c r="AL53" s="115"/>
      <c r="AM53" s="115"/>
      <c r="AN53" s="115"/>
      <c r="AO53" s="115"/>
      <c r="AP53" s="115"/>
      <c r="AQ53" s="115"/>
      <c r="AR53" s="115"/>
      <c r="AS53" s="115"/>
      <c r="AT53" s="115"/>
      <c r="AU53" s="115"/>
      <c r="AV53" s="115"/>
      <c r="AW53" s="115"/>
      <c r="AX53" s="115"/>
      <c r="AY53" s="115"/>
    </row>
    <row r="54" spans="1:51" x14ac:dyDescent="0.2">
      <c r="A54" s="114"/>
      <c r="B54" s="124">
        <v>10</v>
      </c>
      <c r="C54" s="114" t="s">
        <v>293</v>
      </c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5"/>
      <c r="AF54" s="115"/>
      <c r="AG54" s="115"/>
      <c r="AH54" s="115"/>
      <c r="AI54" s="115"/>
      <c r="AJ54" s="115"/>
      <c r="AK54" s="115"/>
      <c r="AL54" s="115"/>
      <c r="AM54" s="115"/>
      <c r="AN54" s="115"/>
      <c r="AO54" s="115"/>
      <c r="AP54" s="115"/>
      <c r="AQ54" s="115"/>
      <c r="AR54" s="115"/>
      <c r="AS54" s="115"/>
      <c r="AT54" s="115"/>
      <c r="AU54" s="115"/>
      <c r="AV54" s="115"/>
      <c r="AW54" s="115"/>
      <c r="AX54" s="115"/>
      <c r="AY54" s="115"/>
    </row>
    <row r="55" spans="1:51" x14ac:dyDescent="0.2">
      <c r="A55" s="114"/>
      <c r="B55" s="124">
        <v>11</v>
      </c>
      <c r="C55" s="114" t="s">
        <v>293</v>
      </c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  <c r="AA55" s="115"/>
      <c r="AB55" s="115"/>
      <c r="AC55" s="115"/>
      <c r="AD55" s="115"/>
      <c r="AE55" s="115"/>
      <c r="AF55" s="115"/>
      <c r="AG55" s="115"/>
      <c r="AH55" s="115"/>
      <c r="AI55" s="115"/>
      <c r="AJ55" s="115"/>
      <c r="AK55" s="115"/>
      <c r="AL55" s="115"/>
      <c r="AM55" s="115"/>
      <c r="AN55" s="115"/>
      <c r="AO55" s="115"/>
      <c r="AP55" s="115"/>
      <c r="AQ55" s="115"/>
      <c r="AR55" s="115"/>
      <c r="AS55" s="115"/>
      <c r="AT55" s="115"/>
      <c r="AU55" s="115"/>
      <c r="AV55" s="115"/>
      <c r="AW55" s="115"/>
      <c r="AX55" s="115"/>
      <c r="AY55" s="115"/>
    </row>
    <row r="56" spans="1:51" x14ac:dyDescent="0.2">
      <c r="A56" s="114"/>
      <c r="B56" s="124">
        <v>12</v>
      </c>
      <c r="C56" s="114" t="s">
        <v>293</v>
      </c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  <c r="AA56" s="115"/>
      <c r="AB56" s="115"/>
      <c r="AC56" s="115"/>
      <c r="AD56" s="115"/>
      <c r="AE56" s="115"/>
      <c r="AF56" s="115"/>
      <c r="AG56" s="115"/>
      <c r="AH56" s="115"/>
      <c r="AI56" s="115"/>
      <c r="AJ56" s="115"/>
      <c r="AK56" s="115"/>
      <c r="AL56" s="115"/>
      <c r="AM56" s="115"/>
      <c r="AN56" s="115"/>
      <c r="AO56" s="115"/>
      <c r="AP56" s="115"/>
      <c r="AQ56" s="115"/>
      <c r="AR56" s="115"/>
      <c r="AS56" s="115"/>
      <c r="AT56" s="115"/>
      <c r="AU56" s="115"/>
      <c r="AV56" s="115"/>
      <c r="AW56" s="115"/>
      <c r="AX56" s="115"/>
      <c r="AY56" s="115"/>
    </row>
    <row r="57" spans="1:51" x14ac:dyDescent="0.2">
      <c r="A57" s="114"/>
      <c r="B57" s="125">
        <v>13</v>
      </c>
      <c r="C57" s="114" t="s">
        <v>293</v>
      </c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  <c r="AA57" s="115"/>
      <c r="AB57" s="115"/>
      <c r="AC57" s="115"/>
      <c r="AD57" s="115"/>
      <c r="AE57" s="115"/>
      <c r="AF57" s="115"/>
      <c r="AG57" s="115"/>
      <c r="AH57" s="115"/>
      <c r="AI57" s="115"/>
      <c r="AJ57" s="115"/>
      <c r="AK57" s="115"/>
      <c r="AL57" s="115"/>
      <c r="AM57" s="115"/>
      <c r="AN57" s="115"/>
      <c r="AO57" s="115"/>
      <c r="AP57" s="115"/>
      <c r="AQ57" s="115"/>
      <c r="AR57" s="115"/>
      <c r="AS57" s="115"/>
      <c r="AT57" s="115"/>
      <c r="AU57" s="115"/>
      <c r="AV57" s="115"/>
      <c r="AW57" s="115"/>
      <c r="AX57" s="115"/>
      <c r="AY57" s="115"/>
    </row>
    <row r="58" spans="1:51" x14ac:dyDescent="0.2">
      <c r="A58" s="114"/>
      <c r="B58" s="125">
        <v>14</v>
      </c>
      <c r="C58" s="114" t="s">
        <v>293</v>
      </c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</row>
    <row r="59" spans="1:51" x14ac:dyDescent="0.2">
      <c r="A59" s="114"/>
      <c r="B59" s="125">
        <v>15</v>
      </c>
      <c r="C59" s="114" t="s">
        <v>293</v>
      </c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</row>
    <row r="60" spans="1:51" x14ac:dyDescent="0.2">
      <c r="A60" s="114"/>
      <c r="B60" s="125">
        <v>16</v>
      </c>
      <c r="C60" s="114" t="s">
        <v>293</v>
      </c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</row>
    <row r="61" spans="1:51" x14ac:dyDescent="0.2">
      <c r="A61" s="114"/>
      <c r="B61" s="125">
        <v>17</v>
      </c>
      <c r="C61" s="114" t="s">
        <v>293</v>
      </c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  <c r="AA61" s="115"/>
      <c r="AB61" s="115"/>
      <c r="AC61" s="115"/>
      <c r="AD61" s="115"/>
      <c r="AE61" s="115"/>
      <c r="AF61" s="115"/>
      <c r="AG61" s="115"/>
      <c r="AH61" s="115"/>
      <c r="AI61" s="115"/>
      <c r="AJ61" s="115"/>
      <c r="AK61" s="115"/>
      <c r="AL61" s="115"/>
      <c r="AM61" s="115"/>
      <c r="AN61" s="115"/>
      <c r="AO61" s="115"/>
      <c r="AP61" s="115"/>
      <c r="AQ61" s="115"/>
      <c r="AR61" s="115"/>
      <c r="AS61" s="115"/>
      <c r="AT61" s="115"/>
      <c r="AU61" s="115"/>
      <c r="AV61" s="115"/>
      <c r="AW61" s="115"/>
      <c r="AX61" s="115"/>
      <c r="AY61" s="115"/>
    </row>
    <row r="62" spans="1:51" x14ac:dyDescent="0.2">
      <c r="A62" s="114"/>
      <c r="B62" s="125">
        <v>18</v>
      </c>
      <c r="C62" s="114" t="s">
        <v>293</v>
      </c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  <c r="AH62" s="115"/>
      <c r="AI62" s="115"/>
      <c r="AJ62" s="115"/>
      <c r="AK62" s="115"/>
      <c r="AL62" s="115"/>
      <c r="AM62" s="115"/>
      <c r="AN62" s="115"/>
      <c r="AO62" s="115"/>
      <c r="AP62" s="115"/>
      <c r="AQ62" s="115"/>
      <c r="AR62" s="115"/>
      <c r="AS62" s="115"/>
      <c r="AT62" s="115"/>
      <c r="AU62" s="115"/>
      <c r="AV62" s="115"/>
      <c r="AW62" s="115"/>
      <c r="AX62" s="115"/>
      <c r="AY62" s="115"/>
    </row>
    <row r="63" spans="1:51" x14ac:dyDescent="0.2">
      <c r="A63" s="114"/>
      <c r="B63" s="125">
        <v>19</v>
      </c>
      <c r="C63" s="114" t="s">
        <v>293</v>
      </c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</row>
    <row r="64" spans="1:51" x14ac:dyDescent="0.2">
      <c r="A64" s="114"/>
      <c r="B64" s="125">
        <v>20</v>
      </c>
      <c r="C64" s="114" t="s">
        <v>293</v>
      </c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  <c r="AE64" s="115"/>
      <c r="AF64" s="115"/>
      <c r="AG64" s="115"/>
      <c r="AH64" s="115"/>
      <c r="AI64" s="115"/>
      <c r="AJ64" s="115"/>
      <c r="AK64" s="115"/>
      <c r="AL64" s="115"/>
      <c r="AM64" s="115"/>
      <c r="AN64" s="115"/>
      <c r="AO64" s="115"/>
      <c r="AP64" s="115"/>
      <c r="AQ64" s="115"/>
      <c r="AR64" s="115"/>
      <c r="AS64" s="115"/>
      <c r="AT64" s="115"/>
      <c r="AU64" s="115"/>
      <c r="AV64" s="115"/>
      <c r="AW64" s="115"/>
      <c r="AX64" s="115"/>
      <c r="AY64" s="115"/>
    </row>
    <row r="65" spans="1:51" x14ac:dyDescent="0.2">
      <c r="A65" s="114"/>
      <c r="B65" s="125">
        <v>21</v>
      </c>
      <c r="C65" s="114" t="s">
        <v>293</v>
      </c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  <c r="AA65" s="115"/>
      <c r="AB65" s="115"/>
      <c r="AC65" s="115"/>
      <c r="AD65" s="115"/>
      <c r="AE65" s="115"/>
      <c r="AF65" s="115"/>
      <c r="AG65" s="115"/>
      <c r="AH65" s="115"/>
      <c r="AI65" s="115"/>
      <c r="AJ65" s="115"/>
      <c r="AK65" s="115"/>
      <c r="AL65" s="115"/>
      <c r="AM65" s="115"/>
      <c r="AN65" s="115"/>
      <c r="AO65" s="115"/>
      <c r="AP65" s="115"/>
      <c r="AQ65" s="115"/>
      <c r="AR65" s="115"/>
      <c r="AS65" s="115"/>
      <c r="AT65" s="115"/>
      <c r="AU65" s="115"/>
      <c r="AV65" s="115"/>
      <c r="AW65" s="115"/>
      <c r="AX65" s="115"/>
      <c r="AY65" s="115"/>
    </row>
    <row r="66" spans="1:51" x14ac:dyDescent="0.2">
      <c r="A66" s="114"/>
      <c r="B66" s="125">
        <v>22</v>
      </c>
      <c r="C66" s="114" t="s">
        <v>293</v>
      </c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  <c r="AA66" s="115"/>
      <c r="AB66" s="115"/>
      <c r="AC66" s="115"/>
      <c r="AD66" s="115"/>
      <c r="AE66" s="115"/>
      <c r="AF66" s="115"/>
      <c r="AG66" s="115"/>
      <c r="AH66" s="115"/>
      <c r="AI66" s="115"/>
      <c r="AJ66" s="115"/>
      <c r="AK66" s="115"/>
      <c r="AL66" s="115"/>
      <c r="AM66" s="115"/>
      <c r="AN66" s="115"/>
      <c r="AO66" s="115"/>
      <c r="AP66" s="115"/>
      <c r="AQ66" s="115"/>
      <c r="AR66" s="115"/>
      <c r="AS66" s="115"/>
      <c r="AT66" s="115"/>
      <c r="AU66" s="115"/>
      <c r="AV66" s="115"/>
      <c r="AW66" s="115"/>
      <c r="AX66" s="115"/>
      <c r="AY66" s="115"/>
    </row>
    <row r="67" spans="1:51" x14ac:dyDescent="0.2">
      <c r="A67" s="114"/>
      <c r="B67" s="125">
        <v>23</v>
      </c>
      <c r="C67" s="114" t="s">
        <v>293</v>
      </c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  <c r="AA67" s="115"/>
      <c r="AB67" s="115"/>
      <c r="AC67" s="115"/>
      <c r="AD67" s="115"/>
      <c r="AE67" s="115"/>
      <c r="AF67" s="115"/>
      <c r="AG67" s="115"/>
      <c r="AH67" s="115"/>
      <c r="AI67" s="115"/>
      <c r="AJ67" s="115"/>
      <c r="AK67" s="115"/>
      <c r="AL67" s="115"/>
      <c r="AM67" s="115"/>
      <c r="AN67" s="115"/>
      <c r="AO67" s="115"/>
      <c r="AP67" s="115"/>
      <c r="AQ67" s="115"/>
      <c r="AR67" s="115"/>
      <c r="AS67" s="115"/>
      <c r="AT67" s="115"/>
      <c r="AU67" s="115"/>
      <c r="AV67" s="115"/>
      <c r="AW67" s="115"/>
      <c r="AX67" s="115"/>
      <c r="AY67" s="115"/>
    </row>
    <row r="68" spans="1:51" x14ac:dyDescent="0.2">
      <c r="A68" s="114"/>
      <c r="B68" s="125">
        <v>24</v>
      </c>
      <c r="C68" s="114" t="s">
        <v>293</v>
      </c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  <c r="AA68" s="115"/>
      <c r="AB68" s="115"/>
      <c r="AC68" s="115"/>
      <c r="AD68" s="115"/>
      <c r="AE68" s="115"/>
      <c r="AF68" s="115"/>
      <c r="AG68" s="115"/>
      <c r="AH68" s="115"/>
      <c r="AI68" s="115"/>
      <c r="AJ68" s="115"/>
      <c r="AK68" s="115"/>
      <c r="AL68" s="115"/>
      <c r="AM68" s="115"/>
      <c r="AN68" s="115"/>
      <c r="AO68" s="115"/>
      <c r="AP68" s="115"/>
      <c r="AQ68" s="115"/>
      <c r="AR68" s="115"/>
      <c r="AS68" s="115"/>
      <c r="AT68" s="115"/>
      <c r="AU68" s="115"/>
      <c r="AV68" s="115"/>
      <c r="AW68" s="115"/>
      <c r="AX68" s="115"/>
      <c r="AY68" s="115"/>
    </row>
    <row r="69" spans="1:51" x14ac:dyDescent="0.2">
      <c r="A69" s="114"/>
      <c r="B69" s="132">
        <v>25</v>
      </c>
      <c r="C69" s="114" t="s">
        <v>293</v>
      </c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</row>
    <row r="70" spans="1:51" x14ac:dyDescent="0.2">
      <c r="A70" s="114"/>
      <c r="B70" s="132">
        <v>26</v>
      </c>
      <c r="C70" s="114" t="s">
        <v>293</v>
      </c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</row>
    <row r="71" spans="1:51" x14ac:dyDescent="0.2">
      <c r="A71" s="114"/>
      <c r="B71" s="132">
        <v>27</v>
      </c>
      <c r="C71" s="114" t="s">
        <v>293</v>
      </c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</row>
    <row r="72" spans="1:51" x14ac:dyDescent="0.2">
      <c r="A72" s="114"/>
      <c r="B72" s="132">
        <v>28</v>
      </c>
      <c r="C72" s="114" t="s">
        <v>293</v>
      </c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  <c r="AA72" s="115"/>
      <c r="AB72" s="115"/>
      <c r="AC72" s="115"/>
      <c r="AD72" s="115"/>
      <c r="AE72" s="115"/>
      <c r="AF72" s="115"/>
      <c r="AG72" s="115"/>
      <c r="AH72" s="115"/>
      <c r="AI72" s="115"/>
      <c r="AJ72" s="115"/>
      <c r="AK72" s="115"/>
      <c r="AL72" s="115"/>
      <c r="AM72" s="115"/>
      <c r="AN72" s="115"/>
      <c r="AO72" s="115"/>
      <c r="AP72" s="115"/>
      <c r="AQ72" s="115"/>
      <c r="AR72" s="115"/>
      <c r="AS72" s="115"/>
      <c r="AT72" s="115"/>
      <c r="AU72" s="115"/>
      <c r="AV72" s="115"/>
      <c r="AW72" s="115"/>
      <c r="AX72" s="115"/>
      <c r="AY72" s="115"/>
    </row>
    <row r="73" spans="1:51" x14ac:dyDescent="0.2">
      <c r="A73" s="114"/>
      <c r="B73" s="132">
        <v>29</v>
      </c>
      <c r="C73" s="114" t="s">
        <v>293</v>
      </c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  <c r="AA73" s="115"/>
      <c r="AB73" s="115"/>
      <c r="AC73" s="115"/>
      <c r="AD73" s="115"/>
      <c r="AE73" s="115"/>
      <c r="AF73" s="115"/>
      <c r="AG73" s="115"/>
      <c r="AH73" s="115"/>
      <c r="AI73" s="115"/>
      <c r="AJ73" s="115"/>
      <c r="AK73" s="115"/>
      <c r="AL73" s="115"/>
      <c r="AM73" s="115"/>
      <c r="AN73" s="115"/>
      <c r="AO73" s="115"/>
      <c r="AP73" s="115"/>
      <c r="AQ73" s="115"/>
      <c r="AR73" s="115"/>
      <c r="AS73" s="115"/>
      <c r="AT73" s="115"/>
      <c r="AU73" s="115"/>
      <c r="AV73" s="115"/>
      <c r="AW73" s="115"/>
      <c r="AX73" s="115"/>
      <c r="AY73" s="115"/>
    </row>
    <row r="74" spans="1:51" x14ac:dyDescent="0.2">
      <c r="A74" s="114"/>
      <c r="B74" s="132">
        <v>30</v>
      </c>
      <c r="C74" s="114" t="s">
        <v>293</v>
      </c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  <c r="AA74" s="115"/>
      <c r="AB74" s="115"/>
      <c r="AC74" s="115"/>
      <c r="AD74" s="115"/>
      <c r="AE74" s="115"/>
      <c r="AF74" s="115"/>
      <c r="AG74" s="115"/>
      <c r="AH74" s="115"/>
      <c r="AI74" s="115"/>
      <c r="AJ74" s="115"/>
      <c r="AK74" s="115"/>
      <c r="AL74" s="115"/>
      <c r="AM74" s="115"/>
      <c r="AN74" s="115"/>
      <c r="AO74" s="115"/>
      <c r="AP74" s="115"/>
      <c r="AQ74" s="115"/>
      <c r="AR74" s="115"/>
      <c r="AS74" s="115"/>
      <c r="AT74" s="115"/>
      <c r="AU74" s="115"/>
      <c r="AV74" s="115"/>
      <c r="AW74" s="115"/>
      <c r="AX74" s="115"/>
      <c r="AY74" s="115"/>
    </row>
    <row r="75" spans="1:51" x14ac:dyDescent="0.2">
      <c r="A75" s="114"/>
      <c r="B75" s="132">
        <v>31</v>
      </c>
      <c r="C75" s="114" t="s">
        <v>293</v>
      </c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  <c r="AA75" s="115"/>
      <c r="AB75" s="115"/>
      <c r="AC75" s="115"/>
      <c r="AD75" s="115"/>
      <c r="AE75" s="115"/>
      <c r="AF75" s="115"/>
      <c r="AG75" s="115"/>
      <c r="AH75" s="115"/>
      <c r="AI75" s="115"/>
      <c r="AJ75" s="115"/>
      <c r="AK75" s="115"/>
      <c r="AL75" s="115"/>
      <c r="AM75" s="115"/>
      <c r="AN75" s="115"/>
      <c r="AO75" s="115"/>
      <c r="AP75" s="115"/>
      <c r="AQ75" s="115"/>
      <c r="AR75" s="115"/>
      <c r="AS75" s="115"/>
      <c r="AT75" s="115"/>
      <c r="AU75" s="115"/>
      <c r="AV75" s="115"/>
      <c r="AW75" s="115"/>
      <c r="AX75" s="115"/>
      <c r="AY75" s="115"/>
    </row>
    <row r="76" spans="1:51" x14ac:dyDescent="0.2">
      <c r="A76" s="114"/>
      <c r="B76" s="132">
        <v>32</v>
      </c>
      <c r="C76" s="114" t="s">
        <v>293</v>
      </c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  <c r="AA76" s="115"/>
      <c r="AB76" s="115"/>
      <c r="AC76" s="115"/>
      <c r="AD76" s="115"/>
      <c r="AE76" s="115"/>
      <c r="AF76" s="115"/>
      <c r="AG76" s="115"/>
      <c r="AH76" s="115"/>
      <c r="AI76" s="115"/>
      <c r="AJ76" s="115"/>
      <c r="AK76" s="115"/>
      <c r="AL76" s="115"/>
      <c r="AM76" s="115"/>
      <c r="AN76" s="115"/>
      <c r="AO76" s="115"/>
      <c r="AP76" s="115"/>
      <c r="AQ76" s="115"/>
      <c r="AR76" s="115"/>
      <c r="AS76" s="115"/>
      <c r="AT76" s="115"/>
      <c r="AU76" s="115"/>
      <c r="AV76" s="115"/>
      <c r="AW76" s="115"/>
      <c r="AX76" s="115"/>
      <c r="AY76" s="115"/>
    </row>
    <row r="77" spans="1:51" x14ac:dyDescent="0.2">
      <c r="A77" s="114"/>
      <c r="B77" s="132">
        <v>33</v>
      </c>
      <c r="C77" s="114" t="s">
        <v>293</v>
      </c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  <c r="AA77" s="115"/>
      <c r="AB77" s="115"/>
      <c r="AC77" s="115"/>
      <c r="AD77" s="115"/>
      <c r="AE77" s="115"/>
      <c r="AF77" s="115"/>
      <c r="AG77" s="115"/>
      <c r="AH77" s="115"/>
      <c r="AI77" s="115"/>
      <c r="AJ77" s="115"/>
      <c r="AK77" s="115"/>
      <c r="AL77" s="115"/>
      <c r="AM77" s="115"/>
      <c r="AN77" s="115"/>
      <c r="AO77" s="115"/>
      <c r="AP77" s="115"/>
      <c r="AQ77" s="115"/>
      <c r="AR77" s="115"/>
      <c r="AS77" s="115"/>
      <c r="AT77" s="115"/>
      <c r="AU77" s="115"/>
      <c r="AV77" s="115"/>
      <c r="AW77" s="115"/>
      <c r="AX77" s="115"/>
      <c r="AY77" s="115"/>
    </row>
    <row r="78" spans="1:51" x14ac:dyDescent="0.2">
      <c r="A78" s="114"/>
      <c r="B78" s="132">
        <v>34</v>
      </c>
      <c r="C78" s="114" t="s">
        <v>293</v>
      </c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  <c r="AA78" s="115"/>
      <c r="AB78" s="115"/>
      <c r="AC78" s="115"/>
      <c r="AD78" s="115"/>
      <c r="AE78" s="115"/>
      <c r="AF78" s="115"/>
      <c r="AG78" s="115"/>
      <c r="AH78" s="115"/>
      <c r="AI78" s="115"/>
      <c r="AJ78" s="115"/>
      <c r="AK78" s="115"/>
      <c r="AL78" s="115"/>
      <c r="AM78" s="115"/>
      <c r="AN78" s="115"/>
      <c r="AO78" s="115"/>
      <c r="AP78" s="115"/>
      <c r="AQ78" s="115"/>
      <c r="AR78" s="115"/>
      <c r="AS78" s="115"/>
      <c r="AT78" s="115"/>
      <c r="AU78" s="115"/>
      <c r="AV78" s="115"/>
      <c r="AW78" s="115"/>
      <c r="AX78" s="115"/>
      <c r="AY78" s="115"/>
    </row>
    <row r="79" spans="1:51" x14ac:dyDescent="0.2">
      <c r="A79" s="114"/>
      <c r="B79" s="132">
        <v>35</v>
      </c>
      <c r="C79" s="114" t="s">
        <v>293</v>
      </c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  <c r="AA79" s="115"/>
      <c r="AB79" s="115"/>
      <c r="AC79" s="115"/>
      <c r="AD79" s="115"/>
      <c r="AE79" s="115"/>
      <c r="AF79" s="115"/>
      <c r="AG79" s="115"/>
      <c r="AH79" s="115"/>
      <c r="AI79" s="115"/>
      <c r="AJ79" s="115"/>
      <c r="AK79" s="115"/>
      <c r="AL79" s="115"/>
      <c r="AM79" s="115"/>
      <c r="AN79" s="115"/>
      <c r="AO79" s="115"/>
      <c r="AP79" s="115"/>
      <c r="AQ79" s="115"/>
      <c r="AR79" s="115"/>
      <c r="AS79" s="115"/>
      <c r="AT79" s="115"/>
      <c r="AU79" s="115"/>
      <c r="AV79" s="115"/>
      <c r="AW79" s="115"/>
      <c r="AX79" s="115"/>
      <c r="AY79" s="115"/>
    </row>
    <row r="80" spans="1:51" x14ac:dyDescent="0.2">
      <c r="A80" s="114"/>
      <c r="B80" s="132">
        <v>36</v>
      </c>
      <c r="C80" s="114" t="s">
        <v>293</v>
      </c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  <c r="AA80" s="115"/>
      <c r="AB80" s="115"/>
      <c r="AC80" s="115"/>
      <c r="AD80" s="115"/>
      <c r="AE80" s="115"/>
      <c r="AF80" s="115"/>
      <c r="AG80" s="115"/>
      <c r="AH80" s="115"/>
      <c r="AI80" s="115"/>
      <c r="AJ80" s="115"/>
      <c r="AK80" s="115"/>
      <c r="AL80" s="115"/>
      <c r="AM80" s="115"/>
      <c r="AN80" s="115"/>
      <c r="AO80" s="115"/>
      <c r="AP80" s="115"/>
      <c r="AQ80" s="115"/>
      <c r="AR80" s="115"/>
      <c r="AS80" s="115"/>
      <c r="AT80" s="115"/>
      <c r="AU80" s="115"/>
      <c r="AV80" s="115"/>
      <c r="AW80" s="115"/>
      <c r="AX80" s="115"/>
      <c r="AY80" s="115"/>
    </row>
    <row r="81" spans="1:52" x14ac:dyDescent="0.2">
      <c r="A81" s="114"/>
      <c r="B81" s="135">
        <v>37</v>
      </c>
      <c r="C81" s="114" t="s">
        <v>293</v>
      </c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  <c r="AH81" s="115"/>
      <c r="AI81" s="115"/>
      <c r="AJ81" s="115"/>
      <c r="AK81" s="115"/>
      <c r="AL81" s="115"/>
      <c r="AM81" s="115"/>
      <c r="AN81" s="115"/>
      <c r="AO81" s="115"/>
      <c r="AP81" s="115"/>
      <c r="AQ81" s="115"/>
      <c r="AR81" s="115"/>
      <c r="AS81" s="115"/>
      <c r="AT81" s="115"/>
      <c r="AU81" s="115"/>
      <c r="AV81" s="115"/>
      <c r="AW81" s="115"/>
      <c r="AX81" s="115"/>
      <c r="AY81" s="115"/>
    </row>
    <row r="82" spans="1:52" x14ac:dyDescent="0.2">
      <c r="A82" s="114"/>
      <c r="B82" s="135">
        <v>38</v>
      </c>
      <c r="C82" s="114" t="s">
        <v>293</v>
      </c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  <c r="AA82" s="115"/>
      <c r="AB82" s="115"/>
      <c r="AC82" s="115"/>
      <c r="AD82" s="115"/>
      <c r="AE82" s="115"/>
      <c r="AF82" s="115"/>
      <c r="AG82" s="115"/>
      <c r="AH82" s="115"/>
      <c r="AI82" s="115"/>
      <c r="AJ82" s="115"/>
      <c r="AK82" s="115"/>
      <c r="AL82" s="115"/>
      <c r="AM82" s="115"/>
      <c r="AN82" s="115"/>
      <c r="AO82" s="115"/>
      <c r="AP82" s="115"/>
      <c r="AQ82" s="115"/>
      <c r="AR82" s="115"/>
      <c r="AS82" s="115"/>
      <c r="AT82" s="115"/>
      <c r="AU82" s="115"/>
      <c r="AV82" s="115"/>
      <c r="AW82" s="115"/>
      <c r="AX82" s="115"/>
      <c r="AY82" s="115"/>
    </row>
    <row r="83" spans="1:52" x14ac:dyDescent="0.2">
      <c r="A83" s="114"/>
      <c r="B83" s="135">
        <v>39</v>
      </c>
      <c r="C83" s="114" t="s">
        <v>293</v>
      </c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  <c r="AA83" s="115"/>
      <c r="AB83" s="115"/>
      <c r="AC83" s="115"/>
      <c r="AD83" s="115"/>
      <c r="AE83" s="115"/>
      <c r="AF83" s="115"/>
      <c r="AG83" s="115"/>
      <c r="AH83" s="115"/>
      <c r="AI83" s="115"/>
      <c r="AJ83" s="115"/>
      <c r="AK83" s="115"/>
      <c r="AL83" s="115"/>
      <c r="AM83" s="115"/>
      <c r="AN83" s="115"/>
      <c r="AO83" s="115"/>
      <c r="AP83" s="115"/>
      <c r="AQ83" s="115"/>
      <c r="AR83" s="115"/>
      <c r="AS83" s="115"/>
      <c r="AT83" s="115"/>
      <c r="AU83" s="115"/>
      <c r="AV83" s="115"/>
      <c r="AW83" s="115"/>
      <c r="AX83" s="115"/>
      <c r="AY83" s="115"/>
    </row>
    <row r="84" spans="1:52" x14ac:dyDescent="0.2">
      <c r="A84" s="114"/>
      <c r="B84" s="135">
        <v>40</v>
      </c>
      <c r="C84" s="114" t="s">
        <v>293</v>
      </c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  <c r="AA84" s="115"/>
      <c r="AB84" s="115"/>
      <c r="AC84" s="115"/>
      <c r="AD84" s="115"/>
      <c r="AE84" s="115"/>
      <c r="AF84" s="115"/>
      <c r="AG84" s="115"/>
      <c r="AH84" s="115"/>
      <c r="AI84" s="115"/>
      <c r="AJ84" s="115"/>
      <c r="AK84" s="115"/>
      <c r="AL84" s="115"/>
      <c r="AM84" s="115"/>
      <c r="AN84" s="115"/>
      <c r="AO84" s="115"/>
      <c r="AP84" s="115"/>
      <c r="AQ84" s="115"/>
      <c r="AR84" s="115"/>
      <c r="AS84" s="115"/>
      <c r="AT84" s="115"/>
      <c r="AU84" s="115"/>
      <c r="AV84" s="115"/>
      <c r="AW84" s="115"/>
      <c r="AX84" s="115"/>
      <c r="AY84" s="115"/>
    </row>
    <row r="85" spans="1:52" x14ac:dyDescent="0.2">
      <c r="A85" s="114"/>
      <c r="B85" s="135">
        <v>41</v>
      </c>
      <c r="C85" s="114" t="s">
        <v>293</v>
      </c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  <c r="AA85" s="115"/>
      <c r="AB85" s="115"/>
      <c r="AC85" s="115"/>
      <c r="AD85" s="115"/>
      <c r="AE85" s="115"/>
      <c r="AF85" s="115"/>
      <c r="AG85" s="115"/>
      <c r="AH85" s="115"/>
      <c r="AI85" s="115"/>
      <c r="AJ85" s="115"/>
      <c r="AK85" s="115"/>
      <c r="AL85" s="115"/>
      <c r="AM85" s="115"/>
      <c r="AN85" s="115"/>
      <c r="AO85" s="115"/>
      <c r="AP85" s="115"/>
      <c r="AQ85" s="115"/>
      <c r="AR85" s="115"/>
      <c r="AS85" s="115"/>
      <c r="AT85" s="115"/>
      <c r="AU85" s="115"/>
      <c r="AV85" s="115"/>
      <c r="AW85" s="115"/>
      <c r="AX85" s="115"/>
      <c r="AY85" s="115"/>
    </row>
    <row r="86" spans="1:52" x14ac:dyDescent="0.2">
      <c r="A86" s="114"/>
      <c r="B86" s="135">
        <v>42</v>
      </c>
      <c r="C86" s="114" t="s">
        <v>293</v>
      </c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  <c r="AA86" s="115"/>
      <c r="AB86" s="115"/>
      <c r="AC86" s="115"/>
      <c r="AD86" s="115"/>
      <c r="AE86" s="115"/>
      <c r="AF86" s="115"/>
      <c r="AG86" s="115"/>
      <c r="AH86" s="115"/>
      <c r="AI86" s="115"/>
      <c r="AJ86" s="115"/>
      <c r="AK86" s="115"/>
      <c r="AL86" s="115"/>
      <c r="AM86" s="115"/>
      <c r="AN86" s="115"/>
      <c r="AO86" s="115"/>
      <c r="AP86" s="115"/>
      <c r="AQ86" s="115"/>
      <c r="AR86" s="115"/>
      <c r="AS86" s="115"/>
      <c r="AT86" s="115"/>
      <c r="AU86" s="115"/>
      <c r="AV86" s="115"/>
      <c r="AW86" s="115"/>
      <c r="AX86" s="115"/>
      <c r="AY86" s="115"/>
    </row>
    <row r="87" spans="1:52" x14ac:dyDescent="0.2">
      <c r="A87" s="114"/>
      <c r="B87" s="135">
        <v>43</v>
      </c>
      <c r="C87" s="114" t="s">
        <v>293</v>
      </c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  <c r="AA87" s="115"/>
      <c r="AB87" s="115"/>
      <c r="AC87" s="115"/>
      <c r="AD87" s="115"/>
      <c r="AE87" s="115"/>
      <c r="AF87" s="115"/>
      <c r="AG87" s="115"/>
      <c r="AH87" s="115"/>
      <c r="AI87" s="115"/>
      <c r="AJ87" s="115"/>
      <c r="AK87" s="115"/>
      <c r="AL87" s="115"/>
      <c r="AM87" s="115"/>
      <c r="AN87" s="115"/>
      <c r="AO87" s="115"/>
      <c r="AP87" s="115"/>
      <c r="AQ87" s="115"/>
      <c r="AR87" s="115"/>
      <c r="AS87" s="115"/>
      <c r="AT87" s="115"/>
      <c r="AU87" s="115"/>
      <c r="AV87" s="115"/>
      <c r="AW87" s="115"/>
      <c r="AX87" s="115"/>
      <c r="AY87" s="115"/>
    </row>
    <row r="88" spans="1:52" x14ac:dyDescent="0.2">
      <c r="A88" s="114"/>
      <c r="B88" s="135">
        <v>44</v>
      </c>
      <c r="C88" s="114" t="s">
        <v>293</v>
      </c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  <c r="AA88" s="115"/>
      <c r="AB88" s="115"/>
      <c r="AC88" s="115"/>
      <c r="AD88" s="115"/>
      <c r="AE88" s="115"/>
      <c r="AF88" s="115"/>
      <c r="AG88" s="115"/>
      <c r="AH88" s="115"/>
      <c r="AI88" s="115"/>
      <c r="AJ88" s="115"/>
      <c r="AK88" s="115"/>
      <c r="AL88" s="115"/>
      <c r="AM88" s="115"/>
      <c r="AN88" s="115"/>
      <c r="AO88" s="115"/>
      <c r="AP88" s="115"/>
      <c r="AQ88" s="115"/>
      <c r="AR88" s="115"/>
      <c r="AS88" s="115"/>
      <c r="AT88" s="115"/>
      <c r="AU88" s="115"/>
      <c r="AV88" s="115"/>
      <c r="AW88" s="115"/>
      <c r="AX88" s="115"/>
      <c r="AY88" s="115"/>
    </row>
    <row r="89" spans="1:52" x14ac:dyDescent="0.2">
      <c r="A89" s="114"/>
      <c r="B89" s="135">
        <v>45</v>
      </c>
      <c r="C89" s="114" t="s">
        <v>293</v>
      </c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  <c r="AA89" s="115"/>
      <c r="AB89" s="115"/>
      <c r="AC89" s="115"/>
      <c r="AD89" s="115"/>
      <c r="AE89" s="115"/>
      <c r="AF89" s="115"/>
      <c r="AG89" s="115"/>
      <c r="AH89" s="115"/>
      <c r="AI89" s="115"/>
      <c r="AJ89" s="115"/>
      <c r="AK89" s="115"/>
      <c r="AL89" s="115"/>
      <c r="AM89" s="115"/>
      <c r="AN89" s="115"/>
      <c r="AO89" s="115"/>
      <c r="AP89" s="115"/>
      <c r="AQ89" s="115"/>
      <c r="AR89" s="115"/>
      <c r="AS89" s="115"/>
      <c r="AT89" s="115"/>
      <c r="AU89" s="115"/>
      <c r="AV89" s="115"/>
      <c r="AW89" s="115"/>
      <c r="AX89" s="115"/>
      <c r="AY89" s="115"/>
    </row>
    <row r="90" spans="1:52" x14ac:dyDescent="0.2">
      <c r="A90" s="114"/>
      <c r="B90" s="135">
        <v>46</v>
      </c>
      <c r="C90" s="114" t="s">
        <v>293</v>
      </c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  <c r="AA90" s="115"/>
      <c r="AB90" s="115"/>
      <c r="AC90" s="115"/>
      <c r="AD90" s="115"/>
      <c r="AE90" s="115"/>
      <c r="AF90" s="115"/>
      <c r="AG90" s="115"/>
      <c r="AH90" s="115"/>
      <c r="AI90" s="115"/>
      <c r="AJ90" s="115"/>
      <c r="AK90" s="115"/>
      <c r="AL90" s="115"/>
      <c r="AM90" s="115"/>
      <c r="AN90" s="115"/>
      <c r="AO90" s="115"/>
      <c r="AP90" s="115"/>
      <c r="AQ90" s="115"/>
      <c r="AR90" s="115"/>
      <c r="AS90" s="115"/>
      <c r="AT90" s="115"/>
      <c r="AU90" s="115"/>
      <c r="AV90" s="115"/>
      <c r="AW90" s="115"/>
      <c r="AX90" s="115"/>
      <c r="AY90" s="115"/>
    </row>
    <row r="91" spans="1:52" x14ac:dyDescent="0.2">
      <c r="A91" s="114"/>
      <c r="B91" s="135">
        <v>47</v>
      </c>
      <c r="C91" s="114" t="s">
        <v>293</v>
      </c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  <c r="AA91" s="115"/>
      <c r="AB91" s="115"/>
      <c r="AC91" s="115"/>
      <c r="AD91" s="115"/>
      <c r="AE91" s="115"/>
      <c r="AF91" s="115"/>
      <c r="AG91" s="115"/>
      <c r="AH91" s="115"/>
      <c r="AI91" s="115"/>
      <c r="AJ91" s="115"/>
      <c r="AK91" s="115"/>
      <c r="AL91" s="115"/>
      <c r="AM91" s="115"/>
      <c r="AN91" s="115"/>
      <c r="AO91" s="115"/>
      <c r="AP91" s="115"/>
      <c r="AQ91" s="115"/>
      <c r="AR91" s="115"/>
      <c r="AS91" s="115"/>
      <c r="AT91" s="115"/>
      <c r="AU91" s="115"/>
      <c r="AV91" s="115"/>
      <c r="AW91" s="115"/>
      <c r="AX91" s="115"/>
      <c r="AY91" s="115"/>
    </row>
    <row r="92" spans="1:52" x14ac:dyDescent="0.2">
      <c r="A92" s="133"/>
      <c r="B92" s="134">
        <v>48</v>
      </c>
      <c r="C92" s="133" t="s">
        <v>293</v>
      </c>
      <c r="D92" s="130">
        <v>0</v>
      </c>
      <c r="E92" s="130">
        <v>0</v>
      </c>
      <c r="F92" s="130">
        <v>0</v>
      </c>
      <c r="G92" s="130">
        <v>0</v>
      </c>
      <c r="H92" s="130">
        <v>0</v>
      </c>
      <c r="I92" s="130">
        <v>0</v>
      </c>
      <c r="J92" s="130">
        <v>0</v>
      </c>
      <c r="K92" s="130">
        <v>0</v>
      </c>
      <c r="L92" s="130">
        <v>0</v>
      </c>
      <c r="M92" s="130">
        <v>0</v>
      </c>
      <c r="N92" s="130">
        <v>0</v>
      </c>
      <c r="O92" s="130">
        <v>0</v>
      </c>
      <c r="P92" s="130">
        <v>0</v>
      </c>
      <c r="Q92" s="130">
        <v>0</v>
      </c>
      <c r="R92" s="130">
        <v>0</v>
      </c>
      <c r="S92" s="130">
        <v>0</v>
      </c>
      <c r="T92" s="130">
        <v>0</v>
      </c>
      <c r="U92" s="130">
        <v>0</v>
      </c>
      <c r="V92" s="130">
        <v>0</v>
      </c>
      <c r="W92" s="130">
        <v>0</v>
      </c>
      <c r="X92" s="130">
        <v>0</v>
      </c>
      <c r="Y92" s="130">
        <v>0</v>
      </c>
      <c r="Z92" s="130">
        <v>0</v>
      </c>
      <c r="AA92" s="130">
        <v>0</v>
      </c>
      <c r="AB92" s="130">
        <v>0</v>
      </c>
      <c r="AC92" s="130">
        <v>0</v>
      </c>
      <c r="AD92" s="130">
        <v>0</v>
      </c>
      <c r="AE92" s="130">
        <v>0</v>
      </c>
      <c r="AF92" s="130">
        <v>0</v>
      </c>
      <c r="AG92" s="130">
        <v>0</v>
      </c>
      <c r="AH92" s="130">
        <v>0</v>
      </c>
      <c r="AI92" s="130">
        <v>0</v>
      </c>
      <c r="AJ92" s="130">
        <v>0</v>
      </c>
      <c r="AK92" s="130">
        <v>0</v>
      </c>
      <c r="AL92" s="130">
        <v>0</v>
      </c>
      <c r="AM92" s="130">
        <v>0</v>
      </c>
      <c r="AN92" s="130">
        <v>0</v>
      </c>
      <c r="AO92" s="130">
        <v>0</v>
      </c>
      <c r="AP92" s="130">
        <v>0</v>
      </c>
      <c r="AQ92" s="130">
        <v>0</v>
      </c>
      <c r="AR92" s="130">
        <v>0</v>
      </c>
      <c r="AS92" s="130">
        <v>0</v>
      </c>
      <c r="AT92" s="130">
        <v>0</v>
      </c>
      <c r="AU92" s="130">
        <v>0</v>
      </c>
      <c r="AV92" s="130">
        <v>0</v>
      </c>
      <c r="AW92" s="130">
        <v>0</v>
      </c>
      <c r="AX92" s="130">
        <v>0</v>
      </c>
      <c r="AY92" s="130">
        <v>0</v>
      </c>
      <c r="AZ92" s="112">
        <f>SUM(D21:AY92)</f>
        <v>0</v>
      </c>
    </row>
    <row r="94" spans="1:52" x14ac:dyDescent="0.2">
      <c r="A94" s="107" t="s">
        <v>295</v>
      </c>
      <c r="B94" s="111"/>
      <c r="C94" s="111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  <c r="AA94" s="119"/>
      <c r="AB94" s="119"/>
      <c r="AC94" s="119"/>
      <c r="AD94" s="119"/>
      <c r="AE94" s="119"/>
      <c r="AF94" s="119"/>
      <c r="AG94" s="119"/>
      <c r="AH94" s="119"/>
      <c r="AI94" s="119"/>
      <c r="AJ94" s="119"/>
      <c r="AK94" s="119"/>
      <c r="AL94" s="119"/>
      <c r="AM94" s="119"/>
      <c r="AN94" s="119"/>
      <c r="AO94" s="119"/>
      <c r="AP94" s="119"/>
      <c r="AQ94" s="119"/>
      <c r="AR94" s="119"/>
      <c r="AS94" s="119"/>
      <c r="AT94" s="119"/>
      <c r="AU94" s="119"/>
      <c r="AV94" s="119"/>
      <c r="AW94" s="119"/>
      <c r="AX94" s="119"/>
      <c r="AY94" s="119"/>
    </row>
    <row r="95" spans="1:52" x14ac:dyDescent="0.2">
      <c r="A95" s="131" t="s">
        <v>125</v>
      </c>
      <c r="B95" s="128">
        <v>1</v>
      </c>
      <c r="C95" s="129">
        <v>196</v>
      </c>
      <c r="D95" s="115">
        <v>0</v>
      </c>
      <c r="E95" s="115">
        <v>0</v>
      </c>
      <c r="F95" s="115">
        <v>0</v>
      </c>
      <c r="G95" s="115">
        <v>0</v>
      </c>
      <c r="H95" s="115">
        <v>192.77315830165</v>
      </c>
      <c r="I95" s="115">
        <v>192.77315830165</v>
      </c>
      <c r="J95" s="115">
        <v>192.77315830165</v>
      </c>
      <c r="K95" s="115">
        <v>192.77315830165</v>
      </c>
      <c r="L95" s="115">
        <v>154.21852664132001</v>
      </c>
      <c r="M95" s="115">
        <v>154.21852664132001</v>
      </c>
      <c r="N95" s="115">
        <v>154.21852664132001</v>
      </c>
      <c r="O95" s="115">
        <v>154.21852664132001</v>
      </c>
      <c r="P95" s="115">
        <v>154.21852664132001</v>
      </c>
      <c r="Q95" s="115">
        <v>154.21852664132001</v>
      </c>
      <c r="R95" s="115">
        <v>154.21852664132001</v>
      </c>
      <c r="S95" s="115">
        <v>154.21852664132001</v>
      </c>
      <c r="T95" s="115">
        <v>154.21852664132001</v>
      </c>
      <c r="U95" s="115">
        <v>154.21852664132001</v>
      </c>
      <c r="V95" s="115">
        <v>154.21852664132001</v>
      </c>
      <c r="W95" s="115">
        <v>154.21852664132001</v>
      </c>
      <c r="X95" s="115">
        <v>154.21852664132001</v>
      </c>
      <c r="Y95" s="115">
        <v>154.21852664132001</v>
      </c>
      <c r="Z95" s="115">
        <v>154.21852664132001</v>
      </c>
      <c r="AA95" s="115">
        <v>154.21852664132001</v>
      </c>
      <c r="AB95" s="115">
        <v>154.21852664132001</v>
      </c>
      <c r="AC95" s="115">
        <v>154.21852664132001</v>
      </c>
      <c r="AD95" s="115">
        <v>154.21852664132001</v>
      </c>
      <c r="AE95" s="115">
        <v>154.21852664132001</v>
      </c>
      <c r="AF95" s="115">
        <v>154.21852664132001</v>
      </c>
      <c r="AG95" s="115">
        <v>154.21852664132001</v>
      </c>
      <c r="AH95" s="115">
        <v>154.21852664132001</v>
      </c>
      <c r="AI95" s="115">
        <v>154.21852664132001</v>
      </c>
      <c r="AJ95" s="115">
        <v>154.21852664132001</v>
      </c>
      <c r="AK95" s="115">
        <v>154.21852664132001</v>
      </c>
      <c r="AL95" s="115">
        <v>154.21852664132001</v>
      </c>
      <c r="AM95" s="115">
        <v>154.21852664132001</v>
      </c>
      <c r="AN95" s="115">
        <v>154.21852664132001</v>
      </c>
      <c r="AO95" s="115">
        <v>154.21852664132001</v>
      </c>
      <c r="AP95" s="115">
        <v>154.21852664132001</v>
      </c>
      <c r="AQ95" s="115">
        <v>154.21852664132001</v>
      </c>
      <c r="AR95" s="115">
        <v>154.21852664132001</v>
      </c>
      <c r="AS95" s="115">
        <v>154.21852664132001</v>
      </c>
      <c r="AT95" s="115">
        <v>154.21852664132001</v>
      </c>
      <c r="AU95" s="115">
        <v>154.21852664132001</v>
      </c>
      <c r="AV95" s="115">
        <v>154.21852664132001</v>
      </c>
      <c r="AW95" s="115">
        <v>154.21852664132001</v>
      </c>
      <c r="AX95" s="115">
        <v>154.21852664132001</v>
      </c>
      <c r="AY95" s="115">
        <v>154.21852664132001</v>
      </c>
    </row>
    <row r="96" spans="1:52" x14ac:dyDescent="0.2">
      <c r="A96" s="114"/>
      <c r="B96" s="125">
        <v>2</v>
      </c>
      <c r="C96" s="115">
        <v>3</v>
      </c>
      <c r="D96" s="115">
        <v>22</v>
      </c>
      <c r="E96" s="115">
        <v>0</v>
      </c>
      <c r="F96" s="115">
        <v>0</v>
      </c>
      <c r="G96" s="115">
        <v>0</v>
      </c>
      <c r="H96" s="115">
        <v>0</v>
      </c>
      <c r="I96" s="115">
        <v>0</v>
      </c>
      <c r="J96" s="115">
        <v>0</v>
      </c>
      <c r="K96" s="115">
        <v>0</v>
      </c>
      <c r="L96" s="115">
        <v>0</v>
      </c>
      <c r="M96" s="115">
        <v>0</v>
      </c>
      <c r="N96" s="115">
        <v>0</v>
      </c>
      <c r="O96" s="115">
        <v>0</v>
      </c>
      <c r="P96" s="115">
        <v>0</v>
      </c>
      <c r="Q96" s="115">
        <v>0</v>
      </c>
      <c r="R96" s="115">
        <v>0</v>
      </c>
      <c r="S96" s="115">
        <v>0</v>
      </c>
      <c r="T96" s="115">
        <v>0</v>
      </c>
      <c r="U96" s="115">
        <v>0</v>
      </c>
      <c r="V96" s="115">
        <v>0</v>
      </c>
      <c r="W96" s="115">
        <v>0</v>
      </c>
      <c r="X96" s="115">
        <v>0</v>
      </c>
      <c r="Y96" s="115">
        <v>0</v>
      </c>
      <c r="Z96" s="115">
        <v>0</v>
      </c>
      <c r="AA96" s="115">
        <v>0</v>
      </c>
      <c r="AB96" s="115">
        <v>0</v>
      </c>
      <c r="AC96" s="115">
        <v>0</v>
      </c>
      <c r="AD96" s="115">
        <v>0</v>
      </c>
      <c r="AE96" s="115">
        <v>0</v>
      </c>
      <c r="AF96" s="115">
        <v>4.2185266413200111</v>
      </c>
      <c r="AG96" s="115">
        <v>0</v>
      </c>
      <c r="AH96" s="115">
        <v>0</v>
      </c>
      <c r="AI96" s="115">
        <v>0</v>
      </c>
      <c r="AJ96" s="115">
        <v>0</v>
      </c>
      <c r="AK96" s="115">
        <v>0</v>
      </c>
      <c r="AL96" s="115">
        <v>0</v>
      </c>
      <c r="AM96" s="115">
        <v>0</v>
      </c>
      <c r="AN96" s="115">
        <v>0</v>
      </c>
      <c r="AO96" s="115">
        <v>0</v>
      </c>
      <c r="AP96" s="115">
        <v>0</v>
      </c>
      <c r="AQ96" s="115">
        <v>0</v>
      </c>
      <c r="AR96" s="115">
        <v>0</v>
      </c>
      <c r="AS96" s="115">
        <v>0</v>
      </c>
      <c r="AT96" s="115">
        <v>0</v>
      </c>
      <c r="AU96" s="115">
        <v>0</v>
      </c>
      <c r="AV96" s="115">
        <v>0</v>
      </c>
      <c r="AW96" s="115">
        <v>0</v>
      </c>
      <c r="AX96" s="115">
        <v>0</v>
      </c>
      <c r="AY96" s="115">
        <v>0</v>
      </c>
    </row>
    <row r="97" spans="1:52" x14ac:dyDescent="0.2">
      <c r="A97" s="114"/>
      <c r="B97" s="132">
        <v>3</v>
      </c>
      <c r="C97" s="115">
        <v>0</v>
      </c>
      <c r="D97" s="115">
        <v>0</v>
      </c>
      <c r="E97" s="115">
        <v>0</v>
      </c>
      <c r="F97" s="115">
        <v>0</v>
      </c>
      <c r="G97" s="115">
        <v>0</v>
      </c>
      <c r="H97" s="115">
        <v>0</v>
      </c>
      <c r="I97" s="115">
        <v>0</v>
      </c>
      <c r="J97" s="115">
        <v>0</v>
      </c>
      <c r="K97" s="115">
        <v>0</v>
      </c>
      <c r="L97" s="115">
        <v>0</v>
      </c>
      <c r="M97" s="115">
        <v>0</v>
      </c>
      <c r="N97" s="115">
        <v>0</v>
      </c>
      <c r="O97" s="115">
        <v>0</v>
      </c>
      <c r="P97" s="115">
        <v>0</v>
      </c>
      <c r="Q97" s="115">
        <v>0</v>
      </c>
      <c r="R97" s="115">
        <v>0</v>
      </c>
      <c r="S97" s="115">
        <v>0</v>
      </c>
      <c r="T97" s="115">
        <v>0</v>
      </c>
      <c r="U97" s="115">
        <v>0</v>
      </c>
      <c r="V97" s="115">
        <v>0</v>
      </c>
      <c r="W97" s="115">
        <v>0</v>
      </c>
      <c r="X97" s="115">
        <v>0</v>
      </c>
      <c r="Y97" s="115">
        <v>0</v>
      </c>
      <c r="Z97" s="115">
        <v>0</v>
      </c>
      <c r="AA97" s="115">
        <v>0</v>
      </c>
      <c r="AB97" s="115">
        <v>0</v>
      </c>
      <c r="AC97" s="115">
        <v>0</v>
      </c>
      <c r="AD97" s="115">
        <v>0</v>
      </c>
      <c r="AE97" s="115">
        <v>0</v>
      </c>
      <c r="AF97" s="115">
        <v>0</v>
      </c>
      <c r="AG97" s="115">
        <v>0</v>
      </c>
      <c r="AH97" s="115">
        <v>0</v>
      </c>
      <c r="AI97" s="115">
        <v>0</v>
      </c>
      <c r="AJ97" s="115">
        <v>0</v>
      </c>
      <c r="AK97" s="115">
        <v>0</v>
      </c>
      <c r="AL97" s="115">
        <v>0</v>
      </c>
      <c r="AM97" s="115">
        <v>0</v>
      </c>
      <c r="AN97" s="115">
        <v>0</v>
      </c>
      <c r="AO97" s="115">
        <v>0</v>
      </c>
      <c r="AP97" s="115">
        <v>0</v>
      </c>
      <c r="AQ97" s="115">
        <v>0</v>
      </c>
      <c r="AR97" s="115">
        <v>0</v>
      </c>
      <c r="AS97" s="115">
        <v>0</v>
      </c>
      <c r="AT97" s="115">
        <v>0</v>
      </c>
      <c r="AU97" s="115">
        <v>0</v>
      </c>
      <c r="AV97" s="115">
        <v>0</v>
      </c>
      <c r="AW97" s="115">
        <v>0</v>
      </c>
      <c r="AX97" s="115">
        <v>0</v>
      </c>
      <c r="AY97" s="115">
        <v>0</v>
      </c>
    </row>
    <row r="98" spans="1:52" x14ac:dyDescent="0.2">
      <c r="A98" s="114"/>
      <c r="B98" s="135">
        <v>4</v>
      </c>
      <c r="C98" s="111">
        <v>0</v>
      </c>
      <c r="D98" s="115">
        <v>0</v>
      </c>
      <c r="E98" s="115">
        <v>0</v>
      </c>
      <c r="F98" s="115">
        <v>0</v>
      </c>
      <c r="G98" s="115">
        <v>0</v>
      </c>
      <c r="H98" s="115">
        <v>0</v>
      </c>
      <c r="I98" s="115">
        <v>0</v>
      </c>
      <c r="J98" s="115">
        <v>0</v>
      </c>
      <c r="K98" s="115">
        <v>0</v>
      </c>
      <c r="L98" s="115">
        <v>0</v>
      </c>
      <c r="M98" s="115">
        <v>0</v>
      </c>
      <c r="N98" s="115">
        <v>0</v>
      </c>
      <c r="O98" s="115">
        <v>0</v>
      </c>
      <c r="P98" s="115">
        <v>0</v>
      </c>
      <c r="Q98" s="115">
        <v>0</v>
      </c>
      <c r="R98" s="115">
        <v>0</v>
      </c>
      <c r="S98" s="115">
        <v>0</v>
      </c>
      <c r="T98" s="115">
        <v>0</v>
      </c>
      <c r="U98" s="115">
        <v>0</v>
      </c>
      <c r="V98" s="115">
        <v>0</v>
      </c>
      <c r="W98" s="115">
        <v>0</v>
      </c>
      <c r="X98" s="115">
        <v>0</v>
      </c>
      <c r="Y98" s="115">
        <v>0</v>
      </c>
      <c r="Z98" s="115">
        <v>0</v>
      </c>
      <c r="AA98" s="115">
        <v>0</v>
      </c>
      <c r="AB98" s="115">
        <v>0</v>
      </c>
      <c r="AC98" s="115">
        <v>0</v>
      </c>
      <c r="AD98" s="115">
        <v>0</v>
      </c>
      <c r="AE98" s="115">
        <v>0</v>
      </c>
      <c r="AF98" s="115">
        <v>0</v>
      </c>
      <c r="AG98" s="115">
        <v>0</v>
      </c>
      <c r="AH98" s="115">
        <v>0</v>
      </c>
      <c r="AI98" s="115">
        <v>0</v>
      </c>
      <c r="AJ98" s="115">
        <v>0</v>
      </c>
      <c r="AK98" s="115">
        <v>0</v>
      </c>
      <c r="AL98" s="115">
        <v>0</v>
      </c>
      <c r="AM98" s="115">
        <v>0</v>
      </c>
      <c r="AN98" s="115">
        <v>0</v>
      </c>
      <c r="AO98" s="115">
        <v>0</v>
      </c>
      <c r="AP98" s="115">
        <v>0</v>
      </c>
      <c r="AQ98" s="115">
        <v>0</v>
      </c>
      <c r="AR98" s="115">
        <v>0</v>
      </c>
      <c r="AS98" s="115">
        <v>0</v>
      </c>
      <c r="AT98" s="115">
        <v>0</v>
      </c>
      <c r="AU98" s="115">
        <v>0</v>
      </c>
      <c r="AV98" s="115">
        <v>0</v>
      </c>
      <c r="AW98" s="115">
        <v>0</v>
      </c>
      <c r="AX98" s="115">
        <v>0</v>
      </c>
      <c r="AY98" s="115">
        <v>0</v>
      </c>
    </row>
    <row r="99" spans="1:52" x14ac:dyDescent="0.2">
      <c r="A99" s="133"/>
      <c r="B99" s="137" t="s">
        <v>296</v>
      </c>
      <c r="C99" s="130">
        <v>0</v>
      </c>
      <c r="D99" s="130">
        <v>0</v>
      </c>
      <c r="E99" s="130">
        <v>0</v>
      </c>
      <c r="F99" s="130">
        <v>0</v>
      </c>
      <c r="G99" s="130">
        <v>0</v>
      </c>
      <c r="H99" s="130">
        <v>0</v>
      </c>
      <c r="I99" s="130">
        <v>0</v>
      </c>
      <c r="J99" s="130">
        <v>0</v>
      </c>
      <c r="K99" s="130">
        <v>0</v>
      </c>
      <c r="L99" s="130">
        <v>0</v>
      </c>
      <c r="M99" s="130">
        <v>0</v>
      </c>
      <c r="N99" s="130">
        <v>0</v>
      </c>
      <c r="O99" s="130">
        <v>0</v>
      </c>
      <c r="P99" s="130">
        <v>0</v>
      </c>
      <c r="Q99" s="130">
        <v>0</v>
      </c>
      <c r="R99" s="130">
        <v>0</v>
      </c>
      <c r="S99" s="130">
        <v>0</v>
      </c>
      <c r="T99" s="130">
        <v>0</v>
      </c>
      <c r="U99" s="130">
        <v>0</v>
      </c>
      <c r="V99" s="130">
        <v>0</v>
      </c>
      <c r="W99" s="130">
        <v>0</v>
      </c>
      <c r="X99" s="130">
        <v>0</v>
      </c>
      <c r="Y99" s="130">
        <v>0</v>
      </c>
      <c r="Z99" s="130">
        <v>0</v>
      </c>
      <c r="AA99" s="130">
        <v>0</v>
      </c>
      <c r="AB99" s="130">
        <v>0</v>
      </c>
      <c r="AC99" s="130">
        <v>0</v>
      </c>
      <c r="AD99" s="130">
        <v>0</v>
      </c>
      <c r="AE99" s="130">
        <v>0</v>
      </c>
      <c r="AF99" s="130">
        <v>0</v>
      </c>
      <c r="AG99" s="130">
        <v>0</v>
      </c>
      <c r="AH99" s="130">
        <v>0</v>
      </c>
      <c r="AI99" s="130">
        <v>0</v>
      </c>
      <c r="AJ99" s="130">
        <v>0</v>
      </c>
      <c r="AK99" s="130">
        <v>0</v>
      </c>
      <c r="AL99" s="130">
        <v>0</v>
      </c>
      <c r="AM99" s="130">
        <v>0</v>
      </c>
      <c r="AN99" s="130">
        <v>0</v>
      </c>
      <c r="AO99" s="130">
        <v>0</v>
      </c>
      <c r="AP99" s="130">
        <v>0</v>
      </c>
      <c r="AQ99" s="130">
        <v>0</v>
      </c>
      <c r="AR99" s="130">
        <v>0</v>
      </c>
      <c r="AS99" s="130">
        <v>0</v>
      </c>
      <c r="AT99" s="130">
        <v>0</v>
      </c>
      <c r="AU99" s="130">
        <v>0</v>
      </c>
      <c r="AV99" s="130">
        <v>0</v>
      </c>
      <c r="AW99" s="130">
        <v>0</v>
      </c>
      <c r="AX99" s="130">
        <v>0</v>
      </c>
      <c r="AY99" s="130">
        <v>0</v>
      </c>
      <c r="AZ99" s="112">
        <f>SUM($D99:$AY99)</f>
        <v>0</v>
      </c>
    </row>
    <row r="100" spans="1:52" x14ac:dyDescent="0.2">
      <c r="A100" s="136" t="s">
        <v>133</v>
      </c>
      <c r="B100" s="124">
        <v>1</v>
      </c>
      <c r="C100" s="111">
        <v>146.00000000000003</v>
      </c>
      <c r="D100" s="111">
        <v>146.00000000000003</v>
      </c>
      <c r="E100" s="111">
        <v>140.38372240000001</v>
      </c>
      <c r="F100" s="111">
        <v>0</v>
      </c>
      <c r="G100" s="111">
        <v>0</v>
      </c>
      <c r="H100" s="111">
        <v>0</v>
      </c>
      <c r="I100" s="111">
        <v>0</v>
      </c>
      <c r="J100" s="111">
        <v>123.29279827385241</v>
      </c>
      <c r="K100" s="111">
        <v>123.29279827385241</v>
      </c>
      <c r="L100" s="111">
        <v>123.29279827385241</v>
      </c>
      <c r="M100" s="111">
        <v>123.29279827385241</v>
      </c>
      <c r="N100" s="111">
        <v>98.634238619081941</v>
      </c>
      <c r="O100" s="111">
        <v>98.634238619081941</v>
      </c>
      <c r="P100" s="111">
        <v>98.634238619081941</v>
      </c>
      <c r="Q100" s="111">
        <v>98.634238619081941</v>
      </c>
      <c r="R100" s="111">
        <v>98.634238619081941</v>
      </c>
      <c r="S100" s="111">
        <v>98.634238619081941</v>
      </c>
      <c r="T100" s="111">
        <v>0</v>
      </c>
      <c r="U100" s="111">
        <v>181.8442</v>
      </c>
      <c r="V100" s="111">
        <v>98.634238619081941</v>
      </c>
      <c r="W100" s="111">
        <v>98.634238619081941</v>
      </c>
      <c r="X100" s="111">
        <v>98.634238619081941</v>
      </c>
      <c r="Y100" s="111">
        <v>98.634238619081941</v>
      </c>
      <c r="Z100" s="111">
        <v>98.634238619081941</v>
      </c>
      <c r="AA100" s="111">
        <v>98.634238619081941</v>
      </c>
      <c r="AB100" s="111">
        <v>98.634238619081941</v>
      </c>
      <c r="AC100" s="111">
        <v>98.634238619081941</v>
      </c>
      <c r="AD100" s="111">
        <v>98.634238619081941</v>
      </c>
      <c r="AE100" s="111">
        <v>98.634238619081941</v>
      </c>
      <c r="AF100" s="111">
        <v>98.634238619081941</v>
      </c>
      <c r="AG100" s="111">
        <v>98.634238619081941</v>
      </c>
      <c r="AH100" s="111">
        <v>98.634238619081941</v>
      </c>
      <c r="AI100" s="111">
        <v>98.634238619081941</v>
      </c>
      <c r="AJ100" s="111">
        <v>98.634238619081941</v>
      </c>
      <c r="AK100" s="111">
        <v>98.634238619081941</v>
      </c>
      <c r="AL100" s="111">
        <v>98.634238619081941</v>
      </c>
      <c r="AM100" s="111">
        <v>98.634238619081941</v>
      </c>
      <c r="AN100" s="111">
        <v>98.634238619081941</v>
      </c>
      <c r="AO100" s="111">
        <v>98.634238619081941</v>
      </c>
      <c r="AP100" s="111">
        <v>98.634238619081941</v>
      </c>
      <c r="AQ100" s="111">
        <v>98.634238619081941</v>
      </c>
      <c r="AR100" s="111">
        <v>98.634238619081941</v>
      </c>
      <c r="AS100" s="111">
        <v>98.634238619081941</v>
      </c>
      <c r="AT100" s="111">
        <v>98.634238619081941</v>
      </c>
      <c r="AU100" s="111">
        <v>98.634238619081941</v>
      </c>
      <c r="AV100" s="111">
        <v>98.634238619081941</v>
      </c>
      <c r="AW100" s="111">
        <v>98.634238619081941</v>
      </c>
      <c r="AX100" s="111">
        <v>98.634238619081941</v>
      </c>
      <c r="AY100" s="111">
        <v>98.634238619081941</v>
      </c>
    </row>
    <row r="101" spans="1:52" x14ac:dyDescent="0.2">
      <c r="A101" s="114"/>
      <c r="B101" s="124">
        <v>2</v>
      </c>
      <c r="C101" s="111">
        <v>0</v>
      </c>
      <c r="D101" s="111">
        <v>0</v>
      </c>
      <c r="E101" s="111">
        <v>11.000000000000028</v>
      </c>
      <c r="F101" s="111">
        <v>17.383722400000039</v>
      </c>
      <c r="G101" s="111">
        <v>0</v>
      </c>
      <c r="H101" s="111">
        <v>0</v>
      </c>
      <c r="I101" s="111">
        <v>0</v>
      </c>
      <c r="J101" s="111">
        <v>0</v>
      </c>
      <c r="K101" s="111">
        <v>0</v>
      </c>
      <c r="L101" s="111">
        <v>0</v>
      </c>
      <c r="M101" s="111">
        <v>0</v>
      </c>
      <c r="N101" s="111">
        <v>0</v>
      </c>
      <c r="O101" s="111">
        <v>0</v>
      </c>
      <c r="P101" s="111">
        <v>0</v>
      </c>
      <c r="Q101" s="111">
        <v>0</v>
      </c>
      <c r="R101" s="111">
        <v>0</v>
      </c>
      <c r="S101" s="111">
        <v>0</v>
      </c>
      <c r="T101" s="111">
        <v>0</v>
      </c>
      <c r="U101" s="111">
        <v>0</v>
      </c>
      <c r="V101" s="111">
        <v>19.844200000000001</v>
      </c>
      <c r="W101" s="111">
        <v>0</v>
      </c>
      <c r="X101" s="111">
        <v>0</v>
      </c>
      <c r="Y101" s="111">
        <v>0</v>
      </c>
      <c r="Z101" s="111">
        <v>0</v>
      </c>
      <c r="AA101" s="111">
        <v>0</v>
      </c>
      <c r="AB101" s="111">
        <v>0</v>
      </c>
      <c r="AC101" s="111">
        <v>0</v>
      </c>
      <c r="AD101" s="111">
        <v>0</v>
      </c>
      <c r="AE101" s="111">
        <v>0</v>
      </c>
      <c r="AF101" s="111">
        <v>0</v>
      </c>
      <c r="AG101" s="111">
        <v>0</v>
      </c>
      <c r="AH101" s="111">
        <v>0</v>
      </c>
      <c r="AI101" s="111">
        <v>0</v>
      </c>
      <c r="AJ101" s="111">
        <v>0</v>
      </c>
      <c r="AK101" s="111">
        <v>0</v>
      </c>
      <c r="AL101" s="111">
        <v>0</v>
      </c>
      <c r="AM101" s="111">
        <v>0</v>
      </c>
      <c r="AN101" s="111">
        <v>0</v>
      </c>
      <c r="AO101" s="111">
        <v>0</v>
      </c>
      <c r="AP101" s="111">
        <v>0</v>
      </c>
      <c r="AQ101" s="111">
        <v>0</v>
      </c>
      <c r="AR101" s="111">
        <v>0</v>
      </c>
      <c r="AS101" s="111">
        <v>0</v>
      </c>
      <c r="AT101" s="111">
        <v>0</v>
      </c>
      <c r="AU101" s="111">
        <v>0</v>
      </c>
      <c r="AV101" s="111">
        <v>0</v>
      </c>
      <c r="AW101" s="111">
        <v>0</v>
      </c>
      <c r="AX101" s="111">
        <v>0</v>
      </c>
      <c r="AY101" s="111">
        <v>0</v>
      </c>
    </row>
    <row r="102" spans="1:52" x14ac:dyDescent="0.2">
      <c r="A102" s="114"/>
      <c r="B102" s="125">
        <v>3</v>
      </c>
      <c r="C102" s="111">
        <v>0</v>
      </c>
      <c r="D102" s="111">
        <v>0</v>
      </c>
      <c r="E102" s="111">
        <v>0</v>
      </c>
      <c r="F102" s="111">
        <v>0</v>
      </c>
      <c r="G102" s="111">
        <v>0</v>
      </c>
      <c r="H102" s="111">
        <v>0</v>
      </c>
      <c r="I102" s="111">
        <v>0</v>
      </c>
      <c r="J102" s="111">
        <v>0</v>
      </c>
      <c r="K102" s="111">
        <v>0</v>
      </c>
      <c r="L102" s="111">
        <v>0</v>
      </c>
      <c r="M102" s="111">
        <v>0</v>
      </c>
      <c r="N102" s="111">
        <v>0</v>
      </c>
      <c r="O102" s="111">
        <v>0</v>
      </c>
      <c r="P102" s="111">
        <v>0</v>
      </c>
      <c r="Q102" s="111">
        <v>0</v>
      </c>
      <c r="R102" s="111">
        <v>0</v>
      </c>
      <c r="S102" s="111">
        <v>0</v>
      </c>
      <c r="T102" s="111">
        <v>0</v>
      </c>
      <c r="U102" s="111">
        <v>0</v>
      </c>
      <c r="V102" s="111">
        <v>0</v>
      </c>
      <c r="W102" s="111">
        <v>0</v>
      </c>
      <c r="X102" s="111">
        <v>0</v>
      </c>
      <c r="Y102" s="111">
        <v>0</v>
      </c>
      <c r="Z102" s="111">
        <v>0</v>
      </c>
      <c r="AA102" s="111">
        <v>0</v>
      </c>
      <c r="AB102" s="111">
        <v>0</v>
      </c>
      <c r="AC102" s="111">
        <v>0</v>
      </c>
      <c r="AD102" s="111">
        <v>0</v>
      </c>
      <c r="AE102" s="111">
        <v>0</v>
      </c>
      <c r="AF102" s="111">
        <v>0</v>
      </c>
      <c r="AG102" s="111">
        <v>0</v>
      </c>
      <c r="AH102" s="111">
        <v>0</v>
      </c>
      <c r="AI102" s="111">
        <v>0</v>
      </c>
      <c r="AJ102" s="111">
        <v>0</v>
      </c>
      <c r="AK102" s="111">
        <v>0</v>
      </c>
      <c r="AL102" s="111">
        <v>0</v>
      </c>
      <c r="AM102" s="111">
        <v>0</v>
      </c>
      <c r="AN102" s="111">
        <v>0</v>
      </c>
      <c r="AO102" s="111">
        <v>0</v>
      </c>
      <c r="AP102" s="111">
        <v>0</v>
      </c>
      <c r="AQ102" s="111">
        <v>0</v>
      </c>
      <c r="AR102" s="111">
        <v>0</v>
      </c>
      <c r="AS102" s="111">
        <v>0</v>
      </c>
      <c r="AT102" s="111">
        <v>0</v>
      </c>
      <c r="AU102" s="111">
        <v>0</v>
      </c>
      <c r="AV102" s="111">
        <v>0</v>
      </c>
      <c r="AW102" s="111">
        <v>0</v>
      </c>
      <c r="AX102" s="111">
        <v>0</v>
      </c>
      <c r="AY102" s="111">
        <v>0</v>
      </c>
    </row>
    <row r="103" spans="1:52" x14ac:dyDescent="0.2">
      <c r="A103" s="114"/>
      <c r="B103" s="125">
        <v>4</v>
      </c>
      <c r="C103" s="111">
        <v>0</v>
      </c>
      <c r="D103" s="111">
        <v>0</v>
      </c>
      <c r="E103" s="111">
        <v>0</v>
      </c>
      <c r="F103" s="111">
        <v>0</v>
      </c>
      <c r="G103" s="111">
        <v>0</v>
      </c>
      <c r="H103" s="111">
        <v>0</v>
      </c>
      <c r="I103" s="111">
        <v>0</v>
      </c>
      <c r="J103" s="111">
        <v>0</v>
      </c>
      <c r="K103" s="111">
        <v>0</v>
      </c>
      <c r="L103" s="111">
        <v>0</v>
      </c>
      <c r="M103" s="111">
        <v>0</v>
      </c>
      <c r="N103" s="111">
        <v>0</v>
      </c>
      <c r="O103" s="111">
        <v>0</v>
      </c>
      <c r="P103" s="111">
        <v>0</v>
      </c>
      <c r="Q103" s="111">
        <v>0</v>
      </c>
      <c r="R103" s="111">
        <v>0</v>
      </c>
      <c r="S103" s="111">
        <v>0</v>
      </c>
      <c r="T103" s="111">
        <v>0</v>
      </c>
      <c r="U103" s="111">
        <v>0</v>
      </c>
      <c r="V103" s="111">
        <v>0</v>
      </c>
      <c r="W103" s="111">
        <v>0</v>
      </c>
      <c r="X103" s="111">
        <v>0</v>
      </c>
      <c r="Y103" s="111">
        <v>0</v>
      </c>
      <c r="Z103" s="111">
        <v>0</v>
      </c>
      <c r="AA103" s="111">
        <v>0</v>
      </c>
      <c r="AB103" s="111">
        <v>0</v>
      </c>
      <c r="AC103" s="111">
        <v>0</v>
      </c>
      <c r="AD103" s="111">
        <v>0</v>
      </c>
      <c r="AE103" s="111">
        <v>0</v>
      </c>
      <c r="AF103" s="111">
        <v>0</v>
      </c>
      <c r="AG103" s="111">
        <v>0</v>
      </c>
      <c r="AH103" s="111">
        <v>0</v>
      </c>
      <c r="AI103" s="111">
        <v>0</v>
      </c>
      <c r="AJ103" s="111">
        <v>0</v>
      </c>
      <c r="AK103" s="111">
        <v>0</v>
      </c>
      <c r="AL103" s="111">
        <v>0</v>
      </c>
      <c r="AM103" s="111">
        <v>0</v>
      </c>
      <c r="AN103" s="111">
        <v>0</v>
      </c>
      <c r="AO103" s="111">
        <v>0</v>
      </c>
      <c r="AP103" s="111">
        <v>0</v>
      </c>
      <c r="AQ103" s="111">
        <v>0</v>
      </c>
      <c r="AR103" s="111">
        <v>0</v>
      </c>
      <c r="AS103" s="111">
        <v>0</v>
      </c>
      <c r="AT103" s="111">
        <v>0</v>
      </c>
      <c r="AU103" s="111">
        <v>0</v>
      </c>
      <c r="AV103" s="111">
        <v>0</v>
      </c>
      <c r="AW103" s="111">
        <v>0</v>
      </c>
      <c r="AX103" s="111">
        <v>0</v>
      </c>
      <c r="AY103" s="111">
        <v>0</v>
      </c>
    </row>
    <row r="104" spans="1:52" x14ac:dyDescent="0.2">
      <c r="A104" s="114"/>
      <c r="B104" s="132">
        <v>5</v>
      </c>
      <c r="C104" s="111">
        <v>0</v>
      </c>
      <c r="D104" s="111">
        <v>0</v>
      </c>
      <c r="E104" s="111">
        <v>0</v>
      </c>
      <c r="F104" s="111">
        <v>0</v>
      </c>
      <c r="G104" s="111">
        <v>0</v>
      </c>
      <c r="H104" s="111">
        <v>0</v>
      </c>
      <c r="I104" s="111">
        <v>0</v>
      </c>
      <c r="J104" s="111">
        <v>0</v>
      </c>
      <c r="K104" s="111">
        <v>0</v>
      </c>
      <c r="L104" s="111">
        <v>0</v>
      </c>
      <c r="M104" s="111">
        <v>0</v>
      </c>
      <c r="N104" s="111">
        <v>0</v>
      </c>
      <c r="O104" s="111">
        <v>0</v>
      </c>
      <c r="P104" s="111">
        <v>0</v>
      </c>
      <c r="Q104" s="111">
        <v>0</v>
      </c>
      <c r="R104" s="111">
        <v>0</v>
      </c>
      <c r="S104" s="111">
        <v>0</v>
      </c>
      <c r="T104" s="111">
        <v>0</v>
      </c>
      <c r="U104" s="111">
        <v>0</v>
      </c>
      <c r="V104" s="111">
        <v>0</v>
      </c>
      <c r="W104" s="111">
        <v>0</v>
      </c>
      <c r="X104" s="111">
        <v>0</v>
      </c>
      <c r="Y104" s="111">
        <v>0</v>
      </c>
      <c r="Z104" s="111">
        <v>0</v>
      </c>
      <c r="AA104" s="111">
        <v>0</v>
      </c>
      <c r="AB104" s="111">
        <v>0</v>
      </c>
      <c r="AC104" s="111">
        <v>0</v>
      </c>
      <c r="AD104" s="111">
        <v>0</v>
      </c>
      <c r="AE104" s="111">
        <v>0</v>
      </c>
      <c r="AF104" s="111">
        <v>0</v>
      </c>
      <c r="AG104" s="111">
        <v>0</v>
      </c>
      <c r="AH104" s="111">
        <v>0</v>
      </c>
      <c r="AI104" s="111">
        <v>0</v>
      </c>
      <c r="AJ104" s="111">
        <v>0</v>
      </c>
      <c r="AK104" s="111">
        <v>0</v>
      </c>
      <c r="AL104" s="111">
        <v>0</v>
      </c>
      <c r="AM104" s="111">
        <v>0</v>
      </c>
      <c r="AN104" s="111">
        <v>0</v>
      </c>
      <c r="AO104" s="111">
        <v>0</v>
      </c>
      <c r="AP104" s="111">
        <v>0</v>
      </c>
      <c r="AQ104" s="111">
        <v>0</v>
      </c>
      <c r="AR104" s="111">
        <v>0</v>
      </c>
      <c r="AS104" s="111">
        <v>0</v>
      </c>
      <c r="AT104" s="111">
        <v>0</v>
      </c>
      <c r="AU104" s="111">
        <v>0</v>
      </c>
      <c r="AV104" s="111">
        <v>0</v>
      </c>
      <c r="AW104" s="111">
        <v>0</v>
      </c>
      <c r="AX104" s="111">
        <v>0</v>
      </c>
      <c r="AY104" s="111">
        <v>0</v>
      </c>
    </row>
    <row r="105" spans="1:52" x14ac:dyDescent="0.2">
      <c r="A105" s="114"/>
      <c r="B105" s="132">
        <v>6</v>
      </c>
      <c r="C105" s="111">
        <v>0</v>
      </c>
      <c r="D105" s="111">
        <v>0</v>
      </c>
      <c r="E105" s="111">
        <v>0</v>
      </c>
      <c r="F105" s="111">
        <v>0</v>
      </c>
      <c r="G105" s="111">
        <v>0</v>
      </c>
      <c r="H105" s="111">
        <v>0</v>
      </c>
      <c r="I105" s="111">
        <v>0</v>
      </c>
      <c r="J105" s="111">
        <v>0</v>
      </c>
      <c r="K105" s="111">
        <v>0</v>
      </c>
      <c r="L105" s="111">
        <v>0</v>
      </c>
      <c r="M105" s="111">
        <v>0</v>
      </c>
      <c r="N105" s="111">
        <v>0</v>
      </c>
      <c r="O105" s="111">
        <v>0</v>
      </c>
      <c r="P105" s="111">
        <v>0</v>
      </c>
      <c r="Q105" s="111">
        <v>0</v>
      </c>
      <c r="R105" s="111">
        <v>0</v>
      </c>
      <c r="S105" s="111">
        <v>0</v>
      </c>
      <c r="T105" s="111">
        <v>0</v>
      </c>
      <c r="U105" s="111">
        <v>0</v>
      </c>
      <c r="V105" s="111">
        <v>0</v>
      </c>
      <c r="W105" s="111">
        <v>0</v>
      </c>
      <c r="X105" s="111">
        <v>0</v>
      </c>
      <c r="Y105" s="111">
        <v>0</v>
      </c>
      <c r="Z105" s="111">
        <v>0</v>
      </c>
      <c r="AA105" s="111">
        <v>0</v>
      </c>
      <c r="AB105" s="111">
        <v>0</v>
      </c>
      <c r="AC105" s="111">
        <v>0</v>
      </c>
      <c r="AD105" s="111">
        <v>0</v>
      </c>
      <c r="AE105" s="111">
        <v>0</v>
      </c>
      <c r="AF105" s="111">
        <v>0</v>
      </c>
      <c r="AG105" s="111">
        <v>0</v>
      </c>
      <c r="AH105" s="111">
        <v>0</v>
      </c>
      <c r="AI105" s="111">
        <v>0</v>
      </c>
      <c r="AJ105" s="111">
        <v>0</v>
      </c>
      <c r="AK105" s="111">
        <v>0</v>
      </c>
      <c r="AL105" s="111">
        <v>0</v>
      </c>
      <c r="AM105" s="111">
        <v>0</v>
      </c>
      <c r="AN105" s="111">
        <v>0</v>
      </c>
      <c r="AO105" s="111">
        <v>0</v>
      </c>
      <c r="AP105" s="111">
        <v>0</v>
      </c>
      <c r="AQ105" s="111">
        <v>0</v>
      </c>
      <c r="AR105" s="111">
        <v>0</v>
      </c>
      <c r="AS105" s="111">
        <v>0</v>
      </c>
      <c r="AT105" s="111">
        <v>0</v>
      </c>
      <c r="AU105" s="111">
        <v>0</v>
      </c>
      <c r="AV105" s="111">
        <v>0</v>
      </c>
      <c r="AW105" s="111">
        <v>0</v>
      </c>
      <c r="AX105" s="111">
        <v>0</v>
      </c>
      <c r="AY105" s="111">
        <v>0</v>
      </c>
    </row>
    <row r="106" spans="1:52" x14ac:dyDescent="0.2">
      <c r="A106" s="114"/>
      <c r="B106" s="135">
        <v>7</v>
      </c>
      <c r="C106" s="111">
        <v>0</v>
      </c>
      <c r="D106" s="111">
        <v>0</v>
      </c>
      <c r="E106" s="111">
        <v>0</v>
      </c>
      <c r="F106" s="111">
        <v>0</v>
      </c>
      <c r="G106" s="111">
        <v>0</v>
      </c>
      <c r="H106" s="111">
        <v>0</v>
      </c>
      <c r="I106" s="111">
        <v>0</v>
      </c>
      <c r="J106" s="111">
        <v>0</v>
      </c>
      <c r="K106" s="111">
        <v>0</v>
      </c>
      <c r="L106" s="111">
        <v>0</v>
      </c>
      <c r="M106" s="111">
        <v>0</v>
      </c>
      <c r="N106" s="111">
        <v>0</v>
      </c>
      <c r="O106" s="111">
        <v>0</v>
      </c>
      <c r="P106" s="111">
        <v>0</v>
      </c>
      <c r="Q106" s="111">
        <v>0</v>
      </c>
      <c r="R106" s="111">
        <v>0</v>
      </c>
      <c r="S106" s="111">
        <v>0</v>
      </c>
      <c r="T106" s="111">
        <v>0</v>
      </c>
      <c r="U106" s="111">
        <v>0</v>
      </c>
      <c r="V106" s="111">
        <v>0</v>
      </c>
      <c r="W106" s="111">
        <v>0</v>
      </c>
      <c r="X106" s="111">
        <v>0</v>
      </c>
      <c r="Y106" s="111">
        <v>0</v>
      </c>
      <c r="Z106" s="111">
        <v>0</v>
      </c>
      <c r="AA106" s="111">
        <v>0</v>
      </c>
      <c r="AB106" s="111">
        <v>0</v>
      </c>
      <c r="AC106" s="111">
        <v>0</v>
      </c>
      <c r="AD106" s="111">
        <v>0</v>
      </c>
      <c r="AE106" s="111">
        <v>0</v>
      </c>
      <c r="AF106" s="111">
        <v>0</v>
      </c>
      <c r="AG106" s="111">
        <v>0</v>
      </c>
      <c r="AH106" s="111">
        <v>0</v>
      </c>
      <c r="AI106" s="111">
        <v>0</v>
      </c>
      <c r="AJ106" s="111">
        <v>0</v>
      </c>
      <c r="AK106" s="111">
        <v>0</v>
      </c>
      <c r="AL106" s="111">
        <v>0</v>
      </c>
      <c r="AM106" s="111">
        <v>0</v>
      </c>
      <c r="AN106" s="111">
        <v>0</v>
      </c>
      <c r="AO106" s="111">
        <v>0</v>
      </c>
      <c r="AP106" s="111">
        <v>0</v>
      </c>
      <c r="AQ106" s="111">
        <v>0</v>
      </c>
      <c r="AR106" s="111">
        <v>0</v>
      </c>
      <c r="AS106" s="111">
        <v>0</v>
      </c>
      <c r="AT106" s="111">
        <v>0</v>
      </c>
      <c r="AU106" s="111">
        <v>0</v>
      </c>
      <c r="AV106" s="111">
        <v>0</v>
      </c>
      <c r="AW106" s="111">
        <v>0</v>
      </c>
      <c r="AX106" s="111">
        <v>0</v>
      </c>
      <c r="AY106" s="111">
        <v>0</v>
      </c>
    </row>
    <row r="107" spans="1:52" x14ac:dyDescent="0.2">
      <c r="A107" s="114"/>
      <c r="B107" s="135">
        <v>8</v>
      </c>
      <c r="C107" s="111">
        <v>0</v>
      </c>
      <c r="D107" s="111">
        <v>0</v>
      </c>
      <c r="E107" s="111">
        <v>0</v>
      </c>
      <c r="F107" s="111">
        <v>0</v>
      </c>
      <c r="G107" s="111">
        <v>0</v>
      </c>
      <c r="H107" s="111">
        <v>0</v>
      </c>
      <c r="I107" s="111">
        <v>0</v>
      </c>
      <c r="J107" s="111">
        <v>0</v>
      </c>
      <c r="K107" s="111">
        <v>0</v>
      </c>
      <c r="L107" s="111">
        <v>0</v>
      </c>
      <c r="M107" s="111">
        <v>0</v>
      </c>
      <c r="N107" s="111">
        <v>0</v>
      </c>
      <c r="O107" s="111">
        <v>0</v>
      </c>
      <c r="P107" s="111">
        <v>0</v>
      </c>
      <c r="Q107" s="111">
        <v>0</v>
      </c>
      <c r="R107" s="111">
        <v>0</v>
      </c>
      <c r="S107" s="111">
        <v>0</v>
      </c>
      <c r="T107" s="111">
        <v>0</v>
      </c>
      <c r="U107" s="111">
        <v>0</v>
      </c>
      <c r="V107" s="111">
        <v>0</v>
      </c>
      <c r="W107" s="111">
        <v>0</v>
      </c>
      <c r="X107" s="111">
        <v>0</v>
      </c>
      <c r="Y107" s="111">
        <v>0</v>
      </c>
      <c r="Z107" s="111">
        <v>0</v>
      </c>
      <c r="AA107" s="111">
        <v>0</v>
      </c>
      <c r="AB107" s="111">
        <v>0</v>
      </c>
      <c r="AC107" s="111">
        <v>0</v>
      </c>
      <c r="AD107" s="111">
        <v>0</v>
      </c>
      <c r="AE107" s="111">
        <v>0</v>
      </c>
      <c r="AF107" s="111">
        <v>0</v>
      </c>
      <c r="AG107" s="111">
        <v>0</v>
      </c>
      <c r="AH107" s="111">
        <v>0</v>
      </c>
      <c r="AI107" s="111">
        <v>0</v>
      </c>
      <c r="AJ107" s="111">
        <v>0</v>
      </c>
      <c r="AK107" s="111">
        <v>0</v>
      </c>
      <c r="AL107" s="111">
        <v>0</v>
      </c>
      <c r="AM107" s="111">
        <v>0</v>
      </c>
      <c r="AN107" s="111">
        <v>0</v>
      </c>
      <c r="AO107" s="111">
        <v>0</v>
      </c>
      <c r="AP107" s="111">
        <v>0</v>
      </c>
      <c r="AQ107" s="111">
        <v>0</v>
      </c>
      <c r="AR107" s="111">
        <v>0</v>
      </c>
      <c r="AS107" s="111">
        <v>0</v>
      </c>
      <c r="AT107" s="111">
        <v>0</v>
      </c>
      <c r="AU107" s="111">
        <v>0</v>
      </c>
      <c r="AV107" s="111">
        <v>0</v>
      </c>
      <c r="AW107" s="111">
        <v>0</v>
      </c>
      <c r="AX107" s="111">
        <v>0</v>
      </c>
      <c r="AY107" s="111">
        <v>0</v>
      </c>
    </row>
    <row r="108" spans="1:52" x14ac:dyDescent="0.2">
      <c r="A108" s="133"/>
      <c r="B108" s="137" t="s">
        <v>296</v>
      </c>
      <c r="C108" s="119">
        <v>0</v>
      </c>
      <c r="D108" s="130">
        <v>0</v>
      </c>
      <c r="E108" s="130">
        <v>0</v>
      </c>
      <c r="F108" s="130">
        <v>0</v>
      </c>
      <c r="G108" s="130">
        <v>0</v>
      </c>
      <c r="H108" s="130">
        <v>0</v>
      </c>
      <c r="I108" s="130">
        <v>0</v>
      </c>
      <c r="J108" s="130">
        <v>0</v>
      </c>
      <c r="K108" s="130">
        <v>0</v>
      </c>
      <c r="L108" s="130">
        <v>0</v>
      </c>
      <c r="M108" s="130">
        <v>0</v>
      </c>
      <c r="N108" s="130">
        <v>0</v>
      </c>
      <c r="O108" s="130">
        <v>0</v>
      </c>
      <c r="P108" s="130">
        <v>0</v>
      </c>
      <c r="Q108" s="130">
        <v>0</v>
      </c>
      <c r="R108" s="130">
        <v>0</v>
      </c>
      <c r="S108" s="130">
        <v>0</v>
      </c>
      <c r="T108" s="130">
        <v>0</v>
      </c>
      <c r="U108" s="130">
        <v>0</v>
      </c>
      <c r="V108" s="130">
        <v>0</v>
      </c>
      <c r="W108" s="130">
        <v>0</v>
      </c>
      <c r="X108" s="130">
        <v>0</v>
      </c>
      <c r="Y108" s="130">
        <v>0</v>
      </c>
      <c r="Z108" s="130">
        <v>0</v>
      </c>
      <c r="AA108" s="130">
        <v>0</v>
      </c>
      <c r="AB108" s="130">
        <v>0</v>
      </c>
      <c r="AC108" s="130">
        <v>0</v>
      </c>
      <c r="AD108" s="130">
        <v>0</v>
      </c>
      <c r="AE108" s="130">
        <v>0</v>
      </c>
      <c r="AF108" s="130">
        <v>0</v>
      </c>
      <c r="AG108" s="130">
        <v>0</v>
      </c>
      <c r="AH108" s="130">
        <v>0</v>
      </c>
      <c r="AI108" s="130">
        <v>0</v>
      </c>
      <c r="AJ108" s="130">
        <v>0</v>
      </c>
      <c r="AK108" s="130">
        <v>0</v>
      </c>
      <c r="AL108" s="130">
        <v>0</v>
      </c>
      <c r="AM108" s="130">
        <v>0</v>
      </c>
      <c r="AN108" s="130">
        <v>0</v>
      </c>
      <c r="AO108" s="130">
        <v>0</v>
      </c>
      <c r="AP108" s="130">
        <v>0</v>
      </c>
      <c r="AQ108" s="130">
        <v>0</v>
      </c>
      <c r="AR108" s="130">
        <v>0</v>
      </c>
      <c r="AS108" s="130">
        <v>0</v>
      </c>
      <c r="AT108" s="130">
        <v>0</v>
      </c>
      <c r="AU108" s="130">
        <v>0</v>
      </c>
      <c r="AV108" s="130">
        <v>0</v>
      </c>
      <c r="AW108" s="130">
        <v>0</v>
      </c>
      <c r="AX108" s="130">
        <v>0</v>
      </c>
      <c r="AY108" s="130">
        <v>0</v>
      </c>
      <c r="AZ108" s="112">
        <f>SUM($D108:$AY108)</f>
        <v>0</v>
      </c>
    </row>
    <row r="109" spans="1:52" x14ac:dyDescent="0.2">
      <c r="A109" s="136" t="s">
        <v>134</v>
      </c>
      <c r="B109" s="124">
        <v>1</v>
      </c>
      <c r="C109" s="111">
        <v>51.706406195001762</v>
      </c>
      <c r="D109" s="111">
        <v>51.706406195001762</v>
      </c>
      <c r="E109" s="111">
        <v>0</v>
      </c>
      <c r="F109" s="111">
        <v>0</v>
      </c>
      <c r="G109" s="111">
        <v>0</v>
      </c>
      <c r="H109" s="111">
        <v>0</v>
      </c>
      <c r="I109" s="111">
        <v>42.219549026862545</v>
      </c>
      <c r="J109" s="111">
        <v>42.219549026862545</v>
      </c>
      <c r="K109" s="111">
        <v>46.685062376988917</v>
      </c>
      <c r="L109" s="111">
        <v>46.685062376988917</v>
      </c>
      <c r="M109" s="111">
        <v>46.685062376988917</v>
      </c>
      <c r="N109" s="111">
        <v>46.685062376988917</v>
      </c>
      <c r="O109" s="111">
        <v>45.791959706963645</v>
      </c>
      <c r="P109" s="111">
        <v>45.791959706963645</v>
      </c>
      <c r="Q109" s="111">
        <v>45.791959706963645</v>
      </c>
      <c r="R109" s="111">
        <v>45.791959706963645</v>
      </c>
      <c r="S109" s="111">
        <v>45.791959706963645</v>
      </c>
      <c r="T109" s="111">
        <v>45.791959706963645</v>
      </c>
      <c r="U109" s="111">
        <v>42.219549026862545</v>
      </c>
      <c r="V109" s="111">
        <v>48.805722056526541</v>
      </c>
      <c r="W109" s="111">
        <v>47.496850234236057</v>
      </c>
      <c r="X109" s="111">
        <v>45.791959706963645</v>
      </c>
      <c r="Y109" s="111">
        <v>45.791959706963645</v>
      </c>
      <c r="Z109" s="111">
        <v>45.791959706963645</v>
      </c>
      <c r="AA109" s="111">
        <v>45.791959706963645</v>
      </c>
      <c r="AB109" s="111">
        <v>45.791959706963645</v>
      </c>
      <c r="AC109" s="111">
        <v>45.791959706963645</v>
      </c>
      <c r="AD109" s="111">
        <v>48.802074127269606</v>
      </c>
      <c r="AE109" s="111">
        <v>45.791959706963645</v>
      </c>
      <c r="AF109" s="111">
        <v>45.791959706963645</v>
      </c>
      <c r="AG109" s="111">
        <v>45.791959706963645</v>
      </c>
      <c r="AH109" s="111">
        <v>45.791959706963645</v>
      </c>
      <c r="AI109" s="111">
        <v>45.791959706963645</v>
      </c>
      <c r="AJ109" s="111">
        <v>46.834093204288699</v>
      </c>
      <c r="AK109" s="111">
        <v>46.092269630674942</v>
      </c>
      <c r="AL109" s="111">
        <v>45.791959706963645</v>
      </c>
      <c r="AM109" s="111">
        <v>45.791959706963645</v>
      </c>
      <c r="AN109" s="111">
        <v>45.791959706963645</v>
      </c>
      <c r="AO109" s="111">
        <v>45.791959706963645</v>
      </c>
      <c r="AP109" s="111">
        <v>45.791959706963645</v>
      </c>
      <c r="AQ109" s="111">
        <v>45.791959706963645</v>
      </c>
      <c r="AR109" s="111">
        <v>45.791959706963645</v>
      </c>
      <c r="AS109" s="111">
        <v>45.791959706963645</v>
      </c>
      <c r="AT109" s="111">
        <v>45.791959706963645</v>
      </c>
      <c r="AU109" s="111">
        <v>45.791959706963645</v>
      </c>
      <c r="AV109" s="111">
        <v>45.791959706963645</v>
      </c>
      <c r="AW109" s="111">
        <v>45.791959706963645</v>
      </c>
      <c r="AX109" s="111">
        <v>46.979416511090555</v>
      </c>
      <c r="AY109" s="111">
        <v>46.360577784653572</v>
      </c>
    </row>
    <row r="110" spans="1:52" x14ac:dyDescent="0.2">
      <c r="A110" s="114"/>
      <c r="B110" s="124">
        <v>2</v>
      </c>
      <c r="C110" s="111">
        <v>0</v>
      </c>
      <c r="D110" s="111">
        <v>0</v>
      </c>
      <c r="E110" s="111">
        <v>0</v>
      </c>
      <c r="F110" s="111">
        <v>0</v>
      </c>
      <c r="G110" s="111">
        <v>0</v>
      </c>
      <c r="H110" s="111">
        <v>0</v>
      </c>
      <c r="I110" s="111">
        <v>0</v>
      </c>
      <c r="J110" s="111">
        <v>0</v>
      </c>
      <c r="K110" s="111">
        <v>0</v>
      </c>
      <c r="L110" s="111">
        <v>0</v>
      </c>
      <c r="M110" s="111">
        <v>0</v>
      </c>
      <c r="N110" s="111">
        <v>0</v>
      </c>
      <c r="O110" s="111">
        <v>0</v>
      </c>
      <c r="P110" s="111">
        <v>0</v>
      </c>
      <c r="Q110" s="111">
        <v>0</v>
      </c>
      <c r="R110" s="111">
        <v>0</v>
      </c>
      <c r="S110" s="111">
        <v>0</v>
      </c>
      <c r="T110" s="111">
        <v>0</v>
      </c>
      <c r="U110" s="111">
        <v>0</v>
      </c>
      <c r="V110" s="111">
        <v>0</v>
      </c>
      <c r="W110" s="111">
        <v>0</v>
      </c>
      <c r="X110" s="111">
        <v>0</v>
      </c>
      <c r="Y110" s="111">
        <v>0</v>
      </c>
      <c r="Z110" s="111">
        <v>0</v>
      </c>
      <c r="AA110" s="111">
        <v>0</v>
      </c>
      <c r="AB110" s="111">
        <v>0</v>
      </c>
      <c r="AC110" s="111">
        <v>0</v>
      </c>
      <c r="AD110" s="111">
        <v>0</v>
      </c>
      <c r="AE110" s="111">
        <v>0</v>
      </c>
      <c r="AF110" s="111">
        <v>0</v>
      </c>
      <c r="AG110" s="111">
        <v>0</v>
      </c>
      <c r="AH110" s="111">
        <v>0</v>
      </c>
      <c r="AI110" s="111">
        <v>0</v>
      </c>
      <c r="AJ110" s="111">
        <v>0</v>
      </c>
      <c r="AK110" s="111">
        <v>0</v>
      </c>
      <c r="AL110" s="111">
        <v>0</v>
      </c>
      <c r="AM110" s="111">
        <v>0</v>
      </c>
      <c r="AN110" s="111">
        <v>0</v>
      </c>
      <c r="AO110" s="111">
        <v>0</v>
      </c>
      <c r="AP110" s="111">
        <v>0</v>
      </c>
      <c r="AQ110" s="111">
        <v>0</v>
      </c>
      <c r="AR110" s="111">
        <v>0</v>
      </c>
      <c r="AS110" s="111">
        <v>0</v>
      </c>
      <c r="AT110" s="111">
        <v>0</v>
      </c>
      <c r="AU110" s="111">
        <v>0</v>
      </c>
      <c r="AV110" s="111">
        <v>0</v>
      </c>
      <c r="AW110" s="111">
        <v>0</v>
      </c>
      <c r="AX110" s="111">
        <v>0</v>
      </c>
      <c r="AY110" s="111">
        <v>0</v>
      </c>
    </row>
    <row r="111" spans="1:52" x14ac:dyDescent="0.2">
      <c r="A111" s="114"/>
      <c r="B111" s="124">
        <v>3</v>
      </c>
      <c r="C111" s="111">
        <v>0</v>
      </c>
      <c r="D111" s="111">
        <v>0</v>
      </c>
      <c r="E111" s="111">
        <v>0</v>
      </c>
      <c r="F111" s="111">
        <v>0</v>
      </c>
      <c r="G111" s="111">
        <v>0</v>
      </c>
      <c r="H111" s="111">
        <v>0</v>
      </c>
      <c r="I111" s="111">
        <v>0</v>
      </c>
      <c r="J111" s="111">
        <v>0</v>
      </c>
      <c r="K111" s="111">
        <v>0</v>
      </c>
      <c r="L111" s="111">
        <v>0</v>
      </c>
      <c r="M111" s="111">
        <v>0</v>
      </c>
      <c r="N111" s="111">
        <v>0</v>
      </c>
      <c r="O111" s="111">
        <v>0</v>
      </c>
      <c r="P111" s="111">
        <v>0</v>
      </c>
      <c r="Q111" s="111">
        <v>0</v>
      </c>
      <c r="R111" s="111">
        <v>0</v>
      </c>
      <c r="S111" s="111">
        <v>0</v>
      </c>
      <c r="T111" s="111">
        <v>0</v>
      </c>
      <c r="U111" s="111">
        <v>0</v>
      </c>
      <c r="V111" s="111">
        <v>0</v>
      </c>
      <c r="W111" s="111">
        <v>0</v>
      </c>
      <c r="X111" s="111">
        <v>0</v>
      </c>
      <c r="Y111" s="111">
        <v>0</v>
      </c>
      <c r="Z111" s="111">
        <v>0</v>
      </c>
      <c r="AA111" s="111">
        <v>0</v>
      </c>
      <c r="AB111" s="111">
        <v>0</v>
      </c>
      <c r="AC111" s="111">
        <v>0</v>
      </c>
      <c r="AD111" s="111">
        <v>0</v>
      </c>
      <c r="AE111" s="111">
        <v>0</v>
      </c>
      <c r="AF111" s="111">
        <v>0</v>
      </c>
      <c r="AG111" s="111">
        <v>0</v>
      </c>
      <c r="AH111" s="111">
        <v>0</v>
      </c>
      <c r="AI111" s="111">
        <v>0</v>
      </c>
      <c r="AJ111" s="111">
        <v>0</v>
      </c>
      <c r="AK111" s="111">
        <v>0</v>
      </c>
      <c r="AL111" s="111">
        <v>0</v>
      </c>
      <c r="AM111" s="111">
        <v>0</v>
      </c>
      <c r="AN111" s="111">
        <v>0</v>
      </c>
      <c r="AO111" s="111">
        <v>0</v>
      </c>
      <c r="AP111" s="111">
        <v>0</v>
      </c>
      <c r="AQ111" s="111">
        <v>0</v>
      </c>
      <c r="AR111" s="111">
        <v>0</v>
      </c>
      <c r="AS111" s="111">
        <v>0</v>
      </c>
      <c r="AT111" s="111">
        <v>0</v>
      </c>
      <c r="AU111" s="111">
        <v>0</v>
      </c>
      <c r="AV111" s="111">
        <v>0</v>
      </c>
      <c r="AW111" s="111">
        <v>0</v>
      </c>
      <c r="AX111" s="111">
        <v>0</v>
      </c>
      <c r="AY111" s="111">
        <v>0</v>
      </c>
    </row>
    <row r="112" spans="1:52" x14ac:dyDescent="0.2">
      <c r="A112" s="114"/>
      <c r="B112" s="125">
        <v>4</v>
      </c>
      <c r="C112" s="111">
        <v>0</v>
      </c>
      <c r="D112" s="111">
        <v>0</v>
      </c>
      <c r="E112" s="111">
        <v>0</v>
      </c>
      <c r="F112" s="111">
        <v>0</v>
      </c>
      <c r="G112" s="111">
        <v>0</v>
      </c>
      <c r="H112" s="111">
        <v>0</v>
      </c>
      <c r="I112" s="111">
        <v>0</v>
      </c>
      <c r="J112" s="111">
        <v>0</v>
      </c>
      <c r="K112" s="111">
        <v>0</v>
      </c>
      <c r="L112" s="111">
        <v>0</v>
      </c>
      <c r="M112" s="111">
        <v>0</v>
      </c>
      <c r="N112" s="111">
        <v>0</v>
      </c>
      <c r="O112" s="111">
        <v>0</v>
      </c>
      <c r="P112" s="111">
        <v>0</v>
      </c>
      <c r="Q112" s="111">
        <v>0</v>
      </c>
      <c r="R112" s="111">
        <v>0</v>
      </c>
      <c r="S112" s="111">
        <v>0</v>
      </c>
      <c r="T112" s="111">
        <v>0</v>
      </c>
      <c r="U112" s="111">
        <v>0</v>
      </c>
      <c r="V112" s="111">
        <v>0</v>
      </c>
      <c r="W112" s="111">
        <v>0</v>
      </c>
      <c r="X112" s="111">
        <v>0</v>
      </c>
      <c r="Y112" s="111">
        <v>0</v>
      </c>
      <c r="Z112" s="111">
        <v>0</v>
      </c>
      <c r="AA112" s="111">
        <v>0</v>
      </c>
      <c r="AB112" s="111">
        <v>0</v>
      </c>
      <c r="AC112" s="111">
        <v>0</v>
      </c>
      <c r="AD112" s="111">
        <v>0</v>
      </c>
      <c r="AE112" s="111">
        <v>0</v>
      </c>
      <c r="AF112" s="111">
        <v>0</v>
      </c>
      <c r="AG112" s="111">
        <v>0</v>
      </c>
      <c r="AH112" s="111">
        <v>0</v>
      </c>
      <c r="AI112" s="111">
        <v>0</v>
      </c>
      <c r="AJ112" s="111">
        <v>0</v>
      </c>
      <c r="AK112" s="111">
        <v>0</v>
      </c>
      <c r="AL112" s="111">
        <v>0</v>
      </c>
      <c r="AM112" s="111">
        <v>0</v>
      </c>
      <c r="AN112" s="111">
        <v>0</v>
      </c>
      <c r="AO112" s="111">
        <v>0</v>
      </c>
      <c r="AP112" s="111">
        <v>0</v>
      </c>
      <c r="AQ112" s="111">
        <v>0</v>
      </c>
      <c r="AR112" s="111">
        <v>0</v>
      </c>
      <c r="AS112" s="111">
        <v>0</v>
      </c>
      <c r="AT112" s="111">
        <v>0</v>
      </c>
      <c r="AU112" s="111">
        <v>0</v>
      </c>
      <c r="AV112" s="111">
        <v>0</v>
      </c>
      <c r="AW112" s="111">
        <v>0</v>
      </c>
      <c r="AX112" s="111">
        <v>0</v>
      </c>
      <c r="AY112" s="111">
        <v>0</v>
      </c>
    </row>
    <row r="113" spans="1:52" x14ac:dyDescent="0.2">
      <c r="A113" s="114"/>
      <c r="B113" s="125">
        <v>5</v>
      </c>
      <c r="C113" s="111">
        <v>0</v>
      </c>
      <c r="D113" s="111">
        <v>0</v>
      </c>
      <c r="E113" s="111">
        <v>0</v>
      </c>
      <c r="F113" s="111">
        <v>0</v>
      </c>
      <c r="G113" s="111">
        <v>0</v>
      </c>
      <c r="H113" s="111">
        <v>0</v>
      </c>
      <c r="I113" s="111">
        <v>0</v>
      </c>
      <c r="J113" s="111">
        <v>0</v>
      </c>
      <c r="K113" s="111">
        <v>0</v>
      </c>
      <c r="L113" s="111">
        <v>0</v>
      </c>
      <c r="M113" s="111">
        <v>0</v>
      </c>
      <c r="N113" s="111">
        <v>0</v>
      </c>
      <c r="O113" s="111">
        <v>0</v>
      </c>
      <c r="P113" s="111">
        <v>0</v>
      </c>
      <c r="Q113" s="111">
        <v>0</v>
      </c>
      <c r="R113" s="111">
        <v>0</v>
      </c>
      <c r="S113" s="111">
        <v>0</v>
      </c>
      <c r="T113" s="111">
        <v>0</v>
      </c>
      <c r="U113" s="111">
        <v>0</v>
      </c>
      <c r="V113" s="111">
        <v>0</v>
      </c>
      <c r="W113" s="111">
        <v>0</v>
      </c>
      <c r="X113" s="111">
        <v>0</v>
      </c>
      <c r="Y113" s="111">
        <v>0</v>
      </c>
      <c r="Z113" s="111">
        <v>0</v>
      </c>
      <c r="AA113" s="111">
        <v>0</v>
      </c>
      <c r="AB113" s="111">
        <v>0</v>
      </c>
      <c r="AC113" s="111">
        <v>0</v>
      </c>
      <c r="AD113" s="111">
        <v>0</v>
      </c>
      <c r="AE113" s="111">
        <v>0</v>
      </c>
      <c r="AF113" s="111">
        <v>0</v>
      </c>
      <c r="AG113" s="111">
        <v>0</v>
      </c>
      <c r="AH113" s="111">
        <v>0</v>
      </c>
      <c r="AI113" s="111">
        <v>0</v>
      </c>
      <c r="AJ113" s="111">
        <v>0</v>
      </c>
      <c r="AK113" s="111">
        <v>0</v>
      </c>
      <c r="AL113" s="111">
        <v>0</v>
      </c>
      <c r="AM113" s="111">
        <v>0</v>
      </c>
      <c r="AN113" s="111">
        <v>0</v>
      </c>
      <c r="AO113" s="111">
        <v>0</v>
      </c>
      <c r="AP113" s="111">
        <v>0</v>
      </c>
      <c r="AQ113" s="111">
        <v>0</v>
      </c>
      <c r="AR113" s="111">
        <v>0</v>
      </c>
      <c r="AS113" s="111">
        <v>0</v>
      </c>
      <c r="AT113" s="111">
        <v>0</v>
      </c>
      <c r="AU113" s="111">
        <v>0</v>
      </c>
      <c r="AV113" s="111">
        <v>0</v>
      </c>
      <c r="AW113" s="111">
        <v>0</v>
      </c>
      <c r="AX113" s="111">
        <v>0</v>
      </c>
      <c r="AY113" s="111">
        <v>0</v>
      </c>
    </row>
    <row r="114" spans="1:52" x14ac:dyDescent="0.2">
      <c r="A114" s="114"/>
      <c r="B114" s="125">
        <v>6</v>
      </c>
      <c r="C114" s="111">
        <v>0</v>
      </c>
      <c r="D114" s="111">
        <v>0</v>
      </c>
      <c r="E114" s="111">
        <v>0</v>
      </c>
      <c r="F114" s="111">
        <v>0</v>
      </c>
      <c r="G114" s="111">
        <v>0</v>
      </c>
      <c r="H114" s="111">
        <v>0</v>
      </c>
      <c r="I114" s="111">
        <v>0</v>
      </c>
      <c r="J114" s="111">
        <v>0</v>
      </c>
      <c r="K114" s="111">
        <v>0</v>
      </c>
      <c r="L114" s="111">
        <v>0</v>
      </c>
      <c r="M114" s="111">
        <v>0</v>
      </c>
      <c r="N114" s="111">
        <v>0</v>
      </c>
      <c r="O114" s="111">
        <v>0</v>
      </c>
      <c r="P114" s="111">
        <v>0</v>
      </c>
      <c r="Q114" s="111">
        <v>0</v>
      </c>
      <c r="R114" s="111">
        <v>0</v>
      </c>
      <c r="S114" s="111">
        <v>0</v>
      </c>
      <c r="T114" s="111">
        <v>0</v>
      </c>
      <c r="U114" s="111">
        <v>0</v>
      </c>
      <c r="V114" s="111">
        <v>0</v>
      </c>
      <c r="W114" s="111">
        <v>0</v>
      </c>
      <c r="X114" s="111">
        <v>0</v>
      </c>
      <c r="Y114" s="111">
        <v>0</v>
      </c>
      <c r="Z114" s="111">
        <v>0</v>
      </c>
      <c r="AA114" s="111">
        <v>0</v>
      </c>
      <c r="AB114" s="111">
        <v>0</v>
      </c>
      <c r="AC114" s="111">
        <v>0</v>
      </c>
      <c r="AD114" s="111">
        <v>0</v>
      </c>
      <c r="AE114" s="111">
        <v>0</v>
      </c>
      <c r="AF114" s="111">
        <v>0</v>
      </c>
      <c r="AG114" s="111">
        <v>0</v>
      </c>
      <c r="AH114" s="111">
        <v>0</v>
      </c>
      <c r="AI114" s="111">
        <v>0</v>
      </c>
      <c r="AJ114" s="111">
        <v>0</v>
      </c>
      <c r="AK114" s="111">
        <v>0</v>
      </c>
      <c r="AL114" s="111">
        <v>0</v>
      </c>
      <c r="AM114" s="111">
        <v>0</v>
      </c>
      <c r="AN114" s="111">
        <v>0</v>
      </c>
      <c r="AO114" s="111">
        <v>0</v>
      </c>
      <c r="AP114" s="111">
        <v>0</v>
      </c>
      <c r="AQ114" s="111">
        <v>0</v>
      </c>
      <c r="AR114" s="111">
        <v>0</v>
      </c>
      <c r="AS114" s="111">
        <v>0</v>
      </c>
      <c r="AT114" s="111">
        <v>0</v>
      </c>
      <c r="AU114" s="111">
        <v>0</v>
      </c>
      <c r="AV114" s="111">
        <v>0</v>
      </c>
      <c r="AW114" s="111">
        <v>0</v>
      </c>
      <c r="AX114" s="111">
        <v>0</v>
      </c>
      <c r="AY114" s="111">
        <v>0</v>
      </c>
    </row>
    <row r="115" spans="1:52" x14ac:dyDescent="0.2">
      <c r="A115" s="114"/>
      <c r="B115" s="132">
        <v>7</v>
      </c>
      <c r="C115" s="111">
        <v>0</v>
      </c>
      <c r="D115" s="111">
        <v>0</v>
      </c>
      <c r="E115" s="111">
        <v>0</v>
      </c>
      <c r="F115" s="111">
        <v>0</v>
      </c>
      <c r="G115" s="111">
        <v>0</v>
      </c>
      <c r="H115" s="111">
        <v>0</v>
      </c>
      <c r="I115" s="111">
        <v>0</v>
      </c>
      <c r="J115" s="111">
        <v>0</v>
      </c>
      <c r="K115" s="111">
        <v>0</v>
      </c>
      <c r="L115" s="111">
        <v>0</v>
      </c>
      <c r="M115" s="111">
        <v>0</v>
      </c>
      <c r="N115" s="111">
        <v>0</v>
      </c>
      <c r="O115" s="111">
        <v>0</v>
      </c>
      <c r="P115" s="111">
        <v>0</v>
      </c>
      <c r="Q115" s="111">
        <v>0</v>
      </c>
      <c r="R115" s="111">
        <v>0</v>
      </c>
      <c r="S115" s="111">
        <v>0</v>
      </c>
      <c r="T115" s="111">
        <v>0</v>
      </c>
      <c r="U115" s="111">
        <v>0</v>
      </c>
      <c r="V115" s="111">
        <v>0</v>
      </c>
      <c r="W115" s="111">
        <v>0</v>
      </c>
      <c r="X115" s="111">
        <v>0</v>
      </c>
      <c r="Y115" s="111">
        <v>0</v>
      </c>
      <c r="Z115" s="111">
        <v>0</v>
      </c>
      <c r="AA115" s="111">
        <v>0</v>
      </c>
      <c r="AB115" s="111">
        <v>0</v>
      </c>
      <c r="AC115" s="111">
        <v>0</v>
      </c>
      <c r="AD115" s="111">
        <v>0</v>
      </c>
      <c r="AE115" s="111">
        <v>0</v>
      </c>
      <c r="AF115" s="111">
        <v>0</v>
      </c>
      <c r="AG115" s="111">
        <v>0</v>
      </c>
      <c r="AH115" s="111">
        <v>0</v>
      </c>
      <c r="AI115" s="111">
        <v>0</v>
      </c>
      <c r="AJ115" s="111">
        <v>0</v>
      </c>
      <c r="AK115" s="111">
        <v>0</v>
      </c>
      <c r="AL115" s="111">
        <v>0</v>
      </c>
      <c r="AM115" s="111">
        <v>0</v>
      </c>
      <c r="AN115" s="111">
        <v>0</v>
      </c>
      <c r="AO115" s="111">
        <v>0</v>
      </c>
      <c r="AP115" s="111">
        <v>0</v>
      </c>
      <c r="AQ115" s="111">
        <v>0</v>
      </c>
      <c r="AR115" s="111">
        <v>0</v>
      </c>
      <c r="AS115" s="111">
        <v>0</v>
      </c>
      <c r="AT115" s="111">
        <v>0</v>
      </c>
      <c r="AU115" s="111">
        <v>0</v>
      </c>
      <c r="AV115" s="111">
        <v>0</v>
      </c>
      <c r="AW115" s="111">
        <v>0</v>
      </c>
      <c r="AX115" s="111">
        <v>0</v>
      </c>
      <c r="AY115" s="111">
        <v>0</v>
      </c>
    </row>
    <row r="116" spans="1:52" x14ac:dyDescent="0.2">
      <c r="A116" s="114"/>
      <c r="B116" s="132">
        <v>8</v>
      </c>
      <c r="C116" s="111">
        <v>0</v>
      </c>
      <c r="D116" s="111">
        <v>0</v>
      </c>
      <c r="E116" s="111">
        <v>0</v>
      </c>
      <c r="F116" s="111">
        <v>0</v>
      </c>
      <c r="G116" s="111">
        <v>0</v>
      </c>
      <c r="H116" s="111">
        <v>0</v>
      </c>
      <c r="I116" s="111">
        <v>0</v>
      </c>
      <c r="J116" s="111">
        <v>0</v>
      </c>
      <c r="K116" s="111">
        <v>0</v>
      </c>
      <c r="L116" s="111">
        <v>0</v>
      </c>
      <c r="M116" s="111">
        <v>0</v>
      </c>
      <c r="N116" s="111">
        <v>0</v>
      </c>
      <c r="O116" s="111">
        <v>0</v>
      </c>
      <c r="P116" s="111">
        <v>0</v>
      </c>
      <c r="Q116" s="111">
        <v>0</v>
      </c>
      <c r="R116" s="111">
        <v>0</v>
      </c>
      <c r="S116" s="111">
        <v>0</v>
      </c>
      <c r="T116" s="111">
        <v>0</v>
      </c>
      <c r="U116" s="111">
        <v>0</v>
      </c>
      <c r="V116" s="111">
        <v>0</v>
      </c>
      <c r="W116" s="111">
        <v>0</v>
      </c>
      <c r="X116" s="111">
        <v>0</v>
      </c>
      <c r="Y116" s="111">
        <v>0</v>
      </c>
      <c r="Z116" s="111">
        <v>0</v>
      </c>
      <c r="AA116" s="111">
        <v>0</v>
      </c>
      <c r="AB116" s="111">
        <v>0</v>
      </c>
      <c r="AC116" s="111">
        <v>0</v>
      </c>
      <c r="AD116" s="111">
        <v>0</v>
      </c>
      <c r="AE116" s="111">
        <v>0</v>
      </c>
      <c r="AF116" s="111">
        <v>0</v>
      </c>
      <c r="AG116" s="111">
        <v>0</v>
      </c>
      <c r="AH116" s="111">
        <v>0</v>
      </c>
      <c r="AI116" s="111">
        <v>0</v>
      </c>
      <c r="AJ116" s="111">
        <v>0</v>
      </c>
      <c r="AK116" s="111">
        <v>0</v>
      </c>
      <c r="AL116" s="111">
        <v>0</v>
      </c>
      <c r="AM116" s="111">
        <v>0</v>
      </c>
      <c r="AN116" s="111">
        <v>0</v>
      </c>
      <c r="AO116" s="111">
        <v>0</v>
      </c>
      <c r="AP116" s="111">
        <v>0</v>
      </c>
      <c r="AQ116" s="111">
        <v>0</v>
      </c>
      <c r="AR116" s="111">
        <v>0</v>
      </c>
      <c r="AS116" s="111">
        <v>0</v>
      </c>
      <c r="AT116" s="111">
        <v>0</v>
      </c>
      <c r="AU116" s="111">
        <v>0</v>
      </c>
      <c r="AV116" s="111">
        <v>0</v>
      </c>
      <c r="AW116" s="111">
        <v>0</v>
      </c>
      <c r="AX116" s="111">
        <v>0</v>
      </c>
      <c r="AY116" s="111">
        <v>0</v>
      </c>
    </row>
    <row r="117" spans="1:52" x14ac:dyDescent="0.2">
      <c r="A117" s="114"/>
      <c r="B117" s="132">
        <v>9</v>
      </c>
      <c r="C117" s="111">
        <v>0</v>
      </c>
      <c r="D117" s="111">
        <v>0</v>
      </c>
      <c r="E117" s="111">
        <v>0</v>
      </c>
      <c r="F117" s="111">
        <v>0</v>
      </c>
      <c r="G117" s="111">
        <v>0</v>
      </c>
      <c r="H117" s="111">
        <v>0</v>
      </c>
      <c r="I117" s="111">
        <v>0</v>
      </c>
      <c r="J117" s="111">
        <v>0</v>
      </c>
      <c r="K117" s="111">
        <v>0</v>
      </c>
      <c r="L117" s="111">
        <v>0</v>
      </c>
      <c r="M117" s="111">
        <v>0</v>
      </c>
      <c r="N117" s="111">
        <v>0</v>
      </c>
      <c r="O117" s="111">
        <v>0</v>
      </c>
      <c r="P117" s="111">
        <v>0</v>
      </c>
      <c r="Q117" s="111">
        <v>0</v>
      </c>
      <c r="R117" s="111">
        <v>0</v>
      </c>
      <c r="S117" s="111">
        <v>0</v>
      </c>
      <c r="T117" s="111">
        <v>0</v>
      </c>
      <c r="U117" s="111">
        <v>0</v>
      </c>
      <c r="V117" s="111">
        <v>0</v>
      </c>
      <c r="W117" s="111">
        <v>0</v>
      </c>
      <c r="X117" s="111">
        <v>0</v>
      </c>
      <c r="Y117" s="111">
        <v>0</v>
      </c>
      <c r="Z117" s="111">
        <v>0</v>
      </c>
      <c r="AA117" s="111">
        <v>0</v>
      </c>
      <c r="AB117" s="111">
        <v>0</v>
      </c>
      <c r="AC117" s="111">
        <v>0</v>
      </c>
      <c r="AD117" s="111">
        <v>0</v>
      </c>
      <c r="AE117" s="111">
        <v>0</v>
      </c>
      <c r="AF117" s="111">
        <v>0</v>
      </c>
      <c r="AG117" s="111">
        <v>0</v>
      </c>
      <c r="AH117" s="111">
        <v>0</v>
      </c>
      <c r="AI117" s="111">
        <v>0</v>
      </c>
      <c r="AJ117" s="111">
        <v>0</v>
      </c>
      <c r="AK117" s="111">
        <v>0</v>
      </c>
      <c r="AL117" s="111">
        <v>0</v>
      </c>
      <c r="AM117" s="111">
        <v>0</v>
      </c>
      <c r="AN117" s="111">
        <v>0</v>
      </c>
      <c r="AO117" s="111">
        <v>0</v>
      </c>
      <c r="AP117" s="111">
        <v>0</v>
      </c>
      <c r="AQ117" s="111">
        <v>0</v>
      </c>
      <c r="AR117" s="111">
        <v>0</v>
      </c>
      <c r="AS117" s="111">
        <v>0</v>
      </c>
      <c r="AT117" s="111">
        <v>0</v>
      </c>
      <c r="AU117" s="111">
        <v>0</v>
      </c>
      <c r="AV117" s="111">
        <v>0</v>
      </c>
      <c r="AW117" s="111">
        <v>0</v>
      </c>
      <c r="AX117" s="111">
        <v>0</v>
      </c>
      <c r="AY117" s="111">
        <v>0</v>
      </c>
    </row>
    <row r="118" spans="1:52" x14ac:dyDescent="0.2">
      <c r="A118" s="114"/>
      <c r="B118" s="135">
        <v>10</v>
      </c>
      <c r="C118" s="111">
        <v>0</v>
      </c>
      <c r="D118" s="111">
        <v>0</v>
      </c>
      <c r="E118" s="111">
        <v>0</v>
      </c>
      <c r="F118" s="111">
        <v>0</v>
      </c>
      <c r="G118" s="111">
        <v>0</v>
      </c>
      <c r="H118" s="111">
        <v>0</v>
      </c>
      <c r="I118" s="111">
        <v>0</v>
      </c>
      <c r="J118" s="111">
        <v>0</v>
      </c>
      <c r="K118" s="111">
        <v>0</v>
      </c>
      <c r="L118" s="111">
        <v>0</v>
      </c>
      <c r="M118" s="111">
        <v>0</v>
      </c>
      <c r="N118" s="111">
        <v>0</v>
      </c>
      <c r="O118" s="111">
        <v>0</v>
      </c>
      <c r="P118" s="111">
        <v>0</v>
      </c>
      <c r="Q118" s="111">
        <v>0</v>
      </c>
      <c r="R118" s="111">
        <v>0</v>
      </c>
      <c r="S118" s="111">
        <v>0</v>
      </c>
      <c r="T118" s="111">
        <v>0</v>
      </c>
      <c r="U118" s="111">
        <v>0</v>
      </c>
      <c r="V118" s="111">
        <v>0</v>
      </c>
      <c r="W118" s="111">
        <v>0</v>
      </c>
      <c r="X118" s="111">
        <v>0</v>
      </c>
      <c r="Y118" s="111">
        <v>0</v>
      </c>
      <c r="Z118" s="111">
        <v>0</v>
      </c>
      <c r="AA118" s="111">
        <v>0</v>
      </c>
      <c r="AB118" s="111">
        <v>0</v>
      </c>
      <c r="AC118" s="111">
        <v>0</v>
      </c>
      <c r="AD118" s="111">
        <v>0</v>
      </c>
      <c r="AE118" s="111">
        <v>0</v>
      </c>
      <c r="AF118" s="111">
        <v>0</v>
      </c>
      <c r="AG118" s="111">
        <v>0</v>
      </c>
      <c r="AH118" s="111">
        <v>0</v>
      </c>
      <c r="AI118" s="111">
        <v>0</v>
      </c>
      <c r="AJ118" s="111">
        <v>0</v>
      </c>
      <c r="AK118" s="111">
        <v>0</v>
      </c>
      <c r="AL118" s="111">
        <v>0</v>
      </c>
      <c r="AM118" s="111">
        <v>0</v>
      </c>
      <c r="AN118" s="111">
        <v>0</v>
      </c>
      <c r="AO118" s="111">
        <v>0</v>
      </c>
      <c r="AP118" s="111">
        <v>0</v>
      </c>
      <c r="AQ118" s="111">
        <v>0</v>
      </c>
      <c r="AR118" s="111">
        <v>0</v>
      </c>
      <c r="AS118" s="111">
        <v>0</v>
      </c>
      <c r="AT118" s="111">
        <v>0</v>
      </c>
      <c r="AU118" s="111">
        <v>0</v>
      </c>
      <c r="AV118" s="111">
        <v>0</v>
      </c>
      <c r="AW118" s="111">
        <v>0</v>
      </c>
      <c r="AX118" s="111">
        <v>0</v>
      </c>
      <c r="AY118" s="111">
        <v>0</v>
      </c>
    </row>
    <row r="119" spans="1:52" x14ac:dyDescent="0.2">
      <c r="A119" s="114"/>
      <c r="B119" s="135">
        <v>11</v>
      </c>
      <c r="C119" s="111">
        <v>0</v>
      </c>
      <c r="D119" s="111">
        <v>0</v>
      </c>
      <c r="E119" s="111">
        <v>0</v>
      </c>
      <c r="F119" s="111">
        <v>0</v>
      </c>
      <c r="G119" s="111">
        <v>0</v>
      </c>
      <c r="H119" s="111">
        <v>0</v>
      </c>
      <c r="I119" s="111">
        <v>0</v>
      </c>
      <c r="J119" s="111">
        <v>0</v>
      </c>
      <c r="K119" s="111">
        <v>0</v>
      </c>
      <c r="L119" s="111">
        <v>0</v>
      </c>
      <c r="M119" s="111">
        <v>0</v>
      </c>
      <c r="N119" s="111">
        <v>0</v>
      </c>
      <c r="O119" s="111">
        <v>0</v>
      </c>
      <c r="P119" s="111">
        <v>0</v>
      </c>
      <c r="Q119" s="111">
        <v>0</v>
      </c>
      <c r="R119" s="111">
        <v>0</v>
      </c>
      <c r="S119" s="111">
        <v>0</v>
      </c>
      <c r="T119" s="111">
        <v>0</v>
      </c>
      <c r="U119" s="111">
        <v>0</v>
      </c>
      <c r="V119" s="111">
        <v>0</v>
      </c>
      <c r="W119" s="111">
        <v>0</v>
      </c>
      <c r="X119" s="111">
        <v>0</v>
      </c>
      <c r="Y119" s="111">
        <v>0</v>
      </c>
      <c r="Z119" s="111">
        <v>0</v>
      </c>
      <c r="AA119" s="111">
        <v>0</v>
      </c>
      <c r="AB119" s="111">
        <v>0</v>
      </c>
      <c r="AC119" s="111">
        <v>0</v>
      </c>
      <c r="AD119" s="111">
        <v>0</v>
      </c>
      <c r="AE119" s="111">
        <v>0</v>
      </c>
      <c r="AF119" s="111">
        <v>0</v>
      </c>
      <c r="AG119" s="111">
        <v>0</v>
      </c>
      <c r="AH119" s="111">
        <v>0</v>
      </c>
      <c r="AI119" s="111">
        <v>0</v>
      </c>
      <c r="AJ119" s="111">
        <v>0</v>
      </c>
      <c r="AK119" s="111">
        <v>0</v>
      </c>
      <c r="AL119" s="111">
        <v>0</v>
      </c>
      <c r="AM119" s="111">
        <v>0</v>
      </c>
      <c r="AN119" s="111">
        <v>0</v>
      </c>
      <c r="AO119" s="111">
        <v>0</v>
      </c>
      <c r="AP119" s="111">
        <v>0</v>
      </c>
      <c r="AQ119" s="111">
        <v>0</v>
      </c>
      <c r="AR119" s="111">
        <v>0</v>
      </c>
      <c r="AS119" s="111">
        <v>0</v>
      </c>
      <c r="AT119" s="111">
        <v>0</v>
      </c>
      <c r="AU119" s="111">
        <v>0</v>
      </c>
      <c r="AV119" s="111">
        <v>0</v>
      </c>
      <c r="AW119" s="111">
        <v>0</v>
      </c>
      <c r="AX119" s="111">
        <v>0</v>
      </c>
      <c r="AY119" s="111">
        <v>0</v>
      </c>
    </row>
    <row r="120" spans="1:52" x14ac:dyDescent="0.2">
      <c r="A120" s="114"/>
      <c r="B120" s="135">
        <v>12</v>
      </c>
      <c r="C120" s="111">
        <v>0</v>
      </c>
      <c r="D120" s="111">
        <v>0</v>
      </c>
      <c r="E120" s="111">
        <v>0</v>
      </c>
      <c r="F120" s="111">
        <v>0</v>
      </c>
      <c r="G120" s="111">
        <v>0</v>
      </c>
      <c r="H120" s="111">
        <v>0</v>
      </c>
      <c r="I120" s="111">
        <v>0</v>
      </c>
      <c r="J120" s="111">
        <v>0</v>
      </c>
      <c r="K120" s="111">
        <v>0</v>
      </c>
      <c r="L120" s="111">
        <v>0</v>
      </c>
      <c r="M120" s="111">
        <v>0</v>
      </c>
      <c r="N120" s="111">
        <v>0</v>
      </c>
      <c r="O120" s="111">
        <v>0</v>
      </c>
      <c r="P120" s="111">
        <v>0</v>
      </c>
      <c r="Q120" s="111">
        <v>0</v>
      </c>
      <c r="R120" s="111">
        <v>0</v>
      </c>
      <c r="S120" s="111">
        <v>0</v>
      </c>
      <c r="T120" s="111">
        <v>0</v>
      </c>
      <c r="U120" s="111">
        <v>0</v>
      </c>
      <c r="V120" s="111">
        <v>0</v>
      </c>
      <c r="W120" s="111">
        <v>0</v>
      </c>
      <c r="X120" s="111">
        <v>0</v>
      </c>
      <c r="Y120" s="111">
        <v>0</v>
      </c>
      <c r="Z120" s="111">
        <v>0</v>
      </c>
      <c r="AA120" s="111">
        <v>0</v>
      </c>
      <c r="AB120" s="111">
        <v>0</v>
      </c>
      <c r="AC120" s="111">
        <v>0</v>
      </c>
      <c r="AD120" s="111">
        <v>0</v>
      </c>
      <c r="AE120" s="111">
        <v>0</v>
      </c>
      <c r="AF120" s="111">
        <v>0</v>
      </c>
      <c r="AG120" s="111">
        <v>0</v>
      </c>
      <c r="AH120" s="111">
        <v>0</v>
      </c>
      <c r="AI120" s="111">
        <v>0</v>
      </c>
      <c r="AJ120" s="111">
        <v>0</v>
      </c>
      <c r="AK120" s="111">
        <v>0</v>
      </c>
      <c r="AL120" s="111">
        <v>0</v>
      </c>
      <c r="AM120" s="111">
        <v>0</v>
      </c>
      <c r="AN120" s="111">
        <v>0</v>
      </c>
      <c r="AO120" s="111">
        <v>0</v>
      </c>
      <c r="AP120" s="111">
        <v>0</v>
      </c>
      <c r="AQ120" s="111">
        <v>0</v>
      </c>
      <c r="AR120" s="111">
        <v>0</v>
      </c>
      <c r="AS120" s="111">
        <v>0</v>
      </c>
      <c r="AT120" s="111">
        <v>0</v>
      </c>
      <c r="AU120" s="111">
        <v>0</v>
      </c>
      <c r="AV120" s="111">
        <v>0</v>
      </c>
      <c r="AW120" s="111">
        <v>0</v>
      </c>
      <c r="AX120" s="111">
        <v>0</v>
      </c>
      <c r="AY120" s="111">
        <v>0</v>
      </c>
    </row>
    <row r="121" spans="1:52" x14ac:dyDescent="0.2">
      <c r="A121" s="133"/>
      <c r="B121" s="137" t="s">
        <v>296</v>
      </c>
      <c r="C121" s="119">
        <v>0</v>
      </c>
      <c r="D121" s="130">
        <v>0</v>
      </c>
      <c r="E121" s="130">
        <v>0</v>
      </c>
      <c r="F121" s="130">
        <v>0</v>
      </c>
      <c r="G121" s="130">
        <v>0</v>
      </c>
      <c r="H121" s="130">
        <v>0</v>
      </c>
      <c r="I121" s="130">
        <v>0</v>
      </c>
      <c r="J121" s="130">
        <v>0</v>
      </c>
      <c r="K121" s="130">
        <v>0</v>
      </c>
      <c r="L121" s="130">
        <v>0</v>
      </c>
      <c r="M121" s="130">
        <v>0</v>
      </c>
      <c r="N121" s="130">
        <v>0</v>
      </c>
      <c r="O121" s="130">
        <v>0</v>
      </c>
      <c r="P121" s="130">
        <v>0</v>
      </c>
      <c r="Q121" s="130">
        <v>0</v>
      </c>
      <c r="R121" s="130">
        <v>0</v>
      </c>
      <c r="S121" s="130">
        <v>0</v>
      </c>
      <c r="T121" s="130">
        <v>0</v>
      </c>
      <c r="U121" s="130">
        <v>0</v>
      </c>
      <c r="V121" s="130">
        <v>0</v>
      </c>
      <c r="W121" s="130">
        <v>0</v>
      </c>
      <c r="X121" s="130">
        <v>0</v>
      </c>
      <c r="Y121" s="130">
        <v>0</v>
      </c>
      <c r="Z121" s="130">
        <v>0</v>
      </c>
      <c r="AA121" s="130">
        <v>0</v>
      </c>
      <c r="AB121" s="130">
        <v>0</v>
      </c>
      <c r="AC121" s="130">
        <v>0</v>
      </c>
      <c r="AD121" s="130">
        <v>0</v>
      </c>
      <c r="AE121" s="130">
        <v>0</v>
      </c>
      <c r="AF121" s="130">
        <v>0</v>
      </c>
      <c r="AG121" s="130">
        <v>0</v>
      </c>
      <c r="AH121" s="130">
        <v>0</v>
      </c>
      <c r="AI121" s="130">
        <v>0</v>
      </c>
      <c r="AJ121" s="130">
        <v>0</v>
      </c>
      <c r="AK121" s="130">
        <v>0</v>
      </c>
      <c r="AL121" s="130">
        <v>0</v>
      </c>
      <c r="AM121" s="130">
        <v>0</v>
      </c>
      <c r="AN121" s="130">
        <v>0</v>
      </c>
      <c r="AO121" s="130">
        <v>0</v>
      </c>
      <c r="AP121" s="130">
        <v>0</v>
      </c>
      <c r="AQ121" s="130">
        <v>0</v>
      </c>
      <c r="AR121" s="130">
        <v>0</v>
      </c>
      <c r="AS121" s="130">
        <v>0</v>
      </c>
      <c r="AT121" s="130">
        <v>0</v>
      </c>
      <c r="AU121" s="130">
        <v>0</v>
      </c>
      <c r="AV121" s="130">
        <v>0</v>
      </c>
      <c r="AW121" s="130">
        <v>0</v>
      </c>
      <c r="AX121" s="130">
        <v>0</v>
      </c>
      <c r="AY121" s="130">
        <v>0</v>
      </c>
      <c r="AZ121" s="112">
        <f>SUM($D121:$AY121)</f>
        <v>0</v>
      </c>
    </row>
    <row r="122" spans="1:52" x14ac:dyDescent="0.2">
      <c r="A122" s="136" t="s">
        <v>123</v>
      </c>
      <c r="B122" s="124">
        <v>1</v>
      </c>
      <c r="C122" s="111">
        <v>517.06406195001762</v>
      </c>
      <c r="D122" s="111">
        <v>46.999999999999993</v>
      </c>
      <c r="E122" s="111">
        <v>52.616277599999968</v>
      </c>
      <c r="F122" s="111">
        <v>0</v>
      </c>
      <c r="G122" s="111">
        <v>0</v>
      </c>
      <c r="H122" s="111">
        <v>436.90123636363631</v>
      </c>
      <c r="I122" s="111">
        <v>436.90123636363631</v>
      </c>
      <c r="J122" s="111">
        <v>483.1117797881339</v>
      </c>
      <c r="K122" s="111">
        <v>483.1117797881339</v>
      </c>
      <c r="L122" s="111">
        <v>483.1117797881339</v>
      </c>
      <c r="M122" s="111">
        <v>483.1117797881339</v>
      </c>
      <c r="N122" s="111">
        <v>473.8696711032344</v>
      </c>
      <c r="O122" s="111">
        <v>473.8696711032344</v>
      </c>
      <c r="P122" s="111">
        <v>473.8696711032344</v>
      </c>
      <c r="Q122" s="111">
        <v>473.8696711032344</v>
      </c>
      <c r="R122" s="111">
        <v>473.8696711032344</v>
      </c>
      <c r="S122" s="111">
        <v>473.8696711032344</v>
      </c>
      <c r="T122" s="111">
        <v>436.90123636363631</v>
      </c>
      <c r="U122" s="111">
        <v>505.05703636363626</v>
      </c>
      <c r="V122" s="111">
        <v>473.8696711032344</v>
      </c>
      <c r="W122" s="111">
        <v>473.8696711032344</v>
      </c>
      <c r="X122" s="111">
        <v>473.8696711032344</v>
      </c>
      <c r="Y122" s="111">
        <v>473.8696711032344</v>
      </c>
      <c r="Z122" s="111">
        <v>473.8696711032344</v>
      </c>
      <c r="AA122" s="111">
        <v>473.8696711032344</v>
      </c>
      <c r="AB122" s="111">
        <v>473.8696711032344</v>
      </c>
      <c r="AC122" s="111">
        <v>473.8696711032344</v>
      </c>
      <c r="AD122" s="111">
        <v>473.8696711032344</v>
      </c>
      <c r="AE122" s="111">
        <v>473.8696711032344</v>
      </c>
      <c r="AF122" s="111">
        <v>473.8696711032344</v>
      </c>
      <c r="AG122" s="111">
        <v>473.8696711032344</v>
      </c>
      <c r="AH122" s="111">
        <v>473.8696711032344</v>
      </c>
      <c r="AI122" s="111">
        <v>473.8696711032344</v>
      </c>
      <c r="AJ122" s="111">
        <v>473.8696711032344</v>
      </c>
      <c r="AK122" s="111">
        <v>473.8696711032344</v>
      </c>
      <c r="AL122" s="111">
        <v>473.8696711032344</v>
      </c>
      <c r="AM122" s="111">
        <v>473.8696711032344</v>
      </c>
      <c r="AN122" s="111">
        <v>473.8696711032344</v>
      </c>
      <c r="AO122" s="111">
        <v>473.8696711032344</v>
      </c>
      <c r="AP122" s="111">
        <v>473.8696711032344</v>
      </c>
      <c r="AQ122" s="111">
        <v>473.8696711032344</v>
      </c>
      <c r="AR122" s="111">
        <v>473.8696711032344</v>
      </c>
      <c r="AS122" s="111">
        <v>473.8696711032344</v>
      </c>
      <c r="AT122" s="111">
        <v>473.8696711032344</v>
      </c>
      <c r="AU122" s="111">
        <v>473.8696711032344</v>
      </c>
      <c r="AV122" s="111">
        <v>473.8696711032344</v>
      </c>
      <c r="AW122" s="111">
        <v>473.8696711032344</v>
      </c>
      <c r="AX122" s="111">
        <v>473.8696711032344</v>
      </c>
      <c r="AY122" s="111">
        <v>473.8696711032344</v>
      </c>
    </row>
    <row r="123" spans="1:52" x14ac:dyDescent="0.2">
      <c r="A123" s="114"/>
      <c r="B123" s="124">
        <v>2</v>
      </c>
      <c r="C123" s="111">
        <v>0</v>
      </c>
      <c r="D123" s="111">
        <v>0</v>
      </c>
      <c r="E123" s="111">
        <v>0</v>
      </c>
      <c r="F123" s="111">
        <v>0</v>
      </c>
      <c r="G123" s="111">
        <v>0</v>
      </c>
      <c r="H123" s="111">
        <v>0</v>
      </c>
      <c r="I123" s="111">
        <v>0</v>
      </c>
      <c r="J123" s="111">
        <v>0</v>
      </c>
      <c r="K123" s="111">
        <v>0</v>
      </c>
      <c r="L123" s="111">
        <v>0</v>
      </c>
      <c r="M123" s="111">
        <v>0</v>
      </c>
      <c r="N123" s="111">
        <v>0</v>
      </c>
      <c r="O123" s="111">
        <v>0</v>
      </c>
      <c r="P123" s="111">
        <v>0</v>
      </c>
      <c r="Q123" s="111">
        <v>0</v>
      </c>
      <c r="R123" s="111">
        <v>0</v>
      </c>
      <c r="S123" s="111">
        <v>0</v>
      </c>
      <c r="T123" s="111">
        <v>0</v>
      </c>
      <c r="U123" s="111">
        <v>0</v>
      </c>
      <c r="V123" s="111">
        <v>17.642745988500224</v>
      </c>
      <c r="W123" s="111">
        <v>0</v>
      </c>
      <c r="X123" s="111">
        <v>0</v>
      </c>
      <c r="Y123" s="111">
        <v>0</v>
      </c>
      <c r="Z123" s="111">
        <v>0</v>
      </c>
      <c r="AA123" s="111">
        <v>0</v>
      </c>
      <c r="AB123" s="111">
        <v>0</v>
      </c>
      <c r="AC123" s="111">
        <v>31.149615335562316</v>
      </c>
      <c r="AD123" s="111">
        <v>0</v>
      </c>
      <c r="AE123" s="111">
        <v>0</v>
      </c>
      <c r="AF123" s="111">
        <v>0</v>
      </c>
      <c r="AG123" s="111">
        <v>0</v>
      </c>
      <c r="AH123" s="111">
        <v>0</v>
      </c>
      <c r="AI123" s="111">
        <v>10.78432678538519</v>
      </c>
      <c r="AJ123" s="111">
        <v>3.107702000280824</v>
      </c>
      <c r="AK123" s="111">
        <v>0</v>
      </c>
      <c r="AL123" s="111">
        <v>0</v>
      </c>
      <c r="AM123" s="111">
        <v>0</v>
      </c>
      <c r="AN123" s="111">
        <v>0</v>
      </c>
      <c r="AO123" s="111">
        <v>0</v>
      </c>
      <c r="AP123" s="111">
        <v>0</v>
      </c>
      <c r="AQ123" s="111">
        <v>0</v>
      </c>
      <c r="AR123" s="111">
        <v>0</v>
      </c>
      <c r="AS123" s="111">
        <v>0</v>
      </c>
      <c r="AT123" s="111">
        <v>0</v>
      </c>
      <c r="AU123" s="111">
        <v>0</v>
      </c>
      <c r="AV123" s="111">
        <v>0</v>
      </c>
      <c r="AW123" s="111">
        <v>12.288178292036434</v>
      </c>
      <c r="AX123" s="111">
        <v>5.8842395735534296</v>
      </c>
      <c r="AY123" s="111">
        <v>5.2810540187682022</v>
      </c>
    </row>
    <row r="124" spans="1:52" x14ac:dyDescent="0.2">
      <c r="A124" s="114"/>
      <c r="B124" s="124">
        <v>3</v>
      </c>
      <c r="C124" s="111">
        <v>0</v>
      </c>
      <c r="D124" s="111">
        <v>0</v>
      </c>
      <c r="E124" s="111">
        <v>0</v>
      </c>
      <c r="F124" s="111">
        <v>0</v>
      </c>
      <c r="G124" s="111">
        <v>0</v>
      </c>
      <c r="H124" s="111">
        <v>0</v>
      </c>
      <c r="I124" s="111">
        <v>0</v>
      </c>
      <c r="J124" s="111">
        <v>0</v>
      </c>
      <c r="K124" s="111">
        <v>0</v>
      </c>
      <c r="L124" s="111">
        <v>0</v>
      </c>
      <c r="M124" s="111">
        <v>0</v>
      </c>
      <c r="N124" s="111">
        <v>0</v>
      </c>
      <c r="O124" s="111">
        <v>0</v>
      </c>
      <c r="P124" s="111">
        <v>0</v>
      </c>
      <c r="Q124" s="111">
        <v>0</v>
      </c>
      <c r="R124" s="111">
        <v>0</v>
      </c>
      <c r="S124" s="111">
        <v>0</v>
      </c>
      <c r="T124" s="111">
        <v>0</v>
      </c>
      <c r="U124" s="111">
        <v>0</v>
      </c>
      <c r="V124" s="111">
        <v>0</v>
      </c>
      <c r="W124" s="111">
        <v>0</v>
      </c>
      <c r="X124" s="111">
        <v>0</v>
      </c>
      <c r="Y124" s="111">
        <v>0</v>
      </c>
      <c r="Z124" s="111">
        <v>0</v>
      </c>
      <c r="AA124" s="111">
        <v>0</v>
      </c>
      <c r="AB124" s="111">
        <v>0</v>
      </c>
      <c r="AC124" s="111">
        <v>0</v>
      </c>
      <c r="AD124" s="111">
        <v>0</v>
      </c>
      <c r="AE124" s="111">
        <v>0</v>
      </c>
      <c r="AF124" s="111">
        <v>0</v>
      </c>
      <c r="AG124" s="111">
        <v>0</v>
      </c>
      <c r="AH124" s="111">
        <v>0</v>
      </c>
      <c r="AI124" s="111">
        <v>0</v>
      </c>
      <c r="AJ124" s="111">
        <v>0</v>
      </c>
      <c r="AK124" s="111">
        <v>0</v>
      </c>
      <c r="AL124" s="111">
        <v>0</v>
      </c>
      <c r="AM124" s="111">
        <v>0</v>
      </c>
      <c r="AN124" s="111">
        <v>0</v>
      </c>
      <c r="AO124" s="111">
        <v>0</v>
      </c>
      <c r="AP124" s="111">
        <v>0</v>
      </c>
      <c r="AQ124" s="111">
        <v>0</v>
      </c>
      <c r="AR124" s="111">
        <v>0</v>
      </c>
      <c r="AS124" s="111">
        <v>0</v>
      </c>
      <c r="AT124" s="111">
        <v>0</v>
      </c>
      <c r="AU124" s="111">
        <v>0</v>
      </c>
      <c r="AV124" s="111">
        <v>0</v>
      </c>
      <c r="AW124" s="111">
        <v>0</v>
      </c>
      <c r="AX124" s="111">
        <v>0</v>
      </c>
      <c r="AY124" s="111">
        <v>0</v>
      </c>
    </row>
    <row r="125" spans="1:52" x14ac:dyDescent="0.2">
      <c r="A125" s="114"/>
      <c r="B125" s="124">
        <v>4</v>
      </c>
      <c r="C125" s="111">
        <v>0</v>
      </c>
      <c r="D125" s="111">
        <v>0</v>
      </c>
      <c r="E125" s="111">
        <v>0</v>
      </c>
      <c r="F125" s="111">
        <v>0</v>
      </c>
      <c r="G125" s="111">
        <v>0</v>
      </c>
      <c r="H125" s="111">
        <v>0</v>
      </c>
      <c r="I125" s="111">
        <v>0</v>
      </c>
      <c r="J125" s="111">
        <v>0</v>
      </c>
      <c r="K125" s="111">
        <v>0</v>
      </c>
      <c r="L125" s="111">
        <v>0</v>
      </c>
      <c r="M125" s="111">
        <v>0</v>
      </c>
      <c r="N125" s="111">
        <v>0</v>
      </c>
      <c r="O125" s="111">
        <v>0</v>
      </c>
      <c r="P125" s="111">
        <v>0</v>
      </c>
      <c r="Q125" s="111">
        <v>0</v>
      </c>
      <c r="R125" s="111">
        <v>0</v>
      </c>
      <c r="S125" s="111">
        <v>0</v>
      </c>
      <c r="T125" s="111">
        <v>0</v>
      </c>
      <c r="U125" s="111">
        <v>0</v>
      </c>
      <c r="V125" s="111">
        <v>0</v>
      </c>
      <c r="W125" s="111">
        <v>0</v>
      </c>
      <c r="X125" s="111">
        <v>0</v>
      </c>
      <c r="Y125" s="111">
        <v>0</v>
      </c>
      <c r="Z125" s="111">
        <v>0</v>
      </c>
      <c r="AA125" s="111">
        <v>0</v>
      </c>
      <c r="AB125" s="111">
        <v>0</v>
      </c>
      <c r="AC125" s="111">
        <v>0</v>
      </c>
      <c r="AD125" s="111">
        <v>0</v>
      </c>
      <c r="AE125" s="111">
        <v>0</v>
      </c>
      <c r="AF125" s="111">
        <v>0</v>
      </c>
      <c r="AG125" s="111">
        <v>0</v>
      </c>
      <c r="AH125" s="111">
        <v>0</v>
      </c>
      <c r="AI125" s="111">
        <v>0</v>
      </c>
      <c r="AJ125" s="111">
        <v>0</v>
      </c>
      <c r="AK125" s="111">
        <v>0</v>
      </c>
      <c r="AL125" s="111">
        <v>0</v>
      </c>
      <c r="AM125" s="111">
        <v>0</v>
      </c>
      <c r="AN125" s="111">
        <v>0</v>
      </c>
      <c r="AO125" s="111">
        <v>0</v>
      </c>
      <c r="AP125" s="111">
        <v>0</v>
      </c>
      <c r="AQ125" s="111">
        <v>0</v>
      </c>
      <c r="AR125" s="111">
        <v>0</v>
      </c>
      <c r="AS125" s="111">
        <v>0</v>
      </c>
      <c r="AT125" s="111">
        <v>0</v>
      </c>
      <c r="AU125" s="111">
        <v>0</v>
      </c>
      <c r="AV125" s="111">
        <v>0</v>
      </c>
      <c r="AW125" s="111">
        <v>0</v>
      </c>
      <c r="AX125" s="111">
        <v>0</v>
      </c>
      <c r="AY125" s="111">
        <v>0</v>
      </c>
    </row>
    <row r="126" spans="1:52" x14ac:dyDescent="0.2">
      <c r="A126" s="114"/>
      <c r="B126" s="124">
        <v>5</v>
      </c>
      <c r="C126" s="111">
        <v>0</v>
      </c>
      <c r="D126" s="111">
        <v>0</v>
      </c>
      <c r="E126" s="111">
        <v>0</v>
      </c>
      <c r="F126" s="111">
        <v>0</v>
      </c>
      <c r="G126" s="111">
        <v>0</v>
      </c>
      <c r="H126" s="111">
        <v>0</v>
      </c>
      <c r="I126" s="111">
        <v>0</v>
      </c>
      <c r="J126" s="111">
        <v>0</v>
      </c>
      <c r="K126" s="111">
        <v>0</v>
      </c>
      <c r="L126" s="111">
        <v>0</v>
      </c>
      <c r="M126" s="111">
        <v>0</v>
      </c>
      <c r="N126" s="111">
        <v>0</v>
      </c>
      <c r="O126" s="111">
        <v>0</v>
      </c>
      <c r="P126" s="111">
        <v>0</v>
      </c>
      <c r="Q126" s="111">
        <v>0</v>
      </c>
      <c r="R126" s="111">
        <v>0</v>
      </c>
      <c r="S126" s="111">
        <v>0</v>
      </c>
      <c r="T126" s="111">
        <v>0</v>
      </c>
      <c r="U126" s="111">
        <v>0</v>
      </c>
      <c r="V126" s="111">
        <v>0</v>
      </c>
      <c r="W126" s="111">
        <v>0</v>
      </c>
      <c r="X126" s="111">
        <v>0</v>
      </c>
      <c r="Y126" s="111">
        <v>0</v>
      </c>
      <c r="Z126" s="111">
        <v>0</v>
      </c>
      <c r="AA126" s="111">
        <v>0</v>
      </c>
      <c r="AB126" s="111">
        <v>0</v>
      </c>
      <c r="AC126" s="111">
        <v>0</v>
      </c>
      <c r="AD126" s="111">
        <v>0</v>
      </c>
      <c r="AE126" s="111">
        <v>0</v>
      </c>
      <c r="AF126" s="111">
        <v>0</v>
      </c>
      <c r="AG126" s="111">
        <v>0</v>
      </c>
      <c r="AH126" s="111">
        <v>0</v>
      </c>
      <c r="AI126" s="111">
        <v>0</v>
      </c>
      <c r="AJ126" s="111">
        <v>0</v>
      </c>
      <c r="AK126" s="111">
        <v>0</v>
      </c>
      <c r="AL126" s="111">
        <v>0</v>
      </c>
      <c r="AM126" s="111">
        <v>0</v>
      </c>
      <c r="AN126" s="111">
        <v>0</v>
      </c>
      <c r="AO126" s="111">
        <v>0</v>
      </c>
      <c r="AP126" s="111">
        <v>0</v>
      </c>
      <c r="AQ126" s="111">
        <v>0</v>
      </c>
      <c r="AR126" s="111">
        <v>0</v>
      </c>
      <c r="AS126" s="111">
        <v>0</v>
      </c>
      <c r="AT126" s="111">
        <v>0</v>
      </c>
      <c r="AU126" s="111">
        <v>0</v>
      </c>
      <c r="AV126" s="111">
        <v>0</v>
      </c>
      <c r="AW126" s="111">
        <v>0</v>
      </c>
      <c r="AX126" s="111">
        <v>0</v>
      </c>
      <c r="AY126" s="111">
        <v>0</v>
      </c>
    </row>
    <row r="127" spans="1:52" x14ac:dyDescent="0.2">
      <c r="A127" s="114"/>
      <c r="B127" s="124">
        <v>6</v>
      </c>
      <c r="C127" s="111">
        <v>0</v>
      </c>
      <c r="D127" s="111">
        <v>0</v>
      </c>
      <c r="E127" s="111">
        <v>0</v>
      </c>
      <c r="F127" s="111">
        <v>0</v>
      </c>
      <c r="G127" s="111">
        <v>0</v>
      </c>
      <c r="H127" s="111">
        <v>0</v>
      </c>
      <c r="I127" s="111">
        <v>0</v>
      </c>
      <c r="J127" s="111">
        <v>0</v>
      </c>
      <c r="K127" s="111">
        <v>0</v>
      </c>
      <c r="L127" s="111">
        <v>0</v>
      </c>
      <c r="M127" s="111">
        <v>0</v>
      </c>
      <c r="N127" s="111">
        <v>0</v>
      </c>
      <c r="O127" s="111">
        <v>0</v>
      </c>
      <c r="P127" s="111">
        <v>0</v>
      </c>
      <c r="Q127" s="111">
        <v>0</v>
      </c>
      <c r="R127" s="111">
        <v>0</v>
      </c>
      <c r="S127" s="111">
        <v>0</v>
      </c>
      <c r="T127" s="111">
        <v>0</v>
      </c>
      <c r="U127" s="111">
        <v>0</v>
      </c>
      <c r="V127" s="111">
        <v>0</v>
      </c>
      <c r="W127" s="111">
        <v>0</v>
      </c>
      <c r="X127" s="111">
        <v>0</v>
      </c>
      <c r="Y127" s="111">
        <v>0</v>
      </c>
      <c r="Z127" s="111">
        <v>0</v>
      </c>
      <c r="AA127" s="111">
        <v>0</v>
      </c>
      <c r="AB127" s="111">
        <v>0</v>
      </c>
      <c r="AC127" s="111">
        <v>0</v>
      </c>
      <c r="AD127" s="111">
        <v>0</v>
      </c>
      <c r="AE127" s="111">
        <v>0</v>
      </c>
      <c r="AF127" s="111">
        <v>0</v>
      </c>
      <c r="AG127" s="111">
        <v>0</v>
      </c>
      <c r="AH127" s="111">
        <v>0</v>
      </c>
      <c r="AI127" s="111">
        <v>0</v>
      </c>
      <c r="AJ127" s="111">
        <v>0</v>
      </c>
      <c r="AK127" s="111">
        <v>0</v>
      </c>
      <c r="AL127" s="111">
        <v>0</v>
      </c>
      <c r="AM127" s="111">
        <v>0</v>
      </c>
      <c r="AN127" s="111">
        <v>0</v>
      </c>
      <c r="AO127" s="111">
        <v>0</v>
      </c>
      <c r="AP127" s="111">
        <v>0</v>
      </c>
      <c r="AQ127" s="111">
        <v>0</v>
      </c>
      <c r="AR127" s="111">
        <v>0</v>
      </c>
      <c r="AS127" s="111">
        <v>0</v>
      </c>
      <c r="AT127" s="111">
        <v>0</v>
      </c>
      <c r="AU127" s="111">
        <v>0</v>
      </c>
      <c r="AV127" s="111">
        <v>0</v>
      </c>
      <c r="AW127" s="111">
        <v>0</v>
      </c>
      <c r="AX127" s="111">
        <v>0</v>
      </c>
      <c r="AY127" s="111">
        <v>0</v>
      </c>
    </row>
    <row r="128" spans="1:52" x14ac:dyDescent="0.2">
      <c r="A128" s="114"/>
      <c r="B128" s="124">
        <v>7</v>
      </c>
      <c r="C128" s="111">
        <v>0</v>
      </c>
      <c r="D128" s="111">
        <v>0</v>
      </c>
      <c r="E128" s="111">
        <v>0</v>
      </c>
      <c r="F128" s="111">
        <v>0</v>
      </c>
      <c r="G128" s="111">
        <v>0</v>
      </c>
      <c r="H128" s="111">
        <v>0</v>
      </c>
      <c r="I128" s="111">
        <v>0</v>
      </c>
      <c r="J128" s="111">
        <v>0</v>
      </c>
      <c r="K128" s="111">
        <v>0</v>
      </c>
      <c r="L128" s="111">
        <v>0</v>
      </c>
      <c r="M128" s="111">
        <v>0</v>
      </c>
      <c r="N128" s="111">
        <v>0</v>
      </c>
      <c r="O128" s="111">
        <v>0</v>
      </c>
      <c r="P128" s="111">
        <v>0</v>
      </c>
      <c r="Q128" s="111">
        <v>0</v>
      </c>
      <c r="R128" s="111">
        <v>0</v>
      </c>
      <c r="S128" s="111">
        <v>0</v>
      </c>
      <c r="T128" s="111">
        <v>0</v>
      </c>
      <c r="U128" s="111">
        <v>0</v>
      </c>
      <c r="V128" s="111">
        <v>0</v>
      </c>
      <c r="W128" s="111">
        <v>0</v>
      </c>
      <c r="X128" s="111">
        <v>0</v>
      </c>
      <c r="Y128" s="111">
        <v>0</v>
      </c>
      <c r="Z128" s="111">
        <v>0</v>
      </c>
      <c r="AA128" s="111">
        <v>0</v>
      </c>
      <c r="AB128" s="111">
        <v>0</v>
      </c>
      <c r="AC128" s="111">
        <v>0</v>
      </c>
      <c r="AD128" s="111">
        <v>0</v>
      </c>
      <c r="AE128" s="111">
        <v>0</v>
      </c>
      <c r="AF128" s="111">
        <v>0</v>
      </c>
      <c r="AG128" s="111">
        <v>0</v>
      </c>
      <c r="AH128" s="111">
        <v>0</v>
      </c>
      <c r="AI128" s="111">
        <v>0</v>
      </c>
      <c r="AJ128" s="111">
        <v>0</v>
      </c>
      <c r="AK128" s="111">
        <v>0</v>
      </c>
      <c r="AL128" s="111">
        <v>0</v>
      </c>
      <c r="AM128" s="111">
        <v>0</v>
      </c>
      <c r="AN128" s="111">
        <v>0</v>
      </c>
      <c r="AO128" s="111">
        <v>0</v>
      </c>
      <c r="AP128" s="111">
        <v>0</v>
      </c>
      <c r="AQ128" s="111">
        <v>0</v>
      </c>
      <c r="AR128" s="111">
        <v>0</v>
      </c>
      <c r="AS128" s="111">
        <v>0</v>
      </c>
      <c r="AT128" s="111">
        <v>0</v>
      </c>
      <c r="AU128" s="111">
        <v>0</v>
      </c>
      <c r="AV128" s="111">
        <v>0</v>
      </c>
      <c r="AW128" s="111">
        <v>0</v>
      </c>
      <c r="AX128" s="111">
        <v>0</v>
      </c>
      <c r="AY128" s="111">
        <v>0</v>
      </c>
    </row>
    <row r="129" spans="1:51" x14ac:dyDescent="0.2">
      <c r="A129" s="114"/>
      <c r="B129" s="124">
        <v>8</v>
      </c>
      <c r="C129" s="111">
        <v>0</v>
      </c>
      <c r="D129" s="111">
        <v>0</v>
      </c>
      <c r="E129" s="111">
        <v>0</v>
      </c>
      <c r="F129" s="111">
        <v>0</v>
      </c>
      <c r="G129" s="111">
        <v>0</v>
      </c>
      <c r="H129" s="111">
        <v>0</v>
      </c>
      <c r="I129" s="111">
        <v>0</v>
      </c>
      <c r="J129" s="111">
        <v>0</v>
      </c>
      <c r="K129" s="111">
        <v>0</v>
      </c>
      <c r="L129" s="111">
        <v>0</v>
      </c>
      <c r="M129" s="111">
        <v>0</v>
      </c>
      <c r="N129" s="111">
        <v>0</v>
      </c>
      <c r="O129" s="111">
        <v>0</v>
      </c>
      <c r="P129" s="111">
        <v>0</v>
      </c>
      <c r="Q129" s="111">
        <v>0</v>
      </c>
      <c r="R129" s="111">
        <v>0</v>
      </c>
      <c r="S129" s="111">
        <v>0</v>
      </c>
      <c r="T129" s="111">
        <v>0</v>
      </c>
      <c r="U129" s="111">
        <v>0</v>
      </c>
      <c r="V129" s="111">
        <v>0</v>
      </c>
      <c r="W129" s="111">
        <v>0</v>
      </c>
      <c r="X129" s="111">
        <v>0</v>
      </c>
      <c r="Y129" s="111">
        <v>0</v>
      </c>
      <c r="Z129" s="111">
        <v>0</v>
      </c>
      <c r="AA129" s="111">
        <v>0</v>
      </c>
      <c r="AB129" s="111">
        <v>0</v>
      </c>
      <c r="AC129" s="111">
        <v>0</v>
      </c>
      <c r="AD129" s="111">
        <v>0</v>
      </c>
      <c r="AE129" s="111">
        <v>0</v>
      </c>
      <c r="AF129" s="111">
        <v>0</v>
      </c>
      <c r="AG129" s="111">
        <v>0</v>
      </c>
      <c r="AH129" s="111">
        <v>0</v>
      </c>
      <c r="AI129" s="111">
        <v>0</v>
      </c>
      <c r="AJ129" s="111">
        <v>0</v>
      </c>
      <c r="AK129" s="111">
        <v>0</v>
      </c>
      <c r="AL129" s="111">
        <v>0</v>
      </c>
      <c r="AM129" s="111">
        <v>0</v>
      </c>
      <c r="AN129" s="111">
        <v>0</v>
      </c>
      <c r="AO129" s="111">
        <v>0</v>
      </c>
      <c r="AP129" s="111">
        <v>0</v>
      </c>
      <c r="AQ129" s="111">
        <v>0</v>
      </c>
      <c r="AR129" s="111">
        <v>0</v>
      </c>
      <c r="AS129" s="111">
        <v>0</v>
      </c>
      <c r="AT129" s="111">
        <v>0</v>
      </c>
      <c r="AU129" s="111">
        <v>0</v>
      </c>
      <c r="AV129" s="111">
        <v>0</v>
      </c>
      <c r="AW129" s="111">
        <v>0</v>
      </c>
      <c r="AX129" s="111">
        <v>0</v>
      </c>
      <c r="AY129" s="111">
        <v>0</v>
      </c>
    </row>
    <row r="130" spans="1:51" x14ac:dyDescent="0.2">
      <c r="A130" s="114"/>
      <c r="B130" s="124">
        <v>9</v>
      </c>
      <c r="C130" s="111">
        <v>0</v>
      </c>
      <c r="D130" s="111">
        <v>0</v>
      </c>
      <c r="E130" s="111">
        <v>0</v>
      </c>
      <c r="F130" s="111">
        <v>0</v>
      </c>
      <c r="G130" s="111">
        <v>0</v>
      </c>
      <c r="H130" s="111">
        <v>0</v>
      </c>
      <c r="I130" s="111">
        <v>0</v>
      </c>
      <c r="J130" s="111">
        <v>0</v>
      </c>
      <c r="K130" s="111">
        <v>0</v>
      </c>
      <c r="L130" s="111">
        <v>0</v>
      </c>
      <c r="M130" s="111">
        <v>0</v>
      </c>
      <c r="N130" s="111">
        <v>0</v>
      </c>
      <c r="O130" s="111">
        <v>0</v>
      </c>
      <c r="P130" s="111">
        <v>0</v>
      </c>
      <c r="Q130" s="111">
        <v>0</v>
      </c>
      <c r="R130" s="111">
        <v>0</v>
      </c>
      <c r="S130" s="111">
        <v>0</v>
      </c>
      <c r="T130" s="111">
        <v>0</v>
      </c>
      <c r="U130" s="111">
        <v>0</v>
      </c>
      <c r="V130" s="111">
        <v>0</v>
      </c>
      <c r="W130" s="111">
        <v>0</v>
      </c>
      <c r="X130" s="111">
        <v>0</v>
      </c>
      <c r="Y130" s="111">
        <v>0</v>
      </c>
      <c r="Z130" s="111">
        <v>0</v>
      </c>
      <c r="AA130" s="111">
        <v>0</v>
      </c>
      <c r="AB130" s="111">
        <v>0</v>
      </c>
      <c r="AC130" s="111">
        <v>0</v>
      </c>
      <c r="AD130" s="111">
        <v>0</v>
      </c>
      <c r="AE130" s="111">
        <v>0</v>
      </c>
      <c r="AF130" s="111">
        <v>0</v>
      </c>
      <c r="AG130" s="111">
        <v>0</v>
      </c>
      <c r="AH130" s="111">
        <v>0</v>
      </c>
      <c r="AI130" s="111">
        <v>0</v>
      </c>
      <c r="AJ130" s="111">
        <v>0</v>
      </c>
      <c r="AK130" s="111">
        <v>0</v>
      </c>
      <c r="AL130" s="111">
        <v>0</v>
      </c>
      <c r="AM130" s="111">
        <v>0</v>
      </c>
      <c r="AN130" s="111">
        <v>0</v>
      </c>
      <c r="AO130" s="111">
        <v>0</v>
      </c>
      <c r="AP130" s="111">
        <v>0</v>
      </c>
      <c r="AQ130" s="111">
        <v>0</v>
      </c>
      <c r="AR130" s="111">
        <v>0</v>
      </c>
      <c r="AS130" s="111">
        <v>0</v>
      </c>
      <c r="AT130" s="111">
        <v>0</v>
      </c>
      <c r="AU130" s="111">
        <v>0</v>
      </c>
      <c r="AV130" s="111">
        <v>0</v>
      </c>
      <c r="AW130" s="111">
        <v>0</v>
      </c>
      <c r="AX130" s="111">
        <v>0</v>
      </c>
      <c r="AY130" s="111">
        <v>0</v>
      </c>
    </row>
    <row r="131" spans="1:51" x14ac:dyDescent="0.2">
      <c r="A131" s="114"/>
      <c r="B131" s="124">
        <v>10</v>
      </c>
      <c r="C131" s="111">
        <v>0</v>
      </c>
      <c r="D131" s="111">
        <v>0</v>
      </c>
      <c r="E131" s="111">
        <v>0</v>
      </c>
      <c r="F131" s="111">
        <v>0</v>
      </c>
      <c r="G131" s="111">
        <v>0</v>
      </c>
      <c r="H131" s="111">
        <v>0</v>
      </c>
      <c r="I131" s="111">
        <v>0</v>
      </c>
      <c r="J131" s="111">
        <v>0</v>
      </c>
      <c r="K131" s="111">
        <v>0</v>
      </c>
      <c r="L131" s="111">
        <v>0</v>
      </c>
      <c r="M131" s="111">
        <v>0</v>
      </c>
      <c r="N131" s="111">
        <v>0</v>
      </c>
      <c r="O131" s="111">
        <v>0</v>
      </c>
      <c r="P131" s="111">
        <v>0</v>
      </c>
      <c r="Q131" s="111">
        <v>0</v>
      </c>
      <c r="R131" s="111">
        <v>0</v>
      </c>
      <c r="S131" s="111">
        <v>0</v>
      </c>
      <c r="T131" s="111">
        <v>0</v>
      </c>
      <c r="U131" s="111">
        <v>0</v>
      </c>
      <c r="V131" s="111">
        <v>0</v>
      </c>
      <c r="W131" s="111">
        <v>0</v>
      </c>
      <c r="X131" s="111">
        <v>0</v>
      </c>
      <c r="Y131" s="111">
        <v>0</v>
      </c>
      <c r="Z131" s="111">
        <v>0</v>
      </c>
      <c r="AA131" s="111">
        <v>0</v>
      </c>
      <c r="AB131" s="111">
        <v>0</v>
      </c>
      <c r="AC131" s="111">
        <v>0</v>
      </c>
      <c r="AD131" s="111">
        <v>0</v>
      </c>
      <c r="AE131" s="111">
        <v>0</v>
      </c>
      <c r="AF131" s="111">
        <v>0</v>
      </c>
      <c r="AG131" s="111">
        <v>0</v>
      </c>
      <c r="AH131" s="111">
        <v>0</v>
      </c>
      <c r="AI131" s="111">
        <v>0</v>
      </c>
      <c r="AJ131" s="111">
        <v>0</v>
      </c>
      <c r="AK131" s="111">
        <v>0</v>
      </c>
      <c r="AL131" s="111">
        <v>0</v>
      </c>
      <c r="AM131" s="111">
        <v>0</v>
      </c>
      <c r="AN131" s="111">
        <v>0</v>
      </c>
      <c r="AO131" s="111">
        <v>0</v>
      </c>
      <c r="AP131" s="111">
        <v>0</v>
      </c>
      <c r="AQ131" s="111">
        <v>0</v>
      </c>
      <c r="AR131" s="111">
        <v>0</v>
      </c>
      <c r="AS131" s="111">
        <v>0</v>
      </c>
      <c r="AT131" s="111">
        <v>0</v>
      </c>
      <c r="AU131" s="111">
        <v>0</v>
      </c>
      <c r="AV131" s="111">
        <v>0</v>
      </c>
      <c r="AW131" s="111">
        <v>0</v>
      </c>
      <c r="AX131" s="111">
        <v>0</v>
      </c>
      <c r="AY131" s="111">
        <v>0</v>
      </c>
    </row>
    <row r="132" spans="1:51" x14ac:dyDescent="0.2">
      <c r="A132" s="114"/>
      <c r="B132" s="124">
        <v>11</v>
      </c>
      <c r="C132" s="111">
        <v>0</v>
      </c>
      <c r="D132" s="111">
        <v>0</v>
      </c>
      <c r="E132" s="111">
        <v>0</v>
      </c>
      <c r="F132" s="111">
        <v>0</v>
      </c>
      <c r="G132" s="111">
        <v>0</v>
      </c>
      <c r="H132" s="111">
        <v>0</v>
      </c>
      <c r="I132" s="111">
        <v>0</v>
      </c>
      <c r="J132" s="111">
        <v>0</v>
      </c>
      <c r="K132" s="111">
        <v>0</v>
      </c>
      <c r="L132" s="111">
        <v>0</v>
      </c>
      <c r="M132" s="111">
        <v>0</v>
      </c>
      <c r="N132" s="111">
        <v>0</v>
      </c>
      <c r="O132" s="111">
        <v>0</v>
      </c>
      <c r="P132" s="111">
        <v>0</v>
      </c>
      <c r="Q132" s="111">
        <v>0</v>
      </c>
      <c r="R132" s="111">
        <v>0</v>
      </c>
      <c r="S132" s="111">
        <v>0</v>
      </c>
      <c r="T132" s="111">
        <v>0</v>
      </c>
      <c r="U132" s="111">
        <v>0</v>
      </c>
      <c r="V132" s="111">
        <v>0</v>
      </c>
      <c r="W132" s="111">
        <v>0</v>
      </c>
      <c r="X132" s="111">
        <v>0</v>
      </c>
      <c r="Y132" s="111">
        <v>0</v>
      </c>
      <c r="Z132" s="111">
        <v>0</v>
      </c>
      <c r="AA132" s="111">
        <v>0</v>
      </c>
      <c r="AB132" s="111">
        <v>0</v>
      </c>
      <c r="AC132" s="111">
        <v>0</v>
      </c>
      <c r="AD132" s="111">
        <v>0</v>
      </c>
      <c r="AE132" s="111">
        <v>0</v>
      </c>
      <c r="AF132" s="111">
        <v>0</v>
      </c>
      <c r="AG132" s="111">
        <v>0</v>
      </c>
      <c r="AH132" s="111">
        <v>0</v>
      </c>
      <c r="AI132" s="111">
        <v>0</v>
      </c>
      <c r="AJ132" s="111">
        <v>0</v>
      </c>
      <c r="AK132" s="111">
        <v>0</v>
      </c>
      <c r="AL132" s="111">
        <v>0</v>
      </c>
      <c r="AM132" s="111">
        <v>0</v>
      </c>
      <c r="AN132" s="111">
        <v>0</v>
      </c>
      <c r="AO132" s="111">
        <v>0</v>
      </c>
      <c r="AP132" s="111">
        <v>0</v>
      </c>
      <c r="AQ132" s="111">
        <v>0</v>
      </c>
      <c r="AR132" s="111">
        <v>0</v>
      </c>
      <c r="AS132" s="111">
        <v>0</v>
      </c>
      <c r="AT132" s="111">
        <v>0</v>
      </c>
      <c r="AU132" s="111">
        <v>0</v>
      </c>
      <c r="AV132" s="111">
        <v>0</v>
      </c>
      <c r="AW132" s="111">
        <v>0</v>
      </c>
      <c r="AX132" s="111">
        <v>0</v>
      </c>
      <c r="AY132" s="111">
        <v>0</v>
      </c>
    </row>
    <row r="133" spans="1:51" x14ac:dyDescent="0.2">
      <c r="A133" s="114"/>
      <c r="B133" s="124">
        <v>12</v>
      </c>
      <c r="C133" s="111">
        <v>0</v>
      </c>
      <c r="D133" s="111">
        <v>0</v>
      </c>
      <c r="E133" s="111">
        <v>0</v>
      </c>
      <c r="F133" s="111">
        <v>0</v>
      </c>
      <c r="G133" s="111">
        <v>0</v>
      </c>
      <c r="H133" s="111">
        <v>0</v>
      </c>
      <c r="I133" s="111">
        <v>0</v>
      </c>
      <c r="J133" s="111">
        <v>0</v>
      </c>
      <c r="K133" s="111">
        <v>0</v>
      </c>
      <c r="L133" s="111">
        <v>0</v>
      </c>
      <c r="M133" s="111">
        <v>0</v>
      </c>
      <c r="N133" s="111">
        <v>0</v>
      </c>
      <c r="O133" s="111">
        <v>0</v>
      </c>
      <c r="P133" s="111">
        <v>0</v>
      </c>
      <c r="Q133" s="111">
        <v>0</v>
      </c>
      <c r="R133" s="111">
        <v>0</v>
      </c>
      <c r="S133" s="111">
        <v>0</v>
      </c>
      <c r="T133" s="111">
        <v>0</v>
      </c>
      <c r="U133" s="111">
        <v>0</v>
      </c>
      <c r="V133" s="111">
        <v>0</v>
      </c>
      <c r="W133" s="111">
        <v>0</v>
      </c>
      <c r="X133" s="111">
        <v>0</v>
      </c>
      <c r="Y133" s="111">
        <v>0</v>
      </c>
      <c r="Z133" s="111">
        <v>0</v>
      </c>
      <c r="AA133" s="111">
        <v>0</v>
      </c>
      <c r="AB133" s="111">
        <v>0</v>
      </c>
      <c r="AC133" s="111">
        <v>0</v>
      </c>
      <c r="AD133" s="111">
        <v>0</v>
      </c>
      <c r="AE133" s="111">
        <v>0</v>
      </c>
      <c r="AF133" s="111">
        <v>0</v>
      </c>
      <c r="AG133" s="111">
        <v>0</v>
      </c>
      <c r="AH133" s="111">
        <v>0</v>
      </c>
      <c r="AI133" s="111">
        <v>0</v>
      </c>
      <c r="AJ133" s="111">
        <v>0</v>
      </c>
      <c r="AK133" s="111">
        <v>0</v>
      </c>
      <c r="AL133" s="111">
        <v>0</v>
      </c>
      <c r="AM133" s="111">
        <v>0</v>
      </c>
      <c r="AN133" s="111">
        <v>0</v>
      </c>
      <c r="AO133" s="111">
        <v>0</v>
      </c>
      <c r="AP133" s="111">
        <v>0</v>
      </c>
      <c r="AQ133" s="111">
        <v>0</v>
      </c>
      <c r="AR133" s="111">
        <v>0</v>
      </c>
      <c r="AS133" s="111">
        <v>0</v>
      </c>
      <c r="AT133" s="111">
        <v>0</v>
      </c>
      <c r="AU133" s="111">
        <v>0</v>
      </c>
      <c r="AV133" s="111">
        <v>0</v>
      </c>
      <c r="AW133" s="111">
        <v>0</v>
      </c>
      <c r="AX133" s="111">
        <v>0</v>
      </c>
      <c r="AY133" s="111">
        <v>0</v>
      </c>
    </row>
    <row r="134" spans="1:51" x14ac:dyDescent="0.2">
      <c r="A134" s="114"/>
      <c r="B134" s="125">
        <v>13</v>
      </c>
      <c r="C134" s="111">
        <v>0</v>
      </c>
      <c r="D134" s="111">
        <v>0</v>
      </c>
      <c r="E134" s="111">
        <v>0</v>
      </c>
      <c r="F134" s="111">
        <v>0</v>
      </c>
      <c r="G134" s="111">
        <v>0</v>
      </c>
      <c r="H134" s="111">
        <v>0</v>
      </c>
      <c r="I134" s="111">
        <v>0</v>
      </c>
      <c r="J134" s="111">
        <v>0</v>
      </c>
      <c r="K134" s="111">
        <v>0</v>
      </c>
      <c r="L134" s="111">
        <v>0</v>
      </c>
      <c r="M134" s="111">
        <v>0</v>
      </c>
      <c r="N134" s="111">
        <v>0</v>
      </c>
      <c r="O134" s="111">
        <v>0</v>
      </c>
      <c r="P134" s="111">
        <v>0</v>
      </c>
      <c r="Q134" s="111">
        <v>0</v>
      </c>
      <c r="R134" s="111">
        <v>0</v>
      </c>
      <c r="S134" s="111">
        <v>0</v>
      </c>
      <c r="T134" s="111">
        <v>0</v>
      </c>
      <c r="U134" s="111">
        <v>0</v>
      </c>
      <c r="V134" s="111">
        <v>0</v>
      </c>
      <c r="W134" s="111">
        <v>0</v>
      </c>
      <c r="X134" s="111">
        <v>0</v>
      </c>
      <c r="Y134" s="111">
        <v>0</v>
      </c>
      <c r="Z134" s="111">
        <v>0</v>
      </c>
      <c r="AA134" s="111">
        <v>0</v>
      </c>
      <c r="AB134" s="111">
        <v>0</v>
      </c>
      <c r="AC134" s="111">
        <v>0</v>
      </c>
      <c r="AD134" s="111">
        <v>0</v>
      </c>
      <c r="AE134" s="111">
        <v>0</v>
      </c>
      <c r="AF134" s="111">
        <v>0</v>
      </c>
      <c r="AG134" s="111">
        <v>0</v>
      </c>
      <c r="AH134" s="111">
        <v>0</v>
      </c>
      <c r="AI134" s="111">
        <v>0</v>
      </c>
      <c r="AJ134" s="111">
        <v>0</v>
      </c>
      <c r="AK134" s="111">
        <v>0</v>
      </c>
      <c r="AL134" s="111">
        <v>0</v>
      </c>
      <c r="AM134" s="111">
        <v>0</v>
      </c>
      <c r="AN134" s="111">
        <v>0</v>
      </c>
      <c r="AO134" s="111">
        <v>0</v>
      </c>
      <c r="AP134" s="111">
        <v>0</v>
      </c>
      <c r="AQ134" s="111">
        <v>0</v>
      </c>
      <c r="AR134" s="111">
        <v>0</v>
      </c>
      <c r="AS134" s="111">
        <v>0</v>
      </c>
      <c r="AT134" s="111">
        <v>0</v>
      </c>
      <c r="AU134" s="111">
        <v>0</v>
      </c>
      <c r="AV134" s="111">
        <v>0</v>
      </c>
      <c r="AW134" s="111">
        <v>0</v>
      </c>
      <c r="AX134" s="111">
        <v>0</v>
      </c>
      <c r="AY134" s="111">
        <v>0</v>
      </c>
    </row>
    <row r="135" spans="1:51" x14ac:dyDescent="0.2">
      <c r="A135" s="114"/>
      <c r="B135" s="125">
        <v>14</v>
      </c>
      <c r="C135" s="111">
        <v>0</v>
      </c>
      <c r="D135" s="111">
        <v>0</v>
      </c>
      <c r="E135" s="111">
        <v>0</v>
      </c>
      <c r="F135" s="111">
        <v>0</v>
      </c>
      <c r="G135" s="111">
        <v>0</v>
      </c>
      <c r="H135" s="111">
        <v>0</v>
      </c>
      <c r="I135" s="111">
        <v>0</v>
      </c>
      <c r="J135" s="111">
        <v>0</v>
      </c>
      <c r="K135" s="111">
        <v>0</v>
      </c>
      <c r="L135" s="111">
        <v>0</v>
      </c>
      <c r="M135" s="111">
        <v>0</v>
      </c>
      <c r="N135" s="111">
        <v>0</v>
      </c>
      <c r="O135" s="111">
        <v>0</v>
      </c>
      <c r="P135" s="111">
        <v>0</v>
      </c>
      <c r="Q135" s="111">
        <v>0</v>
      </c>
      <c r="R135" s="111">
        <v>0</v>
      </c>
      <c r="S135" s="111">
        <v>0</v>
      </c>
      <c r="T135" s="111">
        <v>0</v>
      </c>
      <c r="U135" s="111">
        <v>0</v>
      </c>
      <c r="V135" s="111">
        <v>0</v>
      </c>
      <c r="W135" s="111">
        <v>0</v>
      </c>
      <c r="X135" s="111">
        <v>0</v>
      </c>
      <c r="Y135" s="111">
        <v>0</v>
      </c>
      <c r="Z135" s="111">
        <v>0</v>
      </c>
      <c r="AA135" s="111">
        <v>0</v>
      </c>
      <c r="AB135" s="111">
        <v>0</v>
      </c>
      <c r="AC135" s="111">
        <v>0</v>
      </c>
      <c r="AD135" s="111">
        <v>0</v>
      </c>
      <c r="AE135" s="111">
        <v>0</v>
      </c>
      <c r="AF135" s="111">
        <v>0</v>
      </c>
      <c r="AG135" s="111">
        <v>0</v>
      </c>
      <c r="AH135" s="111">
        <v>0</v>
      </c>
      <c r="AI135" s="111">
        <v>0</v>
      </c>
      <c r="AJ135" s="111">
        <v>0</v>
      </c>
      <c r="AK135" s="111">
        <v>0</v>
      </c>
      <c r="AL135" s="111">
        <v>0</v>
      </c>
      <c r="AM135" s="111">
        <v>0</v>
      </c>
      <c r="AN135" s="111">
        <v>0</v>
      </c>
      <c r="AO135" s="111">
        <v>0</v>
      </c>
      <c r="AP135" s="111">
        <v>0</v>
      </c>
      <c r="AQ135" s="111">
        <v>0</v>
      </c>
      <c r="AR135" s="111">
        <v>0</v>
      </c>
      <c r="AS135" s="111">
        <v>0</v>
      </c>
      <c r="AT135" s="111">
        <v>0</v>
      </c>
      <c r="AU135" s="111">
        <v>0</v>
      </c>
      <c r="AV135" s="111">
        <v>0</v>
      </c>
      <c r="AW135" s="111">
        <v>0</v>
      </c>
      <c r="AX135" s="111">
        <v>0</v>
      </c>
      <c r="AY135" s="111">
        <v>0</v>
      </c>
    </row>
    <row r="136" spans="1:51" x14ac:dyDescent="0.2">
      <c r="A136" s="114"/>
      <c r="B136" s="125">
        <v>15</v>
      </c>
      <c r="C136" s="111">
        <v>0</v>
      </c>
      <c r="D136" s="111">
        <v>0</v>
      </c>
      <c r="E136" s="111">
        <v>0</v>
      </c>
      <c r="F136" s="111">
        <v>0</v>
      </c>
      <c r="G136" s="111">
        <v>0</v>
      </c>
      <c r="H136" s="111">
        <v>0</v>
      </c>
      <c r="I136" s="111">
        <v>0</v>
      </c>
      <c r="J136" s="111">
        <v>0</v>
      </c>
      <c r="K136" s="111">
        <v>0</v>
      </c>
      <c r="L136" s="111">
        <v>0</v>
      </c>
      <c r="M136" s="111">
        <v>0</v>
      </c>
      <c r="N136" s="111">
        <v>0</v>
      </c>
      <c r="O136" s="111">
        <v>0</v>
      </c>
      <c r="P136" s="111">
        <v>0</v>
      </c>
      <c r="Q136" s="111">
        <v>0</v>
      </c>
      <c r="R136" s="111">
        <v>0</v>
      </c>
      <c r="S136" s="111">
        <v>0</v>
      </c>
      <c r="T136" s="111">
        <v>0</v>
      </c>
      <c r="U136" s="111">
        <v>0</v>
      </c>
      <c r="V136" s="111">
        <v>0</v>
      </c>
      <c r="W136" s="111">
        <v>0</v>
      </c>
      <c r="X136" s="111">
        <v>0</v>
      </c>
      <c r="Y136" s="111">
        <v>0</v>
      </c>
      <c r="Z136" s="111">
        <v>0</v>
      </c>
      <c r="AA136" s="111">
        <v>0</v>
      </c>
      <c r="AB136" s="111">
        <v>0</v>
      </c>
      <c r="AC136" s="111">
        <v>0</v>
      </c>
      <c r="AD136" s="111">
        <v>0</v>
      </c>
      <c r="AE136" s="111">
        <v>0</v>
      </c>
      <c r="AF136" s="111">
        <v>0</v>
      </c>
      <c r="AG136" s="111">
        <v>0</v>
      </c>
      <c r="AH136" s="111">
        <v>0</v>
      </c>
      <c r="AI136" s="111">
        <v>0</v>
      </c>
      <c r="AJ136" s="111">
        <v>0</v>
      </c>
      <c r="AK136" s="111">
        <v>0</v>
      </c>
      <c r="AL136" s="111">
        <v>0</v>
      </c>
      <c r="AM136" s="111">
        <v>0</v>
      </c>
      <c r="AN136" s="111">
        <v>0</v>
      </c>
      <c r="AO136" s="111">
        <v>0</v>
      </c>
      <c r="AP136" s="111">
        <v>0</v>
      </c>
      <c r="AQ136" s="111">
        <v>0</v>
      </c>
      <c r="AR136" s="111">
        <v>0</v>
      </c>
      <c r="AS136" s="111">
        <v>0</v>
      </c>
      <c r="AT136" s="111">
        <v>0</v>
      </c>
      <c r="AU136" s="111">
        <v>0</v>
      </c>
      <c r="AV136" s="111">
        <v>0</v>
      </c>
      <c r="AW136" s="111">
        <v>0</v>
      </c>
      <c r="AX136" s="111">
        <v>0</v>
      </c>
      <c r="AY136" s="111">
        <v>0</v>
      </c>
    </row>
    <row r="137" spans="1:51" x14ac:dyDescent="0.2">
      <c r="A137" s="114"/>
      <c r="B137" s="125">
        <v>16</v>
      </c>
      <c r="C137" s="111">
        <v>0</v>
      </c>
      <c r="D137" s="111">
        <v>0</v>
      </c>
      <c r="E137" s="111">
        <v>0</v>
      </c>
      <c r="F137" s="111">
        <v>0</v>
      </c>
      <c r="G137" s="111">
        <v>0</v>
      </c>
      <c r="H137" s="111">
        <v>0</v>
      </c>
      <c r="I137" s="111">
        <v>0</v>
      </c>
      <c r="J137" s="111">
        <v>0</v>
      </c>
      <c r="K137" s="111">
        <v>0</v>
      </c>
      <c r="L137" s="111">
        <v>0</v>
      </c>
      <c r="M137" s="111">
        <v>0</v>
      </c>
      <c r="N137" s="111">
        <v>0</v>
      </c>
      <c r="O137" s="111">
        <v>0</v>
      </c>
      <c r="P137" s="111">
        <v>0</v>
      </c>
      <c r="Q137" s="111">
        <v>0</v>
      </c>
      <c r="R137" s="111">
        <v>0</v>
      </c>
      <c r="S137" s="111">
        <v>0</v>
      </c>
      <c r="T137" s="111">
        <v>0</v>
      </c>
      <c r="U137" s="111">
        <v>0</v>
      </c>
      <c r="V137" s="111">
        <v>0</v>
      </c>
      <c r="W137" s="111">
        <v>0</v>
      </c>
      <c r="X137" s="111">
        <v>0</v>
      </c>
      <c r="Y137" s="111">
        <v>0</v>
      </c>
      <c r="Z137" s="111">
        <v>0</v>
      </c>
      <c r="AA137" s="111">
        <v>0</v>
      </c>
      <c r="AB137" s="111">
        <v>0</v>
      </c>
      <c r="AC137" s="111">
        <v>0</v>
      </c>
      <c r="AD137" s="111">
        <v>0</v>
      </c>
      <c r="AE137" s="111">
        <v>0</v>
      </c>
      <c r="AF137" s="111">
        <v>0</v>
      </c>
      <c r="AG137" s="111">
        <v>0</v>
      </c>
      <c r="AH137" s="111">
        <v>0</v>
      </c>
      <c r="AI137" s="111">
        <v>0</v>
      </c>
      <c r="AJ137" s="111">
        <v>0</v>
      </c>
      <c r="AK137" s="111">
        <v>0</v>
      </c>
      <c r="AL137" s="111">
        <v>0</v>
      </c>
      <c r="AM137" s="111">
        <v>0</v>
      </c>
      <c r="AN137" s="111">
        <v>0</v>
      </c>
      <c r="AO137" s="111">
        <v>0</v>
      </c>
      <c r="AP137" s="111">
        <v>0</v>
      </c>
      <c r="AQ137" s="111">
        <v>0</v>
      </c>
      <c r="AR137" s="111">
        <v>0</v>
      </c>
      <c r="AS137" s="111">
        <v>0</v>
      </c>
      <c r="AT137" s="111">
        <v>0</v>
      </c>
      <c r="AU137" s="111">
        <v>0</v>
      </c>
      <c r="AV137" s="111">
        <v>0</v>
      </c>
      <c r="AW137" s="111">
        <v>0</v>
      </c>
      <c r="AX137" s="111">
        <v>0</v>
      </c>
      <c r="AY137" s="111">
        <v>0</v>
      </c>
    </row>
    <row r="138" spans="1:51" x14ac:dyDescent="0.2">
      <c r="A138" s="114"/>
      <c r="B138" s="125">
        <v>17</v>
      </c>
      <c r="C138" s="111">
        <v>0</v>
      </c>
      <c r="D138" s="111">
        <v>0</v>
      </c>
      <c r="E138" s="111">
        <v>0</v>
      </c>
      <c r="F138" s="111">
        <v>0</v>
      </c>
      <c r="G138" s="111">
        <v>0</v>
      </c>
      <c r="H138" s="111">
        <v>0</v>
      </c>
      <c r="I138" s="111">
        <v>0</v>
      </c>
      <c r="J138" s="111">
        <v>0</v>
      </c>
      <c r="K138" s="111">
        <v>0</v>
      </c>
      <c r="L138" s="111">
        <v>0</v>
      </c>
      <c r="M138" s="111">
        <v>0</v>
      </c>
      <c r="N138" s="111">
        <v>0</v>
      </c>
      <c r="O138" s="111">
        <v>0</v>
      </c>
      <c r="P138" s="111">
        <v>0</v>
      </c>
      <c r="Q138" s="111">
        <v>0</v>
      </c>
      <c r="R138" s="111">
        <v>0</v>
      </c>
      <c r="S138" s="111">
        <v>0</v>
      </c>
      <c r="T138" s="111">
        <v>0</v>
      </c>
      <c r="U138" s="111">
        <v>0</v>
      </c>
      <c r="V138" s="111">
        <v>0</v>
      </c>
      <c r="W138" s="111">
        <v>0</v>
      </c>
      <c r="X138" s="111">
        <v>0</v>
      </c>
      <c r="Y138" s="111">
        <v>0</v>
      </c>
      <c r="Z138" s="111">
        <v>0</v>
      </c>
      <c r="AA138" s="111">
        <v>0</v>
      </c>
      <c r="AB138" s="111">
        <v>0</v>
      </c>
      <c r="AC138" s="111">
        <v>0</v>
      </c>
      <c r="AD138" s="111">
        <v>0</v>
      </c>
      <c r="AE138" s="111">
        <v>0</v>
      </c>
      <c r="AF138" s="111">
        <v>0</v>
      </c>
      <c r="AG138" s="111">
        <v>0</v>
      </c>
      <c r="AH138" s="111">
        <v>0</v>
      </c>
      <c r="AI138" s="111">
        <v>0</v>
      </c>
      <c r="AJ138" s="111">
        <v>0</v>
      </c>
      <c r="AK138" s="111">
        <v>0</v>
      </c>
      <c r="AL138" s="111">
        <v>0</v>
      </c>
      <c r="AM138" s="111">
        <v>0</v>
      </c>
      <c r="AN138" s="111">
        <v>0</v>
      </c>
      <c r="AO138" s="111">
        <v>0</v>
      </c>
      <c r="AP138" s="111">
        <v>0</v>
      </c>
      <c r="AQ138" s="111">
        <v>0</v>
      </c>
      <c r="AR138" s="111">
        <v>0</v>
      </c>
      <c r="AS138" s="111">
        <v>0</v>
      </c>
      <c r="AT138" s="111">
        <v>0</v>
      </c>
      <c r="AU138" s="111">
        <v>0</v>
      </c>
      <c r="AV138" s="111">
        <v>0</v>
      </c>
      <c r="AW138" s="111">
        <v>0</v>
      </c>
      <c r="AX138" s="111">
        <v>0</v>
      </c>
      <c r="AY138" s="111">
        <v>0</v>
      </c>
    </row>
    <row r="139" spans="1:51" x14ac:dyDescent="0.2">
      <c r="A139" s="114"/>
      <c r="B139" s="125">
        <v>18</v>
      </c>
      <c r="C139" s="111">
        <v>0</v>
      </c>
      <c r="D139" s="111">
        <v>0</v>
      </c>
      <c r="E139" s="111">
        <v>0</v>
      </c>
      <c r="F139" s="111">
        <v>0</v>
      </c>
      <c r="G139" s="111">
        <v>0</v>
      </c>
      <c r="H139" s="111">
        <v>0</v>
      </c>
      <c r="I139" s="111">
        <v>0</v>
      </c>
      <c r="J139" s="111">
        <v>0</v>
      </c>
      <c r="K139" s="111">
        <v>0</v>
      </c>
      <c r="L139" s="111">
        <v>0</v>
      </c>
      <c r="M139" s="111">
        <v>0</v>
      </c>
      <c r="N139" s="111">
        <v>0</v>
      </c>
      <c r="O139" s="111">
        <v>0</v>
      </c>
      <c r="P139" s="111">
        <v>0</v>
      </c>
      <c r="Q139" s="111">
        <v>0</v>
      </c>
      <c r="R139" s="111">
        <v>0</v>
      </c>
      <c r="S139" s="111">
        <v>0</v>
      </c>
      <c r="T139" s="111">
        <v>0</v>
      </c>
      <c r="U139" s="111">
        <v>0</v>
      </c>
      <c r="V139" s="111">
        <v>0</v>
      </c>
      <c r="W139" s="111">
        <v>0</v>
      </c>
      <c r="X139" s="111">
        <v>0</v>
      </c>
      <c r="Y139" s="111">
        <v>0</v>
      </c>
      <c r="Z139" s="111">
        <v>0</v>
      </c>
      <c r="AA139" s="111">
        <v>0</v>
      </c>
      <c r="AB139" s="111">
        <v>0</v>
      </c>
      <c r="AC139" s="111">
        <v>0</v>
      </c>
      <c r="AD139" s="111">
        <v>0</v>
      </c>
      <c r="AE139" s="111">
        <v>0</v>
      </c>
      <c r="AF139" s="111">
        <v>0</v>
      </c>
      <c r="AG139" s="111">
        <v>0</v>
      </c>
      <c r="AH139" s="111">
        <v>0</v>
      </c>
      <c r="AI139" s="111">
        <v>0</v>
      </c>
      <c r="AJ139" s="111">
        <v>0</v>
      </c>
      <c r="AK139" s="111">
        <v>0</v>
      </c>
      <c r="AL139" s="111">
        <v>0</v>
      </c>
      <c r="AM139" s="111">
        <v>0</v>
      </c>
      <c r="AN139" s="111">
        <v>0</v>
      </c>
      <c r="AO139" s="111">
        <v>0</v>
      </c>
      <c r="AP139" s="111">
        <v>0</v>
      </c>
      <c r="AQ139" s="111">
        <v>0</v>
      </c>
      <c r="AR139" s="111">
        <v>0</v>
      </c>
      <c r="AS139" s="111">
        <v>0</v>
      </c>
      <c r="AT139" s="111">
        <v>0</v>
      </c>
      <c r="AU139" s="111">
        <v>0</v>
      </c>
      <c r="AV139" s="111">
        <v>0</v>
      </c>
      <c r="AW139" s="111">
        <v>0</v>
      </c>
      <c r="AX139" s="111">
        <v>0</v>
      </c>
      <c r="AY139" s="111">
        <v>0</v>
      </c>
    </row>
    <row r="140" spans="1:51" x14ac:dyDescent="0.2">
      <c r="A140" s="114"/>
      <c r="B140" s="125">
        <v>19</v>
      </c>
      <c r="C140" s="111">
        <v>0</v>
      </c>
      <c r="D140" s="111">
        <v>0</v>
      </c>
      <c r="E140" s="111">
        <v>0</v>
      </c>
      <c r="F140" s="111">
        <v>0</v>
      </c>
      <c r="G140" s="111">
        <v>0</v>
      </c>
      <c r="H140" s="111">
        <v>0</v>
      </c>
      <c r="I140" s="111">
        <v>0</v>
      </c>
      <c r="J140" s="111">
        <v>0</v>
      </c>
      <c r="K140" s="111">
        <v>0</v>
      </c>
      <c r="L140" s="111">
        <v>0</v>
      </c>
      <c r="M140" s="111">
        <v>0</v>
      </c>
      <c r="N140" s="111">
        <v>0</v>
      </c>
      <c r="O140" s="111">
        <v>0</v>
      </c>
      <c r="P140" s="111">
        <v>0</v>
      </c>
      <c r="Q140" s="111">
        <v>0</v>
      </c>
      <c r="R140" s="111">
        <v>0</v>
      </c>
      <c r="S140" s="111">
        <v>0</v>
      </c>
      <c r="T140" s="111">
        <v>0</v>
      </c>
      <c r="U140" s="111">
        <v>0</v>
      </c>
      <c r="V140" s="111">
        <v>0</v>
      </c>
      <c r="W140" s="111">
        <v>0</v>
      </c>
      <c r="X140" s="111">
        <v>0</v>
      </c>
      <c r="Y140" s="111">
        <v>0</v>
      </c>
      <c r="Z140" s="111">
        <v>0</v>
      </c>
      <c r="AA140" s="111">
        <v>0</v>
      </c>
      <c r="AB140" s="111">
        <v>0</v>
      </c>
      <c r="AC140" s="111">
        <v>0</v>
      </c>
      <c r="AD140" s="111">
        <v>0</v>
      </c>
      <c r="AE140" s="111">
        <v>0</v>
      </c>
      <c r="AF140" s="111">
        <v>0</v>
      </c>
      <c r="AG140" s="111">
        <v>0</v>
      </c>
      <c r="AH140" s="111">
        <v>0</v>
      </c>
      <c r="AI140" s="111">
        <v>0</v>
      </c>
      <c r="AJ140" s="111">
        <v>0</v>
      </c>
      <c r="AK140" s="111">
        <v>0</v>
      </c>
      <c r="AL140" s="111">
        <v>0</v>
      </c>
      <c r="AM140" s="111">
        <v>0</v>
      </c>
      <c r="AN140" s="111">
        <v>0</v>
      </c>
      <c r="AO140" s="111">
        <v>0</v>
      </c>
      <c r="AP140" s="111">
        <v>0</v>
      </c>
      <c r="AQ140" s="111">
        <v>0</v>
      </c>
      <c r="AR140" s="111">
        <v>0</v>
      </c>
      <c r="AS140" s="111">
        <v>0</v>
      </c>
      <c r="AT140" s="111">
        <v>0</v>
      </c>
      <c r="AU140" s="111">
        <v>0</v>
      </c>
      <c r="AV140" s="111">
        <v>0</v>
      </c>
      <c r="AW140" s="111">
        <v>0</v>
      </c>
      <c r="AX140" s="111">
        <v>0</v>
      </c>
      <c r="AY140" s="111">
        <v>0</v>
      </c>
    </row>
    <row r="141" spans="1:51" x14ac:dyDescent="0.2">
      <c r="A141" s="114"/>
      <c r="B141" s="125">
        <v>20</v>
      </c>
      <c r="C141" s="111">
        <v>0</v>
      </c>
      <c r="D141" s="111">
        <v>0</v>
      </c>
      <c r="E141" s="111">
        <v>0</v>
      </c>
      <c r="F141" s="111">
        <v>0</v>
      </c>
      <c r="G141" s="111">
        <v>0</v>
      </c>
      <c r="H141" s="111">
        <v>0</v>
      </c>
      <c r="I141" s="111">
        <v>0</v>
      </c>
      <c r="J141" s="111">
        <v>0</v>
      </c>
      <c r="K141" s="111">
        <v>0</v>
      </c>
      <c r="L141" s="111">
        <v>0</v>
      </c>
      <c r="M141" s="111">
        <v>0</v>
      </c>
      <c r="N141" s="111">
        <v>0</v>
      </c>
      <c r="O141" s="111">
        <v>0</v>
      </c>
      <c r="P141" s="111">
        <v>0</v>
      </c>
      <c r="Q141" s="111">
        <v>0</v>
      </c>
      <c r="R141" s="111">
        <v>0</v>
      </c>
      <c r="S141" s="111">
        <v>0</v>
      </c>
      <c r="T141" s="111">
        <v>0</v>
      </c>
      <c r="U141" s="111">
        <v>0</v>
      </c>
      <c r="V141" s="111">
        <v>0</v>
      </c>
      <c r="W141" s="111">
        <v>0</v>
      </c>
      <c r="X141" s="111">
        <v>0</v>
      </c>
      <c r="Y141" s="111">
        <v>0</v>
      </c>
      <c r="Z141" s="111">
        <v>0</v>
      </c>
      <c r="AA141" s="111">
        <v>0</v>
      </c>
      <c r="AB141" s="111">
        <v>0</v>
      </c>
      <c r="AC141" s="111">
        <v>0</v>
      </c>
      <c r="AD141" s="111">
        <v>0</v>
      </c>
      <c r="AE141" s="111">
        <v>0</v>
      </c>
      <c r="AF141" s="111">
        <v>0</v>
      </c>
      <c r="AG141" s="111">
        <v>0</v>
      </c>
      <c r="AH141" s="111">
        <v>0</v>
      </c>
      <c r="AI141" s="111">
        <v>0</v>
      </c>
      <c r="AJ141" s="111">
        <v>0</v>
      </c>
      <c r="AK141" s="111">
        <v>0</v>
      </c>
      <c r="AL141" s="111">
        <v>0</v>
      </c>
      <c r="AM141" s="111">
        <v>0</v>
      </c>
      <c r="AN141" s="111">
        <v>0</v>
      </c>
      <c r="AO141" s="111">
        <v>0</v>
      </c>
      <c r="AP141" s="111">
        <v>0</v>
      </c>
      <c r="AQ141" s="111">
        <v>0</v>
      </c>
      <c r="AR141" s="111">
        <v>0</v>
      </c>
      <c r="AS141" s="111">
        <v>0</v>
      </c>
      <c r="AT141" s="111">
        <v>0</v>
      </c>
      <c r="AU141" s="111">
        <v>0</v>
      </c>
      <c r="AV141" s="111">
        <v>0</v>
      </c>
      <c r="AW141" s="111">
        <v>0</v>
      </c>
      <c r="AX141" s="111">
        <v>0</v>
      </c>
      <c r="AY141" s="111">
        <v>0</v>
      </c>
    </row>
    <row r="142" spans="1:51" x14ac:dyDescent="0.2">
      <c r="A142" s="114"/>
      <c r="B142" s="125">
        <v>21</v>
      </c>
      <c r="C142" s="111">
        <v>0</v>
      </c>
      <c r="D142" s="111">
        <v>0</v>
      </c>
      <c r="E142" s="111">
        <v>0</v>
      </c>
      <c r="F142" s="111">
        <v>0</v>
      </c>
      <c r="G142" s="111">
        <v>0</v>
      </c>
      <c r="H142" s="111">
        <v>0</v>
      </c>
      <c r="I142" s="111">
        <v>0</v>
      </c>
      <c r="J142" s="111">
        <v>0</v>
      </c>
      <c r="K142" s="111">
        <v>0</v>
      </c>
      <c r="L142" s="111">
        <v>0</v>
      </c>
      <c r="M142" s="111">
        <v>0</v>
      </c>
      <c r="N142" s="111">
        <v>0</v>
      </c>
      <c r="O142" s="111">
        <v>0</v>
      </c>
      <c r="P142" s="111">
        <v>0</v>
      </c>
      <c r="Q142" s="111">
        <v>0</v>
      </c>
      <c r="R142" s="111">
        <v>0</v>
      </c>
      <c r="S142" s="111">
        <v>0</v>
      </c>
      <c r="T142" s="111">
        <v>0</v>
      </c>
      <c r="U142" s="111">
        <v>0</v>
      </c>
      <c r="V142" s="111">
        <v>0</v>
      </c>
      <c r="W142" s="111">
        <v>0</v>
      </c>
      <c r="X142" s="111">
        <v>0</v>
      </c>
      <c r="Y142" s="111">
        <v>0</v>
      </c>
      <c r="Z142" s="111">
        <v>0</v>
      </c>
      <c r="AA142" s="111">
        <v>0</v>
      </c>
      <c r="AB142" s="111">
        <v>0</v>
      </c>
      <c r="AC142" s="111">
        <v>0</v>
      </c>
      <c r="AD142" s="111">
        <v>0</v>
      </c>
      <c r="AE142" s="111">
        <v>0</v>
      </c>
      <c r="AF142" s="111">
        <v>0</v>
      </c>
      <c r="AG142" s="111">
        <v>0</v>
      </c>
      <c r="AH142" s="111">
        <v>0</v>
      </c>
      <c r="AI142" s="111">
        <v>0</v>
      </c>
      <c r="AJ142" s="111">
        <v>0</v>
      </c>
      <c r="AK142" s="111">
        <v>0</v>
      </c>
      <c r="AL142" s="111">
        <v>0</v>
      </c>
      <c r="AM142" s="111">
        <v>0</v>
      </c>
      <c r="AN142" s="111">
        <v>0</v>
      </c>
      <c r="AO142" s="111">
        <v>0</v>
      </c>
      <c r="AP142" s="111">
        <v>0</v>
      </c>
      <c r="AQ142" s="111">
        <v>0</v>
      </c>
      <c r="AR142" s="111">
        <v>0</v>
      </c>
      <c r="AS142" s="111">
        <v>0</v>
      </c>
      <c r="AT142" s="111">
        <v>0</v>
      </c>
      <c r="AU142" s="111">
        <v>0</v>
      </c>
      <c r="AV142" s="111">
        <v>0</v>
      </c>
      <c r="AW142" s="111">
        <v>0</v>
      </c>
      <c r="AX142" s="111">
        <v>0</v>
      </c>
      <c r="AY142" s="111">
        <v>0</v>
      </c>
    </row>
    <row r="143" spans="1:51" x14ac:dyDescent="0.2">
      <c r="A143" s="114"/>
      <c r="B143" s="125">
        <v>22</v>
      </c>
      <c r="C143" s="111">
        <v>0</v>
      </c>
      <c r="D143" s="111">
        <v>0</v>
      </c>
      <c r="E143" s="111">
        <v>0</v>
      </c>
      <c r="F143" s="111">
        <v>0</v>
      </c>
      <c r="G143" s="111">
        <v>0</v>
      </c>
      <c r="H143" s="111">
        <v>0</v>
      </c>
      <c r="I143" s="111">
        <v>0</v>
      </c>
      <c r="J143" s="111">
        <v>0</v>
      </c>
      <c r="K143" s="111">
        <v>0</v>
      </c>
      <c r="L143" s="111">
        <v>0</v>
      </c>
      <c r="M143" s="111">
        <v>0</v>
      </c>
      <c r="N143" s="111">
        <v>0</v>
      </c>
      <c r="O143" s="111">
        <v>0</v>
      </c>
      <c r="P143" s="111">
        <v>0</v>
      </c>
      <c r="Q143" s="111">
        <v>0</v>
      </c>
      <c r="R143" s="111">
        <v>0</v>
      </c>
      <c r="S143" s="111">
        <v>0</v>
      </c>
      <c r="T143" s="111">
        <v>0</v>
      </c>
      <c r="U143" s="111">
        <v>0</v>
      </c>
      <c r="V143" s="111">
        <v>0</v>
      </c>
      <c r="W143" s="111">
        <v>0</v>
      </c>
      <c r="X143" s="111">
        <v>0</v>
      </c>
      <c r="Y143" s="111">
        <v>0</v>
      </c>
      <c r="Z143" s="111">
        <v>0</v>
      </c>
      <c r="AA143" s="111">
        <v>0</v>
      </c>
      <c r="AB143" s="111">
        <v>0</v>
      </c>
      <c r="AC143" s="111">
        <v>0</v>
      </c>
      <c r="AD143" s="111">
        <v>0</v>
      </c>
      <c r="AE143" s="111">
        <v>0</v>
      </c>
      <c r="AF143" s="111">
        <v>0</v>
      </c>
      <c r="AG143" s="111">
        <v>0</v>
      </c>
      <c r="AH143" s="111">
        <v>0</v>
      </c>
      <c r="AI143" s="111">
        <v>0</v>
      </c>
      <c r="AJ143" s="111">
        <v>0</v>
      </c>
      <c r="AK143" s="111">
        <v>0</v>
      </c>
      <c r="AL143" s="111">
        <v>0</v>
      </c>
      <c r="AM143" s="111">
        <v>0</v>
      </c>
      <c r="AN143" s="111">
        <v>0</v>
      </c>
      <c r="AO143" s="111">
        <v>0</v>
      </c>
      <c r="AP143" s="111">
        <v>0</v>
      </c>
      <c r="AQ143" s="111">
        <v>0</v>
      </c>
      <c r="AR143" s="111">
        <v>0</v>
      </c>
      <c r="AS143" s="111">
        <v>0</v>
      </c>
      <c r="AT143" s="111">
        <v>0</v>
      </c>
      <c r="AU143" s="111">
        <v>0</v>
      </c>
      <c r="AV143" s="111">
        <v>0</v>
      </c>
      <c r="AW143" s="111">
        <v>0</v>
      </c>
      <c r="AX143" s="111">
        <v>0</v>
      </c>
      <c r="AY143" s="111">
        <v>0</v>
      </c>
    </row>
    <row r="144" spans="1:51" x14ac:dyDescent="0.2">
      <c r="A144" s="114"/>
      <c r="B144" s="125">
        <v>23</v>
      </c>
      <c r="C144" s="111">
        <v>0</v>
      </c>
      <c r="D144" s="111">
        <v>0</v>
      </c>
      <c r="E144" s="111">
        <v>0</v>
      </c>
      <c r="F144" s="111">
        <v>0</v>
      </c>
      <c r="G144" s="111">
        <v>0</v>
      </c>
      <c r="H144" s="111">
        <v>0</v>
      </c>
      <c r="I144" s="111">
        <v>0</v>
      </c>
      <c r="J144" s="111">
        <v>0</v>
      </c>
      <c r="K144" s="111">
        <v>0</v>
      </c>
      <c r="L144" s="111">
        <v>0</v>
      </c>
      <c r="M144" s="111">
        <v>0</v>
      </c>
      <c r="N144" s="111">
        <v>0</v>
      </c>
      <c r="O144" s="111">
        <v>0</v>
      </c>
      <c r="P144" s="111">
        <v>0</v>
      </c>
      <c r="Q144" s="111">
        <v>0</v>
      </c>
      <c r="R144" s="111">
        <v>0</v>
      </c>
      <c r="S144" s="111">
        <v>0</v>
      </c>
      <c r="T144" s="111">
        <v>0</v>
      </c>
      <c r="U144" s="111">
        <v>0</v>
      </c>
      <c r="V144" s="111">
        <v>0</v>
      </c>
      <c r="W144" s="111">
        <v>0</v>
      </c>
      <c r="X144" s="111">
        <v>0</v>
      </c>
      <c r="Y144" s="111">
        <v>0</v>
      </c>
      <c r="Z144" s="111">
        <v>0</v>
      </c>
      <c r="AA144" s="111">
        <v>0</v>
      </c>
      <c r="AB144" s="111">
        <v>0</v>
      </c>
      <c r="AC144" s="111">
        <v>0</v>
      </c>
      <c r="AD144" s="111">
        <v>0</v>
      </c>
      <c r="AE144" s="111">
        <v>0</v>
      </c>
      <c r="AF144" s="111">
        <v>0</v>
      </c>
      <c r="AG144" s="111">
        <v>0</v>
      </c>
      <c r="AH144" s="111">
        <v>0</v>
      </c>
      <c r="AI144" s="111">
        <v>0</v>
      </c>
      <c r="AJ144" s="111">
        <v>0</v>
      </c>
      <c r="AK144" s="111">
        <v>0</v>
      </c>
      <c r="AL144" s="111">
        <v>0</v>
      </c>
      <c r="AM144" s="111">
        <v>0</v>
      </c>
      <c r="AN144" s="111">
        <v>0</v>
      </c>
      <c r="AO144" s="111">
        <v>0</v>
      </c>
      <c r="AP144" s="111">
        <v>0</v>
      </c>
      <c r="AQ144" s="111">
        <v>0</v>
      </c>
      <c r="AR144" s="111">
        <v>0</v>
      </c>
      <c r="AS144" s="111">
        <v>0</v>
      </c>
      <c r="AT144" s="111">
        <v>0</v>
      </c>
      <c r="AU144" s="111">
        <v>0</v>
      </c>
      <c r="AV144" s="111">
        <v>0</v>
      </c>
      <c r="AW144" s="111">
        <v>0</v>
      </c>
      <c r="AX144" s="111">
        <v>0</v>
      </c>
      <c r="AY144" s="111">
        <v>0</v>
      </c>
    </row>
    <row r="145" spans="1:51" x14ac:dyDescent="0.2">
      <c r="A145" s="114"/>
      <c r="B145" s="125">
        <v>24</v>
      </c>
      <c r="C145" s="111">
        <v>0</v>
      </c>
      <c r="D145" s="111">
        <v>0</v>
      </c>
      <c r="E145" s="111">
        <v>0</v>
      </c>
      <c r="F145" s="111">
        <v>0</v>
      </c>
      <c r="G145" s="111">
        <v>0</v>
      </c>
      <c r="H145" s="111">
        <v>0</v>
      </c>
      <c r="I145" s="111">
        <v>0</v>
      </c>
      <c r="J145" s="111">
        <v>0</v>
      </c>
      <c r="K145" s="111">
        <v>0</v>
      </c>
      <c r="L145" s="111">
        <v>0</v>
      </c>
      <c r="M145" s="111">
        <v>0</v>
      </c>
      <c r="N145" s="111">
        <v>0</v>
      </c>
      <c r="O145" s="111">
        <v>0</v>
      </c>
      <c r="P145" s="111">
        <v>0</v>
      </c>
      <c r="Q145" s="111">
        <v>0</v>
      </c>
      <c r="R145" s="111">
        <v>0</v>
      </c>
      <c r="S145" s="111">
        <v>0</v>
      </c>
      <c r="T145" s="111">
        <v>0</v>
      </c>
      <c r="U145" s="111">
        <v>0</v>
      </c>
      <c r="V145" s="111">
        <v>0</v>
      </c>
      <c r="W145" s="111">
        <v>0</v>
      </c>
      <c r="X145" s="111">
        <v>0</v>
      </c>
      <c r="Y145" s="111">
        <v>0</v>
      </c>
      <c r="Z145" s="111">
        <v>0</v>
      </c>
      <c r="AA145" s="111">
        <v>0</v>
      </c>
      <c r="AB145" s="111">
        <v>0</v>
      </c>
      <c r="AC145" s="111">
        <v>0</v>
      </c>
      <c r="AD145" s="111">
        <v>0</v>
      </c>
      <c r="AE145" s="111">
        <v>0</v>
      </c>
      <c r="AF145" s="111">
        <v>0</v>
      </c>
      <c r="AG145" s="111">
        <v>0</v>
      </c>
      <c r="AH145" s="111">
        <v>0</v>
      </c>
      <c r="AI145" s="111">
        <v>0</v>
      </c>
      <c r="AJ145" s="111">
        <v>0</v>
      </c>
      <c r="AK145" s="111">
        <v>0</v>
      </c>
      <c r="AL145" s="111">
        <v>0</v>
      </c>
      <c r="AM145" s="111">
        <v>0</v>
      </c>
      <c r="AN145" s="111">
        <v>0</v>
      </c>
      <c r="AO145" s="111">
        <v>0</v>
      </c>
      <c r="AP145" s="111">
        <v>0</v>
      </c>
      <c r="AQ145" s="111">
        <v>0</v>
      </c>
      <c r="AR145" s="111">
        <v>0</v>
      </c>
      <c r="AS145" s="111">
        <v>0</v>
      </c>
      <c r="AT145" s="111">
        <v>0</v>
      </c>
      <c r="AU145" s="111">
        <v>0</v>
      </c>
      <c r="AV145" s="111">
        <v>0</v>
      </c>
      <c r="AW145" s="111">
        <v>0</v>
      </c>
      <c r="AX145" s="111">
        <v>0</v>
      </c>
      <c r="AY145" s="111">
        <v>0</v>
      </c>
    </row>
    <row r="146" spans="1:51" x14ac:dyDescent="0.2">
      <c r="A146" s="114"/>
      <c r="B146" s="132">
        <v>25</v>
      </c>
      <c r="C146" s="111">
        <v>0</v>
      </c>
      <c r="D146" s="111">
        <v>0</v>
      </c>
      <c r="E146" s="111">
        <v>0</v>
      </c>
      <c r="F146" s="111">
        <v>0</v>
      </c>
      <c r="G146" s="111">
        <v>0</v>
      </c>
      <c r="H146" s="111">
        <v>0</v>
      </c>
      <c r="I146" s="111">
        <v>0</v>
      </c>
      <c r="J146" s="111">
        <v>0</v>
      </c>
      <c r="K146" s="111">
        <v>0</v>
      </c>
      <c r="L146" s="111">
        <v>0</v>
      </c>
      <c r="M146" s="111">
        <v>0</v>
      </c>
      <c r="N146" s="111">
        <v>0</v>
      </c>
      <c r="O146" s="111">
        <v>0</v>
      </c>
      <c r="P146" s="111">
        <v>0</v>
      </c>
      <c r="Q146" s="111">
        <v>0</v>
      </c>
      <c r="R146" s="111">
        <v>0</v>
      </c>
      <c r="S146" s="111">
        <v>0</v>
      </c>
      <c r="T146" s="111">
        <v>0</v>
      </c>
      <c r="U146" s="111">
        <v>0</v>
      </c>
      <c r="V146" s="111">
        <v>0</v>
      </c>
      <c r="W146" s="111">
        <v>0</v>
      </c>
      <c r="X146" s="111">
        <v>0</v>
      </c>
      <c r="Y146" s="111">
        <v>0</v>
      </c>
      <c r="Z146" s="111">
        <v>0</v>
      </c>
      <c r="AA146" s="111">
        <v>0</v>
      </c>
      <c r="AB146" s="111">
        <v>0</v>
      </c>
      <c r="AC146" s="111">
        <v>0</v>
      </c>
      <c r="AD146" s="111">
        <v>0</v>
      </c>
      <c r="AE146" s="111">
        <v>0</v>
      </c>
      <c r="AF146" s="111">
        <v>0</v>
      </c>
      <c r="AG146" s="111">
        <v>0</v>
      </c>
      <c r="AH146" s="111">
        <v>0</v>
      </c>
      <c r="AI146" s="111">
        <v>0</v>
      </c>
      <c r="AJ146" s="111">
        <v>0</v>
      </c>
      <c r="AK146" s="111">
        <v>0</v>
      </c>
      <c r="AL146" s="111">
        <v>0</v>
      </c>
      <c r="AM146" s="111">
        <v>0</v>
      </c>
      <c r="AN146" s="111">
        <v>0</v>
      </c>
      <c r="AO146" s="111">
        <v>0</v>
      </c>
      <c r="AP146" s="111">
        <v>0</v>
      </c>
      <c r="AQ146" s="111">
        <v>0</v>
      </c>
      <c r="AR146" s="111">
        <v>0</v>
      </c>
      <c r="AS146" s="111">
        <v>0</v>
      </c>
      <c r="AT146" s="111">
        <v>0</v>
      </c>
      <c r="AU146" s="111">
        <v>0</v>
      </c>
      <c r="AV146" s="111">
        <v>0</v>
      </c>
      <c r="AW146" s="111">
        <v>0</v>
      </c>
      <c r="AX146" s="111">
        <v>0</v>
      </c>
      <c r="AY146" s="111">
        <v>0</v>
      </c>
    </row>
    <row r="147" spans="1:51" x14ac:dyDescent="0.2">
      <c r="A147" s="114"/>
      <c r="B147" s="132">
        <v>26</v>
      </c>
      <c r="C147" s="111">
        <v>0</v>
      </c>
      <c r="D147" s="111">
        <v>0</v>
      </c>
      <c r="E147" s="111">
        <v>0</v>
      </c>
      <c r="F147" s="111">
        <v>0</v>
      </c>
      <c r="G147" s="111">
        <v>0</v>
      </c>
      <c r="H147" s="111">
        <v>0</v>
      </c>
      <c r="I147" s="111">
        <v>0</v>
      </c>
      <c r="J147" s="111">
        <v>0</v>
      </c>
      <c r="K147" s="111">
        <v>0</v>
      </c>
      <c r="L147" s="111">
        <v>0</v>
      </c>
      <c r="M147" s="111">
        <v>0</v>
      </c>
      <c r="N147" s="111">
        <v>0</v>
      </c>
      <c r="O147" s="111">
        <v>0</v>
      </c>
      <c r="P147" s="111">
        <v>0</v>
      </c>
      <c r="Q147" s="111">
        <v>0</v>
      </c>
      <c r="R147" s="111">
        <v>0</v>
      </c>
      <c r="S147" s="111">
        <v>0</v>
      </c>
      <c r="T147" s="111">
        <v>0</v>
      </c>
      <c r="U147" s="111">
        <v>0</v>
      </c>
      <c r="V147" s="111">
        <v>0</v>
      </c>
      <c r="W147" s="111">
        <v>0</v>
      </c>
      <c r="X147" s="111">
        <v>0</v>
      </c>
      <c r="Y147" s="111">
        <v>0</v>
      </c>
      <c r="Z147" s="111">
        <v>0</v>
      </c>
      <c r="AA147" s="111">
        <v>0</v>
      </c>
      <c r="AB147" s="111">
        <v>0</v>
      </c>
      <c r="AC147" s="111">
        <v>0</v>
      </c>
      <c r="AD147" s="111">
        <v>0</v>
      </c>
      <c r="AE147" s="111">
        <v>0</v>
      </c>
      <c r="AF147" s="111">
        <v>0</v>
      </c>
      <c r="AG147" s="111">
        <v>0</v>
      </c>
      <c r="AH147" s="111">
        <v>0</v>
      </c>
      <c r="AI147" s="111">
        <v>0</v>
      </c>
      <c r="AJ147" s="111">
        <v>0</v>
      </c>
      <c r="AK147" s="111">
        <v>0</v>
      </c>
      <c r="AL147" s="111">
        <v>0</v>
      </c>
      <c r="AM147" s="111">
        <v>0</v>
      </c>
      <c r="AN147" s="111">
        <v>0</v>
      </c>
      <c r="AO147" s="111">
        <v>0</v>
      </c>
      <c r="AP147" s="111">
        <v>0</v>
      </c>
      <c r="AQ147" s="111">
        <v>0</v>
      </c>
      <c r="AR147" s="111">
        <v>0</v>
      </c>
      <c r="AS147" s="111">
        <v>0</v>
      </c>
      <c r="AT147" s="111">
        <v>0</v>
      </c>
      <c r="AU147" s="111">
        <v>0</v>
      </c>
      <c r="AV147" s="111">
        <v>0</v>
      </c>
      <c r="AW147" s="111">
        <v>0</v>
      </c>
      <c r="AX147" s="111">
        <v>0</v>
      </c>
      <c r="AY147" s="111">
        <v>0</v>
      </c>
    </row>
    <row r="148" spans="1:51" x14ac:dyDescent="0.2">
      <c r="A148" s="114"/>
      <c r="B148" s="132">
        <v>27</v>
      </c>
      <c r="C148" s="111">
        <v>0</v>
      </c>
      <c r="D148" s="111">
        <v>0</v>
      </c>
      <c r="E148" s="111">
        <v>0</v>
      </c>
      <c r="F148" s="111">
        <v>0</v>
      </c>
      <c r="G148" s="111">
        <v>0</v>
      </c>
      <c r="H148" s="111">
        <v>0</v>
      </c>
      <c r="I148" s="111">
        <v>0</v>
      </c>
      <c r="J148" s="111">
        <v>0</v>
      </c>
      <c r="K148" s="111">
        <v>0</v>
      </c>
      <c r="L148" s="111">
        <v>0</v>
      </c>
      <c r="M148" s="111">
        <v>0</v>
      </c>
      <c r="N148" s="111">
        <v>0</v>
      </c>
      <c r="O148" s="111">
        <v>0</v>
      </c>
      <c r="P148" s="111">
        <v>0</v>
      </c>
      <c r="Q148" s="111">
        <v>0</v>
      </c>
      <c r="R148" s="111">
        <v>0</v>
      </c>
      <c r="S148" s="111">
        <v>0</v>
      </c>
      <c r="T148" s="111">
        <v>0</v>
      </c>
      <c r="U148" s="111">
        <v>0</v>
      </c>
      <c r="V148" s="111">
        <v>0</v>
      </c>
      <c r="W148" s="111">
        <v>0</v>
      </c>
      <c r="X148" s="111">
        <v>0</v>
      </c>
      <c r="Y148" s="111">
        <v>0</v>
      </c>
      <c r="Z148" s="111">
        <v>0</v>
      </c>
      <c r="AA148" s="111">
        <v>0</v>
      </c>
      <c r="AB148" s="111">
        <v>0</v>
      </c>
      <c r="AC148" s="111">
        <v>0</v>
      </c>
      <c r="AD148" s="111">
        <v>0</v>
      </c>
      <c r="AE148" s="111">
        <v>0</v>
      </c>
      <c r="AF148" s="111">
        <v>0</v>
      </c>
      <c r="AG148" s="111">
        <v>0</v>
      </c>
      <c r="AH148" s="111">
        <v>0</v>
      </c>
      <c r="AI148" s="111">
        <v>0</v>
      </c>
      <c r="AJ148" s="111">
        <v>0</v>
      </c>
      <c r="AK148" s="111">
        <v>0</v>
      </c>
      <c r="AL148" s="111">
        <v>0</v>
      </c>
      <c r="AM148" s="111">
        <v>0</v>
      </c>
      <c r="AN148" s="111">
        <v>0</v>
      </c>
      <c r="AO148" s="111">
        <v>0</v>
      </c>
      <c r="AP148" s="111">
        <v>0</v>
      </c>
      <c r="AQ148" s="111">
        <v>0</v>
      </c>
      <c r="AR148" s="111">
        <v>0</v>
      </c>
      <c r="AS148" s="111">
        <v>0</v>
      </c>
      <c r="AT148" s="111">
        <v>0</v>
      </c>
      <c r="AU148" s="111">
        <v>0</v>
      </c>
      <c r="AV148" s="111">
        <v>0</v>
      </c>
      <c r="AW148" s="111">
        <v>0</v>
      </c>
      <c r="AX148" s="111">
        <v>0</v>
      </c>
      <c r="AY148" s="111">
        <v>0</v>
      </c>
    </row>
    <row r="149" spans="1:51" x14ac:dyDescent="0.2">
      <c r="A149" s="114"/>
      <c r="B149" s="132">
        <v>28</v>
      </c>
      <c r="C149" s="111">
        <v>0</v>
      </c>
      <c r="D149" s="111">
        <v>0</v>
      </c>
      <c r="E149" s="111">
        <v>0</v>
      </c>
      <c r="F149" s="111">
        <v>0</v>
      </c>
      <c r="G149" s="111">
        <v>0</v>
      </c>
      <c r="H149" s="111">
        <v>0</v>
      </c>
      <c r="I149" s="111">
        <v>0</v>
      </c>
      <c r="J149" s="111">
        <v>0</v>
      </c>
      <c r="K149" s="111">
        <v>0</v>
      </c>
      <c r="L149" s="111">
        <v>0</v>
      </c>
      <c r="M149" s="111">
        <v>0</v>
      </c>
      <c r="N149" s="111">
        <v>0</v>
      </c>
      <c r="O149" s="111">
        <v>0</v>
      </c>
      <c r="P149" s="111">
        <v>0</v>
      </c>
      <c r="Q149" s="111">
        <v>0</v>
      </c>
      <c r="R149" s="111">
        <v>0</v>
      </c>
      <c r="S149" s="111">
        <v>0</v>
      </c>
      <c r="T149" s="111">
        <v>0</v>
      </c>
      <c r="U149" s="111">
        <v>0</v>
      </c>
      <c r="V149" s="111">
        <v>0</v>
      </c>
      <c r="W149" s="111">
        <v>0</v>
      </c>
      <c r="X149" s="111">
        <v>0</v>
      </c>
      <c r="Y149" s="111">
        <v>0</v>
      </c>
      <c r="Z149" s="111">
        <v>0</v>
      </c>
      <c r="AA149" s="111">
        <v>0</v>
      </c>
      <c r="AB149" s="111">
        <v>0</v>
      </c>
      <c r="AC149" s="111">
        <v>0</v>
      </c>
      <c r="AD149" s="111">
        <v>0</v>
      </c>
      <c r="AE149" s="111">
        <v>0</v>
      </c>
      <c r="AF149" s="111">
        <v>0</v>
      </c>
      <c r="AG149" s="111">
        <v>0</v>
      </c>
      <c r="AH149" s="111">
        <v>0</v>
      </c>
      <c r="AI149" s="111">
        <v>0</v>
      </c>
      <c r="AJ149" s="111">
        <v>0</v>
      </c>
      <c r="AK149" s="111">
        <v>0</v>
      </c>
      <c r="AL149" s="111">
        <v>0</v>
      </c>
      <c r="AM149" s="111">
        <v>0</v>
      </c>
      <c r="AN149" s="111">
        <v>0</v>
      </c>
      <c r="AO149" s="111">
        <v>0</v>
      </c>
      <c r="AP149" s="111">
        <v>0</v>
      </c>
      <c r="AQ149" s="111">
        <v>0</v>
      </c>
      <c r="AR149" s="111">
        <v>0</v>
      </c>
      <c r="AS149" s="111">
        <v>0</v>
      </c>
      <c r="AT149" s="111">
        <v>0</v>
      </c>
      <c r="AU149" s="111">
        <v>0</v>
      </c>
      <c r="AV149" s="111">
        <v>0</v>
      </c>
      <c r="AW149" s="111">
        <v>0</v>
      </c>
      <c r="AX149" s="111">
        <v>0</v>
      </c>
      <c r="AY149" s="111">
        <v>0</v>
      </c>
    </row>
    <row r="150" spans="1:51" x14ac:dyDescent="0.2">
      <c r="A150" s="114"/>
      <c r="B150" s="132">
        <v>29</v>
      </c>
      <c r="C150" s="111">
        <v>0</v>
      </c>
      <c r="D150" s="111">
        <v>0</v>
      </c>
      <c r="E150" s="111">
        <v>0</v>
      </c>
      <c r="F150" s="111">
        <v>0</v>
      </c>
      <c r="G150" s="111">
        <v>0</v>
      </c>
      <c r="H150" s="111">
        <v>0</v>
      </c>
      <c r="I150" s="111">
        <v>0</v>
      </c>
      <c r="J150" s="111">
        <v>0</v>
      </c>
      <c r="K150" s="111">
        <v>0</v>
      </c>
      <c r="L150" s="111">
        <v>0</v>
      </c>
      <c r="M150" s="111">
        <v>0</v>
      </c>
      <c r="N150" s="111">
        <v>0</v>
      </c>
      <c r="O150" s="111">
        <v>0</v>
      </c>
      <c r="P150" s="111">
        <v>0</v>
      </c>
      <c r="Q150" s="111">
        <v>0</v>
      </c>
      <c r="R150" s="111">
        <v>0</v>
      </c>
      <c r="S150" s="111">
        <v>0</v>
      </c>
      <c r="T150" s="111">
        <v>0</v>
      </c>
      <c r="U150" s="111">
        <v>0</v>
      </c>
      <c r="V150" s="111">
        <v>0</v>
      </c>
      <c r="W150" s="111">
        <v>0</v>
      </c>
      <c r="X150" s="111">
        <v>0</v>
      </c>
      <c r="Y150" s="111">
        <v>0</v>
      </c>
      <c r="Z150" s="111">
        <v>0</v>
      </c>
      <c r="AA150" s="111">
        <v>0</v>
      </c>
      <c r="AB150" s="111">
        <v>0</v>
      </c>
      <c r="AC150" s="111">
        <v>0</v>
      </c>
      <c r="AD150" s="111">
        <v>0</v>
      </c>
      <c r="AE150" s="111">
        <v>0</v>
      </c>
      <c r="AF150" s="111">
        <v>0</v>
      </c>
      <c r="AG150" s="111">
        <v>0</v>
      </c>
      <c r="AH150" s="111">
        <v>0</v>
      </c>
      <c r="AI150" s="111">
        <v>0</v>
      </c>
      <c r="AJ150" s="111">
        <v>0</v>
      </c>
      <c r="AK150" s="111">
        <v>0</v>
      </c>
      <c r="AL150" s="111">
        <v>0</v>
      </c>
      <c r="AM150" s="111">
        <v>0</v>
      </c>
      <c r="AN150" s="111">
        <v>0</v>
      </c>
      <c r="AO150" s="111">
        <v>0</v>
      </c>
      <c r="AP150" s="111">
        <v>0</v>
      </c>
      <c r="AQ150" s="111">
        <v>0</v>
      </c>
      <c r="AR150" s="111">
        <v>0</v>
      </c>
      <c r="AS150" s="111">
        <v>0</v>
      </c>
      <c r="AT150" s="111">
        <v>0</v>
      </c>
      <c r="AU150" s="111">
        <v>0</v>
      </c>
      <c r="AV150" s="111">
        <v>0</v>
      </c>
      <c r="AW150" s="111">
        <v>0</v>
      </c>
      <c r="AX150" s="111">
        <v>0</v>
      </c>
      <c r="AY150" s="111">
        <v>0</v>
      </c>
    </row>
    <row r="151" spans="1:51" x14ac:dyDescent="0.2">
      <c r="A151" s="114"/>
      <c r="B151" s="132">
        <v>30</v>
      </c>
      <c r="C151" s="111">
        <v>0</v>
      </c>
      <c r="D151" s="111">
        <v>0</v>
      </c>
      <c r="E151" s="111">
        <v>0</v>
      </c>
      <c r="F151" s="111">
        <v>0</v>
      </c>
      <c r="G151" s="111">
        <v>0</v>
      </c>
      <c r="H151" s="111">
        <v>0</v>
      </c>
      <c r="I151" s="111">
        <v>0</v>
      </c>
      <c r="J151" s="111">
        <v>0</v>
      </c>
      <c r="K151" s="111">
        <v>0</v>
      </c>
      <c r="L151" s="111">
        <v>0</v>
      </c>
      <c r="M151" s="111">
        <v>0</v>
      </c>
      <c r="N151" s="111">
        <v>0</v>
      </c>
      <c r="O151" s="111">
        <v>0</v>
      </c>
      <c r="P151" s="111">
        <v>0</v>
      </c>
      <c r="Q151" s="111">
        <v>0</v>
      </c>
      <c r="R151" s="111">
        <v>0</v>
      </c>
      <c r="S151" s="111">
        <v>0</v>
      </c>
      <c r="T151" s="111">
        <v>0</v>
      </c>
      <c r="U151" s="111">
        <v>0</v>
      </c>
      <c r="V151" s="111">
        <v>0</v>
      </c>
      <c r="W151" s="111">
        <v>0</v>
      </c>
      <c r="X151" s="111">
        <v>0</v>
      </c>
      <c r="Y151" s="111">
        <v>0</v>
      </c>
      <c r="Z151" s="111">
        <v>0</v>
      </c>
      <c r="AA151" s="111">
        <v>0</v>
      </c>
      <c r="AB151" s="111">
        <v>0</v>
      </c>
      <c r="AC151" s="111">
        <v>0</v>
      </c>
      <c r="AD151" s="111">
        <v>0</v>
      </c>
      <c r="AE151" s="111">
        <v>0</v>
      </c>
      <c r="AF151" s="111">
        <v>0</v>
      </c>
      <c r="AG151" s="111">
        <v>0</v>
      </c>
      <c r="AH151" s="111">
        <v>0</v>
      </c>
      <c r="AI151" s="111">
        <v>0</v>
      </c>
      <c r="AJ151" s="111">
        <v>0</v>
      </c>
      <c r="AK151" s="111">
        <v>0</v>
      </c>
      <c r="AL151" s="111">
        <v>0</v>
      </c>
      <c r="AM151" s="111">
        <v>0</v>
      </c>
      <c r="AN151" s="111">
        <v>0</v>
      </c>
      <c r="AO151" s="111">
        <v>0</v>
      </c>
      <c r="AP151" s="111">
        <v>0</v>
      </c>
      <c r="AQ151" s="111">
        <v>0</v>
      </c>
      <c r="AR151" s="111">
        <v>0</v>
      </c>
      <c r="AS151" s="111">
        <v>0</v>
      </c>
      <c r="AT151" s="111">
        <v>0</v>
      </c>
      <c r="AU151" s="111">
        <v>0</v>
      </c>
      <c r="AV151" s="111">
        <v>0</v>
      </c>
      <c r="AW151" s="111">
        <v>0</v>
      </c>
      <c r="AX151" s="111">
        <v>0</v>
      </c>
      <c r="AY151" s="111">
        <v>0</v>
      </c>
    </row>
    <row r="152" spans="1:51" x14ac:dyDescent="0.2">
      <c r="A152" s="114"/>
      <c r="B152" s="132">
        <v>31</v>
      </c>
      <c r="C152" s="111">
        <v>0</v>
      </c>
      <c r="D152" s="111">
        <v>0</v>
      </c>
      <c r="E152" s="111">
        <v>0</v>
      </c>
      <c r="F152" s="111">
        <v>0</v>
      </c>
      <c r="G152" s="111">
        <v>0</v>
      </c>
      <c r="H152" s="111">
        <v>0</v>
      </c>
      <c r="I152" s="111">
        <v>0</v>
      </c>
      <c r="J152" s="111">
        <v>0</v>
      </c>
      <c r="K152" s="111">
        <v>0</v>
      </c>
      <c r="L152" s="111">
        <v>0</v>
      </c>
      <c r="M152" s="111">
        <v>0</v>
      </c>
      <c r="N152" s="111">
        <v>0</v>
      </c>
      <c r="O152" s="111">
        <v>0</v>
      </c>
      <c r="P152" s="111">
        <v>0</v>
      </c>
      <c r="Q152" s="111">
        <v>0</v>
      </c>
      <c r="R152" s="111">
        <v>0</v>
      </c>
      <c r="S152" s="111">
        <v>0</v>
      </c>
      <c r="T152" s="111">
        <v>0</v>
      </c>
      <c r="U152" s="111">
        <v>0</v>
      </c>
      <c r="V152" s="111">
        <v>0</v>
      </c>
      <c r="W152" s="111">
        <v>0</v>
      </c>
      <c r="X152" s="111">
        <v>0</v>
      </c>
      <c r="Y152" s="111">
        <v>0</v>
      </c>
      <c r="Z152" s="111">
        <v>0</v>
      </c>
      <c r="AA152" s="111">
        <v>0</v>
      </c>
      <c r="AB152" s="111">
        <v>0</v>
      </c>
      <c r="AC152" s="111">
        <v>0</v>
      </c>
      <c r="AD152" s="111">
        <v>0</v>
      </c>
      <c r="AE152" s="111">
        <v>0</v>
      </c>
      <c r="AF152" s="111">
        <v>0</v>
      </c>
      <c r="AG152" s="111">
        <v>0</v>
      </c>
      <c r="AH152" s="111">
        <v>0</v>
      </c>
      <c r="AI152" s="111">
        <v>0</v>
      </c>
      <c r="AJ152" s="111">
        <v>0</v>
      </c>
      <c r="AK152" s="111">
        <v>0</v>
      </c>
      <c r="AL152" s="111">
        <v>0</v>
      </c>
      <c r="AM152" s="111">
        <v>0</v>
      </c>
      <c r="AN152" s="111">
        <v>0</v>
      </c>
      <c r="AO152" s="111">
        <v>0</v>
      </c>
      <c r="AP152" s="111">
        <v>0</v>
      </c>
      <c r="AQ152" s="111">
        <v>0</v>
      </c>
      <c r="AR152" s="111">
        <v>0</v>
      </c>
      <c r="AS152" s="111">
        <v>0</v>
      </c>
      <c r="AT152" s="111">
        <v>0</v>
      </c>
      <c r="AU152" s="111">
        <v>0</v>
      </c>
      <c r="AV152" s="111">
        <v>0</v>
      </c>
      <c r="AW152" s="111">
        <v>0</v>
      </c>
      <c r="AX152" s="111">
        <v>0</v>
      </c>
      <c r="AY152" s="111">
        <v>0</v>
      </c>
    </row>
    <row r="153" spans="1:51" x14ac:dyDescent="0.2">
      <c r="A153" s="114"/>
      <c r="B153" s="132">
        <v>32</v>
      </c>
      <c r="C153" s="111">
        <v>0</v>
      </c>
      <c r="D153" s="111">
        <v>0</v>
      </c>
      <c r="E153" s="111">
        <v>0</v>
      </c>
      <c r="F153" s="111">
        <v>0</v>
      </c>
      <c r="G153" s="111">
        <v>0</v>
      </c>
      <c r="H153" s="111">
        <v>0</v>
      </c>
      <c r="I153" s="111">
        <v>0</v>
      </c>
      <c r="J153" s="111">
        <v>0</v>
      </c>
      <c r="K153" s="111">
        <v>0</v>
      </c>
      <c r="L153" s="111">
        <v>0</v>
      </c>
      <c r="M153" s="111">
        <v>0</v>
      </c>
      <c r="N153" s="111">
        <v>0</v>
      </c>
      <c r="O153" s="111">
        <v>0</v>
      </c>
      <c r="P153" s="111">
        <v>0</v>
      </c>
      <c r="Q153" s="111">
        <v>0</v>
      </c>
      <c r="R153" s="111">
        <v>0</v>
      </c>
      <c r="S153" s="111">
        <v>0</v>
      </c>
      <c r="T153" s="111">
        <v>0</v>
      </c>
      <c r="U153" s="111">
        <v>0</v>
      </c>
      <c r="V153" s="111">
        <v>0</v>
      </c>
      <c r="W153" s="111">
        <v>0</v>
      </c>
      <c r="X153" s="111">
        <v>0</v>
      </c>
      <c r="Y153" s="111">
        <v>0</v>
      </c>
      <c r="Z153" s="111">
        <v>0</v>
      </c>
      <c r="AA153" s="111">
        <v>0</v>
      </c>
      <c r="AB153" s="111">
        <v>0</v>
      </c>
      <c r="AC153" s="111">
        <v>0</v>
      </c>
      <c r="AD153" s="111">
        <v>0</v>
      </c>
      <c r="AE153" s="111">
        <v>0</v>
      </c>
      <c r="AF153" s="111">
        <v>0</v>
      </c>
      <c r="AG153" s="111">
        <v>0</v>
      </c>
      <c r="AH153" s="111">
        <v>0</v>
      </c>
      <c r="AI153" s="111">
        <v>0</v>
      </c>
      <c r="AJ153" s="111">
        <v>0</v>
      </c>
      <c r="AK153" s="111">
        <v>0</v>
      </c>
      <c r="AL153" s="111">
        <v>0</v>
      </c>
      <c r="AM153" s="111">
        <v>0</v>
      </c>
      <c r="AN153" s="111">
        <v>0</v>
      </c>
      <c r="AO153" s="111">
        <v>0</v>
      </c>
      <c r="AP153" s="111">
        <v>0</v>
      </c>
      <c r="AQ153" s="111">
        <v>0</v>
      </c>
      <c r="AR153" s="111">
        <v>0</v>
      </c>
      <c r="AS153" s="111">
        <v>0</v>
      </c>
      <c r="AT153" s="111">
        <v>0</v>
      </c>
      <c r="AU153" s="111">
        <v>0</v>
      </c>
      <c r="AV153" s="111">
        <v>0</v>
      </c>
      <c r="AW153" s="111">
        <v>0</v>
      </c>
      <c r="AX153" s="111">
        <v>0</v>
      </c>
      <c r="AY153" s="111">
        <v>0</v>
      </c>
    </row>
    <row r="154" spans="1:51" x14ac:dyDescent="0.2">
      <c r="A154" s="114"/>
      <c r="B154" s="132">
        <v>33</v>
      </c>
      <c r="C154" s="111">
        <v>0</v>
      </c>
      <c r="D154" s="111">
        <v>0</v>
      </c>
      <c r="E154" s="111">
        <v>0</v>
      </c>
      <c r="F154" s="111">
        <v>0</v>
      </c>
      <c r="G154" s="111">
        <v>0</v>
      </c>
      <c r="H154" s="111">
        <v>0</v>
      </c>
      <c r="I154" s="111">
        <v>0</v>
      </c>
      <c r="J154" s="111">
        <v>0</v>
      </c>
      <c r="K154" s="111">
        <v>0</v>
      </c>
      <c r="L154" s="111">
        <v>0</v>
      </c>
      <c r="M154" s="111">
        <v>0</v>
      </c>
      <c r="N154" s="111">
        <v>0</v>
      </c>
      <c r="O154" s="111">
        <v>0</v>
      </c>
      <c r="P154" s="111">
        <v>0</v>
      </c>
      <c r="Q154" s="111">
        <v>0</v>
      </c>
      <c r="R154" s="111">
        <v>0</v>
      </c>
      <c r="S154" s="111">
        <v>0</v>
      </c>
      <c r="T154" s="111">
        <v>0</v>
      </c>
      <c r="U154" s="111">
        <v>0</v>
      </c>
      <c r="V154" s="111">
        <v>0</v>
      </c>
      <c r="W154" s="111">
        <v>0</v>
      </c>
      <c r="X154" s="111">
        <v>0</v>
      </c>
      <c r="Y154" s="111">
        <v>0</v>
      </c>
      <c r="Z154" s="111">
        <v>0</v>
      </c>
      <c r="AA154" s="111">
        <v>0</v>
      </c>
      <c r="AB154" s="111">
        <v>0</v>
      </c>
      <c r="AC154" s="111">
        <v>0</v>
      </c>
      <c r="AD154" s="111">
        <v>0</v>
      </c>
      <c r="AE154" s="111">
        <v>0</v>
      </c>
      <c r="AF154" s="111">
        <v>0</v>
      </c>
      <c r="AG154" s="111">
        <v>0</v>
      </c>
      <c r="AH154" s="111">
        <v>0</v>
      </c>
      <c r="AI154" s="111">
        <v>0</v>
      </c>
      <c r="AJ154" s="111">
        <v>0</v>
      </c>
      <c r="AK154" s="111">
        <v>0</v>
      </c>
      <c r="AL154" s="111">
        <v>0</v>
      </c>
      <c r="AM154" s="111">
        <v>0</v>
      </c>
      <c r="AN154" s="111">
        <v>0</v>
      </c>
      <c r="AO154" s="111">
        <v>0</v>
      </c>
      <c r="AP154" s="111">
        <v>0</v>
      </c>
      <c r="AQ154" s="111">
        <v>0</v>
      </c>
      <c r="AR154" s="111">
        <v>0</v>
      </c>
      <c r="AS154" s="111">
        <v>0</v>
      </c>
      <c r="AT154" s="111">
        <v>0</v>
      </c>
      <c r="AU154" s="111">
        <v>0</v>
      </c>
      <c r="AV154" s="111">
        <v>0</v>
      </c>
      <c r="AW154" s="111">
        <v>0</v>
      </c>
      <c r="AX154" s="111">
        <v>0</v>
      </c>
      <c r="AY154" s="111">
        <v>0</v>
      </c>
    </row>
    <row r="155" spans="1:51" x14ac:dyDescent="0.2">
      <c r="A155" s="114"/>
      <c r="B155" s="132">
        <v>34</v>
      </c>
      <c r="C155" s="111">
        <v>0</v>
      </c>
      <c r="D155" s="111">
        <v>0</v>
      </c>
      <c r="E155" s="111">
        <v>0</v>
      </c>
      <c r="F155" s="111">
        <v>0</v>
      </c>
      <c r="G155" s="111">
        <v>0</v>
      </c>
      <c r="H155" s="111">
        <v>0</v>
      </c>
      <c r="I155" s="111">
        <v>0</v>
      </c>
      <c r="J155" s="111">
        <v>0</v>
      </c>
      <c r="K155" s="111">
        <v>0</v>
      </c>
      <c r="L155" s="111">
        <v>0</v>
      </c>
      <c r="M155" s="111">
        <v>0</v>
      </c>
      <c r="N155" s="111">
        <v>0</v>
      </c>
      <c r="O155" s="111">
        <v>0</v>
      </c>
      <c r="P155" s="111">
        <v>0</v>
      </c>
      <c r="Q155" s="111">
        <v>0</v>
      </c>
      <c r="R155" s="111">
        <v>0</v>
      </c>
      <c r="S155" s="111">
        <v>0</v>
      </c>
      <c r="T155" s="111">
        <v>0</v>
      </c>
      <c r="U155" s="111">
        <v>0</v>
      </c>
      <c r="V155" s="111">
        <v>0</v>
      </c>
      <c r="W155" s="111">
        <v>0</v>
      </c>
      <c r="X155" s="111">
        <v>0</v>
      </c>
      <c r="Y155" s="111">
        <v>0</v>
      </c>
      <c r="Z155" s="111">
        <v>0</v>
      </c>
      <c r="AA155" s="111">
        <v>0</v>
      </c>
      <c r="AB155" s="111">
        <v>0</v>
      </c>
      <c r="AC155" s="111">
        <v>0</v>
      </c>
      <c r="AD155" s="111">
        <v>0</v>
      </c>
      <c r="AE155" s="111">
        <v>0</v>
      </c>
      <c r="AF155" s="111">
        <v>0</v>
      </c>
      <c r="AG155" s="111">
        <v>0</v>
      </c>
      <c r="AH155" s="111">
        <v>0</v>
      </c>
      <c r="AI155" s="111">
        <v>0</v>
      </c>
      <c r="AJ155" s="111">
        <v>0</v>
      </c>
      <c r="AK155" s="111">
        <v>0</v>
      </c>
      <c r="AL155" s="111">
        <v>0</v>
      </c>
      <c r="AM155" s="111">
        <v>0</v>
      </c>
      <c r="AN155" s="111">
        <v>0</v>
      </c>
      <c r="AO155" s="111">
        <v>0</v>
      </c>
      <c r="AP155" s="111">
        <v>0</v>
      </c>
      <c r="AQ155" s="111">
        <v>0</v>
      </c>
      <c r="AR155" s="111">
        <v>0</v>
      </c>
      <c r="AS155" s="111">
        <v>0</v>
      </c>
      <c r="AT155" s="111">
        <v>0</v>
      </c>
      <c r="AU155" s="111">
        <v>0</v>
      </c>
      <c r="AV155" s="111">
        <v>0</v>
      </c>
      <c r="AW155" s="111">
        <v>0</v>
      </c>
      <c r="AX155" s="111">
        <v>0</v>
      </c>
      <c r="AY155" s="111">
        <v>0</v>
      </c>
    </row>
    <row r="156" spans="1:51" x14ac:dyDescent="0.2">
      <c r="A156" s="114"/>
      <c r="B156" s="132">
        <v>35</v>
      </c>
      <c r="C156" s="111">
        <v>0</v>
      </c>
      <c r="D156" s="111">
        <v>0</v>
      </c>
      <c r="E156" s="111">
        <v>0</v>
      </c>
      <c r="F156" s="111">
        <v>0</v>
      </c>
      <c r="G156" s="111">
        <v>0</v>
      </c>
      <c r="H156" s="111">
        <v>0</v>
      </c>
      <c r="I156" s="111">
        <v>0</v>
      </c>
      <c r="J156" s="111">
        <v>0</v>
      </c>
      <c r="K156" s="111">
        <v>0</v>
      </c>
      <c r="L156" s="111">
        <v>0</v>
      </c>
      <c r="M156" s="111">
        <v>0</v>
      </c>
      <c r="N156" s="111">
        <v>0</v>
      </c>
      <c r="O156" s="111">
        <v>0</v>
      </c>
      <c r="P156" s="111">
        <v>0</v>
      </c>
      <c r="Q156" s="111">
        <v>0</v>
      </c>
      <c r="R156" s="111">
        <v>0</v>
      </c>
      <c r="S156" s="111">
        <v>0</v>
      </c>
      <c r="T156" s="111">
        <v>0</v>
      </c>
      <c r="U156" s="111">
        <v>0</v>
      </c>
      <c r="V156" s="111">
        <v>0</v>
      </c>
      <c r="W156" s="111">
        <v>0</v>
      </c>
      <c r="X156" s="111">
        <v>0</v>
      </c>
      <c r="Y156" s="111">
        <v>0</v>
      </c>
      <c r="Z156" s="111">
        <v>0</v>
      </c>
      <c r="AA156" s="111">
        <v>0</v>
      </c>
      <c r="AB156" s="111">
        <v>0</v>
      </c>
      <c r="AC156" s="111">
        <v>0</v>
      </c>
      <c r="AD156" s="111">
        <v>0</v>
      </c>
      <c r="AE156" s="111">
        <v>0</v>
      </c>
      <c r="AF156" s="111">
        <v>0</v>
      </c>
      <c r="AG156" s="111">
        <v>0</v>
      </c>
      <c r="AH156" s="111">
        <v>0</v>
      </c>
      <c r="AI156" s="111">
        <v>0</v>
      </c>
      <c r="AJ156" s="111">
        <v>0</v>
      </c>
      <c r="AK156" s="111">
        <v>0</v>
      </c>
      <c r="AL156" s="111">
        <v>0</v>
      </c>
      <c r="AM156" s="111">
        <v>0</v>
      </c>
      <c r="AN156" s="111">
        <v>0</v>
      </c>
      <c r="AO156" s="111">
        <v>0</v>
      </c>
      <c r="AP156" s="111">
        <v>0</v>
      </c>
      <c r="AQ156" s="111">
        <v>0</v>
      </c>
      <c r="AR156" s="111">
        <v>0</v>
      </c>
      <c r="AS156" s="111">
        <v>0</v>
      </c>
      <c r="AT156" s="111">
        <v>0</v>
      </c>
      <c r="AU156" s="111">
        <v>0</v>
      </c>
      <c r="AV156" s="111">
        <v>0</v>
      </c>
      <c r="AW156" s="111">
        <v>0</v>
      </c>
      <c r="AX156" s="111">
        <v>0</v>
      </c>
      <c r="AY156" s="111">
        <v>0</v>
      </c>
    </row>
    <row r="157" spans="1:51" x14ac:dyDescent="0.2">
      <c r="A157" s="114"/>
      <c r="B157" s="132">
        <v>36</v>
      </c>
      <c r="C157" s="111">
        <v>0</v>
      </c>
      <c r="D157" s="111">
        <v>0</v>
      </c>
      <c r="E157" s="111">
        <v>0</v>
      </c>
      <c r="F157" s="111">
        <v>0</v>
      </c>
      <c r="G157" s="111">
        <v>0</v>
      </c>
      <c r="H157" s="111">
        <v>0</v>
      </c>
      <c r="I157" s="111">
        <v>0</v>
      </c>
      <c r="J157" s="111">
        <v>0</v>
      </c>
      <c r="K157" s="111">
        <v>0</v>
      </c>
      <c r="L157" s="111">
        <v>0</v>
      </c>
      <c r="M157" s="111">
        <v>0</v>
      </c>
      <c r="N157" s="111">
        <v>0</v>
      </c>
      <c r="O157" s="111">
        <v>0</v>
      </c>
      <c r="P157" s="111">
        <v>0</v>
      </c>
      <c r="Q157" s="111">
        <v>0</v>
      </c>
      <c r="R157" s="111">
        <v>0</v>
      </c>
      <c r="S157" s="111">
        <v>0</v>
      </c>
      <c r="T157" s="111">
        <v>0</v>
      </c>
      <c r="U157" s="111">
        <v>0</v>
      </c>
      <c r="V157" s="111">
        <v>0</v>
      </c>
      <c r="W157" s="111">
        <v>0</v>
      </c>
      <c r="X157" s="111">
        <v>0</v>
      </c>
      <c r="Y157" s="111">
        <v>0</v>
      </c>
      <c r="Z157" s="111">
        <v>0</v>
      </c>
      <c r="AA157" s="111">
        <v>0</v>
      </c>
      <c r="AB157" s="111">
        <v>0</v>
      </c>
      <c r="AC157" s="111">
        <v>0</v>
      </c>
      <c r="AD157" s="111">
        <v>0</v>
      </c>
      <c r="AE157" s="111">
        <v>0</v>
      </c>
      <c r="AF157" s="111">
        <v>0</v>
      </c>
      <c r="AG157" s="111">
        <v>0</v>
      </c>
      <c r="AH157" s="111">
        <v>0</v>
      </c>
      <c r="AI157" s="111">
        <v>0</v>
      </c>
      <c r="AJ157" s="111">
        <v>0</v>
      </c>
      <c r="AK157" s="111">
        <v>0</v>
      </c>
      <c r="AL157" s="111">
        <v>0</v>
      </c>
      <c r="AM157" s="111">
        <v>0</v>
      </c>
      <c r="AN157" s="111">
        <v>0</v>
      </c>
      <c r="AO157" s="111">
        <v>0</v>
      </c>
      <c r="AP157" s="111">
        <v>0</v>
      </c>
      <c r="AQ157" s="111">
        <v>0</v>
      </c>
      <c r="AR157" s="111">
        <v>0</v>
      </c>
      <c r="AS157" s="111">
        <v>0</v>
      </c>
      <c r="AT157" s="111">
        <v>0</v>
      </c>
      <c r="AU157" s="111">
        <v>0</v>
      </c>
      <c r="AV157" s="111">
        <v>0</v>
      </c>
      <c r="AW157" s="111">
        <v>0</v>
      </c>
      <c r="AX157" s="111">
        <v>0</v>
      </c>
      <c r="AY157" s="111">
        <v>0</v>
      </c>
    </row>
    <row r="158" spans="1:51" x14ac:dyDescent="0.2">
      <c r="A158" s="114"/>
      <c r="B158" s="135">
        <v>37</v>
      </c>
      <c r="C158" s="111">
        <v>0</v>
      </c>
      <c r="D158" s="111">
        <v>0</v>
      </c>
      <c r="E158" s="111">
        <v>0</v>
      </c>
      <c r="F158" s="111">
        <v>0</v>
      </c>
      <c r="G158" s="111">
        <v>0</v>
      </c>
      <c r="H158" s="111">
        <v>0</v>
      </c>
      <c r="I158" s="111">
        <v>0</v>
      </c>
      <c r="J158" s="111">
        <v>0</v>
      </c>
      <c r="K158" s="111">
        <v>0</v>
      </c>
      <c r="L158" s="111">
        <v>0</v>
      </c>
      <c r="M158" s="111">
        <v>0</v>
      </c>
      <c r="N158" s="111">
        <v>0</v>
      </c>
      <c r="O158" s="111">
        <v>0</v>
      </c>
      <c r="P158" s="111">
        <v>0</v>
      </c>
      <c r="Q158" s="111">
        <v>0</v>
      </c>
      <c r="R158" s="111">
        <v>0</v>
      </c>
      <c r="S158" s="111">
        <v>0</v>
      </c>
      <c r="T158" s="111">
        <v>0</v>
      </c>
      <c r="U158" s="111">
        <v>0</v>
      </c>
      <c r="V158" s="111">
        <v>0</v>
      </c>
      <c r="W158" s="111">
        <v>0</v>
      </c>
      <c r="X158" s="111">
        <v>0</v>
      </c>
      <c r="Y158" s="111">
        <v>0</v>
      </c>
      <c r="Z158" s="111">
        <v>0</v>
      </c>
      <c r="AA158" s="111">
        <v>0</v>
      </c>
      <c r="AB158" s="111">
        <v>0</v>
      </c>
      <c r="AC158" s="111">
        <v>0</v>
      </c>
      <c r="AD158" s="111">
        <v>0</v>
      </c>
      <c r="AE158" s="111">
        <v>0</v>
      </c>
      <c r="AF158" s="111">
        <v>0</v>
      </c>
      <c r="AG158" s="111">
        <v>0</v>
      </c>
      <c r="AH158" s="111">
        <v>0</v>
      </c>
      <c r="AI158" s="111">
        <v>0</v>
      </c>
      <c r="AJ158" s="111">
        <v>0</v>
      </c>
      <c r="AK158" s="111">
        <v>0</v>
      </c>
      <c r="AL158" s="111">
        <v>0</v>
      </c>
      <c r="AM158" s="111">
        <v>0</v>
      </c>
      <c r="AN158" s="111">
        <v>0</v>
      </c>
      <c r="AO158" s="111">
        <v>0</v>
      </c>
      <c r="AP158" s="111">
        <v>0</v>
      </c>
      <c r="AQ158" s="111">
        <v>0</v>
      </c>
      <c r="AR158" s="111">
        <v>0</v>
      </c>
      <c r="AS158" s="111">
        <v>0</v>
      </c>
      <c r="AT158" s="111">
        <v>0</v>
      </c>
      <c r="AU158" s="111">
        <v>0</v>
      </c>
      <c r="AV158" s="111">
        <v>0</v>
      </c>
      <c r="AW158" s="111">
        <v>0</v>
      </c>
      <c r="AX158" s="111">
        <v>0</v>
      </c>
      <c r="AY158" s="111">
        <v>0</v>
      </c>
    </row>
    <row r="159" spans="1:51" x14ac:dyDescent="0.2">
      <c r="A159" s="114"/>
      <c r="B159" s="135">
        <v>38</v>
      </c>
      <c r="C159" s="111">
        <v>0</v>
      </c>
      <c r="D159" s="111">
        <v>0</v>
      </c>
      <c r="E159" s="111">
        <v>0</v>
      </c>
      <c r="F159" s="111">
        <v>0</v>
      </c>
      <c r="G159" s="111">
        <v>0</v>
      </c>
      <c r="H159" s="111">
        <v>0</v>
      </c>
      <c r="I159" s="111">
        <v>0</v>
      </c>
      <c r="J159" s="111">
        <v>0</v>
      </c>
      <c r="K159" s="111">
        <v>0</v>
      </c>
      <c r="L159" s="111">
        <v>0</v>
      </c>
      <c r="M159" s="111">
        <v>0</v>
      </c>
      <c r="N159" s="111">
        <v>0</v>
      </c>
      <c r="O159" s="111">
        <v>0</v>
      </c>
      <c r="P159" s="111">
        <v>0</v>
      </c>
      <c r="Q159" s="111">
        <v>0</v>
      </c>
      <c r="R159" s="111">
        <v>0</v>
      </c>
      <c r="S159" s="111">
        <v>0</v>
      </c>
      <c r="T159" s="111">
        <v>0</v>
      </c>
      <c r="U159" s="111">
        <v>0</v>
      </c>
      <c r="V159" s="111">
        <v>0</v>
      </c>
      <c r="W159" s="111">
        <v>0</v>
      </c>
      <c r="X159" s="111">
        <v>0</v>
      </c>
      <c r="Y159" s="111">
        <v>0</v>
      </c>
      <c r="Z159" s="111">
        <v>0</v>
      </c>
      <c r="AA159" s="111">
        <v>0</v>
      </c>
      <c r="AB159" s="111">
        <v>0</v>
      </c>
      <c r="AC159" s="111">
        <v>0</v>
      </c>
      <c r="AD159" s="111">
        <v>0</v>
      </c>
      <c r="AE159" s="111">
        <v>0</v>
      </c>
      <c r="AF159" s="111">
        <v>0</v>
      </c>
      <c r="AG159" s="111">
        <v>0</v>
      </c>
      <c r="AH159" s="111">
        <v>0</v>
      </c>
      <c r="AI159" s="111">
        <v>0</v>
      </c>
      <c r="AJ159" s="111">
        <v>0</v>
      </c>
      <c r="AK159" s="111">
        <v>0</v>
      </c>
      <c r="AL159" s="111">
        <v>0</v>
      </c>
      <c r="AM159" s="111">
        <v>0</v>
      </c>
      <c r="AN159" s="111">
        <v>0</v>
      </c>
      <c r="AO159" s="111">
        <v>0</v>
      </c>
      <c r="AP159" s="111">
        <v>0</v>
      </c>
      <c r="AQ159" s="111">
        <v>0</v>
      </c>
      <c r="AR159" s="111">
        <v>0</v>
      </c>
      <c r="AS159" s="111">
        <v>0</v>
      </c>
      <c r="AT159" s="111">
        <v>0</v>
      </c>
      <c r="AU159" s="111">
        <v>0</v>
      </c>
      <c r="AV159" s="111">
        <v>0</v>
      </c>
      <c r="AW159" s="111">
        <v>0</v>
      </c>
      <c r="AX159" s="111">
        <v>0</v>
      </c>
      <c r="AY159" s="111">
        <v>0</v>
      </c>
    </row>
    <row r="160" spans="1:51" x14ac:dyDescent="0.2">
      <c r="A160" s="114"/>
      <c r="B160" s="135">
        <v>39</v>
      </c>
      <c r="C160" s="111">
        <v>0</v>
      </c>
      <c r="D160" s="111">
        <v>0</v>
      </c>
      <c r="E160" s="111">
        <v>0</v>
      </c>
      <c r="F160" s="111">
        <v>0</v>
      </c>
      <c r="G160" s="111">
        <v>0</v>
      </c>
      <c r="H160" s="111">
        <v>0</v>
      </c>
      <c r="I160" s="111">
        <v>0</v>
      </c>
      <c r="J160" s="111">
        <v>0</v>
      </c>
      <c r="K160" s="111">
        <v>0</v>
      </c>
      <c r="L160" s="111">
        <v>0</v>
      </c>
      <c r="M160" s="111">
        <v>0</v>
      </c>
      <c r="N160" s="111">
        <v>0</v>
      </c>
      <c r="O160" s="111">
        <v>0</v>
      </c>
      <c r="P160" s="111">
        <v>0</v>
      </c>
      <c r="Q160" s="111">
        <v>0</v>
      </c>
      <c r="R160" s="111">
        <v>0</v>
      </c>
      <c r="S160" s="111">
        <v>0</v>
      </c>
      <c r="T160" s="111">
        <v>0</v>
      </c>
      <c r="U160" s="111">
        <v>0</v>
      </c>
      <c r="V160" s="111">
        <v>0</v>
      </c>
      <c r="W160" s="111">
        <v>0</v>
      </c>
      <c r="X160" s="111">
        <v>0</v>
      </c>
      <c r="Y160" s="111">
        <v>0</v>
      </c>
      <c r="Z160" s="111">
        <v>0</v>
      </c>
      <c r="AA160" s="111">
        <v>0</v>
      </c>
      <c r="AB160" s="111">
        <v>0</v>
      </c>
      <c r="AC160" s="111">
        <v>0</v>
      </c>
      <c r="AD160" s="111">
        <v>0</v>
      </c>
      <c r="AE160" s="111">
        <v>0</v>
      </c>
      <c r="AF160" s="111">
        <v>0</v>
      </c>
      <c r="AG160" s="111">
        <v>0</v>
      </c>
      <c r="AH160" s="111">
        <v>0</v>
      </c>
      <c r="AI160" s="111">
        <v>0</v>
      </c>
      <c r="AJ160" s="111">
        <v>0</v>
      </c>
      <c r="AK160" s="111">
        <v>0</v>
      </c>
      <c r="AL160" s="111">
        <v>0</v>
      </c>
      <c r="AM160" s="111">
        <v>0</v>
      </c>
      <c r="AN160" s="111">
        <v>0</v>
      </c>
      <c r="AO160" s="111">
        <v>0</v>
      </c>
      <c r="AP160" s="111">
        <v>0</v>
      </c>
      <c r="AQ160" s="111">
        <v>0</v>
      </c>
      <c r="AR160" s="111">
        <v>0</v>
      </c>
      <c r="AS160" s="111">
        <v>0</v>
      </c>
      <c r="AT160" s="111">
        <v>0</v>
      </c>
      <c r="AU160" s="111">
        <v>0</v>
      </c>
      <c r="AV160" s="111">
        <v>0</v>
      </c>
      <c r="AW160" s="111">
        <v>0</v>
      </c>
      <c r="AX160" s="111">
        <v>0</v>
      </c>
      <c r="AY160" s="111">
        <v>0</v>
      </c>
    </row>
    <row r="161" spans="1:52" x14ac:dyDescent="0.2">
      <c r="A161" s="114"/>
      <c r="B161" s="135">
        <v>40</v>
      </c>
      <c r="C161" s="111">
        <v>0</v>
      </c>
      <c r="D161" s="111">
        <v>0</v>
      </c>
      <c r="E161" s="111">
        <v>0</v>
      </c>
      <c r="F161" s="111">
        <v>0</v>
      </c>
      <c r="G161" s="111">
        <v>0</v>
      </c>
      <c r="H161" s="111">
        <v>0</v>
      </c>
      <c r="I161" s="111">
        <v>0</v>
      </c>
      <c r="J161" s="111">
        <v>0</v>
      </c>
      <c r="K161" s="111">
        <v>0</v>
      </c>
      <c r="L161" s="111">
        <v>0</v>
      </c>
      <c r="M161" s="111">
        <v>0</v>
      </c>
      <c r="N161" s="111">
        <v>0</v>
      </c>
      <c r="O161" s="111">
        <v>0</v>
      </c>
      <c r="P161" s="111">
        <v>0</v>
      </c>
      <c r="Q161" s="111">
        <v>0</v>
      </c>
      <c r="R161" s="111">
        <v>0</v>
      </c>
      <c r="S161" s="111">
        <v>0</v>
      </c>
      <c r="T161" s="111">
        <v>0</v>
      </c>
      <c r="U161" s="111">
        <v>0</v>
      </c>
      <c r="V161" s="111">
        <v>0</v>
      </c>
      <c r="W161" s="111">
        <v>0</v>
      </c>
      <c r="X161" s="111">
        <v>0</v>
      </c>
      <c r="Y161" s="111">
        <v>0</v>
      </c>
      <c r="Z161" s="111">
        <v>0</v>
      </c>
      <c r="AA161" s="111">
        <v>0</v>
      </c>
      <c r="AB161" s="111">
        <v>0</v>
      </c>
      <c r="AC161" s="111">
        <v>0</v>
      </c>
      <c r="AD161" s="111">
        <v>0</v>
      </c>
      <c r="AE161" s="111">
        <v>0</v>
      </c>
      <c r="AF161" s="111">
        <v>0</v>
      </c>
      <c r="AG161" s="111">
        <v>0</v>
      </c>
      <c r="AH161" s="111">
        <v>0</v>
      </c>
      <c r="AI161" s="111">
        <v>0</v>
      </c>
      <c r="AJ161" s="111">
        <v>0</v>
      </c>
      <c r="AK161" s="111">
        <v>0</v>
      </c>
      <c r="AL161" s="111">
        <v>0</v>
      </c>
      <c r="AM161" s="111">
        <v>0</v>
      </c>
      <c r="AN161" s="111">
        <v>0</v>
      </c>
      <c r="AO161" s="111">
        <v>0</v>
      </c>
      <c r="AP161" s="111">
        <v>0</v>
      </c>
      <c r="AQ161" s="111">
        <v>0</v>
      </c>
      <c r="AR161" s="111">
        <v>0</v>
      </c>
      <c r="AS161" s="111">
        <v>0</v>
      </c>
      <c r="AT161" s="111">
        <v>0</v>
      </c>
      <c r="AU161" s="111">
        <v>0</v>
      </c>
      <c r="AV161" s="111">
        <v>0</v>
      </c>
      <c r="AW161" s="111">
        <v>0</v>
      </c>
      <c r="AX161" s="111">
        <v>0</v>
      </c>
      <c r="AY161" s="111">
        <v>0</v>
      </c>
    </row>
    <row r="162" spans="1:52" x14ac:dyDescent="0.2">
      <c r="A162" s="114"/>
      <c r="B162" s="135">
        <v>41</v>
      </c>
      <c r="C162" s="111">
        <v>0</v>
      </c>
      <c r="D162" s="111">
        <v>0</v>
      </c>
      <c r="E162" s="111">
        <v>0</v>
      </c>
      <c r="F162" s="111">
        <v>0</v>
      </c>
      <c r="G162" s="111">
        <v>0</v>
      </c>
      <c r="H162" s="111">
        <v>0</v>
      </c>
      <c r="I162" s="111">
        <v>0</v>
      </c>
      <c r="J162" s="111">
        <v>0</v>
      </c>
      <c r="K162" s="111">
        <v>0</v>
      </c>
      <c r="L162" s="111">
        <v>0</v>
      </c>
      <c r="M162" s="111">
        <v>0</v>
      </c>
      <c r="N162" s="111">
        <v>0</v>
      </c>
      <c r="O162" s="111">
        <v>0</v>
      </c>
      <c r="P162" s="111">
        <v>0</v>
      </c>
      <c r="Q162" s="111">
        <v>0</v>
      </c>
      <c r="R162" s="111">
        <v>0</v>
      </c>
      <c r="S162" s="111">
        <v>0</v>
      </c>
      <c r="T162" s="111">
        <v>0</v>
      </c>
      <c r="U162" s="111">
        <v>0</v>
      </c>
      <c r="V162" s="111">
        <v>0</v>
      </c>
      <c r="W162" s="111">
        <v>0</v>
      </c>
      <c r="X162" s="111">
        <v>0</v>
      </c>
      <c r="Y162" s="111">
        <v>0</v>
      </c>
      <c r="Z162" s="111">
        <v>0</v>
      </c>
      <c r="AA162" s="111">
        <v>0</v>
      </c>
      <c r="AB162" s="111">
        <v>0</v>
      </c>
      <c r="AC162" s="111">
        <v>0</v>
      </c>
      <c r="AD162" s="111">
        <v>0</v>
      </c>
      <c r="AE162" s="111">
        <v>0</v>
      </c>
      <c r="AF162" s="111">
        <v>0</v>
      </c>
      <c r="AG162" s="111">
        <v>0</v>
      </c>
      <c r="AH162" s="111">
        <v>0</v>
      </c>
      <c r="AI162" s="111">
        <v>0</v>
      </c>
      <c r="AJ162" s="111">
        <v>0</v>
      </c>
      <c r="AK162" s="111">
        <v>0</v>
      </c>
      <c r="AL162" s="111">
        <v>0</v>
      </c>
      <c r="AM162" s="111">
        <v>0</v>
      </c>
      <c r="AN162" s="111">
        <v>0</v>
      </c>
      <c r="AO162" s="111">
        <v>0</v>
      </c>
      <c r="AP162" s="111">
        <v>0</v>
      </c>
      <c r="AQ162" s="111">
        <v>0</v>
      </c>
      <c r="AR162" s="111">
        <v>0</v>
      </c>
      <c r="AS162" s="111">
        <v>0</v>
      </c>
      <c r="AT162" s="111">
        <v>0</v>
      </c>
      <c r="AU162" s="111">
        <v>0</v>
      </c>
      <c r="AV162" s="111">
        <v>0</v>
      </c>
      <c r="AW162" s="111">
        <v>0</v>
      </c>
      <c r="AX162" s="111">
        <v>0</v>
      </c>
      <c r="AY162" s="111">
        <v>0</v>
      </c>
    </row>
    <row r="163" spans="1:52" x14ac:dyDescent="0.2">
      <c r="A163" s="114"/>
      <c r="B163" s="135">
        <v>42</v>
      </c>
      <c r="C163" s="111">
        <v>0</v>
      </c>
      <c r="D163" s="111">
        <v>0</v>
      </c>
      <c r="E163" s="111">
        <v>0</v>
      </c>
      <c r="F163" s="111">
        <v>0</v>
      </c>
      <c r="G163" s="111">
        <v>0</v>
      </c>
      <c r="H163" s="111">
        <v>0</v>
      </c>
      <c r="I163" s="111">
        <v>0</v>
      </c>
      <c r="J163" s="111">
        <v>0</v>
      </c>
      <c r="K163" s="111">
        <v>0</v>
      </c>
      <c r="L163" s="111">
        <v>0</v>
      </c>
      <c r="M163" s="111">
        <v>0</v>
      </c>
      <c r="N163" s="111">
        <v>0</v>
      </c>
      <c r="O163" s="111">
        <v>0</v>
      </c>
      <c r="P163" s="111">
        <v>0</v>
      </c>
      <c r="Q163" s="111">
        <v>0</v>
      </c>
      <c r="R163" s="111">
        <v>0</v>
      </c>
      <c r="S163" s="111">
        <v>0</v>
      </c>
      <c r="T163" s="111">
        <v>0</v>
      </c>
      <c r="U163" s="111">
        <v>0</v>
      </c>
      <c r="V163" s="111">
        <v>0</v>
      </c>
      <c r="W163" s="111">
        <v>0</v>
      </c>
      <c r="X163" s="111">
        <v>0</v>
      </c>
      <c r="Y163" s="111">
        <v>0</v>
      </c>
      <c r="Z163" s="111">
        <v>0</v>
      </c>
      <c r="AA163" s="111">
        <v>0</v>
      </c>
      <c r="AB163" s="111">
        <v>0</v>
      </c>
      <c r="AC163" s="111">
        <v>0</v>
      </c>
      <c r="AD163" s="111">
        <v>0</v>
      </c>
      <c r="AE163" s="111">
        <v>0</v>
      </c>
      <c r="AF163" s="111">
        <v>0</v>
      </c>
      <c r="AG163" s="111">
        <v>0</v>
      </c>
      <c r="AH163" s="111">
        <v>0</v>
      </c>
      <c r="AI163" s="111">
        <v>0</v>
      </c>
      <c r="AJ163" s="111">
        <v>0</v>
      </c>
      <c r="AK163" s="111">
        <v>0</v>
      </c>
      <c r="AL163" s="111">
        <v>0</v>
      </c>
      <c r="AM163" s="111">
        <v>0</v>
      </c>
      <c r="AN163" s="111">
        <v>0</v>
      </c>
      <c r="AO163" s="111">
        <v>0</v>
      </c>
      <c r="AP163" s="111">
        <v>0</v>
      </c>
      <c r="AQ163" s="111">
        <v>0</v>
      </c>
      <c r="AR163" s="111">
        <v>0</v>
      </c>
      <c r="AS163" s="111">
        <v>0</v>
      </c>
      <c r="AT163" s="111">
        <v>0</v>
      </c>
      <c r="AU163" s="111">
        <v>0</v>
      </c>
      <c r="AV163" s="111">
        <v>0</v>
      </c>
      <c r="AW163" s="111">
        <v>0</v>
      </c>
      <c r="AX163" s="111">
        <v>0</v>
      </c>
      <c r="AY163" s="111">
        <v>0</v>
      </c>
    </row>
    <row r="164" spans="1:52" x14ac:dyDescent="0.2">
      <c r="A164" s="114"/>
      <c r="B164" s="135">
        <v>43</v>
      </c>
      <c r="C164" s="111">
        <v>0</v>
      </c>
      <c r="D164" s="111">
        <v>0</v>
      </c>
      <c r="E164" s="111">
        <v>0</v>
      </c>
      <c r="F164" s="111">
        <v>0</v>
      </c>
      <c r="G164" s="111">
        <v>0</v>
      </c>
      <c r="H164" s="111">
        <v>0</v>
      </c>
      <c r="I164" s="111">
        <v>0</v>
      </c>
      <c r="J164" s="111">
        <v>0</v>
      </c>
      <c r="K164" s="111">
        <v>0</v>
      </c>
      <c r="L164" s="111">
        <v>0</v>
      </c>
      <c r="M164" s="111">
        <v>0</v>
      </c>
      <c r="N164" s="111">
        <v>0</v>
      </c>
      <c r="O164" s="111">
        <v>0</v>
      </c>
      <c r="P164" s="111">
        <v>0</v>
      </c>
      <c r="Q164" s="111">
        <v>0</v>
      </c>
      <c r="R164" s="111">
        <v>0</v>
      </c>
      <c r="S164" s="111">
        <v>0</v>
      </c>
      <c r="T164" s="111">
        <v>0</v>
      </c>
      <c r="U164" s="111">
        <v>0</v>
      </c>
      <c r="V164" s="111">
        <v>0</v>
      </c>
      <c r="W164" s="111">
        <v>0</v>
      </c>
      <c r="X164" s="111">
        <v>0</v>
      </c>
      <c r="Y164" s="111">
        <v>0</v>
      </c>
      <c r="Z164" s="111">
        <v>0</v>
      </c>
      <c r="AA164" s="111">
        <v>0</v>
      </c>
      <c r="AB164" s="111">
        <v>0</v>
      </c>
      <c r="AC164" s="111">
        <v>0</v>
      </c>
      <c r="AD164" s="111">
        <v>0</v>
      </c>
      <c r="AE164" s="111">
        <v>0</v>
      </c>
      <c r="AF164" s="111">
        <v>0</v>
      </c>
      <c r="AG164" s="111">
        <v>0</v>
      </c>
      <c r="AH164" s="111">
        <v>0</v>
      </c>
      <c r="AI164" s="111">
        <v>0</v>
      </c>
      <c r="AJ164" s="111">
        <v>0</v>
      </c>
      <c r="AK164" s="111">
        <v>0</v>
      </c>
      <c r="AL164" s="111">
        <v>0</v>
      </c>
      <c r="AM164" s="111">
        <v>0</v>
      </c>
      <c r="AN164" s="111">
        <v>0</v>
      </c>
      <c r="AO164" s="111">
        <v>0</v>
      </c>
      <c r="AP164" s="111">
        <v>0</v>
      </c>
      <c r="AQ164" s="111">
        <v>0</v>
      </c>
      <c r="AR164" s="111">
        <v>0</v>
      </c>
      <c r="AS164" s="111">
        <v>0</v>
      </c>
      <c r="AT164" s="111">
        <v>0</v>
      </c>
      <c r="AU164" s="111">
        <v>0</v>
      </c>
      <c r="AV164" s="111">
        <v>0</v>
      </c>
      <c r="AW164" s="111">
        <v>0</v>
      </c>
      <c r="AX164" s="111">
        <v>0</v>
      </c>
      <c r="AY164" s="111">
        <v>0</v>
      </c>
    </row>
    <row r="165" spans="1:52" x14ac:dyDescent="0.2">
      <c r="A165" s="114"/>
      <c r="B165" s="135">
        <v>44</v>
      </c>
      <c r="C165" s="111">
        <v>0</v>
      </c>
      <c r="D165" s="111">
        <v>0</v>
      </c>
      <c r="E165" s="111">
        <v>0</v>
      </c>
      <c r="F165" s="111">
        <v>0</v>
      </c>
      <c r="G165" s="111">
        <v>0</v>
      </c>
      <c r="H165" s="111">
        <v>0</v>
      </c>
      <c r="I165" s="111">
        <v>0</v>
      </c>
      <c r="J165" s="111">
        <v>0</v>
      </c>
      <c r="K165" s="111">
        <v>0</v>
      </c>
      <c r="L165" s="111">
        <v>0</v>
      </c>
      <c r="M165" s="111">
        <v>0</v>
      </c>
      <c r="N165" s="111">
        <v>0</v>
      </c>
      <c r="O165" s="111">
        <v>0</v>
      </c>
      <c r="P165" s="111">
        <v>0</v>
      </c>
      <c r="Q165" s="111">
        <v>0</v>
      </c>
      <c r="R165" s="111">
        <v>0</v>
      </c>
      <c r="S165" s="111">
        <v>0</v>
      </c>
      <c r="T165" s="111">
        <v>0</v>
      </c>
      <c r="U165" s="111">
        <v>0</v>
      </c>
      <c r="V165" s="111">
        <v>0</v>
      </c>
      <c r="W165" s="111">
        <v>0</v>
      </c>
      <c r="X165" s="111">
        <v>0</v>
      </c>
      <c r="Y165" s="111">
        <v>0</v>
      </c>
      <c r="Z165" s="111">
        <v>0</v>
      </c>
      <c r="AA165" s="111">
        <v>0</v>
      </c>
      <c r="AB165" s="111">
        <v>0</v>
      </c>
      <c r="AC165" s="111">
        <v>0</v>
      </c>
      <c r="AD165" s="111">
        <v>0</v>
      </c>
      <c r="AE165" s="111">
        <v>0</v>
      </c>
      <c r="AF165" s="111">
        <v>0</v>
      </c>
      <c r="AG165" s="111">
        <v>0</v>
      </c>
      <c r="AH165" s="111">
        <v>0</v>
      </c>
      <c r="AI165" s="111">
        <v>0</v>
      </c>
      <c r="AJ165" s="111">
        <v>0</v>
      </c>
      <c r="AK165" s="111">
        <v>0</v>
      </c>
      <c r="AL165" s="111">
        <v>0</v>
      </c>
      <c r="AM165" s="111">
        <v>0</v>
      </c>
      <c r="AN165" s="111">
        <v>0</v>
      </c>
      <c r="AO165" s="111">
        <v>0</v>
      </c>
      <c r="AP165" s="111">
        <v>0</v>
      </c>
      <c r="AQ165" s="111">
        <v>0</v>
      </c>
      <c r="AR165" s="111">
        <v>0</v>
      </c>
      <c r="AS165" s="111">
        <v>0</v>
      </c>
      <c r="AT165" s="111">
        <v>0</v>
      </c>
      <c r="AU165" s="111">
        <v>0</v>
      </c>
      <c r="AV165" s="111">
        <v>0</v>
      </c>
      <c r="AW165" s="111">
        <v>0</v>
      </c>
      <c r="AX165" s="111">
        <v>0</v>
      </c>
      <c r="AY165" s="111">
        <v>0</v>
      </c>
    </row>
    <row r="166" spans="1:52" x14ac:dyDescent="0.2">
      <c r="A166" s="114"/>
      <c r="B166" s="135">
        <v>45</v>
      </c>
      <c r="C166" s="111">
        <v>0</v>
      </c>
      <c r="D166" s="111">
        <v>0</v>
      </c>
      <c r="E166" s="111">
        <v>0</v>
      </c>
      <c r="F166" s="111">
        <v>0</v>
      </c>
      <c r="G166" s="111">
        <v>0</v>
      </c>
      <c r="H166" s="111">
        <v>0</v>
      </c>
      <c r="I166" s="111">
        <v>0</v>
      </c>
      <c r="J166" s="111">
        <v>0</v>
      </c>
      <c r="K166" s="111">
        <v>0</v>
      </c>
      <c r="L166" s="111">
        <v>0</v>
      </c>
      <c r="M166" s="111">
        <v>0</v>
      </c>
      <c r="N166" s="111">
        <v>0</v>
      </c>
      <c r="O166" s="111">
        <v>0</v>
      </c>
      <c r="P166" s="111">
        <v>0</v>
      </c>
      <c r="Q166" s="111">
        <v>0</v>
      </c>
      <c r="R166" s="111">
        <v>0</v>
      </c>
      <c r="S166" s="111">
        <v>0</v>
      </c>
      <c r="T166" s="111">
        <v>0</v>
      </c>
      <c r="U166" s="111">
        <v>0</v>
      </c>
      <c r="V166" s="111">
        <v>0</v>
      </c>
      <c r="W166" s="111">
        <v>0</v>
      </c>
      <c r="X166" s="111">
        <v>0</v>
      </c>
      <c r="Y166" s="111">
        <v>0</v>
      </c>
      <c r="Z166" s="111">
        <v>0</v>
      </c>
      <c r="AA166" s="111">
        <v>0</v>
      </c>
      <c r="AB166" s="111">
        <v>0</v>
      </c>
      <c r="AC166" s="111">
        <v>0</v>
      </c>
      <c r="AD166" s="111">
        <v>0</v>
      </c>
      <c r="AE166" s="111">
        <v>0</v>
      </c>
      <c r="AF166" s="111">
        <v>0</v>
      </c>
      <c r="AG166" s="111">
        <v>0</v>
      </c>
      <c r="AH166" s="111">
        <v>0</v>
      </c>
      <c r="AI166" s="111">
        <v>0</v>
      </c>
      <c r="AJ166" s="111">
        <v>0</v>
      </c>
      <c r="AK166" s="111">
        <v>0</v>
      </c>
      <c r="AL166" s="111">
        <v>0</v>
      </c>
      <c r="AM166" s="111">
        <v>0</v>
      </c>
      <c r="AN166" s="111">
        <v>0</v>
      </c>
      <c r="AO166" s="111">
        <v>0</v>
      </c>
      <c r="AP166" s="111">
        <v>0</v>
      </c>
      <c r="AQ166" s="111">
        <v>0</v>
      </c>
      <c r="AR166" s="111">
        <v>0</v>
      </c>
      <c r="AS166" s="111">
        <v>0</v>
      </c>
      <c r="AT166" s="111">
        <v>0</v>
      </c>
      <c r="AU166" s="111">
        <v>0</v>
      </c>
      <c r="AV166" s="111">
        <v>0</v>
      </c>
      <c r="AW166" s="111">
        <v>0</v>
      </c>
      <c r="AX166" s="111">
        <v>0</v>
      </c>
      <c r="AY166" s="111">
        <v>0</v>
      </c>
    </row>
    <row r="167" spans="1:52" x14ac:dyDescent="0.2">
      <c r="A167" s="114"/>
      <c r="B167" s="135">
        <v>46</v>
      </c>
      <c r="C167" s="111">
        <v>0</v>
      </c>
      <c r="D167" s="111">
        <v>0</v>
      </c>
      <c r="E167" s="111">
        <v>0</v>
      </c>
      <c r="F167" s="111">
        <v>0</v>
      </c>
      <c r="G167" s="111">
        <v>0</v>
      </c>
      <c r="H167" s="111">
        <v>0</v>
      </c>
      <c r="I167" s="111">
        <v>0</v>
      </c>
      <c r="J167" s="111">
        <v>0</v>
      </c>
      <c r="K167" s="111">
        <v>0</v>
      </c>
      <c r="L167" s="111">
        <v>0</v>
      </c>
      <c r="M167" s="111">
        <v>0</v>
      </c>
      <c r="N167" s="111">
        <v>0</v>
      </c>
      <c r="O167" s="111">
        <v>0</v>
      </c>
      <c r="P167" s="111">
        <v>0</v>
      </c>
      <c r="Q167" s="111">
        <v>0</v>
      </c>
      <c r="R167" s="111">
        <v>0</v>
      </c>
      <c r="S167" s="111">
        <v>0</v>
      </c>
      <c r="T167" s="111">
        <v>0</v>
      </c>
      <c r="U167" s="111">
        <v>0</v>
      </c>
      <c r="V167" s="111">
        <v>0</v>
      </c>
      <c r="W167" s="111">
        <v>0</v>
      </c>
      <c r="X167" s="111">
        <v>0</v>
      </c>
      <c r="Y167" s="111">
        <v>0</v>
      </c>
      <c r="Z167" s="111">
        <v>0</v>
      </c>
      <c r="AA167" s="111">
        <v>0</v>
      </c>
      <c r="AB167" s="111">
        <v>0</v>
      </c>
      <c r="AC167" s="111">
        <v>0</v>
      </c>
      <c r="AD167" s="111">
        <v>0</v>
      </c>
      <c r="AE167" s="111">
        <v>0</v>
      </c>
      <c r="AF167" s="111">
        <v>0</v>
      </c>
      <c r="AG167" s="111">
        <v>0</v>
      </c>
      <c r="AH167" s="111">
        <v>0</v>
      </c>
      <c r="AI167" s="111">
        <v>0</v>
      </c>
      <c r="AJ167" s="111">
        <v>0</v>
      </c>
      <c r="AK167" s="111">
        <v>0</v>
      </c>
      <c r="AL167" s="111">
        <v>0</v>
      </c>
      <c r="AM167" s="111">
        <v>0</v>
      </c>
      <c r="AN167" s="111">
        <v>0</v>
      </c>
      <c r="AO167" s="111">
        <v>0</v>
      </c>
      <c r="AP167" s="111">
        <v>0</v>
      </c>
      <c r="AQ167" s="111">
        <v>0</v>
      </c>
      <c r="AR167" s="111">
        <v>0</v>
      </c>
      <c r="AS167" s="111">
        <v>0</v>
      </c>
      <c r="AT167" s="111">
        <v>0</v>
      </c>
      <c r="AU167" s="111">
        <v>0</v>
      </c>
      <c r="AV167" s="111">
        <v>0</v>
      </c>
      <c r="AW167" s="111">
        <v>0</v>
      </c>
      <c r="AX167" s="111">
        <v>0</v>
      </c>
      <c r="AY167" s="111">
        <v>0</v>
      </c>
    </row>
    <row r="168" spans="1:52" x14ac:dyDescent="0.2">
      <c r="A168" s="114"/>
      <c r="B168" s="135">
        <v>47</v>
      </c>
      <c r="C168" s="111">
        <v>0</v>
      </c>
      <c r="D168" s="111">
        <v>0</v>
      </c>
      <c r="E168" s="111">
        <v>0</v>
      </c>
      <c r="F168" s="111">
        <v>0</v>
      </c>
      <c r="G168" s="111">
        <v>0</v>
      </c>
      <c r="H168" s="111">
        <v>0</v>
      </c>
      <c r="I168" s="111">
        <v>0</v>
      </c>
      <c r="J168" s="111">
        <v>0</v>
      </c>
      <c r="K168" s="111">
        <v>0</v>
      </c>
      <c r="L168" s="111">
        <v>0</v>
      </c>
      <c r="M168" s="111">
        <v>0</v>
      </c>
      <c r="N168" s="111">
        <v>0</v>
      </c>
      <c r="O168" s="111">
        <v>0</v>
      </c>
      <c r="P168" s="111">
        <v>0</v>
      </c>
      <c r="Q168" s="111">
        <v>0</v>
      </c>
      <c r="R168" s="111">
        <v>0</v>
      </c>
      <c r="S168" s="111">
        <v>0</v>
      </c>
      <c r="T168" s="111">
        <v>0</v>
      </c>
      <c r="U168" s="111">
        <v>0</v>
      </c>
      <c r="V168" s="111">
        <v>0</v>
      </c>
      <c r="W168" s="111">
        <v>0</v>
      </c>
      <c r="X168" s="111">
        <v>0</v>
      </c>
      <c r="Y168" s="111">
        <v>0</v>
      </c>
      <c r="Z168" s="111">
        <v>0</v>
      </c>
      <c r="AA168" s="111">
        <v>0</v>
      </c>
      <c r="AB168" s="111">
        <v>0</v>
      </c>
      <c r="AC168" s="111">
        <v>0</v>
      </c>
      <c r="AD168" s="111">
        <v>0</v>
      </c>
      <c r="AE168" s="111">
        <v>0</v>
      </c>
      <c r="AF168" s="111">
        <v>0</v>
      </c>
      <c r="AG168" s="111">
        <v>0</v>
      </c>
      <c r="AH168" s="111">
        <v>0</v>
      </c>
      <c r="AI168" s="111">
        <v>0</v>
      </c>
      <c r="AJ168" s="111">
        <v>0</v>
      </c>
      <c r="AK168" s="111">
        <v>0</v>
      </c>
      <c r="AL168" s="111">
        <v>0</v>
      </c>
      <c r="AM168" s="111">
        <v>0</v>
      </c>
      <c r="AN168" s="111">
        <v>0</v>
      </c>
      <c r="AO168" s="111">
        <v>0</v>
      </c>
      <c r="AP168" s="111">
        <v>0</v>
      </c>
      <c r="AQ168" s="111">
        <v>0</v>
      </c>
      <c r="AR168" s="111">
        <v>0</v>
      </c>
      <c r="AS168" s="111">
        <v>0</v>
      </c>
      <c r="AT168" s="111">
        <v>0</v>
      </c>
      <c r="AU168" s="111">
        <v>0</v>
      </c>
      <c r="AV168" s="111">
        <v>0</v>
      </c>
      <c r="AW168" s="111">
        <v>0</v>
      </c>
      <c r="AX168" s="111">
        <v>0</v>
      </c>
      <c r="AY168" s="111">
        <v>0</v>
      </c>
    </row>
    <row r="169" spans="1:52" x14ac:dyDescent="0.2">
      <c r="A169" s="114"/>
      <c r="B169" s="135">
        <v>48</v>
      </c>
      <c r="C169" s="111">
        <v>0</v>
      </c>
      <c r="D169" s="111">
        <v>0</v>
      </c>
      <c r="E169" s="111">
        <v>0</v>
      </c>
      <c r="F169" s="111">
        <v>0</v>
      </c>
      <c r="G169" s="111">
        <v>0</v>
      </c>
      <c r="H169" s="111">
        <v>0</v>
      </c>
      <c r="I169" s="111">
        <v>0</v>
      </c>
      <c r="J169" s="111">
        <v>0</v>
      </c>
      <c r="K169" s="111">
        <v>0</v>
      </c>
      <c r="L169" s="111">
        <v>0</v>
      </c>
      <c r="M169" s="111">
        <v>0</v>
      </c>
      <c r="N169" s="111">
        <v>0</v>
      </c>
      <c r="O169" s="111">
        <v>0</v>
      </c>
      <c r="P169" s="111">
        <v>0</v>
      </c>
      <c r="Q169" s="111">
        <v>0</v>
      </c>
      <c r="R169" s="111">
        <v>0</v>
      </c>
      <c r="S169" s="111">
        <v>0</v>
      </c>
      <c r="T169" s="111">
        <v>0</v>
      </c>
      <c r="U169" s="111">
        <v>0</v>
      </c>
      <c r="V169" s="111">
        <v>0</v>
      </c>
      <c r="W169" s="111">
        <v>0</v>
      </c>
      <c r="X169" s="111">
        <v>0</v>
      </c>
      <c r="Y169" s="111">
        <v>0</v>
      </c>
      <c r="Z169" s="111">
        <v>0</v>
      </c>
      <c r="AA169" s="111">
        <v>0</v>
      </c>
      <c r="AB169" s="111">
        <v>0</v>
      </c>
      <c r="AC169" s="111">
        <v>0</v>
      </c>
      <c r="AD169" s="111">
        <v>0</v>
      </c>
      <c r="AE169" s="111">
        <v>0</v>
      </c>
      <c r="AF169" s="111">
        <v>0</v>
      </c>
      <c r="AG169" s="111">
        <v>0</v>
      </c>
      <c r="AH169" s="111">
        <v>0</v>
      </c>
      <c r="AI169" s="111">
        <v>0</v>
      </c>
      <c r="AJ169" s="111">
        <v>0</v>
      </c>
      <c r="AK169" s="111">
        <v>0</v>
      </c>
      <c r="AL169" s="111">
        <v>0</v>
      </c>
      <c r="AM169" s="111">
        <v>0</v>
      </c>
      <c r="AN169" s="111">
        <v>0</v>
      </c>
      <c r="AO169" s="111">
        <v>0</v>
      </c>
      <c r="AP169" s="111">
        <v>0</v>
      </c>
      <c r="AQ169" s="111">
        <v>0</v>
      </c>
      <c r="AR169" s="111">
        <v>0</v>
      </c>
      <c r="AS169" s="111">
        <v>0</v>
      </c>
      <c r="AT169" s="111">
        <v>0</v>
      </c>
      <c r="AU169" s="111">
        <v>0</v>
      </c>
      <c r="AV169" s="111">
        <v>0</v>
      </c>
      <c r="AW169" s="111">
        <v>0</v>
      </c>
      <c r="AX169" s="111">
        <v>0</v>
      </c>
      <c r="AY169" s="111">
        <v>0</v>
      </c>
    </row>
    <row r="170" spans="1:52" x14ac:dyDescent="0.2">
      <c r="A170" s="133"/>
      <c r="B170" s="137" t="s">
        <v>296</v>
      </c>
      <c r="C170" s="119">
        <v>0</v>
      </c>
      <c r="D170" s="130">
        <v>0</v>
      </c>
      <c r="E170" s="130">
        <v>0</v>
      </c>
      <c r="F170" s="130">
        <v>0</v>
      </c>
      <c r="G170" s="130">
        <v>0</v>
      </c>
      <c r="H170" s="130">
        <v>0</v>
      </c>
      <c r="I170" s="130">
        <v>0</v>
      </c>
      <c r="J170" s="130">
        <v>0</v>
      </c>
      <c r="K170" s="130">
        <v>0</v>
      </c>
      <c r="L170" s="130">
        <v>0</v>
      </c>
      <c r="M170" s="130">
        <v>0</v>
      </c>
      <c r="N170" s="130">
        <v>0</v>
      </c>
      <c r="O170" s="130">
        <v>0</v>
      </c>
      <c r="P170" s="130">
        <v>0</v>
      </c>
      <c r="Q170" s="130">
        <v>0</v>
      </c>
      <c r="R170" s="130">
        <v>0</v>
      </c>
      <c r="S170" s="130">
        <v>0</v>
      </c>
      <c r="T170" s="130">
        <v>0</v>
      </c>
      <c r="U170" s="130">
        <v>0</v>
      </c>
      <c r="V170" s="130">
        <v>0</v>
      </c>
      <c r="W170" s="130">
        <v>0</v>
      </c>
      <c r="X170" s="130">
        <v>0</v>
      </c>
      <c r="Y170" s="130">
        <v>0</v>
      </c>
      <c r="Z170" s="130">
        <v>0</v>
      </c>
      <c r="AA170" s="130">
        <v>0</v>
      </c>
      <c r="AB170" s="130">
        <v>0</v>
      </c>
      <c r="AC170" s="130">
        <v>0</v>
      </c>
      <c r="AD170" s="130">
        <v>0</v>
      </c>
      <c r="AE170" s="130">
        <v>0</v>
      </c>
      <c r="AF170" s="130">
        <v>0</v>
      </c>
      <c r="AG170" s="130">
        <v>0</v>
      </c>
      <c r="AH170" s="130">
        <v>0</v>
      </c>
      <c r="AI170" s="130">
        <v>0</v>
      </c>
      <c r="AJ170" s="130">
        <v>0</v>
      </c>
      <c r="AK170" s="130">
        <v>0</v>
      </c>
      <c r="AL170" s="130">
        <v>0</v>
      </c>
      <c r="AM170" s="130">
        <v>0</v>
      </c>
      <c r="AN170" s="130">
        <v>0</v>
      </c>
      <c r="AO170" s="130">
        <v>0</v>
      </c>
      <c r="AP170" s="130">
        <v>0</v>
      </c>
      <c r="AQ170" s="130">
        <v>0</v>
      </c>
      <c r="AR170" s="130">
        <v>0</v>
      </c>
      <c r="AS170" s="130">
        <v>0</v>
      </c>
      <c r="AT170" s="130">
        <v>0</v>
      </c>
      <c r="AU170" s="130">
        <v>0</v>
      </c>
      <c r="AV170" s="130">
        <v>0</v>
      </c>
      <c r="AW170" s="130">
        <v>0</v>
      </c>
      <c r="AX170" s="130">
        <v>0</v>
      </c>
      <c r="AY170" s="130">
        <v>0</v>
      </c>
      <c r="AZ170" s="112">
        <f>SUM($D170:$AY170)</f>
        <v>0</v>
      </c>
    </row>
    <row r="172" spans="1:52" x14ac:dyDescent="0.2">
      <c r="A172" s="107" t="s">
        <v>124</v>
      </c>
      <c r="B172" s="138" t="s">
        <v>297</v>
      </c>
      <c r="C172" s="139">
        <v>0.1</v>
      </c>
      <c r="D172" s="139">
        <v>0</v>
      </c>
      <c r="E172" s="139">
        <v>0</v>
      </c>
      <c r="F172" s="139">
        <v>0</v>
      </c>
      <c r="G172" s="139">
        <v>0</v>
      </c>
      <c r="H172" s="139">
        <v>9.6634080000000011E-2</v>
      </c>
      <c r="I172" s="139">
        <v>9.6634080000000011E-2</v>
      </c>
      <c r="J172" s="139">
        <v>9.6634080000000011E-2</v>
      </c>
      <c r="K172" s="139">
        <v>9.6634080000000011E-2</v>
      </c>
      <c r="L172" s="139">
        <v>9.6634080000000011E-2</v>
      </c>
      <c r="M172" s="139">
        <v>9.6634080000000011E-2</v>
      </c>
      <c r="N172" s="139">
        <v>9.6634080000000011E-2</v>
      </c>
      <c r="O172" s="139">
        <v>9.6634080000000011E-2</v>
      </c>
      <c r="P172" s="139">
        <v>9.6634080000000011E-2</v>
      </c>
      <c r="Q172" s="139">
        <v>9.6634080000000011E-2</v>
      </c>
      <c r="R172" s="139">
        <v>9.6634080000000011E-2</v>
      </c>
      <c r="S172" s="139">
        <v>9.6634080000000011E-2</v>
      </c>
      <c r="T172" s="139">
        <v>9.6634080000000011E-2</v>
      </c>
      <c r="U172" s="139">
        <v>9.6634080000000011E-2</v>
      </c>
      <c r="V172" s="139">
        <v>9.6634080000000011E-2</v>
      </c>
      <c r="W172" s="139">
        <v>9.6634080000000011E-2</v>
      </c>
      <c r="X172" s="139">
        <v>9.6634080000000011E-2</v>
      </c>
      <c r="Y172" s="139">
        <v>9.6634080000000011E-2</v>
      </c>
      <c r="Z172" s="139">
        <v>9.6634080000000011E-2</v>
      </c>
      <c r="AA172" s="139">
        <v>9.6634080000000011E-2</v>
      </c>
      <c r="AB172" s="139">
        <v>9.6634080000000011E-2</v>
      </c>
      <c r="AC172" s="139">
        <v>9.6634080000000011E-2</v>
      </c>
      <c r="AD172" s="139">
        <v>9.6634080000000011E-2</v>
      </c>
      <c r="AE172" s="139">
        <v>9.6634080000000011E-2</v>
      </c>
      <c r="AF172" s="139">
        <v>9.6634080000000011E-2</v>
      </c>
      <c r="AG172" s="139">
        <v>9.6634080000000011E-2</v>
      </c>
      <c r="AH172" s="139">
        <v>9.6634080000000011E-2</v>
      </c>
      <c r="AI172" s="139">
        <v>9.6634080000000011E-2</v>
      </c>
      <c r="AJ172" s="139">
        <v>9.6634080000000011E-2</v>
      </c>
      <c r="AK172" s="139">
        <v>9.6634080000000011E-2</v>
      </c>
      <c r="AL172" s="139">
        <v>9.6634080000000011E-2</v>
      </c>
      <c r="AM172" s="139">
        <v>9.6634080000000011E-2</v>
      </c>
      <c r="AN172" s="139">
        <v>9.6634080000000011E-2</v>
      </c>
      <c r="AO172" s="139">
        <v>9.6634080000000011E-2</v>
      </c>
      <c r="AP172" s="139">
        <v>9.6634080000000011E-2</v>
      </c>
      <c r="AQ172" s="139">
        <v>9.6634080000000011E-2</v>
      </c>
      <c r="AR172" s="139">
        <v>9.6634080000000011E-2</v>
      </c>
      <c r="AS172" s="139">
        <v>9.6634080000000011E-2</v>
      </c>
      <c r="AT172" s="139">
        <v>9.6634080000000011E-2</v>
      </c>
      <c r="AU172" s="139">
        <v>9.6634080000000011E-2</v>
      </c>
      <c r="AV172" s="139">
        <v>9.6634080000000011E-2</v>
      </c>
      <c r="AW172" s="139">
        <v>9.6634080000000011E-2</v>
      </c>
      <c r="AX172" s="139">
        <v>9.6634080000000011E-2</v>
      </c>
      <c r="AY172" s="139">
        <v>9.6634080000000011E-2</v>
      </c>
    </row>
    <row r="174" spans="1:52" x14ac:dyDescent="0.2">
      <c r="A174" s="107" t="s">
        <v>272</v>
      </c>
    </row>
    <row r="175" spans="1:52" x14ac:dyDescent="0.2">
      <c r="A175" s="140" t="s">
        <v>125</v>
      </c>
      <c r="B175" s="140" t="s">
        <v>298</v>
      </c>
      <c r="C175" s="129" t="s">
        <v>293</v>
      </c>
      <c r="D175" s="129">
        <f t="shared" ref="D175:AY175" si="1">SUM(D95:D98)</f>
        <v>22</v>
      </c>
      <c r="E175" s="129">
        <f t="shared" si="1"/>
        <v>0</v>
      </c>
      <c r="F175" s="129">
        <f t="shared" si="1"/>
        <v>0</v>
      </c>
      <c r="G175" s="129">
        <f t="shared" si="1"/>
        <v>0</v>
      </c>
      <c r="H175" s="129">
        <f t="shared" si="1"/>
        <v>192.77315830165</v>
      </c>
      <c r="I175" s="129">
        <f t="shared" si="1"/>
        <v>192.77315830165</v>
      </c>
      <c r="J175" s="129">
        <f t="shared" si="1"/>
        <v>192.77315830165</v>
      </c>
      <c r="K175" s="129">
        <f t="shared" si="1"/>
        <v>192.77315830165</v>
      </c>
      <c r="L175" s="129">
        <f t="shared" si="1"/>
        <v>154.21852664132001</v>
      </c>
      <c r="M175" s="129">
        <f t="shared" si="1"/>
        <v>154.21852664132001</v>
      </c>
      <c r="N175" s="129">
        <f t="shared" si="1"/>
        <v>154.21852664132001</v>
      </c>
      <c r="O175" s="129">
        <f t="shared" si="1"/>
        <v>154.21852664132001</v>
      </c>
      <c r="P175" s="129">
        <f t="shared" si="1"/>
        <v>154.21852664132001</v>
      </c>
      <c r="Q175" s="129">
        <f t="shared" si="1"/>
        <v>154.21852664132001</v>
      </c>
      <c r="R175" s="129">
        <f t="shared" si="1"/>
        <v>154.21852664132001</v>
      </c>
      <c r="S175" s="129">
        <f t="shared" si="1"/>
        <v>154.21852664132001</v>
      </c>
      <c r="T175" s="129">
        <f t="shared" si="1"/>
        <v>154.21852664132001</v>
      </c>
      <c r="U175" s="129">
        <f t="shared" si="1"/>
        <v>154.21852664132001</v>
      </c>
      <c r="V175" s="129">
        <f t="shared" si="1"/>
        <v>154.21852664132001</v>
      </c>
      <c r="W175" s="129">
        <f t="shared" si="1"/>
        <v>154.21852664132001</v>
      </c>
      <c r="X175" s="129">
        <f t="shared" si="1"/>
        <v>154.21852664132001</v>
      </c>
      <c r="Y175" s="129">
        <f t="shared" si="1"/>
        <v>154.21852664132001</v>
      </c>
      <c r="Z175" s="129">
        <f t="shared" si="1"/>
        <v>154.21852664132001</v>
      </c>
      <c r="AA175" s="129">
        <f t="shared" si="1"/>
        <v>154.21852664132001</v>
      </c>
      <c r="AB175" s="129">
        <f t="shared" si="1"/>
        <v>154.21852664132001</v>
      </c>
      <c r="AC175" s="129">
        <f t="shared" si="1"/>
        <v>154.21852664132001</v>
      </c>
      <c r="AD175" s="129">
        <f t="shared" si="1"/>
        <v>154.21852664132001</v>
      </c>
      <c r="AE175" s="129">
        <f t="shared" si="1"/>
        <v>154.21852664132001</v>
      </c>
      <c r="AF175" s="129">
        <f t="shared" si="1"/>
        <v>158.43705328264002</v>
      </c>
      <c r="AG175" s="129">
        <f t="shared" si="1"/>
        <v>154.21852664132001</v>
      </c>
      <c r="AH175" s="129">
        <f t="shared" si="1"/>
        <v>154.21852664132001</v>
      </c>
      <c r="AI175" s="129">
        <f t="shared" si="1"/>
        <v>154.21852664132001</v>
      </c>
      <c r="AJ175" s="129">
        <f t="shared" si="1"/>
        <v>154.21852664132001</v>
      </c>
      <c r="AK175" s="129">
        <f t="shared" si="1"/>
        <v>154.21852664132001</v>
      </c>
      <c r="AL175" s="129">
        <f t="shared" si="1"/>
        <v>154.21852664132001</v>
      </c>
      <c r="AM175" s="129">
        <f t="shared" si="1"/>
        <v>154.21852664132001</v>
      </c>
      <c r="AN175" s="129">
        <f t="shared" si="1"/>
        <v>154.21852664132001</v>
      </c>
      <c r="AO175" s="129">
        <f t="shared" si="1"/>
        <v>154.21852664132001</v>
      </c>
      <c r="AP175" s="129">
        <f t="shared" si="1"/>
        <v>154.21852664132001</v>
      </c>
      <c r="AQ175" s="129">
        <f t="shared" si="1"/>
        <v>154.21852664132001</v>
      </c>
      <c r="AR175" s="129">
        <f t="shared" si="1"/>
        <v>154.21852664132001</v>
      </c>
      <c r="AS175" s="129">
        <f t="shared" si="1"/>
        <v>154.21852664132001</v>
      </c>
      <c r="AT175" s="129">
        <f t="shared" si="1"/>
        <v>154.21852664132001</v>
      </c>
      <c r="AU175" s="129">
        <f t="shared" si="1"/>
        <v>154.21852664132001</v>
      </c>
      <c r="AV175" s="129">
        <f t="shared" si="1"/>
        <v>154.21852664132001</v>
      </c>
      <c r="AW175" s="129">
        <f t="shared" si="1"/>
        <v>154.21852664132001</v>
      </c>
      <c r="AX175" s="129">
        <f t="shared" si="1"/>
        <v>154.21852664132001</v>
      </c>
      <c r="AY175" s="129">
        <f t="shared" si="1"/>
        <v>154.21852664132001</v>
      </c>
    </row>
    <row r="176" spans="1:52" x14ac:dyDescent="0.2">
      <c r="A176" s="130"/>
      <c r="B176" s="141" t="s">
        <v>299</v>
      </c>
      <c r="C176" s="130" t="s">
        <v>293</v>
      </c>
      <c r="D176" s="130">
        <v>22</v>
      </c>
      <c r="E176" s="130">
        <v>0</v>
      </c>
      <c r="F176" s="130">
        <v>0</v>
      </c>
      <c r="G176" s="130">
        <v>0</v>
      </c>
      <c r="H176" s="130">
        <v>192.77315830165</v>
      </c>
      <c r="I176" s="130">
        <v>192.77315830165</v>
      </c>
      <c r="J176" s="130">
        <v>192.77315830165</v>
      </c>
      <c r="K176" s="130">
        <v>192.77315830165</v>
      </c>
      <c r="L176" s="130">
        <v>154.21852664132001</v>
      </c>
      <c r="M176" s="130">
        <v>154.21852664132001</v>
      </c>
      <c r="N176" s="130">
        <v>154.21852664132001</v>
      </c>
      <c r="O176" s="130">
        <v>154.21852664132001</v>
      </c>
      <c r="P176" s="130">
        <v>154.21852664132001</v>
      </c>
      <c r="Q176" s="130">
        <v>154.21852664132001</v>
      </c>
      <c r="R176" s="130">
        <v>154.21852664132001</v>
      </c>
      <c r="S176" s="130">
        <v>154.21852664132001</v>
      </c>
      <c r="T176" s="130">
        <v>154.21852664132001</v>
      </c>
      <c r="U176" s="130">
        <v>154.21852664132001</v>
      </c>
      <c r="V176" s="130">
        <v>154.21852664132001</v>
      </c>
      <c r="W176" s="130">
        <v>154.21852664132001</v>
      </c>
      <c r="X176" s="130">
        <v>154.21852664132001</v>
      </c>
      <c r="Y176" s="130">
        <v>154.21852664132001</v>
      </c>
      <c r="Z176" s="130">
        <v>154.21852664132001</v>
      </c>
      <c r="AA176" s="130">
        <v>154.21852664132001</v>
      </c>
      <c r="AB176" s="130">
        <v>154.21852664132001</v>
      </c>
      <c r="AC176" s="130">
        <v>154.21852664132001</v>
      </c>
      <c r="AD176" s="130">
        <v>154.21852664132001</v>
      </c>
      <c r="AE176" s="130">
        <v>150</v>
      </c>
      <c r="AF176" s="130">
        <v>158.43705328264002</v>
      </c>
      <c r="AG176" s="130">
        <v>154.21852664132001</v>
      </c>
      <c r="AH176" s="130">
        <v>154.21852664132001</v>
      </c>
      <c r="AI176" s="130">
        <v>154.21852664132001</v>
      </c>
      <c r="AJ176" s="130">
        <v>154.21852664132001</v>
      </c>
      <c r="AK176" s="130">
        <v>154.21852664132001</v>
      </c>
      <c r="AL176" s="130">
        <v>154.21852664132001</v>
      </c>
      <c r="AM176" s="130">
        <v>154.21852664132001</v>
      </c>
      <c r="AN176" s="130">
        <v>154.21852664132001</v>
      </c>
      <c r="AO176" s="130">
        <v>154.21852664132001</v>
      </c>
      <c r="AP176" s="130">
        <v>154.21852664132001</v>
      </c>
      <c r="AQ176" s="130">
        <v>154.21852664132001</v>
      </c>
      <c r="AR176" s="130">
        <v>154.21852664132001</v>
      </c>
      <c r="AS176" s="130">
        <v>154.21852664132001</v>
      </c>
      <c r="AT176" s="130">
        <v>154.21852664132001</v>
      </c>
      <c r="AU176" s="130">
        <v>154.21852664132001</v>
      </c>
      <c r="AV176" s="130">
        <v>154.21852664132001</v>
      </c>
      <c r="AW176" s="130">
        <v>154.21852664132001</v>
      </c>
      <c r="AX176" s="130">
        <v>154.21852664132001</v>
      </c>
      <c r="AY176" s="130">
        <v>154.21852664132001</v>
      </c>
    </row>
    <row r="177" spans="1:51" x14ac:dyDescent="0.2">
      <c r="A177" s="140" t="s">
        <v>133</v>
      </c>
      <c r="B177" s="140" t="s">
        <v>298</v>
      </c>
      <c r="C177" s="129" t="s">
        <v>293</v>
      </c>
      <c r="D177" s="129">
        <f t="shared" ref="D177:AY177" si="2">SUM(D100:D107)</f>
        <v>146.00000000000003</v>
      </c>
      <c r="E177" s="129">
        <f t="shared" si="2"/>
        <v>151.38372240000004</v>
      </c>
      <c r="F177" s="129">
        <f t="shared" si="2"/>
        <v>17.383722400000039</v>
      </c>
      <c r="G177" s="129">
        <f t="shared" si="2"/>
        <v>0</v>
      </c>
      <c r="H177" s="129">
        <f t="shared" si="2"/>
        <v>0</v>
      </c>
      <c r="I177" s="129">
        <f t="shared" si="2"/>
        <v>0</v>
      </c>
      <c r="J177" s="129">
        <f t="shared" si="2"/>
        <v>123.29279827385241</v>
      </c>
      <c r="K177" s="129">
        <f t="shared" si="2"/>
        <v>123.29279827385241</v>
      </c>
      <c r="L177" s="129">
        <f t="shared" si="2"/>
        <v>123.29279827385241</v>
      </c>
      <c r="M177" s="129">
        <f t="shared" si="2"/>
        <v>123.29279827385241</v>
      </c>
      <c r="N177" s="129">
        <f t="shared" si="2"/>
        <v>98.634238619081941</v>
      </c>
      <c r="O177" s="129">
        <f t="shared" si="2"/>
        <v>98.634238619081941</v>
      </c>
      <c r="P177" s="129">
        <f t="shared" si="2"/>
        <v>98.634238619081941</v>
      </c>
      <c r="Q177" s="129">
        <f t="shared" si="2"/>
        <v>98.634238619081941</v>
      </c>
      <c r="R177" s="129">
        <f t="shared" si="2"/>
        <v>98.634238619081941</v>
      </c>
      <c r="S177" s="129">
        <f t="shared" si="2"/>
        <v>98.634238619081941</v>
      </c>
      <c r="T177" s="129">
        <f t="shared" si="2"/>
        <v>0</v>
      </c>
      <c r="U177" s="129">
        <f t="shared" si="2"/>
        <v>181.8442</v>
      </c>
      <c r="V177" s="129">
        <f t="shared" si="2"/>
        <v>118.47843861908194</v>
      </c>
      <c r="W177" s="129">
        <f t="shared" si="2"/>
        <v>98.634238619081941</v>
      </c>
      <c r="X177" s="129">
        <f t="shared" si="2"/>
        <v>98.634238619081941</v>
      </c>
      <c r="Y177" s="129">
        <f t="shared" si="2"/>
        <v>98.634238619081941</v>
      </c>
      <c r="Z177" s="129">
        <f t="shared" si="2"/>
        <v>98.634238619081941</v>
      </c>
      <c r="AA177" s="129">
        <f t="shared" si="2"/>
        <v>98.634238619081941</v>
      </c>
      <c r="AB177" s="129">
        <f t="shared" si="2"/>
        <v>98.634238619081941</v>
      </c>
      <c r="AC177" s="129">
        <f t="shared" si="2"/>
        <v>98.634238619081941</v>
      </c>
      <c r="AD177" s="129">
        <f t="shared" si="2"/>
        <v>98.634238619081941</v>
      </c>
      <c r="AE177" s="129">
        <f t="shared" si="2"/>
        <v>98.634238619081941</v>
      </c>
      <c r="AF177" s="129">
        <f t="shared" si="2"/>
        <v>98.634238619081941</v>
      </c>
      <c r="AG177" s="129">
        <f t="shared" si="2"/>
        <v>98.634238619081941</v>
      </c>
      <c r="AH177" s="129">
        <f t="shared" si="2"/>
        <v>98.634238619081941</v>
      </c>
      <c r="AI177" s="129">
        <f t="shared" si="2"/>
        <v>98.634238619081941</v>
      </c>
      <c r="AJ177" s="129">
        <f t="shared" si="2"/>
        <v>98.634238619081941</v>
      </c>
      <c r="AK177" s="129">
        <f t="shared" si="2"/>
        <v>98.634238619081941</v>
      </c>
      <c r="AL177" s="129">
        <f t="shared" si="2"/>
        <v>98.634238619081941</v>
      </c>
      <c r="AM177" s="129">
        <f t="shared" si="2"/>
        <v>98.634238619081941</v>
      </c>
      <c r="AN177" s="129">
        <f t="shared" si="2"/>
        <v>98.634238619081941</v>
      </c>
      <c r="AO177" s="129">
        <f t="shared" si="2"/>
        <v>98.634238619081941</v>
      </c>
      <c r="AP177" s="129">
        <f t="shared" si="2"/>
        <v>98.634238619081941</v>
      </c>
      <c r="AQ177" s="129">
        <f t="shared" si="2"/>
        <v>98.634238619081941</v>
      </c>
      <c r="AR177" s="129">
        <f t="shared" si="2"/>
        <v>98.634238619081941</v>
      </c>
      <c r="AS177" s="129">
        <f t="shared" si="2"/>
        <v>98.634238619081941</v>
      </c>
      <c r="AT177" s="129">
        <f t="shared" si="2"/>
        <v>98.634238619081941</v>
      </c>
      <c r="AU177" s="129">
        <f t="shared" si="2"/>
        <v>98.634238619081941</v>
      </c>
      <c r="AV177" s="129">
        <f t="shared" si="2"/>
        <v>98.634238619081941</v>
      </c>
      <c r="AW177" s="129">
        <f t="shared" si="2"/>
        <v>98.634238619081941</v>
      </c>
      <c r="AX177" s="129">
        <f t="shared" si="2"/>
        <v>98.634238619081941</v>
      </c>
      <c r="AY177" s="129">
        <f t="shared" si="2"/>
        <v>98.634238619081941</v>
      </c>
    </row>
    <row r="178" spans="1:51" x14ac:dyDescent="0.2">
      <c r="A178" s="130"/>
      <c r="B178" s="141" t="s">
        <v>299</v>
      </c>
      <c r="C178" s="130" t="s">
        <v>293</v>
      </c>
      <c r="D178" s="130">
        <v>135</v>
      </c>
      <c r="E178" s="130">
        <v>134</v>
      </c>
      <c r="F178" s="130">
        <v>17.383722400000039</v>
      </c>
      <c r="G178" s="130">
        <v>0</v>
      </c>
      <c r="H178" s="130">
        <v>0</v>
      </c>
      <c r="I178" s="130">
        <v>0</v>
      </c>
      <c r="J178" s="130">
        <v>123.29279827385241</v>
      </c>
      <c r="K178" s="130">
        <v>123.29279827385241</v>
      </c>
      <c r="L178" s="130">
        <v>123.29279827385241</v>
      </c>
      <c r="M178" s="130">
        <v>123.29279827385241</v>
      </c>
      <c r="N178" s="130">
        <v>98.634238619081941</v>
      </c>
      <c r="O178" s="130">
        <v>98.634238619081941</v>
      </c>
      <c r="P178" s="130">
        <v>98.634238619081941</v>
      </c>
      <c r="Q178" s="130">
        <v>98.634238619081941</v>
      </c>
      <c r="R178" s="130">
        <v>98.634238619081941</v>
      </c>
      <c r="S178" s="130">
        <v>98.634238619081941</v>
      </c>
      <c r="T178" s="130">
        <v>0</v>
      </c>
      <c r="U178" s="130">
        <v>162</v>
      </c>
      <c r="V178" s="130">
        <v>118.47843861908194</v>
      </c>
      <c r="W178" s="130">
        <v>98.634238619081941</v>
      </c>
      <c r="X178" s="130">
        <v>98.634238619081941</v>
      </c>
      <c r="Y178" s="130">
        <v>98.634238619081941</v>
      </c>
      <c r="Z178" s="130">
        <v>98.634238619081941</v>
      </c>
      <c r="AA178" s="130">
        <v>98.634238619081941</v>
      </c>
      <c r="AB178" s="130">
        <v>98.634238619081941</v>
      </c>
      <c r="AC178" s="130">
        <v>98.634238619081941</v>
      </c>
      <c r="AD178" s="130">
        <v>98.634238619081941</v>
      </c>
      <c r="AE178" s="130">
        <v>98.634238619081941</v>
      </c>
      <c r="AF178" s="130">
        <v>98.634238619081941</v>
      </c>
      <c r="AG178" s="130">
        <v>98.634238619081941</v>
      </c>
      <c r="AH178" s="130">
        <v>98.634238619081941</v>
      </c>
      <c r="AI178" s="130">
        <v>98.634238619081941</v>
      </c>
      <c r="AJ178" s="130">
        <v>98.634238619081941</v>
      </c>
      <c r="AK178" s="130">
        <v>98.634238619081941</v>
      </c>
      <c r="AL178" s="130">
        <v>98.634238619081941</v>
      </c>
      <c r="AM178" s="130">
        <v>98.634238619081941</v>
      </c>
      <c r="AN178" s="130">
        <v>98.634238619081941</v>
      </c>
      <c r="AO178" s="130">
        <v>98.634238619081941</v>
      </c>
      <c r="AP178" s="130">
        <v>98.634238619081941</v>
      </c>
      <c r="AQ178" s="130">
        <v>98.634238619081941</v>
      </c>
      <c r="AR178" s="130">
        <v>98.634238619081941</v>
      </c>
      <c r="AS178" s="130">
        <v>98.634238619081941</v>
      </c>
      <c r="AT178" s="130">
        <v>98.634238619081941</v>
      </c>
      <c r="AU178" s="130">
        <v>98.634238619081941</v>
      </c>
      <c r="AV178" s="130">
        <v>98.634238619081941</v>
      </c>
      <c r="AW178" s="130">
        <v>98.634238619081941</v>
      </c>
      <c r="AX178" s="130">
        <v>98.634238619081941</v>
      </c>
      <c r="AY178" s="130">
        <v>98.634238619081941</v>
      </c>
    </row>
    <row r="179" spans="1:51" x14ac:dyDescent="0.2">
      <c r="A179" s="140" t="s">
        <v>134</v>
      </c>
      <c r="B179" s="140" t="s">
        <v>298</v>
      </c>
      <c r="C179" s="129" t="s">
        <v>293</v>
      </c>
      <c r="D179" s="129">
        <f t="shared" ref="D179:AY179" si="3">SUM(D109:D120)</f>
        <v>51.706406195001762</v>
      </c>
      <c r="E179" s="129">
        <f t="shared" si="3"/>
        <v>0</v>
      </c>
      <c r="F179" s="129">
        <f t="shared" si="3"/>
        <v>0</v>
      </c>
      <c r="G179" s="129">
        <f t="shared" si="3"/>
        <v>0</v>
      </c>
      <c r="H179" s="129">
        <f t="shared" si="3"/>
        <v>0</v>
      </c>
      <c r="I179" s="129">
        <f t="shared" si="3"/>
        <v>42.219549026862545</v>
      </c>
      <c r="J179" s="129">
        <f t="shared" si="3"/>
        <v>42.219549026862545</v>
      </c>
      <c r="K179" s="129">
        <f t="shared" si="3"/>
        <v>46.685062376988917</v>
      </c>
      <c r="L179" s="129">
        <f t="shared" si="3"/>
        <v>46.685062376988917</v>
      </c>
      <c r="M179" s="129">
        <f t="shared" si="3"/>
        <v>46.685062376988917</v>
      </c>
      <c r="N179" s="129">
        <f t="shared" si="3"/>
        <v>46.685062376988917</v>
      </c>
      <c r="O179" s="129">
        <f t="shared" si="3"/>
        <v>45.791959706963645</v>
      </c>
      <c r="P179" s="129">
        <f t="shared" si="3"/>
        <v>45.791959706963645</v>
      </c>
      <c r="Q179" s="129">
        <f t="shared" si="3"/>
        <v>45.791959706963645</v>
      </c>
      <c r="R179" s="129">
        <f t="shared" si="3"/>
        <v>45.791959706963645</v>
      </c>
      <c r="S179" s="129">
        <f t="shared" si="3"/>
        <v>45.791959706963645</v>
      </c>
      <c r="T179" s="129">
        <f t="shared" si="3"/>
        <v>45.791959706963645</v>
      </c>
      <c r="U179" s="129">
        <f t="shared" si="3"/>
        <v>42.219549026862545</v>
      </c>
      <c r="V179" s="129">
        <f t="shared" si="3"/>
        <v>48.805722056526541</v>
      </c>
      <c r="W179" s="129">
        <f t="shared" si="3"/>
        <v>47.496850234236057</v>
      </c>
      <c r="X179" s="129">
        <f t="shared" si="3"/>
        <v>45.791959706963645</v>
      </c>
      <c r="Y179" s="129">
        <f t="shared" si="3"/>
        <v>45.791959706963645</v>
      </c>
      <c r="Z179" s="129">
        <f t="shared" si="3"/>
        <v>45.791959706963645</v>
      </c>
      <c r="AA179" s="129">
        <f t="shared" si="3"/>
        <v>45.791959706963645</v>
      </c>
      <c r="AB179" s="129">
        <f t="shared" si="3"/>
        <v>45.791959706963645</v>
      </c>
      <c r="AC179" s="129">
        <f t="shared" si="3"/>
        <v>45.791959706963645</v>
      </c>
      <c r="AD179" s="129">
        <f t="shared" si="3"/>
        <v>48.802074127269606</v>
      </c>
      <c r="AE179" s="129">
        <f t="shared" si="3"/>
        <v>45.791959706963645</v>
      </c>
      <c r="AF179" s="129">
        <f t="shared" si="3"/>
        <v>45.791959706963645</v>
      </c>
      <c r="AG179" s="129">
        <f t="shared" si="3"/>
        <v>45.791959706963645</v>
      </c>
      <c r="AH179" s="129">
        <f t="shared" si="3"/>
        <v>45.791959706963645</v>
      </c>
      <c r="AI179" s="129">
        <f t="shared" si="3"/>
        <v>45.791959706963645</v>
      </c>
      <c r="AJ179" s="129">
        <f t="shared" si="3"/>
        <v>46.834093204288699</v>
      </c>
      <c r="AK179" s="129">
        <f t="shared" si="3"/>
        <v>46.092269630674942</v>
      </c>
      <c r="AL179" s="129">
        <f t="shared" si="3"/>
        <v>45.791959706963645</v>
      </c>
      <c r="AM179" s="129">
        <f t="shared" si="3"/>
        <v>45.791959706963645</v>
      </c>
      <c r="AN179" s="129">
        <f t="shared" si="3"/>
        <v>45.791959706963645</v>
      </c>
      <c r="AO179" s="129">
        <f t="shared" si="3"/>
        <v>45.791959706963645</v>
      </c>
      <c r="AP179" s="129">
        <f t="shared" si="3"/>
        <v>45.791959706963645</v>
      </c>
      <c r="AQ179" s="129">
        <f t="shared" si="3"/>
        <v>45.791959706963645</v>
      </c>
      <c r="AR179" s="129">
        <f t="shared" si="3"/>
        <v>45.791959706963645</v>
      </c>
      <c r="AS179" s="129">
        <f t="shared" si="3"/>
        <v>45.791959706963645</v>
      </c>
      <c r="AT179" s="129">
        <f t="shared" si="3"/>
        <v>45.791959706963645</v>
      </c>
      <c r="AU179" s="129">
        <f t="shared" si="3"/>
        <v>45.791959706963645</v>
      </c>
      <c r="AV179" s="129">
        <f t="shared" si="3"/>
        <v>45.791959706963645</v>
      </c>
      <c r="AW179" s="129">
        <f t="shared" si="3"/>
        <v>45.791959706963645</v>
      </c>
      <c r="AX179" s="129">
        <f t="shared" si="3"/>
        <v>46.979416511090555</v>
      </c>
      <c r="AY179" s="129">
        <f t="shared" si="3"/>
        <v>46.360577784653572</v>
      </c>
    </row>
    <row r="180" spans="1:51" x14ac:dyDescent="0.2">
      <c r="A180" s="130"/>
      <c r="B180" s="141" t="s">
        <v>299</v>
      </c>
      <c r="C180" s="130" t="s">
        <v>293</v>
      </c>
      <c r="D180" s="130">
        <v>51.706406195001762</v>
      </c>
      <c r="E180" s="130">
        <v>0</v>
      </c>
      <c r="F180" s="130">
        <v>0</v>
      </c>
      <c r="G180" s="130">
        <v>0</v>
      </c>
      <c r="H180" s="130">
        <v>0</v>
      </c>
      <c r="I180" s="130">
        <v>42.219549026862545</v>
      </c>
      <c r="J180" s="130">
        <v>42.219549026862545</v>
      </c>
      <c r="K180" s="130">
        <v>46.685062376988917</v>
      </c>
      <c r="L180" s="130">
        <v>46.685062376988917</v>
      </c>
      <c r="M180" s="130">
        <v>46.685062376988917</v>
      </c>
      <c r="N180" s="130">
        <v>46.685062376988917</v>
      </c>
      <c r="O180" s="130">
        <v>45.791959706963645</v>
      </c>
      <c r="P180" s="130">
        <v>45.791959706963645</v>
      </c>
      <c r="Q180" s="130">
        <v>45.791959706963645</v>
      </c>
      <c r="R180" s="130">
        <v>45.791959706963645</v>
      </c>
      <c r="S180" s="130">
        <v>45.791959706963645</v>
      </c>
      <c r="T180" s="130">
        <v>45.791959706963645</v>
      </c>
      <c r="U180" s="130">
        <v>42.219549026862545</v>
      </c>
      <c r="V180" s="130">
        <v>48.805722056526541</v>
      </c>
      <c r="W180" s="130">
        <v>47.496850234236057</v>
      </c>
      <c r="X180" s="130">
        <v>45.791959706963645</v>
      </c>
      <c r="Y180" s="130">
        <v>45.791959706963645</v>
      </c>
      <c r="Z180" s="130">
        <v>45.791959706963645</v>
      </c>
      <c r="AA180" s="130">
        <v>45.791959706963645</v>
      </c>
      <c r="AB180" s="130">
        <v>45.791959706963645</v>
      </c>
      <c r="AC180" s="130">
        <v>45.791959706963645</v>
      </c>
      <c r="AD180" s="130">
        <v>48.802074127269606</v>
      </c>
      <c r="AE180" s="130">
        <v>45.791959706963645</v>
      </c>
      <c r="AF180" s="130">
        <v>45.791959706963645</v>
      </c>
      <c r="AG180" s="130">
        <v>45.791959706963645</v>
      </c>
      <c r="AH180" s="130">
        <v>45.791959706963645</v>
      </c>
      <c r="AI180" s="130">
        <v>45.791959706963645</v>
      </c>
      <c r="AJ180" s="130">
        <v>46.834093204288699</v>
      </c>
      <c r="AK180" s="130">
        <v>46.092269630674942</v>
      </c>
      <c r="AL180" s="130">
        <v>45.791959706963645</v>
      </c>
      <c r="AM180" s="130">
        <v>45.791959706963645</v>
      </c>
      <c r="AN180" s="130">
        <v>45.791959706963645</v>
      </c>
      <c r="AO180" s="130">
        <v>45.791959706963645</v>
      </c>
      <c r="AP180" s="130">
        <v>45.791959706963645</v>
      </c>
      <c r="AQ180" s="130">
        <v>45.791959706963645</v>
      </c>
      <c r="AR180" s="130">
        <v>45.791959706963645</v>
      </c>
      <c r="AS180" s="130">
        <v>45.791959706963645</v>
      </c>
      <c r="AT180" s="130">
        <v>45.791959706963645</v>
      </c>
      <c r="AU180" s="130">
        <v>45.791959706963645</v>
      </c>
      <c r="AV180" s="130">
        <v>45.791959706963645</v>
      </c>
      <c r="AW180" s="130">
        <v>45.791959706963645</v>
      </c>
      <c r="AX180" s="130">
        <v>46.979416511090555</v>
      </c>
      <c r="AY180" s="130">
        <v>46.360577784653572</v>
      </c>
    </row>
    <row r="181" spans="1:51" x14ac:dyDescent="0.2">
      <c r="A181" s="140" t="s">
        <v>123</v>
      </c>
      <c r="B181" s="140" t="s">
        <v>298</v>
      </c>
      <c r="C181" s="129" t="s">
        <v>293</v>
      </c>
      <c r="D181" s="129">
        <f t="shared" ref="D181:AY181" si="4">(1-D172)*SUM(D122:D169)</f>
        <v>46.999999999999993</v>
      </c>
      <c r="E181" s="129">
        <f t="shared" si="4"/>
        <v>52.616277599999968</v>
      </c>
      <c r="F181" s="129">
        <f t="shared" si="4"/>
        <v>0</v>
      </c>
      <c r="G181" s="129">
        <f t="shared" si="4"/>
        <v>0</v>
      </c>
      <c r="H181" s="129">
        <f t="shared" si="4"/>
        <v>394.68168733677373</v>
      </c>
      <c r="I181" s="129">
        <f t="shared" si="4"/>
        <v>394.68168733677373</v>
      </c>
      <c r="J181" s="129">
        <f t="shared" si="4"/>
        <v>436.42671741114498</v>
      </c>
      <c r="K181" s="129">
        <f t="shared" si="4"/>
        <v>436.42671741114498</v>
      </c>
      <c r="L181" s="129">
        <f t="shared" si="4"/>
        <v>436.42671741114498</v>
      </c>
      <c r="M181" s="129">
        <f t="shared" si="4"/>
        <v>436.42671741114498</v>
      </c>
      <c r="N181" s="129">
        <f t="shared" si="4"/>
        <v>428.07771139627073</v>
      </c>
      <c r="O181" s="129">
        <f t="shared" si="4"/>
        <v>428.07771139627073</v>
      </c>
      <c r="P181" s="129">
        <f t="shared" si="4"/>
        <v>428.07771139627073</v>
      </c>
      <c r="Q181" s="129">
        <f t="shared" si="4"/>
        <v>428.07771139627073</v>
      </c>
      <c r="R181" s="129">
        <f t="shared" si="4"/>
        <v>428.07771139627073</v>
      </c>
      <c r="S181" s="129">
        <f t="shared" si="4"/>
        <v>428.07771139627073</v>
      </c>
      <c r="T181" s="129">
        <f t="shared" si="4"/>
        <v>394.68168733677373</v>
      </c>
      <c r="U181" s="129">
        <f t="shared" si="4"/>
        <v>456.25131430710968</v>
      </c>
      <c r="V181" s="129">
        <f t="shared" si="4"/>
        <v>444.01556685749853</v>
      </c>
      <c r="W181" s="129">
        <f t="shared" si="4"/>
        <v>428.07771139627073</v>
      </c>
      <c r="X181" s="129">
        <f t="shared" si="4"/>
        <v>428.07771139627073</v>
      </c>
      <c r="Y181" s="129">
        <f t="shared" si="4"/>
        <v>428.07771139627073</v>
      </c>
      <c r="Z181" s="129">
        <f t="shared" si="4"/>
        <v>428.07771139627073</v>
      </c>
      <c r="AA181" s="129">
        <f t="shared" si="4"/>
        <v>428.07771139627073</v>
      </c>
      <c r="AB181" s="129">
        <f t="shared" si="4"/>
        <v>428.07771139627073</v>
      </c>
      <c r="AC181" s="129">
        <f t="shared" si="4"/>
        <v>456.21721231152708</v>
      </c>
      <c r="AD181" s="129">
        <f t="shared" si="4"/>
        <v>428.07771139627073</v>
      </c>
      <c r="AE181" s="129">
        <f t="shared" si="4"/>
        <v>428.07771139627073</v>
      </c>
      <c r="AF181" s="129">
        <f t="shared" si="4"/>
        <v>428.07771139627073</v>
      </c>
      <c r="AG181" s="129">
        <f t="shared" si="4"/>
        <v>428.07771139627073</v>
      </c>
      <c r="AH181" s="129">
        <f t="shared" si="4"/>
        <v>428.07771139627073</v>
      </c>
      <c r="AI181" s="129">
        <f t="shared" si="4"/>
        <v>437.81990468433088</v>
      </c>
      <c r="AJ181" s="129">
        <f t="shared" si="4"/>
        <v>430.88510347284023</v>
      </c>
      <c r="AK181" s="129">
        <f t="shared" si="4"/>
        <v>428.07771139627073</v>
      </c>
      <c r="AL181" s="129">
        <f t="shared" si="4"/>
        <v>428.07771139627073</v>
      </c>
      <c r="AM181" s="129">
        <f t="shared" si="4"/>
        <v>428.07771139627073</v>
      </c>
      <c r="AN181" s="129">
        <f t="shared" si="4"/>
        <v>428.07771139627073</v>
      </c>
      <c r="AO181" s="129">
        <f t="shared" si="4"/>
        <v>428.07771139627073</v>
      </c>
      <c r="AP181" s="129">
        <f t="shared" si="4"/>
        <v>428.07771139627073</v>
      </c>
      <c r="AQ181" s="129">
        <f t="shared" si="4"/>
        <v>428.07771139627073</v>
      </c>
      <c r="AR181" s="129">
        <f t="shared" si="4"/>
        <v>428.07771139627073</v>
      </c>
      <c r="AS181" s="129">
        <f t="shared" si="4"/>
        <v>428.07771139627073</v>
      </c>
      <c r="AT181" s="129">
        <f t="shared" si="4"/>
        <v>428.07771139627073</v>
      </c>
      <c r="AU181" s="129">
        <f t="shared" si="4"/>
        <v>428.07771139627073</v>
      </c>
      <c r="AV181" s="129">
        <f t="shared" si="4"/>
        <v>428.07771139627073</v>
      </c>
      <c r="AW181" s="129">
        <f t="shared" si="4"/>
        <v>439.17843288418027</v>
      </c>
      <c r="AX181" s="129">
        <f t="shared" si="4"/>
        <v>433.3933328921342</v>
      </c>
      <c r="AY181" s="129">
        <f t="shared" si="4"/>
        <v>432.84843561850494</v>
      </c>
    </row>
    <row r="182" spans="1:51" x14ac:dyDescent="0.2">
      <c r="A182" s="130"/>
      <c r="B182" s="141" t="s">
        <v>299</v>
      </c>
      <c r="C182" s="130" t="s">
        <v>293</v>
      </c>
      <c r="D182" s="130">
        <v>46.999999999999993</v>
      </c>
      <c r="E182" s="130">
        <v>52.616277599999968</v>
      </c>
      <c r="F182" s="130">
        <v>0</v>
      </c>
      <c r="G182" s="130">
        <v>0</v>
      </c>
      <c r="H182" s="130">
        <v>394.68168733677373</v>
      </c>
      <c r="I182" s="130">
        <v>394.68168733677373</v>
      </c>
      <c r="J182" s="130">
        <v>436.42671741114498</v>
      </c>
      <c r="K182" s="130">
        <v>436.42671741114498</v>
      </c>
      <c r="L182" s="130">
        <v>436.42671741114498</v>
      </c>
      <c r="M182" s="130">
        <v>436.42671741114498</v>
      </c>
      <c r="N182" s="130">
        <v>428.07771139627073</v>
      </c>
      <c r="O182" s="130">
        <v>428.07771139627073</v>
      </c>
      <c r="P182" s="130">
        <v>428.07771139627073</v>
      </c>
      <c r="Q182" s="130">
        <v>428.07771139627073</v>
      </c>
      <c r="R182" s="130">
        <v>428.07771139627073</v>
      </c>
      <c r="S182" s="130">
        <v>428.07771139627073</v>
      </c>
      <c r="T182" s="130">
        <v>394.68168733677373</v>
      </c>
      <c r="U182" s="130">
        <v>438.60856831860946</v>
      </c>
      <c r="V182" s="130">
        <v>444.01556685749853</v>
      </c>
      <c r="W182" s="130">
        <v>428.07771139627073</v>
      </c>
      <c r="X182" s="130">
        <v>428.07771139627073</v>
      </c>
      <c r="Y182" s="130">
        <v>428.07771139627073</v>
      </c>
      <c r="Z182" s="130">
        <v>428.07771139627073</v>
      </c>
      <c r="AA182" s="130">
        <v>428.07771139627073</v>
      </c>
      <c r="AB182" s="130">
        <v>396.92809606070841</v>
      </c>
      <c r="AC182" s="130">
        <v>456.21721231152708</v>
      </c>
      <c r="AD182" s="130">
        <v>428.07771139627073</v>
      </c>
      <c r="AE182" s="130">
        <v>428.07771139627073</v>
      </c>
      <c r="AF182" s="130">
        <v>428.07771139627073</v>
      </c>
      <c r="AG182" s="130">
        <v>428.07771139627073</v>
      </c>
      <c r="AH182" s="130">
        <v>417.29338461088554</v>
      </c>
      <c r="AI182" s="130">
        <v>434.71220268405006</v>
      </c>
      <c r="AJ182" s="130">
        <v>430.88510347284023</v>
      </c>
      <c r="AK182" s="130">
        <v>428.07771139627073</v>
      </c>
      <c r="AL182" s="130">
        <v>428.07771139627073</v>
      </c>
      <c r="AM182" s="130">
        <v>428.07771139627073</v>
      </c>
      <c r="AN182" s="130">
        <v>428.07771139627073</v>
      </c>
      <c r="AO182" s="130">
        <v>428.07771139627073</v>
      </c>
      <c r="AP182" s="130">
        <v>428.07771139627073</v>
      </c>
      <c r="AQ182" s="130">
        <v>428.07771139627073</v>
      </c>
      <c r="AR182" s="130">
        <v>428.07771139627073</v>
      </c>
      <c r="AS182" s="130">
        <v>428.07771139627073</v>
      </c>
      <c r="AT182" s="130">
        <v>428.07771139627073</v>
      </c>
      <c r="AU182" s="130">
        <v>428.07771139627073</v>
      </c>
      <c r="AV182" s="130">
        <v>415.78953310423429</v>
      </c>
      <c r="AW182" s="130">
        <v>433.29419331062684</v>
      </c>
      <c r="AX182" s="130">
        <v>428.11227887336605</v>
      </c>
      <c r="AY182" s="130">
        <v>432.84843561850494</v>
      </c>
    </row>
    <row r="184" spans="1:51" x14ac:dyDescent="0.2">
      <c r="A184" s="107" t="s">
        <v>300</v>
      </c>
    </row>
    <row r="185" spans="1:51" x14ac:dyDescent="0.2">
      <c r="A185" s="131" t="s">
        <v>125</v>
      </c>
      <c r="B185" s="128">
        <v>1</v>
      </c>
      <c r="C185" s="129">
        <v>174</v>
      </c>
      <c r="D185" s="129">
        <v>0</v>
      </c>
      <c r="E185" s="129">
        <v>0</v>
      </c>
      <c r="F185" s="129">
        <v>0</v>
      </c>
      <c r="G185" s="129">
        <v>0</v>
      </c>
      <c r="H185" s="129">
        <v>192.77315830165</v>
      </c>
      <c r="I185" s="129">
        <v>192.77315830165</v>
      </c>
      <c r="J185" s="129">
        <v>192.77315830165</v>
      </c>
      <c r="K185" s="129">
        <v>192.77315830165</v>
      </c>
      <c r="L185" s="129">
        <v>154.21852664132001</v>
      </c>
      <c r="M185" s="129">
        <v>154.21852664132001</v>
      </c>
      <c r="N185" s="129">
        <v>154.21852664132001</v>
      </c>
      <c r="O185" s="129">
        <v>154.21852664132001</v>
      </c>
      <c r="P185" s="129">
        <v>154.21852664132001</v>
      </c>
      <c r="Q185" s="129">
        <v>154.21852664132001</v>
      </c>
      <c r="R185" s="129">
        <v>154.21852664132001</v>
      </c>
      <c r="S185" s="129">
        <v>154.21852664132001</v>
      </c>
      <c r="T185" s="129">
        <v>154.21852664132001</v>
      </c>
      <c r="U185" s="129">
        <v>154.21852664132001</v>
      </c>
      <c r="V185" s="129">
        <v>154.21852664132001</v>
      </c>
      <c r="W185" s="129">
        <v>154.21852664132001</v>
      </c>
      <c r="X185" s="129">
        <v>154.21852664132001</v>
      </c>
      <c r="Y185" s="129">
        <v>154.21852664132001</v>
      </c>
      <c r="Z185" s="129">
        <v>154.21852664132001</v>
      </c>
      <c r="AA185" s="129">
        <v>154.21852664132001</v>
      </c>
      <c r="AB185" s="129">
        <v>154.21852664132001</v>
      </c>
      <c r="AC185" s="129">
        <v>154.21852664132001</v>
      </c>
      <c r="AD185" s="129">
        <v>154.21852664132001</v>
      </c>
      <c r="AE185" s="129">
        <v>150</v>
      </c>
      <c r="AF185" s="129">
        <v>154.21852664132001</v>
      </c>
      <c r="AG185" s="129">
        <v>154.21852664132001</v>
      </c>
      <c r="AH185" s="129">
        <v>154.21852664132001</v>
      </c>
      <c r="AI185" s="129">
        <v>154.21852664132001</v>
      </c>
      <c r="AJ185" s="129">
        <v>154.21852664132001</v>
      </c>
      <c r="AK185" s="129">
        <v>154.21852664132001</v>
      </c>
      <c r="AL185" s="129">
        <v>154.21852664132001</v>
      </c>
      <c r="AM185" s="129">
        <v>154.21852664132001</v>
      </c>
      <c r="AN185" s="129">
        <v>154.21852664132001</v>
      </c>
      <c r="AO185" s="129">
        <v>154.21852664132001</v>
      </c>
      <c r="AP185" s="129">
        <v>154.21852664132001</v>
      </c>
      <c r="AQ185" s="129">
        <v>154.21852664132001</v>
      </c>
      <c r="AR185" s="129">
        <v>154.21852664132001</v>
      </c>
      <c r="AS185" s="129">
        <v>154.21852664132001</v>
      </c>
      <c r="AT185" s="129">
        <v>154.21852664132001</v>
      </c>
      <c r="AU185" s="129">
        <v>154.21852664132001</v>
      </c>
      <c r="AV185" s="129">
        <v>154.21852664132001</v>
      </c>
      <c r="AW185" s="129">
        <v>154.21852664132001</v>
      </c>
      <c r="AX185" s="129">
        <v>154.21852664132001</v>
      </c>
      <c r="AY185" s="129">
        <v>154.21852664132001</v>
      </c>
    </row>
    <row r="186" spans="1:51" x14ac:dyDescent="0.2">
      <c r="A186" s="114"/>
      <c r="B186" s="125">
        <v>2</v>
      </c>
      <c r="C186" s="111">
        <v>3</v>
      </c>
      <c r="D186" s="111">
        <v>22</v>
      </c>
      <c r="E186" s="111">
        <v>0</v>
      </c>
      <c r="F186" s="111">
        <v>0</v>
      </c>
      <c r="G186" s="111">
        <v>0</v>
      </c>
      <c r="H186" s="111">
        <v>0</v>
      </c>
      <c r="I186" s="111">
        <v>0</v>
      </c>
      <c r="J186" s="111">
        <v>0</v>
      </c>
      <c r="K186" s="111">
        <v>0</v>
      </c>
      <c r="L186" s="111">
        <v>0</v>
      </c>
      <c r="M186" s="111">
        <v>0</v>
      </c>
      <c r="N186" s="111">
        <v>0</v>
      </c>
      <c r="O186" s="111">
        <v>0</v>
      </c>
      <c r="P186" s="111">
        <v>0</v>
      </c>
      <c r="Q186" s="111">
        <v>0</v>
      </c>
      <c r="R186" s="111">
        <v>0</v>
      </c>
      <c r="S186" s="111">
        <v>0</v>
      </c>
      <c r="T186" s="111">
        <v>0</v>
      </c>
      <c r="U186" s="111">
        <v>0</v>
      </c>
      <c r="V186" s="111">
        <v>0</v>
      </c>
      <c r="W186" s="111">
        <v>0</v>
      </c>
      <c r="X186" s="111">
        <v>0</v>
      </c>
      <c r="Y186" s="111">
        <v>0</v>
      </c>
      <c r="Z186" s="111">
        <v>0</v>
      </c>
      <c r="AA186" s="111">
        <v>0</v>
      </c>
      <c r="AB186" s="111">
        <v>0</v>
      </c>
      <c r="AC186" s="111">
        <v>0</v>
      </c>
      <c r="AD186" s="111">
        <v>0</v>
      </c>
      <c r="AE186" s="111">
        <v>0</v>
      </c>
      <c r="AF186" s="111">
        <v>4.2185266413200111</v>
      </c>
      <c r="AG186" s="111">
        <v>0</v>
      </c>
      <c r="AH186" s="111">
        <v>0</v>
      </c>
      <c r="AI186" s="111">
        <v>0</v>
      </c>
      <c r="AJ186" s="111">
        <v>0</v>
      </c>
      <c r="AK186" s="111">
        <v>0</v>
      </c>
      <c r="AL186" s="111">
        <v>0</v>
      </c>
      <c r="AM186" s="111">
        <v>0</v>
      </c>
      <c r="AN186" s="111">
        <v>0</v>
      </c>
      <c r="AO186" s="111">
        <v>0</v>
      </c>
      <c r="AP186" s="111">
        <v>0</v>
      </c>
      <c r="AQ186" s="111">
        <v>0</v>
      </c>
      <c r="AR186" s="111">
        <v>0</v>
      </c>
      <c r="AS186" s="111">
        <v>0</v>
      </c>
      <c r="AT186" s="111">
        <v>0</v>
      </c>
      <c r="AU186" s="111">
        <v>0</v>
      </c>
      <c r="AV186" s="111">
        <v>0</v>
      </c>
      <c r="AW186" s="111">
        <v>0</v>
      </c>
      <c r="AX186" s="111">
        <v>0</v>
      </c>
      <c r="AY186" s="111">
        <v>0</v>
      </c>
    </row>
    <row r="187" spans="1:51" x14ac:dyDescent="0.2">
      <c r="A187" s="114"/>
      <c r="B187" s="132">
        <v>3</v>
      </c>
      <c r="C187" s="111">
        <v>0</v>
      </c>
      <c r="D187" s="111">
        <v>0</v>
      </c>
      <c r="E187" s="111">
        <v>0</v>
      </c>
      <c r="F187" s="111">
        <v>0</v>
      </c>
      <c r="G187" s="111">
        <v>0</v>
      </c>
      <c r="H187" s="111">
        <v>0</v>
      </c>
      <c r="I187" s="111">
        <v>0</v>
      </c>
      <c r="J187" s="111">
        <v>0</v>
      </c>
      <c r="K187" s="111">
        <v>0</v>
      </c>
      <c r="L187" s="111">
        <v>0</v>
      </c>
      <c r="M187" s="111">
        <v>0</v>
      </c>
      <c r="N187" s="111">
        <v>0</v>
      </c>
      <c r="O187" s="111">
        <v>0</v>
      </c>
      <c r="P187" s="111">
        <v>0</v>
      </c>
      <c r="Q187" s="111">
        <v>0</v>
      </c>
      <c r="R187" s="111">
        <v>0</v>
      </c>
      <c r="S187" s="111">
        <v>0</v>
      </c>
      <c r="T187" s="111">
        <v>0</v>
      </c>
      <c r="U187" s="111">
        <v>0</v>
      </c>
      <c r="V187" s="111">
        <v>0</v>
      </c>
      <c r="W187" s="111">
        <v>0</v>
      </c>
      <c r="X187" s="111">
        <v>0</v>
      </c>
      <c r="Y187" s="111">
        <v>0</v>
      </c>
      <c r="Z187" s="111">
        <v>0</v>
      </c>
      <c r="AA187" s="111">
        <v>0</v>
      </c>
      <c r="AB187" s="111">
        <v>0</v>
      </c>
      <c r="AC187" s="111">
        <v>0</v>
      </c>
      <c r="AD187" s="111">
        <v>0</v>
      </c>
      <c r="AE187" s="111">
        <v>0</v>
      </c>
      <c r="AF187" s="111">
        <v>0</v>
      </c>
      <c r="AG187" s="111">
        <v>0</v>
      </c>
      <c r="AH187" s="111">
        <v>0</v>
      </c>
      <c r="AI187" s="111">
        <v>0</v>
      </c>
      <c r="AJ187" s="111">
        <v>0</v>
      </c>
      <c r="AK187" s="111">
        <v>0</v>
      </c>
      <c r="AL187" s="111">
        <v>0</v>
      </c>
      <c r="AM187" s="111">
        <v>0</v>
      </c>
      <c r="AN187" s="111">
        <v>0</v>
      </c>
      <c r="AO187" s="111">
        <v>0</v>
      </c>
      <c r="AP187" s="111">
        <v>0</v>
      </c>
      <c r="AQ187" s="111">
        <v>0</v>
      </c>
      <c r="AR187" s="111">
        <v>0</v>
      </c>
      <c r="AS187" s="111">
        <v>0</v>
      </c>
      <c r="AT187" s="111">
        <v>0</v>
      </c>
      <c r="AU187" s="111">
        <v>0</v>
      </c>
      <c r="AV187" s="111">
        <v>0</v>
      </c>
      <c r="AW187" s="111">
        <v>0</v>
      </c>
      <c r="AX187" s="111">
        <v>0</v>
      </c>
      <c r="AY187" s="111">
        <v>0</v>
      </c>
    </row>
    <row r="188" spans="1:51" x14ac:dyDescent="0.2">
      <c r="A188" s="133"/>
      <c r="B188" s="134">
        <v>4</v>
      </c>
      <c r="C188" s="111">
        <v>0</v>
      </c>
      <c r="D188" s="111">
        <v>0</v>
      </c>
      <c r="E188" s="111">
        <v>0</v>
      </c>
      <c r="F188" s="111">
        <v>0</v>
      </c>
      <c r="G188" s="111">
        <v>0</v>
      </c>
      <c r="H188" s="111">
        <v>0</v>
      </c>
      <c r="I188" s="111">
        <v>0</v>
      </c>
      <c r="J188" s="111">
        <v>0</v>
      </c>
      <c r="K188" s="111">
        <v>0</v>
      </c>
      <c r="L188" s="111">
        <v>0</v>
      </c>
      <c r="M188" s="111">
        <v>0</v>
      </c>
      <c r="N188" s="111">
        <v>0</v>
      </c>
      <c r="O188" s="111">
        <v>0</v>
      </c>
      <c r="P188" s="111">
        <v>0</v>
      </c>
      <c r="Q188" s="111">
        <v>0</v>
      </c>
      <c r="R188" s="111">
        <v>0</v>
      </c>
      <c r="S188" s="111">
        <v>0</v>
      </c>
      <c r="T188" s="111">
        <v>0</v>
      </c>
      <c r="U188" s="111">
        <v>0</v>
      </c>
      <c r="V188" s="111">
        <v>0</v>
      </c>
      <c r="W188" s="111">
        <v>0</v>
      </c>
      <c r="X188" s="111">
        <v>0</v>
      </c>
      <c r="Y188" s="111">
        <v>0</v>
      </c>
      <c r="Z188" s="111">
        <v>0</v>
      </c>
      <c r="AA188" s="111">
        <v>0</v>
      </c>
      <c r="AB188" s="111">
        <v>0</v>
      </c>
      <c r="AC188" s="111">
        <v>0</v>
      </c>
      <c r="AD188" s="111">
        <v>0</v>
      </c>
      <c r="AE188" s="111">
        <v>0</v>
      </c>
      <c r="AF188" s="111">
        <v>0</v>
      </c>
      <c r="AG188" s="111">
        <v>0</v>
      </c>
      <c r="AH188" s="111">
        <v>0</v>
      </c>
      <c r="AI188" s="111">
        <v>0</v>
      </c>
      <c r="AJ188" s="111">
        <v>0</v>
      </c>
      <c r="AK188" s="111">
        <v>0</v>
      </c>
      <c r="AL188" s="111">
        <v>0</v>
      </c>
      <c r="AM188" s="111">
        <v>0</v>
      </c>
      <c r="AN188" s="111">
        <v>0</v>
      </c>
      <c r="AO188" s="111">
        <v>0</v>
      </c>
      <c r="AP188" s="111">
        <v>0</v>
      </c>
      <c r="AQ188" s="111">
        <v>0</v>
      </c>
      <c r="AR188" s="111">
        <v>0</v>
      </c>
      <c r="AS188" s="111">
        <v>0</v>
      </c>
      <c r="AT188" s="111">
        <v>0</v>
      </c>
      <c r="AU188" s="111">
        <v>0</v>
      </c>
      <c r="AV188" s="111">
        <v>0</v>
      </c>
      <c r="AW188" s="111">
        <v>0</v>
      </c>
      <c r="AX188" s="111">
        <v>0</v>
      </c>
      <c r="AY188" s="111">
        <v>0</v>
      </c>
    </row>
    <row r="189" spans="1:51" x14ac:dyDescent="0.2">
      <c r="A189" s="131" t="s">
        <v>133</v>
      </c>
      <c r="B189" s="128">
        <v>1</v>
      </c>
      <c r="C189" s="129">
        <v>146.00000000000003</v>
      </c>
      <c r="D189" s="129">
        <v>135</v>
      </c>
      <c r="E189" s="129">
        <v>122.99999999999997</v>
      </c>
      <c r="F189" s="129">
        <v>0</v>
      </c>
      <c r="G189" s="129">
        <v>0</v>
      </c>
      <c r="H189" s="129">
        <v>0</v>
      </c>
      <c r="I189" s="129">
        <v>0</v>
      </c>
      <c r="J189" s="129">
        <v>123.29279827385241</v>
      </c>
      <c r="K189" s="129">
        <v>123.29279827385241</v>
      </c>
      <c r="L189" s="129">
        <v>123.29279827385241</v>
      </c>
      <c r="M189" s="129">
        <v>123.29279827385241</v>
      </c>
      <c r="N189" s="129">
        <v>98.634238619081941</v>
      </c>
      <c r="O189" s="129">
        <v>98.634238619081941</v>
      </c>
      <c r="P189" s="129">
        <v>98.634238619081941</v>
      </c>
      <c r="Q189" s="129">
        <v>98.634238619081941</v>
      </c>
      <c r="R189" s="129">
        <v>98.634238619081941</v>
      </c>
      <c r="S189" s="129">
        <v>98.634238619081941</v>
      </c>
      <c r="T189" s="129">
        <v>0</v>
      </c>
      <c r="U189" s="129">
        <v>162</v>
      </c>
      <c r="V189" s="129">
        <v>98.634238619081941</v>
      </c>
      <c r="W189" s="129">
        <v>98.634238619081941</v>
      </c>
      <c r="X189" s="129">
        <v>98.634238619081941</v>
      </c>
      <c r="Y189" s="129">
        <v>98.634238619081941</v>
      </c>
      <c r="Z189" s="129">
        <v>98.634238619081941</v>
      </c>
      <c r="AA189" s="129">
        <v>98.634238619081941</v>
      </c>
      <c r="AB189" s="129">
        <v>98.634238619081941</v>
      </c>
      <c r="AC189" s="129">
        <v>98.634238619081941</v>
      </c>
      <c r="AD189" s="129">
        <v>98.634238619081941</v>
      </c>
      <c r="AE189" s="129">
        <v>98.634238619081941</v>
      </c>
      <c r="AF189" s="129">
        <v>98.634238619081941</v>
      </c>
      <c r="AG189" s="129">
        <v>98.634238619081941</v>
      </c>
      <c r="AH189" s="129">
        <v>98.634238619081941</v>
      </c>
      <c r="AI189" s="129">
        <v>98.634238619081941</v>
      </c>
      <c r="AJ189" s="129">
        <v>98.634238619081941</v>
      </c>
      <c r="AK189" s="129">
        <v>98.634238619081941</v>
      </c>
      <c r="AL189" s="129">
        <v>98.634238619081941</v>
      </c>
      <c r="AM189" s="129">
        <v>98.634238619081941</v>
      </c>
      <c r="AN189" s="129">
        <v>98.634238619081941</v>
      </c>
      <c r="AO189" s="129">
        <v>98.634238619081941</v>
      </c>
      <c r="AP189" s="129">
        <v>98.634238619081941</v>
      </c>
      <c r="AQ189" s="129">
        <v>98.634238619081941</v>
      </c>
      <c r="AR189" s="129">
        <v>98.634238619081941</v>
      </c>
      <c r="AS189" s="129">
        <v>98.634238619081941</v>
      </c>
      <c r="AT189" s="129">
        <v>98.634238619081941</v>
      </c>
      <c r="AU189" s="129">
        <v>98.634238619081941</v>
      </c>
      <c r="AV189" s="129">
        <v>98.634238619081941</v>
      </c>
      <c r="AW189" s="129">
        <v>98.634238619081941</v>
      </c>
      <c r="AX189" s="129">
        <v>98.634238619081941</v>
      </c>
      <c r="AY189" s="129">
        <v>98.634238619081941</v>
      </c>
    </row>
    <row r="190" spans="1:51" x14ac:dyDescent="0.2">
      <c r="A190" s="114"/>
      <c r="B190" s="124">
        <v>2</v>
      </c>
      <c r="C190" s="111">
        <v>0</v>
      </c>
      <c r="D190" s="111">
        <v>0</v>
      </c>
      <c r="E190" s="111">
        <v>11.000000000000028</v>
      </c>
      <c r="F190" s="111">
        <v>17.383722400000039</v>
      </c>
      <c r="G190" s="111">
        <v>0</v>
      </c>
      <c r="H190" s="111">
        <v>0</v>
      </c>
      <c r="I190" s="111">
        <v>0</v>
      </c>
      <c r="J190" s="111">
        <v>0</v>
      </c>
      <c r="K190" s="111">
        <v>0</v>
      </c>
      <c r="L190" s="111">
        <v>0</v>
      </c>
      <c r="M190" s="111">
        <v>0</v>
      </c>
      <c r="N190" s="111">
        <v>0</v>
      </c>
      <c r="O190" s="111">
        <v>0</v>
      </c>
      <c r="P190" s="111">
        <v>0</v>
      </c>
      <c r="Q190" s="111">
        <v>0</v>
      </c>
      <c r="R190" s="111">
        <v>0</v>
      </c>
      <c r="S190" s="111">
        <v>0</v>
      </c>
      <c r="T190" s="111">
        <v>0</v>
      </c>
      <c r="U190" s="111">
        <v>0</v>
      </c>
      <c r="V190" s="111">
        <v>19.844200000000001</v>
      </c>
      <c r="W190" s="111">
        <v>0</v>
      </c>
      <c r="X190" s="111">
        <v>0</v>
      </c>
      <c r="Y190" s="111">
        <v>0</v>
      </c>
      <c r="Z190" s="111">
        <v>0</v>
      </c>
      <c r="AA190" s="111">
        <v>0</v>
      </c>
      <c r="AB190" s="111">
        <v>0</v>
      </c>
      <c r="AC190" s="111">
        <v>0</v>
      </c>
      <c r="AD190" s="111">
        <v>0</v>
      </c>
      <c r="AE190" s="111">
        <v>0</v>
      </c>
      <c r="AF190" s="111">
        <v>0</v>
      </c>
      <c r="AG190" s="111">
        <v>0</v>
      </c>
      <c r="AH190" s="111">
        <v>0</v>
      </c>
      <c r="AI190" s="111">
        <v>0</v>
      </c>
      <c r="AJ190" s="111">
        <v>0</v>
      </c>
      <c r="AK190" s="111">
        <v>0</v>
      </c>
      <c r="AL190" s="111">
        <v>0</v>
      </c>
      <c r="AM190" s="111">
        <v>0</v>
      </c>
      <c r="AN190" s="111">
        <v>0</v>
      </c>
      <c r="AO190" s="111">
        <v>0</v>
      </c>
      <c r="AP190" s="111">
        <v>0</v>
      </c>
      <c r="AQ190" s="111">
        <v>0</v>
      </c>
      <c r="AR190" s="111">
        <v>0</v>
      </c>
      <c r="AS190" s="111">
        <v>0</v>
      </c>
      <c r="AT190" s="111">
        <v>0</v>
      </c>
      <c r="AU190" s="111">
        <v>0</v>
      </c>
      <c r="AV190" s="111">
        <v>0</v>
      </c>
      <c r="AW190" s="111">
        <v>0</v>
      </c>
      <c r="AX190" s="111">
        <v>0</v>
      </c>
      <c r="AY190" s="111">
        <v>0</v>
      </c>
    </row>
    <row r="191" spans="1:51" x14ac:dyDescent="0.2">
      <c r="A191" s="114"/>
      <c r="B191" s="125">
        <v>3</v>
      </c>
      <c r="C191" s="111">
        <v>0</v>
      </c>
      <c r="D191" s="111">
        <v>0</v>
      </c>
      <c r="E191" s="111">
        <v>0</v>
      </c>
      <c r="F191" s="111">
        <v>0</v>
      </c>
      <c r="G191" s="111">
        <v>0</v>
      </c>
      <c r="H191" s="111">
        <v>0</v>
      </c>
      <c r="I191" s="111">
        <v>0</v>
      </c>
      <c r="J191" s="111">
        <v>0</v>
      </c>
      <c r="K191" s="111">
        <v>0</v>
      </c>
      <c r="L191" s="111">
        <v>0</v>
      </c>
      <c r="M191" s="111">
        <v>0</v>
      </c>
      <c r="N191" s="111">
        <v>0</v>
      </c>
      <c r="O191" s="111">
        <v>0</v>
      </c>
      <c r="P191" s="111">
        <v>0</v>
      </c>
      <c r="Q191" s="111">
        <v>0</v>
      </c>
      <c r="R191" s="111">
        <v>0</v>
      </c>
      <c r="S191" s="111">
        <v>0</v>
      </c>
      <c r="T191" s="111">
        <v>0</v>
      </c>
      <c r="U191" s="111">
        <v>0</v>
      </c>
      <c r="V191" s="111">
        <v>0</v>
      </c>
      <c r="W191" s="111">
        <v>0</v>
      </c>
      <c r="X191" s="111">
        <v>0</v>
      </c>
      <c r="Y191" s="111">
        <v>0</v>
      </c>
      <c r="Z191" s="111">
        <v>0</v>
      </c>
      <c r="AA191" s="111">
        <v>0</v>
      </c>
      <c r="AB191" s="111">
        <v>0</v>
      </c>
      <c r="AC191" s="111">
        <v>0</v>
      </c>
      <c r="AD191" s="111">
        <v>0</v>
      </c>
      <c r="AE191" s="111">
        <v>0</v>
      </c>
      <c r="AF191" s="111">
        <v>0</v>
      </c>
      <c r="AG191" s="111">
        <v>0</v>
      </c>
      <c r="AH191" s="111">
        <v>0</v>
      </c>
      <c r="AI191" s="111">
        <v>0</v>
      </c>
      <c r="AJ191" s="111">
        <v>0</v>
      </c>
      <c r="AK191" s="111">
        <v>0</v>
      </c>
      <c r="AL191" s="111">
        <v>0</v>
      </c>
      <c r="AM191" s="111">
        <v>0</v>
      </c>
      <c r="AN191" s="111">
        <v>0</v>
      </c>
      <c r="AO191" s="111">
        <v>0</v>
      </c>
      <c r="AP191" s="111">
        <v>0</v>
      </c>
      <c r="AQ191" s="111">
        <v>0</v>
      </c>
      <c r="AR191" s="111">
        <v>0</v>
      </c>
      <c r="AS191" s="111">
        <v>0</v>
      </c>
      <c r="AT191" s="111">
        <v>0</v>
      </c>
      <c r="AU191" s="111">
        <v>0</v>
      </c>
      <c r="AV191" s="111">
        <v>0</v>
      </c>
      <c r="AW191" s="111">
        <v>0</v>
      </c>
      <c r="AX191" s="111">
        <v>0</v>
      </c>
      <c r="AY191" s="111">
        <v>0</v>
      </c>
    </row>
    <row r="192" spans="1:51" x14ac:dyDescent="0.2">
      <c r="A192" s="114"/>
      <c r="B192" s="125">
        <v>4</v>
      </c>
      <c r="C192" s="111">
        <v>0</v>
      </c>
      <c r="D192" s="111">
        <v>0</v>
      </c>
      <c r="E192" s="111">
        <v>0</v>
      </c>
      <c r="F192" s="111">
        <v>0</v>
      </c>
      <c r="G192" s="111">
        <v>0</v>
      </c>
      <c r="H192" s="111">
        <v>0</v>
      </c>
      <c r="I192" s="111">
        <v>0</v>
      </c>
      <c r="J192" s="111">
        <v>0</v>
      </c>
      <c r="K192" s="111">
        <v>0</v>
      </c>
      <c r="L192" s="111">
        <v>0</v>
      </c>
      <c r="M192" s="111">
        <v>0</v>
      </c>
      <c r="N192" s="111">
        <v>0</v>
      </c>
      <c r="O192" s="111">
        <v>0</v>
      </c>
      <c r="P192" s="111">
        <v>0</v>
      </c>
      <c r="Q192" s="111">
        <v>0</v>
      </c>
      <c r="R192" s="111">
        <v>0</v>
      </c>
      <c r="S192" s="111">
        <v>0</v>
      </c>
      <c r="T192" s="111">
        <v>0</v>
      </c>
      <c r="U192" s="111">
        <v>0</v>
      </c>
      <c r="V192" s="111">
        <v>0</v>
      </c>
      <c r="W192" s="111">
        <v>0</v>
      </c>
      <c r="X192" s="111">
        <v>0</v>
      </c>
      <c r="Y192" s="111">
        <v>0</v>
      </c>
      <c r="Z192" s="111">
        <v>0</v>
      </c>
      <c r="AA192" s="111">
        <v>0</v>
      </c>
      <c r="AB192" s="111">
        <v>0</v>
      </c>
      <c r="AC192" s="111">
        <v>0</v>
      </c>
      <c r="AD192" s="111">
        <v>0</v>
      </c>
      <c r="AE192" s="111">
        <v>0</v>
      </c>
      <c r="AF192" s="111">
        <v>0</v>
      </c>
      <c r="AG192" s="111">
        <v>0</v>
      </c>
      <c r="AH192" s="111">
        <v>0</v>
      </c>
      <c r="AI192" s="111">
        <v>0</v>
      </c>
      <c r="AJ192" s="111">
        <v>0</v>
      </c>
      <c r="AK192" s="111">
        <v>0</v>
      </c>
      <c r="AL192" s="111">
        <v>0</v>
      </c>
      <c r="AM192" s="111">
        <v>0</v>
      </c>
      <c r="AN192" s="111">
        <v>0</v>
      </c>
      <c r="AO192" s="111">
        <v>0</v>
      </c>
      <c r="AP192" s="111">
        <v>0</v>
      </c>
      <c r="AQ192" s="111">
        <v>0</v>
      </c>
      <c r="AR192" s="111">
        <v>0</v>
      </c>
      <c r="AS192" s="111">
        <v>0</v>
      </c>
      <c r="AT192" s="111">
        <v>0</v>
      </c>
      <c r="AU192" s="111">
        <v>0</v>
      </c>
      <c r="AV192" s="111">
        <v>0</v>
      </c>
      <c r="AW192" s="111">
        <v>0</v>
      </c>
      <c r="AX192" s="111">
        <v>0</v>
      </c>
      <c r="AY192" s="111">
        <v>0</v>
      </c>
    </row>
    <row r="193" spans="1:51" x14ac:dyDescent="0.2">
      <c r="A193" s="114"/>
      <c r="B193" s="132">
        <v>5</v>
      </c>
      <c r="C193" s="111">
        <v>0</v>
      </c>
      <c r="D193" s="111">
        <v>0</v>
      </c>
      <c r="E193" s="111">
        <v>0</v>
      </c>
      <c r="F193" s="111">
        <v>0</v>
      </c>
      <c r="G193" s="111">
        <v>0</v>
      </c>
      <c r="H193" s="111">
        <v>0</v>
      </c>
      <c r="I193" s="111">
        <v>0</v>
      </c>
      <c r="J193" s="111">
        <v>0</v>
      </c>
      <c r="K193" s="111">
        <v>0</v>
      </c>
      <c r="L193" s="111">
        <v>0</v>
      </c>
      <c r="M193" s="111">
        <v>0</v>
      </c>
      <c r="N193" s="111">
        <v>0</v>
      </c>
      <c r="O193" s="111">
        <v>0</v>
      </c>
      <c r="P193" s="111">
        <v>0</v>
      </c>
      <c r="Q193" s="111">
        <v>0</v>
      </c>
      <c r="R193" s="111">
        <v>0</v>
      </c>
      <c r="S193" s="111">
        <v>0</v>
      </c>
      <c r="T193" s="111">
        <v>0</v>
      </c>
      <c r="U193" s="111">
        <v>0</v>
      </c>
      <c r="V193" s="111">
        <v>0</v>
      </c>
      <c r="W193" s="111">
        <v>0</v>
      </c>
      <c r="X193" s="111">
        <v>0</v>
      </c>
      <c r="Y193" s="111">
        <v>0</v>
      </c>
      <c r="Z193" s="111">
        <v>0</v>
      </c>
      <c r="AA193" s="111">
        <v>0</v>
      </c>
      <c r="AB193" s="111">
        <v>0</v>
      </c>
      <c r="AC193" s="111">
        <v>0</v>
      </c>
      <c r="AD193" s="111">
        <v>0</v>
      </c>
      <c r="AE193" s="111">
        <v>0</v>
      </c>
      <c r="AF193" s="111">
        <v>0</v>
      </c>
      <c r="AG193" s="111">
        <v>0</v>
      </c>
      <c r="AH193" s="111">
        <v>0</v>
      </c>
      <c r="AI193" s="111">
        <v>0</v>
      </c>
      <c r="AJ193" s="111">
        <v>0</v>
      </c>
      <c r="AK193" s="111">
        <v>0</v>
      </c>
      <c r="AL193" s="111">
        <v>0</v>
      </c>
      <c r="AM193" s="111">
        <v>0</v>
      </c>
      <c r="AN193" s="111">
        <v>0</v>
      </c>
      <c r="AO193" s="111">
        <v>0</v>
      </c>
      <c r="AP193" s="111">
        <v>0</v>
      </c>
      <c r="AQ193" s="111">
        <v>0</v>
      </c>
      <c r="AR193" s="111">
        <v>0</v>
      </c>
      <c r="AS193" s="111">
        <v>0</v>
      </c>
      <c r="AT193" s="111">
        <v>0</v>
      </c>
      <c r="AU193" s="111">
        <v>0</v>
      </c>
      <c r="AV193" s="111">
        <v>0</v>
      </c>
      <c r="AW193" s="111">
        <v>0</v>
      </c>
      <c r="AX193" s="111">
        <v>0</v>
      </c>
      <c r="AY193" s="111">
        <v>0</v>
      </c>
    </row>
    <row r="194" spans="1:51" x14ac:dyDescent="0.2">
      <c r="A194" s="114"/>
      <c r="B194" s="132">
        <v>6</v>
      </c>
      <c r="C194" s="111">
        <v>0</v>
      </c>
      <c r="D194" s="111">
        <v>0</v>
      </c>
      <c r="E194" s="111">
        <v>0</v>
      </c>
      <c r="F194" s="111">
        <v>0</v>
      </c>
      <c r="G194" s="111">
        <v>0</v>
      </c>
      <c r="H194" s="111">
        <v>0</v>
      </c>
      <c r="I194" s="111">
        <v>0</v>
      </c>
      <c r="J194" s="111">
        <v>0</v>
      </c>
      <c r="K194" s="111">
        <v>0</v>
      </c>
      <c r="L194" s="111">
        <v>0</v>
      </c>
      <c r="M194" s="111">
        <v>0</v>
      </c>
      <c r="N194" s="111">
        <v>0</v>
      </c>
      <c r="O194" s="111">
        <v>0</v>
      </c>
      <c r="P194" s="111">
        <v>0</v>
      </c>
      <c r="Q194" s="111">
        <v>0</v>
      </c>
      <c r="R194" s="111">
        <v>0</v>
      </c>
      <c r="S194" s="111">
        <v>0</v>
      </c>
      <c r="T194" s="111">
        <v>0</v>
      </c>
      <c r="U194" s="111">
        <v>0</v>
      </c>
      <c r="V194" s="111">
        <v>0</v>
      </c>
      <c r="W194" s="111">
        <v>0</v>
      </c>
      <c r="X194" s="111">
        <v>0</v>
      </c>
      <c r="Y194" s="111">
        <v>0</v>
      </c>
      <c r="Z194" s="111">
        <v>0</v>
      </c>
      <c r="AA194" s="111">
        <v>0</v>
      </c>
      <c r="AB194" s="111">
        <v>0</v>
      </c>
      <c r="AC194" s="111">
        <v>0</v>
      </c>
      <c r="AD194" s="111">
        <v>0</v>
      </c>
      <c r="AE194" s="111">
        <v>0</v>
      </c>
      <c r="AF194" s="111">
        <v>0</v>
      </c>
      <c r="AG194" s="111">
        <v>0</v>
      </c>
      <c r="AH194" s="111">
        <v>0</v>
      </c>
      <c r="AI194" s="111">
        <v>0</v>
      </c>
      <c r="AJ194" s="111">
        <v>0</v>
      </c>
      <c r="AK194" s="111">
        <v>0</v>
      </c>
      <c r="AL194" s="111">
        <v>0</v>
      </c>
      <c r="AM194" s="111">
        <v>0</v>
      </c>
      <c r="AN194" s="111">
        <v>0</v>
      </c>
      <c r="AO194" s="111">
        <v>0</v>
      </c>
      <c r="AP194" s="111">
        <v>0</v>
      </c>
      <c r="AQ194" s="111">
        <v>0</v>
      </c>
      <c r="AR194" s="111">
        <v>0</v>
      </c>
      <c r="AS194" s="111">
        <v>0</v>
      </c>
      <c r="AT194" s="111">
        <v>0</v>
      </c>
      <c r="AU194" s="111">
        <v>0</v>
      </c>
      <c r="AV194" s="111">
        <v>0</v>
      </c>
      <c r="AW194" s="111">
        <v>0</v>
      </c>
      <c r="AX194" s="111">
        <v>0</v>
      </c>
      <c r="AY194" s="111">
        <v>0</v>
      </c>
    </row>
    <row r="195" spans="1:51" x14ac:dyDescent="0.2">
      <c r="A195" s="114"/>
      <c r="B195" s="135">
        <v>7</v>
      </c>
      <c r="C195" s="111">
        <v>0</v>
      </c>
      <c r="D195" s="111">
        <v>0</v>
      </c>
      <c r="E195" s="111">
        <v>0</v>
      </c>
      <c r="F195" s="111">
        <v>0</v>
      </c>
      <c r="G195" s="111">
        <v>0</v>
      </c>
      <c r="H195" s="111">
        <v>0</v>
      </c>
      <c r="I195" s="111">
        <v>0</v>
      </c>
      <c r="J195" s="111">
        <v>0</v>
      </c>
      <c r="K195" s="111">
        <v>0</v>
      </c>
      <c r="L195" s="111">
        <v>0</v>
      </c>
      <c r="M195" s="111">
        <v>0</v>
      </c>
      <c r="N195" s="111">
        <v>0</v>
      </c>
      <c r="O195" s="111">
        <v>0</v>
      </c>
      <c r="P195" s="111">
        <v>0</v>
      </c>
      <c r="Q195" s="111">
        <v>0</v>
      </c>
      <c r="R195" s="111">
        <v>0</v>
      </c>
      <c r="S195" s="111">
        <v>0</v>
      </c>
      <c r="T195" s="111">
        <v>0</v>
      </c>
      <c r="U195" s="111">
        <v>0</v>
      </c>
      <c r="V195" s="111">
        <v>0</v>
      </c>
      <c r="W195" s="111">
        <v>0</v>
      </c>
      <c r="X195" s="111">
        <v>0</v>
      </c>
      <c r="Y195" s="111">
        <v>0</v>
      </c>
      <c r="Z195" s="111">
        <v>0</v>
      </c>
      <c r="AA195" s="111">
        <v>0</v>
      </c>
      <c r="AB195" s="111">
        <v>0</v>
      </c>
      <c r="AC195" s="111">
        <v>0</v>
      </c>
      <c r="AD195" s="111">
        <v>0</v>
      </c>
      <c r="AE195" s="111">
        <v>0</v>
      </c>
      <c r="AF195" s="111">
        <v>0</v>
      </c>
      <c r="AG195" s="111">
        <v>0</v>
      </c>
      <c r="AH195" s="111">
        <v>0</v>
      </c>
      <c r="AI195" s="111">
        <v>0</v>
      </c>
      <c r="AJ195" s="111">
        <v>0</v>
      </c>
      <c r="AK195" s="111">
        <v>0</v>
      </c>
      <c r="AL195" s="111">
        <v>0</v>
      </c>
      <c r="AM195" s="111">
        <v>0</v>
      </c>
      <c r="AN195" s="111">
        <v>0</v>
      </c>
      <c r="AO195" s="111">
        <v>0</v>
      </c>
      <c r="AP195" s="111">
        <v>0</v>
      </c>
      <c r="AQ195" s="111">
        <v>0</v>
      </c>
      <c r="AR195" s="111">
        <v>0</v>
      </c>
      <c r="AS195" s="111">
        <v>0</v>
      </c>
      <c r="AT195" s="111">
        <v>0</v>
      </c>
      <c r="AU195" s="111">
        <v>0</v>
      </c>
      <c r="AV195" s="111">
        <v>0</v>
      </c>
      <c r="AW195" s="111">
        <v>0</v>
      </c>
      <c r="AX195" s="111">
        <v>0</v>
      </c>
      <c r="AY195" s="111">
        <v>0</v>
      </c>
    </row>
    <row r="196" spans="1:51" x14ac:dyDescent="0.2">
      <c r="A196" s="133"/>
      <c r="B196" s="134">
        <v>8</v>
      </c>
      <c r="C196" s="119">
        <v>0</v>
      </c>
      <c r="D196" s="119">
        <v>0</v>
      </c>
      <c r="E196" s="119">
        <v>0</v>
      </c>
      <c r="F196" s="119">
        <v>0</v>
      </c>
      <c r="G196" s="119">
        <v>0</v>
      </c>
      <c r="H196" s="119">
        <v>0</v>
      </c>
      <c r="I196" s="119">
        <v>0</v>
      </c>
      <c r="J196" s="119">
        <v>0</v>
      </c>
      <c r="K196" s="119">
        <v>0</v>
      </c>
      <c r="L196" s="119">
        <v>0</v>
      </c>
      <c r="M196" s="119">
        <v>0</v>
      </c>
      <c r="N196" s="119">
        <v>0</v>
      </c>
      <c r="O196" s="119">
        <v>0</v>
      </c>
      <c r="P196" s="119">
        <v>0</v>
      </c>
      <c r="Q196" s="119">
        <v>0</v>
      </c>
      <c r="R196" s="119">
        <v>0</v>
      </c>
      <c r="S196" s="119">
        <v>0</v>
      </c>
      <c r="T196" s="119">
        <v>0</v>
      </c>
      <c r="U196" s="119">
        <v>0</v>
      </c>
      <c r="V196" s="119">
        <v>0</v>
      </c>
      <c r="W196" s="119">
        <v>0</v>
      </c>
      <c r="X196" s="119">
        <v>0</v>
      </c>
      <c r="Y196" s="119">
        <v>0</v>
      </c>
      <c r="Z196" s="119">
        <v>0</v>
      </c>
      <c r="AA196" s="119">
        <v>0</v>
      </c>
      <c r="AB196" s="119">
        <v>0</v>
      </c>
      <c r="AC196" s="119">
        <v>0</v>
      </c>
      <c r="AD196" s="119">
        <v>0</v>
      </c>
      <c r="AE196" s="119">
        <v>0</v>
      </c>
      <c r="AF196" s="119">
        <v>0</v>
      </c>
      <c r="AG196" s="119">
        <v>0</v>
      </c>
      <c r="AH196" s="119">
        <v>0</v>
      </c>
      <c r="AI196" s="119">
        <v>0</v>
      </c>
      <c r="AJ196" s="119">
        <v>0</v>
      </c>
      <c r="AK196" s="119">
        <v>0</v>
      </c>
      <c r="AL196" s="119">
        <v>0</v>
      </c>
      <c r="AM196" s="119">
        <v>0</v>
      </c>
      <c r="AN196" s="119">
        <v>0</v>
      </c>
      <c r="AO196" s="119">
        <v>0</v>
      </c>
      <c r="AP196" s="119">
        <v>0</v>
      </c>
      <c r="AQ196" s="119">
        <v>0</v>
      </c>
      <c r="AR196" s="119">
        <v>0</v>
      </c>
      <c r="AS196" s="119">
        <v>0</v>
      </c>
      <c r="AT196" s="119">
        <v>0</v>
      </c>
      <c r="AU196" s="119">
        <v>0</v>
      </c>
      <c r="AV196" s="119">
        <v>0</v>
      </c>
      <c r="AW196" s="119">
        <v>0</v>
      </c>
      <c r="AX196" s="119">
        <v>0</v>
      </c>
      <c r="AY196" s="119">
        <v>0</v>
      </c>
    </row>
    <row r="197" spans="1:51" x14ac:dyDescent="0.2">
      <c r="A197" s="136" t="s">
        <v>134</v>
      </c>
      <c r="B197" s="124">
        <v>1</v>
      </c>
      <c r="C197" s="111">
        <v>51.706406195001762</v>
      </c>
      <c r="D197" s="111">
        <v>51.706406195001762</v>
      </c>
      <c r="E197" s="111">
        <v>0</v>
      </c>
      <c r="F197" s="111">
        <v>0</v>
      </c>
      <c r="G197" s="111">
        <v>0</v>
      </c>
      <c r="H197" s="111">
        <v>0</v>
      </c>
      <c r="I197" s="111">
        <v>42.219549026862545</v>
      </c>
      <c r="J197" s="111">
        <v>42.219549026862545</v>
      </c>
      <c r="K197" s="111">
        <v>46.685062376988917</v>
      </c>
      <c r="L197" s="111">
        <v>46.685062376988917</v>
      </c>
      <c r="M197" s="111">
        <v>46.685062376988917</v>
      </c>
      <c r="N197" s="111">
        <v>46.685062376988917</v>
      </c>
      <c r="O197" s="111">
        <v>45.791959706963645</v>
      </c>
      <c r="P197" s="111">
        <v>45.791959706963645</v>
      </c>
      <c r="Q197" s="111">
        <v>45.791959706963645</v>
      </c>
      <c r="R197" s="111">
        <v>45.791959706963645</v>
      </c>
      <c r="S197" s="111">
        <v>45.791959706963645</v>
      </c>
      <c r="T197" s="111">
        <v>45.791959706963645</v>
      </c>
      <c r="U197" s="111">
        <v>42.219549026862545</v>
      </c>
      <c r="V197" s="111">
        <v>48.805722056526541</v>
      </c>
      <c r="W197" s="111">
        <v>47.496850234236057</v>
      </c>
      <c r="X197" s="111">
        <v>45.791959706963645</v>
      </c>
      <c r="Y197" s="111">
        <v>45.791959706963645</v>
      </c>
      <c r="Z197" s="111">
        <v>45.791959706963645</v>
      </c>
      <c r="AA197" s="111">
        <v>45.791959706963645</v>
      </c>
      <c r="AB197" s="111">
        <v>45.791959706963645</v>
      </c>
      <c r="AC197" s="111">
        <v>45.791959706963645</v>
      </c>
      <c r="AD197" s="111">
        <v>48.802074127269606</v>
      </c>
      <c r="AE197" s="111">
        <v>45.791959706963645</v>
      </c>
      <c r="AF197" s="111">
        <v>45.791959706963645</v>
      </c>
      <c r="AG197" s="111">
        <v>45.791959706963645</v>
      </c>
      <c r="AH197" s="111">
        <v>45.791959706963645</v>
      </c>
      <c r="AI197" s="111">
        <v>45.791959706963645</v>
      </c>
      <c r="AJ197" s="111">
        <v>46.834093204288699</v>
      </c>
      <c r="AK197" s="111">
        <v>46.092269630674942</v>
      </c>
      <c r="AL197" s="111">
        <v>45.791959706963645</v>
      </c>
      <c r="AM197" s="111">
        <v>45.791959706963645</v>
      </c>
      <c r="AN197" s="111">
        <v>45.791959706963645</v>
      </c>
      <c r="AO197" s="111">
        <v>45.791959706963645</v>
      </c>
      <c r="AP197" s="111">
        <v>45.791959706963645</v>
      </c>
      <c r="AQ197" s="111">
        <v>45.791959706963645</v>
      </c>
      <c r="AR197" s="111">
        <v>45.791959706963645</v>
      </c>
      <c r="AS197" s="111">
        <v>45.791959706963645</v>
      </c>
      <c r="AT197" s="111">
        <v>45.791959706963645</v>
      </c>
      <c r="AU197" s="111">
        <v>45.791959706963645</v>
      </c>
      <c r="AV197" s="111">
        <v>45.791959706963645</v>
      </c>
      <c r="AW197" s="111">
        <v>45.791959706963645</v>
      </c>
      <c r="AX197" s="111">
        <v>46.979416511090555</v>
      </c>
      <c r="AY197" s="111">
        <v>46.360577784653572</v>
      </c>
    </row>
    <row r="198" spans="1:51" x14ac:dyDescent="0.2">
      <c r="A198" s="114"/>
      <c r="B198" s="124">
        <v>2</v>
      </c>
      <c r="C198" s="111">
        <v>0</v>
      </c>
      <c r="D198" s="111">
        <v>0</v>
      </c>
      <c r="E198" s="111">
        <v>0</v>
      </c>
      <c r="F198" s="111">
        <v>0</v>
      </c>
      <c r="G198" s="111">
        <v>0</v>
      </c>
      <c r="H198" s="111">
        <v>0</v>
      </c>
      <c r="I198" s="111">
        <v>0</v>
      </c>
      <c r="J198" s="111">
        <v>0</v>
      </c>
      <c r="K198" s="111">
        <v>0</v>
      </c>
      <c r="L198" s="111">
        <v>0</v>
      </c>
      <c r="M198" s="111">
        <v>0</v>
      </c>
      <c r="N198" s="111">
        <v>0</v>
      </c>
      <c r="O198" s="111">
        <v>0</v>
      </c>
      <c r="P198" s="111">
        <v>0</v>
      </c>
      <c r="Q198" s="111">
        <v>0</v>
      </c>
      <c r="R198" s="111">
        <v>0</v>
      </c>
      <c r="S198" s="111">
        <v>0</v>
      </c>
      <c r="T198" s="111">
        <v>0</v>
      </c>
      <c r="U198" s="111">
        <v>0</v>
      </c>
      <c r="V198" s="111">
        <v>0</v>
      </c>
      <c r="W198" s="111">
        <v>0</v>
      </c>
      <c r="X198" s="111">
        <v>0</v>
      </c>
      <c r="Y198" s="111">
        <v>0</v>
      </c>
      <c r="Z198" s="111">
        <v>0</v>
      </c>
      <c r="AA198" s="111">
        <v>0</v>
      </c>
      <c r="AB198" s="111">
        <v>0</v>
      </c>
      <c r="AC198" s="111">
        <v>0</v>
      </c>
      <c r="AD198" s="111">
        <v>0</v>
      </c>
      <c r="AE198" s="111">
        <v>0</v>
      </c>
      <c r="AF198" s="111">
        <v>0</v>
      </c>
      <c r="AG198" s="111">
        <v>0</v>
      </c>
      <c r="AH198" s="111">
        <v>0</v>
      </c>
      <c r="AI198" s="111">
        <v>0</v>
      </c>
      <c r="AJ198" s="111">
        <v>0</v>
      </c>
      <c r="AK198" s="111">
        <v>0</v>
      </c>
      <c r="AL198" s="111">
        <v>0</v>
      </c>
      <c r="AM198" s="111">
        <v>0</v>
      </c>
      <c r="AN198" s="111">
        <v>0</v>
      </c>
      <c r="AO198" s="111">
        <v>0</v>
      </c>
      <c r="AP198" s="111">
        <v>0</v>
      </c>
      <c r="AQ198" s="111">
        <v>0</v>
      </c>
      <c r="AR198" s="111">
        <v>0</v>
      </c>
      <c r="AS198" s="111">
        <v>0</v>
      </c>
      <c r="AT198" s="111">
        <v>0</v>
      </c>
      <c r="AU198" s="111">
        <v>0</v>
      </c>
      <c r="AV198" s="111">
        <v>0</v>
      </c>
      <c r="AW198" s="111">
        <v>0</v>
      </c>
      <c r="AX198" s="111">
        <v>0</v>
      </c>
      <c r="AY198" s="111">
        <v>0</v>
      </c>
    </row>
    <row r="199" spans="1:51" x14ac:dyDescent="0.2">
      <c r="A199" s="114"/>
      <c r="B199" s="124">
        <v>3</v>
      </c>
      <c r="C199" s="111">
        <v>0</v>
      </c>
      <c r="D199" s="111">
        <v>0</v>
      </c>
      <c r="E199" s="111">
        <v>0</v>
      </c>
      <c r="F199" s="111">
        <v>0</v>
      </c>
      <c r="G199" s="111">
        <v>0</v>
      </c>
      <c r="H199" s="111">
        <v>0</v>
      </c>
      <c r="I199" s="111">
        <v>0</v>
      </c>
      <c r="J199" s="111">
        <v>0</v>
      </c>
      <c r="K199" s="111">
        <v>0</v>
      </c>
      <c r="L199" s="111">
        <v>0</v>
      </c>
      <c r="M199" s="111">
        <v>0</v>
      </c>
      <c r="N199" s="111">
        <v>0</v>
      </c>
      <c r="O199" s="111">
        <v>0</v>
      </c>
      <c r="P199" s="111">
        <v>0</v>
      </c>
      <c r="Q199" s="111">
        <v>0</v>
      </c>
      <c r="R199" s="111">
        <v>0</v>
      </c>
      <c r="S199" s="111">
        <v>0</v>
      </c>
      <c r="T199" s="111">
        <v>0</v>
      </c>
      <c r="U199" s="111">
        <v>0</v>
      </c>
      <c r="V199" s="111">
        <v>0</v>
      </c>
      <c r="W199" s="111">
        <v>0</v>
      </c>
      <c r="X199" s="111">
        <v>0</v>
      </c>
      <c r="Y199" s="111">
        <v>0</v>
      </c>
      <c r="Z199" s="111">
        <v>0</v>
      </c>
      <c r="AA199" s="111">
        <v>0</v>
      </c>
      <c r="AB199" s="111">
        <v>0</v>
      </c>
      <c r="AC199" s="111">
        <v>0</v>
      </c>
      <c r="AD199" s="111">
        <v>0</v>
      </c>
      <c r="AE199" s="111">
        <v>0</v>
      </c>
      <c r="AF199" s="111">
        <v>0</v>
      </c>
      <c r="AG199" s="111">
        <v>0</v>
      </c>
      <c r="AH199" s="111">
        <v>0</v>
      </c>
      <c r="AI199" s="111">
        <v>0</v>
      </c>
      <c r="AJ199" s="111">
        <v>0</v>
      </c>
      <c r="AK199" s="111">
        <v>0</v>
      </c>
      <c r="AL199" s="111">
        <v>0</v>
      </c>
      <c r="AM199" s="111">
        <v>0</v>
      </c>
      <c r="AN199" s="111">
        <v>0</v>
      </c>
      <c r="AO199" s="111">
        <v>0</v>
      </c>
      <c r="AP199" s="111">
        <v>0</v>
      </c>
      <c r="AQ199" s="111">
        <v>0</v>
      </c>
      <c r="AR199" s="111">
        <v>0</v>
      </c>
      <c r="AS199" s="111">
        <v>0</v>
      </c>
      <c r="AT199" s="111">
        <v>0</v>
      </c>
      <c r="AU199" s="111">
        <v>0</v>
      </c>
      <c r="AV199" s="111">
        <v>0</v>
      </c>
      <c r="AW199" s="111">
        <v>0</v>
      </c>
      <c r="AX199" s="111">
        <v>0</v>
      </c>
      <c r="AY199" s="111">
        <v>0</v>
      </c>
    </row>
    <row r="200" spans="1:51" x14ac:dyDescent="0.2">
      <c r="A200" s="114"/>
      <c r="B200" s="125">
        <v>4</v>
      </c>
      <c r="C200" s="111">
        <v>0</v>
      </c>
      <c r="D200" s="111">
        <v>0</v>
      </c>
      <c r="E200" s="111">
        <v>0</v>
      </c>
      <c r="F200" s="111">
        <v>0</v>
      </c>
      <c r="G200" s="111">
        <v>0</v>
      </c>
      <c r="H200" s="111">
        <v>0</v>
      </c>
      <c r="I200" s="111">
        <v>0</v>
      </c>
      <c r="J200" s="111">
        <v>0</v>
      </c>
      <c r="K200" s="111">
        <v>0</v>
      </c>
      <c r="L200" s="111">
        <v>0</v>
      </c>
      <c r="M200" s="111">
        <v>0</v>
      </c>
      <c r="N200" s="111">
        <v>0</v>
      </c>
      <c r="O200" s="111">
        <v>0</v>
      </c>
      <c r="P200" s="111">
        <v>0</v>
      </c>
      <c r="Q200" s="111">
        <v>0</v>
      </c>
      <c r="R200" s="111">
        <v>0</v>
      </c>
      <c r="S200" s="111">
        <v>0</v>
      </c>
      <c r="T200" s="111">
        <v>0</v>
      </c>
      <c r="U200" s="111">
        <v>0</v>
      </c>
      <c r="V200" s="111">
        <v>0</v>
      </c>
      <c r="W200" s="111">
        <v>0</v>
      </c>
      <c r="X200" s="111">
        <v>0</v>
      </c>
      <c r="Y200" s="111">
        <v>0</v>
      </c>
      <c r="Z200" s="111">
        <v>0</v>
      </c>
      <c r="AA200" s="111">
        <v>0</v>
      </c>
      <c r="AB200" s="111">
        <v>0</v>
      </c>
      <c r="AC200" s="111">
        <v>0</v>
      </c>
      <c r="AD200" s="111">
        <v>0</v>
      </c>
      <c r="AE200" s="111">
        <v>0</v>
      </c>
      <c r="AF200" s="111">
        <v>0</v>
      </c>
      <c r="AG200" s="111">
        <v>0</v>
      </c>
      <c r="AH200" s="111">
        <v>0</v>
      </c>
      <c r="AI200" s="111">
        <v>0</v>
      </c>
      <c r="AJ200" s="111">
        <v>0</v>
      </c>
      <c r="AK200" s="111">
        <v>0</v>
      </c>
      <c r="AL200" s="111">
        <v>0</v>
      </c>
      <c r="AM200" s="111">
        <v>0</v>
      </c>
      <c r="AN200" s="111">
        <v>0</v>
      </c>
      <c r="AO200" s="111">
        <v>0</v>
      </c>
      <c r="AP200" s="111">
        <v>0</v>
      </c>
      <c r="AQ200" s="111">
        <v>0</v>
      </c>
      <c r="AR200" s="111">
        <v>0</v>
      </c>
      <c r="AS200" s="111">
        <v>0</v>
      </c>
      <c r="AT200" s="111">
        <v>0</v>
      </c>
      <c r="AU200" s="111">
        <v>0</v>
      </c>
      <c r="AV200" s="111">
        <v>0</v>
      </c>
      <c r="AW200" s="111">
        <v>0</v>
      </c>
      <c r="AX200" s="111">
        <v>0</v>
      </c>
      <c r="AY200" s="111">
        <v>0</v>
      </c>
    </row>
    <row r="201" spans="1:51" x14ac:dyDescent="0.2">
      <c r="A201" s="114"/>
      <c r="B201" s="125">
        <v>5</v>
      </c>
      <c r="C201" s="111">
        <v>0</v>
      </c>
      <c r="D201" s="111">
        <v>0</v>
      </c>
      <c r="E201" s="111">
        <v>0</v>
      </c>
      <c r="F201" s="111">
        <v>0</v>
      </c>
      <c r="G201" s="111">
        <v>0</v>
      </c>
      <c r="H201" s="111">
        <v>0</v>
      </c>
      <c r="I201" s="111">
        <v>0</v>
      </c>
      <c r="J201" s="111">
        <v>0</v>
      </c>
      <c r="K201" s="111">
        <v>0</v>
      </c>
      <c r="L201" s="111">
        <v>0</v>
      </c>
      <c r="M201" s="111">
        <v>0</v>
      </c>
      <c r="N201" s="111">
        <v>0</v>
      </c>
      <c r="O201" s="111">
        <v>0</v>
      </c>
      <c r="P201" s="111">
        <v>0</v>
      </c>
      <c r="Q201" s="111">
        <v>0</v>
      </c>
      <c r="R201" s="111">
        <v>0</v>
      </c>
      <c r="S201" s="111">
        <v>0</v>
      </c>
      <c r="T201" s="111">
        <v>0</v>
      </c>
      <c r="U201" s="111">
        <v>0</v>
      </c>
      <c r="V201" s="111">
        <v>0</v>
      </c>
      <c r="W201" s="111">
        <v>0</v>
      </c>
      <c r="X201" s="111">
        <v>0</v>
      </c>
      <c r="Y201" s="111">
        <v>0</v>
      </c>
      <c r="Z201" s="111">
        <v>0</v>
      </c>
      <c r="AA201" s="111">
        <v>0</v>
      </c>
      <c r="AB201" s="111">
        <v>0</v>
      </c>
      <c r="AC201" s="111">
        <v>0</v>
      </c>
      <c r="AD201" s="111">
        <v>0</v>
      </c>
      <c r="AE201" s="111">
        <v>0</v>
      </c>
      <c r="AF201" s="111">
        <v>0</v>
      </c>
      <c r="AG201" s="111">
        <v>0</v>
      </c>
      <c r="AH201" s="111">
        <v>0</v>
      </c>
      <c r="AI201" s="111">
        <v>0</v>
      </c>
      <c r="AJ201" s="111">
        <v>0</v>
      </c>
      <c r="AK201" s="111">
        <v>0</v>
      </c>
      <c r="AL201" s="111">
        <v>0</v>
      </c>
      <c r="AM201" s="111">
        <v>0</v>
      </c>
      <c r="AN201" s="111">
        <v>0</v>
      </c>
      <c r="AO201" s="111">
        <v>0</v>
      </c>
      <c r="AP201" s="111">
        <v>0</v>
      </c>
      <c r="AQ201" s="111">
        <v>0</v>
      </c>
      <c r="AR201" s="111">
        <v>0</v>
      </c>
      <c r="AS201" s="111">
        <v>0</v>
      </c>
      <c r="AT201" s="111">
        <v>0</v>
      </c>
      <c r="AU201" s="111">
        <v>0</v>
      </c>
      <c r="AV201" s="111">
        <v>0</v>
      </c>
      <c r="AW201" s="111">
        <v>0</v>
      </c>
      <c r="AX201" s="111">
        <v>0</v>
      </c>
      <c r="AY201" s="111">
        <v>0</v>
      </c>
    </row>
    <row r="202" spans="1:51" x14ac:dyDescent="0.2">
      <c r="A202" s="114"/>
      <c r="B202" s="125">
        <v>6</v>
      </c>
      <c r="C202" s="111">
        <v>0</v>
      </c>
      <c r="D202" s="111">
        <v>0</v>
      </c>
      <c r="E202" s="111">
        <v>0</v>
      </c>
      <c r="F202" s="111">
        <v>0</v>
      </c>
      <c r="G202" s="111">
        <v>0</v>
      </c>
      <c r="H202" s="111">
        <v>0</v>
      </c>
      <c r="I202" s="111">
        <v>0</v>
      </c>
      <c r="J202" s="111">
        <v>0</v>
      </c>
      <c r="K202" s="111">
        <v>0</v>
      </c>
      <c r="L202" s="111">
        <v>0</v>
      </c>
      <c r="M202" s="111">
        <v>0</v>
      </c>
      <c r="N202" s="111">
        <v>0</v>
      </c>
      <c r="O202" s="111">
        <v>0</v>
      </c>
      <c r="P202" s="111">
        <v>0</v>
      </c>
      <c r="Q202" s="111">
        <v>0</v>
      </c>
      <c r="R202" s="111">
        <v>0</v>
      </c>
      <c r="S202" s="111">
        <v>0</v>
      </c>
      <c r="T202" s="111">
        <v>0</v>
      </c>
      <c r="U202" s="111">
        <v>0</v>
      </c>
      <c r="V202" s="111">
        <v>0</v>
      </c>
      <c r="W202" s="111">
        <v>0</v>
      </c>
      <c r="X202" s="111">
        <v>0</v>
      </c>
      <c r="Y202" s="111">
        <v>0</v>
      </c>
      <c r="Z202" s="111">
        <v>0</v>
      </c>
      <c r="AA202" s="111">
        <v>0</v>
      </c>
      <c r="AB202" s="111">
        <v>0</v>
      </c>
      <c r="AC202" s="111">
        <v>0</v>
      </c>
      <c r="AD202" s="111">
        <v>0</v>
      </c>
      <c r="AE202" s="111">
        <v>0</v>
      </c>
      <c r="AF202" s="111">
        <v>0</v>
      </c>
      <c r="AG202" s="111">
        <v>0</v>
      </c>
      <c r="AH202" s="111">
        <v>0</v>
      </c>
      <c r="AI202" s="111">
        <v>0</v>
      </c>
      <c r="AJ202" s="111">
        <v>0</v>
      </c>
      <c r="AK202" s="111">
        <v>0</v>
      </c>
      <c r="AL202" s="111">
        <v>0</v>
      </c>
      <c r="AM202" s="111">
        <v>0</v>
      </c>
      <c r="AN202" s="111">
        <v>0</v>
      </c>
      <c r="AO202" s="111">
        <v>0</v>
      </c>
      <c r="AP202" s="111">
        <v>0</v>
      </c>
      <c r="AQ202" s="111">
        <v>0</v>
      </c>
      <c r="AR202" s="111">
        <v>0</v>
      </c>
      <c r="AS202" s="111">
        <v>0</v>
      </c>
      <c r="AT202" s="111">
        <v>0</v>
      </c>
      <c r="AU202" s="111">
        <v>0</v>
      </c>
      <c r="AV202" s="111">
        <v>0</v>
      </c>
      <c r="AW202" s="111">
        <v>0</v>
      </c>
      <c r="AX202" s="111">
        <v>0</v>
      </c>
      <c r="AY202" s="111">
        <v>0</v>
      </c>
    </row>
    <row r="203" spans="1:51" x14ac:dyDescent="0.2">
      <c r="A203" s="114"/>
      <c r="B203" s="132">
        <v>7</v>
      </c>
      <c r="C203" s="111">
        <v>0</v>
      </c>
      <c r="D203" s="111">
        <v>0</v>
      </c>
      <c r="E203" s="111">
        <v>0</v>
      </c>
      <c r="F203" s="111">
        <v>0</v>
      </c>
      <c r="G203" s="111">
        <v>0</v>
      </c>
      <c r="H203" s="111">
        <v>0</v>
      </c>
      <c r="I203" s="111">
        <v>0</v>
      </c>
      <c r="J203" s="111">
        <v>0</v>
      </c>
      <c r="K203" s="111">
        <v>0</v>
      </c>
      <c r="L203" s="111">
        <v>0</v>
      </c>
      <c r="M203" s="111">
        <v>0</v>
      </c>
      <c r="N203" s="111">
        <v>0</v>
      </c>
      <c r="O203" s="111">
        <v>0</v>
      </c>
      <c r="P203" s="111">
        <v>0</v>
      </c>
      <c r="Q203" s="111">
        <v>0</v>
      </c>
      <c r="R203" s="111">
        <v>0</v>
      </c>
      <c r="S203" s="111">
        <v>0</v>
      </c>
      <c r="T203" s="111">
        <v>0</v>
      </c>
      <c r="U203" s="111">
        <v>0</v>
      </c>
      <c r="V203" s="111">
        <v>0</v>
      </c>
      <c r="W203" s="111">
        <v>0</v>
      </c>
      <c r="X203" s="111">
        <v>0</v>
      </c>
      <c r="Y203" s="111">
        <v>0</v>
      </c>
      <c r="Z203" s="111">
        <v>0</v>
      </c>
      <c r="AA203" s="111">
        <v>0</v>
      </c>
      <c r="AB203" s="111">
        <v>0</v>
      </c>
      <c r="AC203" s="111">
        <v>0</v>
      </c>
      <c r="AD203" s="111">
        <v>0</v>
      </c>
      <c r="AE203" s="111">
        <v>0</v>
      </c>
      <c r="AF203" s="111">
        <v>0</v>
      </c>
      <c r="AG203" s="111">
        <v>0</v>
      </c>
      <c r="AH203" s="111">
        <v>0</v>
      </c>
      <c r="AI203" s="111">
        <v>0</v>
      </c>
      <c r="AJ203" s="111">
        <v>0</v>
      </c>
      <c r="AK203" s="111">
        <v>0</v>
      </c>
      <c r="AL203" s="111">
        <v>0</v>
      </c>
      <c r="AM203" s="111">
        <v>0</v>
      </c>
      <c r="AN203" s="111">
        <v>0</v>
      </c>
      <c r="AO203" s="111">
        <v>0</v>
      </c>
      <c r="AP203" s="111">
        <v>0</v>
      </c>
      <c r="AQ203" s="111">
        <v>0</v>
      </c>
      <c r="AR203" s="111">
        <v>0</v>
      </c>
      <c r="AS203" s="111">
        <v>0</v>
      </c>
      <c r="AT203" s="111">
        <v>0</v>
      </c>
      <c r="AU203" s="111">
        <v>0</v>
      </c>
      <c r="AV203" s="111">
        <v>0</v>
      </c>
      <c r="AW203" s="111">
        <v>0</v>
      </c>
      <c r="AX203" s="111">
        <v>0</v>
      </c>
      <c r="AY203" s="111">
        <v>0</v>
      </c>
    </row>
    <row r="204" spans="1:51" x14ac:dyDescent="0.2">
      <c r="A204" s="114"/>
      <c r="B204" s="132">
        <v>8</v>
      </c>
      <c r="C204" s="111">
        <v>0</v>
      </c>
      <c r="D204" s="111">
        <v>0</v>
      </c>
      <c r="E204" s="111">
        <v>0</v>
      </c>
      <c r="F204" s="111">
        <v>0</v>
      </c>
      <c r="G204" s="111">
        <v>0</v>
      </c>
      <c r="H204" s="111">
        <v>0</v>
      </c>
      <c r="I204" s="111">
        <v>0</v>
      </c>
      <c r="J204" s="111">
        <v>0</v>
      </c>
      <c r="K204" s="111">
        <v>0</v>
      </c>
      <c r="L204" s="111">
        <v>0</v>
      </c>
      <c r="M204" s="111">
        <v>0</v>
      </c>
      <c r="N204" s="111">
        <v>0</v>
      </c>
      <c r="O204" s="111">
        <v>0</v>
      </c>
      <c r="P204" s="111">
        <v>0</v>
      </c>
      <c r="Q204" s="111">
        <v>0</v>
      </c>
      <c r="R204" s="111">
        <v>0</v>
      </c>
      <c r="S204" s="111">
        <v>0</v>
      </c>
      <c r="T204" s="111">
        <v>0</v>
      </c>
      <c r="U204" s="111">
        <v>0</v>
      </c>
      <c r="V204" s="111">
        <v>0</v>
      </c>
      <c r="W204" s="111">
        <v>0</v>
      </c>
      <c r="X204" s="111">
        <v>0</v>
      </c>
      <c r="Y204" s="111">
        <v>0</v>
      </c>
      <c r="Z204" s="111">
        <v>0</v>
      </c>
      <c r="AA204" s="111">
        <v>0</v>
      </c>
      <c r="AB204" s="111">
        <v>0</v>
      </c>
      <c r="AC204" s="111">
        <v>0</v>
      </c>
      <c r="AD204" s="111">
        <v>0</v>
      </c>
      <c r="AE204" s="111">
        <v>0</v>
      </c>
      <c r="AF204" s="111">
        <v>0</v>
      </c>
      <c r="AG204" s="111">
        <v>0</v>
      </c>
      <c r="AH204" s="111">
        <v>0</v>
      </c>
      <c r="AI204" s="111">
        <v>0</v>
      </c>
      <c r="AJ204" s="111">
        <v>0</v>
      </c>
      <c r="AK204" s="111">
        <v>0</v>
      </c>
      <c r="AL204" s="111">
        <v>0</v>
      </c>
      <c r="AM204" s="111">
        <v>0</v>
      </c>
      <c r="AN204" s="111">
        <v>0</v>
      </c>
      <c r="AO204" s="111">
        <v>0</v>
      </c>
      <c r="AP204" s="111">
        <v>0</v>
      </c>
      <c r="AQ204" s="111">
        <v>0</v>
      </c>
      <c r="AR204" s="111">
        <v>0</v>
      </c>
      <c r="AS204" s="111">
        <v>0</v>
      </c>
      <c r="AT204" s="111">
        <v>0</v>
      </c>
      <c r="AU204" s="111">
        <v>0</v>
      </c>
      <c r="AV204" s="111">
        <v>0</v>
      </c>
      <c r="AW204" s="111">
        <v>0</v>
      </c>
      <c r="AX204" s="111">
        <v>0</v>
      </c>
      <c r="AY204" s="111">
        <v>0</v>
      </c>
    </row>
    <row r="205" spans="1:51" x14ac:dyDescent="0.2">
      <c r="A205" s="114"/>
      <c r="B205" s="132">
        <v>9</v>
      </c>
      <c r="C205" s="111">
        <v>0</v>
      </c>
      <c r="D205" s="111">
        <v>0</v>
      </c>
      <c r="E205" s="111">
        <v>0</v>
      </c>
      <c r="F205" s="111">
        <v>0</v>
      </c>
      <c r="G205" s="111">
        <v>0</v>
      </c>
      <c r="H205" s="111">
        <v>0</v>
      </c>
      <c r="I205" s="111">
        <v>0</v>
      </c>
      <c r="J205" s="111">
        <v>0</v>
      </c>
      <c r="K205" s="111">
        <v>0</v>
      </c>
      <c r="L205" s="111">
        <v>0</v>
      </c>
      <c r="M205" s="111">
        <v>0</v>
      </c>
      <c r="N205" s="111">
        <v>0</v>
      </c>
      <c r="O205" s="111">
        <v>0</v>
      </c>
      <c r="P205" s="111">
        <v>0</v>
      </c>
      <c r="Q205" s="111">
        <v>0</v>
      </c>
      <c r="R205" s="111">
        <v>0</v>
      </c>
      <c r="S205" s="111">
        <v>0</v>
      </c>
      <c r="T205" s="111">
        <v>0</v>
      </c>
      <c r="U205" s="111">
        <v>0</v>
      </c>
      <c r="V205" s="111">
        <v>0</v>
      </c>
      <c r="W205" s="111">
        <v>0</v>
      </c>
      <c r="X205" s="111">
        <v>0</v>
      </c>
      <c r="Y205" s="111">
        <v>0</v>
      </c>
      <c r="Z205" s="111">
        <v>0</v>
      </c>
      <c r="AA205" s="111">
        <v>0</v>
      </c>
      <c r="AB205" s="111">
        <v>0</v>
      </c>
      <c r="AC205" s="111">
        <v>0</v>
      </c>
      <c r="AD205" s="111">
        <v>0</v>
      </c>
      <c r="AE205" s="111">
        <v>0</v>
      </c>
      <c r="AF205" s="111">
        <v>0</v>
      </c>
      <c r="AG205" s="111">
        <v>0</v>
      </c>
      <c r="AH205" s="111">
        <v>0</v>
      </c>
      <c r="AI205" s="111">
        <v>0</v>
      </c>
      <c r="AJ205" s="111">
        <v>0</v>
      </c>
      <c r="AK205" s="111">
        <v>0</v>
      </c>
      <c r="AL205" s="111">
        <v>0</v>
      </c>
      <c r="AM205" s="111">
        <v>0</v>
      </c>
      <c r="AN205" s="111">
        <v>0</v>
      </c>
      <c r="AO205" s="111">
        <v>0</v>
      </c>
      <c r="AP205" s="111">
        <v>0</v>
      </c>
      <c r="AQ205" s="111">
        <v>0</v>
      </c>
      <c r="AR205" s="111">
        <v>0</v>
      </c>
      <c r="AS205" s="111">
        <v>0</v>
      </c>
      <c r="AT205" s="111">
        <v>0</v>
      </c>
      <c r="AU205" s="111">
        <v>0</v>
      </c>
      <c r="AV205" s="111">
        <v>0</v>
      </c>
      <c r="AW205" s="111">
        <v>0</v>
      </c>
      <c r="AX205" s="111">
        <v>0</v>
      </c>
      <c r="AY205" s="111">
        <v>0</v>
      </c>
    </row>
    <row r="206" spans="1:51" x14ac:dyDescent="0.2">
      <c r="A206" s="114"/>
      <c r="B206" s="135">
        <v>10</v>
      </c>
      <c r="C206" s="111">
        <v>0</v>
      </c>
      <c r="D206" s="111">
        <v>0</v>
      </c>
      <c r="E206" s="111">
        <v>0</v>
      </c>
      <c r="F206" s="111">
        <v>0</v>
      </c>
      <c r="G206" s="111">
        <v>0</v>
      </c>
      <c r="H206" s="111">
        <v>0</v>
      </c>
      <c r="I206" s="111">
        <v>0</v>
      </c>
      <c r="J206" s="111">
        <v>0</v>
      </c>
      <c r="K206" s="111">
        <v>0</v>
      </c>
      <c r="L206" s="111">
        <v>0</v>
      </c>
      <c r="M206" s="111">
        <v>0</v>
      </c>
      <c r="N206" s="111">
        <v>0</v>
      </c>
      <c r="O206" s="111">
        <v>0</v>
      </c>
      <c r="P206" s="111">
        <v>0</v>
      </c>
      <c r="Q206" s="111">
        <v>0</v>
      </c>
      <c r="R206" s="111">
        <v>0</v>
      </c>
      <c r="S206" s="111">
        <v>0</v>
      </c>
      <c r="T206" s="111">
        <v>0</v>
      </c>
      <c r="U206" s="111">
        <v>0</v>
      </c>
      <c r="V206" s="111">
        <v>0</v>
      </c>
      <c r="W206" s="111">
        <v>0</v>
      </c>
      <c r="X206" s="111">
        <v>0</v>
      </c>
      <c r="Y206" s="111">
        <v>0</v>
      </c>
      <c r="Z206" s="111">
        <v>0</v>
      </c>
      <c r="AA206" s="111">
        <v>0</v>
      </c>
      <c r="AB206" s="111">
        <v>0</v>
      </c>
      <c r="AC206" s="111">
        <v>0</v>
      </c>
      <c r="AD206" s="111">
        <v>0</v>
      </c>
      <c r="AE206" s="111">
        <v>0</v>
      </c>
      <c r="AF206" s="111">
        <v>0</v>
      </c>
      <c r="AG206" s="111">
        <v>0</v>
      </c>
      <c r="AH206" s="111">
        <v>0</v>
      </c>
      <c r="AI206" s="111">
        <v>0</v>
      </c>
      <c r="AJ206" s="111">
        <v>0</v>
      </c>
      <c r="AK206" s="111">
        <v>0</v>
      </c>
      <c r="AL206" s="111">
        <v>0</v>
      </c>
      <c r="AM206" s="111">
        <v>0</v>
      </c>
      <c r="AN206" s="111">
        <v>0</v>
      </c>
      <c r="AO206" s="111">
        <v>0</v>
      </c>
      <c r="AP206" s="111">
        <v>0</v>
      </c>
      <c r="AQ206" s="111">
        <v>0</v>
      </c>
      <c r="AR206" s="111">
        <v>0</v>
      </c>
      <c r="AS206" s="111">
        <v>0</v>
      </c>
      <c r="AT206" s="111">
        <v>0</v>
      </c>
      <c r="AU206" s="111">
        <v>0</v>
      </c>
      <c r="AV206" s="111">
        <v>0</v>
      </c>
      <c r="AW206" s="111">
        <v>0</v>
      </c>
      <c r="AX206" s="111">
        <v>0</v>
      </c>
      <c r="AY206" s="111">
        <v>0</v>
      </c>
    </row>
    <row r="207" spans="1:51" x14ac:dyDescent="0.2">
      <c r="A207" s="114"/>
      <c r="B207" s="135">
        <v>11</v>
      </c>
      <c r="C207" s="111">
        <v>0</v>
      </c>
      <c r="D207" s="111">
        <v>0</v>
      </c>
      <c r="E207" s="111">
        <v>0</v>
      </c>
      <c r="F207" s="111">
        <v>0</v>
      </c>
      <c r="G207" s="111">
        <v>0</v>
      </c>
      <c r="H207" s="111">
        <v>0</v>
      </c>
      <c r="I207" s="111">
        <v>0</v>
      </c>
      <c r="J207" s="111">
        <v>0</v>
      </c>
      <c r="K207" s="111">
        <v>0</v>
      </c>
      <c r="L207" s="111">
        <v>0</v>
      </c>
      <c r="M207" s="111">
        <v>0</v>
      </c>
      <c r="N207" s="111">
        <v>0</v>
      </c>
      <c r="O207" s="111">
        <v>0</v>
      </c>
      <c r="P207" s="111">
        <v>0</v>
      </c>
      <c r="Q207" s="111">
        <v>0</v>
      </c>
      <c r="R207" s="111">
        <v>0</v>
      </c>
      <c r="S207" s="111">
        <v>0</v>
      </c>
      <c r="T207" s="111">
        <v>0</v>
      </c>
      <c r="U207" s="111">
        <v>0</v>
      </c>
      <c r="V207" s="111">
        <v>0</v>
      </c>
      <c r="W207" s="111">
        <v>0</v>
      </c>
      <c r="X207" s="111">
        <v>0</v>
      </c>
      <c r="Y207" s="111">
        <v>0</v>
      </c>
      <c r="Z207" s="111">
        <v>0</v>
      </c>
      <c r="AA207" s="111">
        <v>0</v>
      </c>
      <c r="AB207" s="111">
        <v>0</v>
      </c>
      <c r="AC207" s="111">
        <v>0</v>
      </c>
      <c r="AD207" s="111">
        <v>0</v>
      </c>
      <c r="AE207" s="111">
        <v>0</v>
      </c>
      <c r="AF207" s="111">
        <v>0</v>
      </c>
      <c r="AG207" s="111">
        <v>0</v>
      </c>
      <c r="AH207" s="111">
        <v>0</v>
      </c>
      <c r="AI207" s="111">
        <v>0</v>
      </c>
      <c r="AJ207" s="111">
        <v>0</v>
      </c>
      <c r="AK207" s="111">
        <v>0</v>
      </c>
      <c r="AL207" s="111">
        <v>0</v>
      </c>
      <c r="AM207" s="111">
        <v>0</v>
      </c>
      <c r="AN207" s="111">
        <v>0</v>
      </c>
      <c r="AO207" s="111">
        <v>0</v>
      </c>
      <c r="AP207" s="111">
        <v>0</v>
      </c>
      <c r="AQ207" s="111">
        <v>0</v>
      </c>
      <c r="AR207" s="111">
        <v>0</v>
      </c>
      <c r="AS207" s="111">
        <v>0</v>
      </c>
      <c r="AT207" s="111">
        <v>0</v>
      </c>
      <c r="AU207" s="111">
        <v>0</v>
      </c>
      <c r="AV207" s="111">
        <v>0</v>
      </c>
      <c r="AW207" s="111">
        <v>0</v>
      </c>
      <c r="AX207" s="111">
        <v>0</v>
      </c>
      <c r="AY207" s="111">
        <v>0</v>
      </c>
    </row>
    <row r="208" spans="1:51" x14ac:dyDescent="0.2">
      <c r="A208" s="114"/>
      <c r="B208" s="135">
        <v>12</v>
      </c>
      <c r="C208" s="111">
        <v>0</v>
      </c>
      <c r="D208" s="111">
        <v>0</v>
      </c>
      <c r="E208" s="111">
        <v>0</v>
      </c>
      <c r="F208" s="111">
        <v>0</v>
      </c>
      <c r="G208" s="111">
        <v>0</v>
      </c>
      <c r="H208" s="111">
        <v>0</v>
      </c>
      <c r="I208" s="111">
        <v>0</v>
      </c>
      <c r="J208" s="111">
        <v>0</v>
      </c>
      <c r="K208" s="111">
        <v>0</v>
      </c>
      <c r="L208" s="111">
        <v>0</v>
      </c>
      <c r="M208" s="111">
        <v>0</v>
      </c>
      <c r="N208" s="111">
        <v>0</v>
      </c>
      <c r="O208" s="111">
        <v>0</v>
      </c>
      <c r="P208" s="111">
        <v>0</v>
      </c>
      <c r="Q208" s="111">
        <v>0</v>
      </c>
      <c r="R208" s="111">
        <v>0</v>
      </c>
      <c r="S208" s="111">
        <v>0</v>
      </c>
      <c r="T208" s="111">
        <v>0</v>
      </c>
      <c r="U208" s="111">
        <v>0</v>
      </c>
      <c r="V208" s="111">
        <v>0</v>
      </c>
      <c r="W208" s="111">
        <v>0</v>
      </c>
      <c r="X208" s="111">
        <v>0</v>
      </c>
      <c r="Y208" s="111">
        <v>0</v>
      </c>
      <c r="Z208" s="111">
        <v>0</v>
      </c>
      <c r="AA208" s="111">
        <v>0</v>
      </c>
      <c r="AB208" s="111">
        <v>0</v>
      </c>
      <c r="AC208" s="111">
        <v>0</v>
      </c>
      <c r="AD208" s="111">
        <v>0</v>
      </c>
      <c r="AE208" s="111">
        <v>0</v>
      </c>
      <c r="AF208" s="111">
        <v>0</v>
      </c>
      <c r="AG208" s="111">
        <v>0</v>
      </c>
      <c r="AH208" s="111">
        <v>0</v>
      </c>
      <c r="AI208" s="111">
        <v>0</v>
      </c>
      <c r="AJ208" s="111">
        <v>0</v>
      </c>
      <c r="AK208" s="111">
        <v>0</v>
      </c>
      <c r="AL208" s="111">
        <v>0</v>
      </c>
      <c r="AM208" s="111">
        <v>0</v>
      </c>
      <c r="AN208" s="111">
        <v>0</v>
      </c>
      <c r="AO208" s="111">
        <v>0</v>
      </c>
      <c r="AP208" s="111">
        <v>0</v>
      </c>
      <c r="AQ208" s="111">
        <v>0</v>
      </c>
      <c r="AR208" s="111">
        <v>0</v>
      </c>
      <c r="AS208" s="111">
        <v>0</v>
      </c>
      <c r="AT208" s="111">
        <v>0</v>
      </c>
      <c r="AU208" s="111">
        <v>0</v>
      </c>
      <c r="AV208" s="111">
        <v>0</v>
      </c>
      <c r="AW208" s="111">
        <v>0</v>
      </c>
      <c r="AX208" s="111">
        <v>0</v>
      </c>
      <c r="AY208" s="111">
        <v>0</v>
      </c>
    </row>
    <row r="209" spans="1:51" x14ac:dyDescent="0.2">
      <c r="A209" s="131" t="s">
        <v>123</v>
      </c>
      <c r="B209" s="128">
        <v>1</v>
      </c>
      <c r="C209" s="129">
        <v>465.35765575501586</v>
      </c>
      <c r="D209" s="129">
        <v>46.999999999999993</v>
      </c>
      <c r="E209" s="129">
        <v>52.616277599999968</v>
      </c>
      <c r="F209" s="129">
        <v>0</v>
      </c>
      <c r="G209" s="129">
        <v>0</v>
      </c>
      <c r="H209" s="129">
        <v>394.68168733677373</v>
      </c>
      <c r="I209" s="129">
        <v>394.68168733677373</v>
      </c>
      <c r="J209" s="129">
        <v>436.42671741114498</v>
      </c>
      <c r="K209" s="129">
        <v>436.42671741114498</v>
      </c>
      <c r="L209" s="129">
        <v>436.42671741114498</v>
      </c>
      <c r="M209" s="129">
        <v>436.42671741114498</v>
      </c>
      <c r="N209" s="129">
        <v>428.07771139627073</v>
      </c>
      <c r="O209" s="129">
        <v>428.07771139627073</v>
      </c>
      <c r="P209" s="129">
        <v>428.07771139627073</v>
      </c>
      <c r="Q209" s="129">
        <v>428.07771139627073</v>
      </c>
      <c r="R209" s="129">
        <v>428.07771139627073</v>
      </c>
      <c r="S209" s="129">
        <v>428.07771139627073</v>
      </c>
      <c r="T209" s="129">
        <v>394.68168733677373</v>
      </c>
      <c r="U209" s="129">
        <v>438.60856831860946</v>
      </c>
      <c r="V209" s="129">
        <v>428.07771139627073</v>
      </c>
      <c r="W209" s="129">
        <v>428.07771139627073</v>
      </c>
      <c r="X209" s="129">
        <v>428.07771139627073</v>
      </c>
      <c r="Y209" s="129">
        <v>428.07771139627073</v>
      </c>
      <c r="Z209" s="129">
        <v>428.07771139627073</v>
      </c>
      <c r="AA209" s="129">
        <v>428.07771139627073</v>
      </c>
      <c r="AB209" s="129">
        <v>396.92809606070841</v>
      </c>
      <c r="AC209" s="129">
        <v>428.07771139627073</v>
      </c>
      <c r="AD209" s="129">
        <v>428.07771139627073</v>
      </c>
      <c r="AE209" s="129">
        <v>428.07771139627073</v>
      </c>
      <c r="AF209" s="129">
        <v>428.07771139627073</v>
      </c>
      <c r="AG209" s="129">
        <v>428.07771139627073</v>
      </c>
      <c r="AH209" s="129">
        <v>417.29338461088554</v>
      </c>
      <c r="AI209" s="129">
        <v>424.9700093959899</v>
      </c>
      <c r="AJ209" s="129">
        <v>428.07771139627073</v>
      </c>
      <c r="AK209" s="129">
        <v>428.07771139627073</v>
      </c>
      <c r="AL209" s="129">
        <v>428.07771139627073</v>
      </c>
      <c r="AM209" s="129">
        <v>428.07771139627073</v>
      </c>
      <c r="AN209" s="129">
        <v>428.07771139627073</v>
      </c>
      <c r="AO209" s="129">
        <v>428.07771139627073</v>
      </c>
      <c r="AP209" s="129">
        <v>428.07771139627073</v>
      </c>
      <c r="AQ209" s="129">
        <v>428.07771139627073</v>
      </c>
      <c r="AR209" s="129">
        <v>428.07771139627073</v>
      </c>
      <c r="AS209" s="129">
        <v>428.07771139627073</v>
      </c>
      <c r="AT209" s="129">
        <v>428.07771139627073</v>
      </c>
      <c r="AU209" s="129">
        <v>428.07771139627073</v>
      </c>
      <c r="AV209" s="129">
        <v>415.78953310423429</v>
      </c>
      <c r="AW209" s="129">
        <v>422.1934718227173</v>
      </c>
      <c r="AX209" s="129">
        <v>422.79665737750253</v>
      </c>
      <c r="AY209" s="129">
        <v>428.07771139627073</v>
      </c>
    </row>
    <row r="210" spans="1:51" x14ac:dyDescent="0.2">
      <c r="A210" s="114"/>
      <c r="B210" s="124">
        <v>2</v>
      </c>
      <c r="C210" s="111">
        <v>0</v>
      </c>
      <c r="D210" s="115">
        <v>0</v>
      </c>
      <c r="E210" s="115">
        <v>0</v>
      </c>
      <c r="F210" s="115">
        <v>0</v>
      </c>
      <c r="G210" s="115">
        <v>0</v>
      </c>
      <c r="H210" s="115">
        <v>0</v>
      </c>
      <c r="I210" s="115">
        <v>0</v>
      </c>
      <c r="J210" s="115">
        <v>0</v>
      </c>
      <c r="K210" s="115">
        <v>0</v>
      </c>
      <c r="L210" s="115">
        <v>0</v>
      </c>
      <c r="M210" s="115">
        <v>0</v>
      </c>
      <c r="N210" s="115">
        <v>0</v>
      </c>
      <c r="O210" s="115">
        <v>0</v>
      </c>
      <c r="P210" s="115">
        <v>0</v>
      </c>
      <c r="Q210" s="115">
        <v>0</v>
      </c>
      <c r="R210" s="115">
        <v>0</v>
      </c>
      <c r="S210" s="115">
        <v>0</v>
      </c>
      <c r="T210" s="115">
        <v>0</v>
      </c>
      <c r="U210" s="115">
        <v>0</v>
      </c>
      <c r="V210" s="115">
        <v>15.937855461227812</v>
      </c>
      <c r="W210" s="115">
        <v>0</v>
      </c>
      <c r="X210" s="115">
        <v>0</v>
      </c>
      <c r="Y210" s="115">
        <v>0</v>
      </c>
      <c r="Z210" s="115">
        <v>0</v>
      </c>
      <c r="AA210" s="115">
        <v>0</v>
      </c>
      <c r="AB210" s="115">
        <v>0</v>
      </c>
      <c r="AC210" s="115">
        <v>28.13950091525636</v>
      </c>
      <c r="AD210" s="115">
        <v>0</v>
      </c>
      <c r="AE210" s="115">
        <v>0</v>
      </c>
      <c r="AF210" s="115">
        <v>0</v>
      </c>
      <c r="AG210" s="115">
        <v>0</v>
      </c>
      <c r="AH210" s="115">
        <v>0</v>
      </c>
      <c r="AI210" s="115">
        <v>9.7421932880601343</v>
      </c>
      <c r="AJ210" s="115">
        <v>2.8073920765695268</v>
      </c>
      <c r="AK210" s="115">
        <v>0</v>
      </c>
      <c r="AL210" s="115">
        <v>0</v>
      </c>
      <c r="AM210" s="115">
        <v>0</v>
      </c>
      <c r="AN210" s="115">
        <v>0</v>
      </c>
      <c r="AO210" s="115">
        <v>0</v>
      </c>
      <c r="AP210" s="115">
        <v>0</v>
      </c>
      <c r="AQ210" s="115">
        <v>0</v>
      </c>
      <c r="AR210" s="115">
        <v>0</v>
      </c>
      <c r="AS210" s="115">
        <v>0</v>
      </c>
      <c r="AT210" s="115">
        <v>0</v>
      </c>
      <c r="AU210" s="115">
        <v>0</v>
      </c>
      <c r="AV210" s="115">
        <v>0</v>
      </c>
      <c r="AW210" s="115">
        <v>11.100721487909521</v>
      </c>
      <c r="AX210" s="115">
        <v>5.3156214958635015</v>
      </c>
      <c r="AY210" s="115">
        <v>4.7707242222342341</v>
      </c>
    </row>
    <row r="211" spans="1:51" x14ac:dyDescent="0.2">
      <c r="A211" s="114"/>
      <c r="B211" s="124">
        <v>3</v>
      </c>
      <c r="C211" s="111">
        <v>0</v>
      </c>
      <c r="D211" s="115">
        <v>0</v>
      </c>
      <c r="E211" s="115">
        <v>0</v>
      </c>
      <c r="F211" s="115">
        <v>0</v>
      </c>
      <c r="G211" s="115">
        <v>0</v>
      </c>
      <c r="H211" s="115">
        <v>0</v>
      </c>
      <c r="I211" s="115">
        <v>0</v>
      </c>
      <c r="J211" s="115">
        <v>0</v>
      </c>
      <c r="K211" s="115">
        <v>0</v>
      </c>
      <c r="L211" s="115">
        <v>0</v>
      </c>
      <c r="M211" s="115">
        <v>0</v>
      </c>
      <c r="N211" s="115">
        <v>0</v>
      </c>
      <c r="O211" s="115">
        <v>0</v>
      </c>
      <c r="P211" s="115">
        <v>0</v>
      </c>
      <c r="Q211" s="115">
        <v>0</v>
      </c>
      <c r="R211" s="115">
        <v>0</v>
      </c>
      <c r="S211" s="115">
        <v>0</v>
      </c>
      <c r="T211" s="115">
        <v>0</v>
      </c>
      <c r="U211" s="115">
        <v>0</v>
      </c>
      <c r="V211" s="115">
        <v>0</v>
      </c>
      <c r="W211" s="115">
        <v>0</v>
      </c>
      <c r="X211" s="115">
        <v>0</v>
      </c>
      <c r="Y211" s="115">
        <v>0</v>
      </c>
      <c r="Z211" s="115">
        <v>0</v>
      </c>
      <c r="AA211" s="115">
        <v>0</v>
      </c>
      <c r="AB211" s="115">
        <v>0</v>
      </c>
      <c r="AC211" s="115">
        <v>0</v>
      </c>
      <c r="AD211" s="115">
        <v>0</v>
      </c>
      <c r="AE211" s="115">
        <v>0</v>
      </c>
      <c r="AF211" s="115">
        <v>0</v>
      </c>
      <c r="AG211" s="115">
        <v>0</v>
      </c>
      <c r="AH211" s="115">
        <v>0</v>
      </c>
      <c r="AI211" s="115">
        <v>0</v>
      </c>
      <c r="AJ211" s="115">
        <v>0</v>
      </c>
      <c r="AK211" s="115">
        <v>0</v>
      </c>
      <c r="AL211" s="115">
        <v>0</v>
      </c>
      <c r="AM211" s="115">
        <v>0</v>
      </c>
      <c r="AN211" s="115">
        <v>0</v>
      </c>
      <c r="AO211" s="115">
        <v>0</v>
      </c>
      <c r="AP211" s="115">
        <v>0</v>
      </c>
      <c r="AQ211" s="115">
        <v>0</v>
      </c>
      <c r="AR211" s="115">
        <v>0</v>
      </c>
      <c r="AS211" s="115">
        <v>0</v>
      </c>
      <c r="AT211" s="115">
        <v>0</v>
      </c>
      <c r="AU211" s="115">
        <v>0</v>
      </c>
      <c r="AV211" s="115">
        <v>0</v>
      </c>
      <c r="AW211" s="115">
        <v>0</v>
      </c>
      <c r="AX211" s="115">
        <v>0</v>
      </c>
      <c r="AY211" s="115">
        <v>0</v>
      </c>
    </row>
    <row r="212" spans="1:51" x14ac:dyDescent="0.2">
      <c r="A212" s="114"/>
      <c r="B212" s="124">
        <v>4</v>
      </c>
      <c r="C212" s="111">
        <v>0</v>
      </c>
      <c r="D212" s="115">
        <v>0</v>
      </c>
      <c r="E212" s="115">
        <v>0</v>
      </c>
      <c r="F212" s="115">
        <v>0</v>
      </c>
      <c r="G212" s="115">
        <v>0</v>
      </c>
      <c r="H212" s="115">
        <v>0</v>
      </c>
      <c r="I212" s="115">
        <v>0</v>
      </c>
      <c r="J212" s="115">
        <v>0</v>
      </c>
      <c r="K212" s="115">
        <v>0</v>
      </c>
      <c r="L212" s="115">
        <v>0</v>
      </c>
      <c r="M212" s="115">
        <v>0</v>
      </c>
      <c r="N212" s="115">
        <v>0</v>
      </c>
      <c r="O212" s="115">
        <v>0</v>
      </c>
      <c r="P212" s="115">
        <v>0</v>
      </c>
      <c r="Q212" s="115">
        <v>0</v>
      </c>
      <c r="R212" s="115">
        <v>0</v>
      </c>
      <c r="S212" s="115">
        <v>0</v>
      </c>
      <c r="T212" s="115">
        <v>0</v>
      </c>
      <c r="U212" s="115">
        <v>0</v>
      </c>
      <c r="V212" s="115">
        <v>0</v>
      </c>
      <c r="W212" s="115">
        <v>0</v>
      </c>
      <c r="X212" s="115">
        <v>0</v>
      </c>
      <c r="Y212" s="115">
        <v>0</v>
      </c>
      <c r="Z212" s="115">
        <v>0</v>
      </c>
      <c r="AA212" s="115">
        <v>0</v>
      </c>
      <c r="AB212" s="115">
        <v>0</v>
      </c>
      <c r="AC212" s="115">
        <v>0</v>
      </c>
      <c r="AD212" s="115">
        <v>0</v>
      </c>
      <c r="AE212" s="115">
        <v>0</v>
      </c>
      <c r="AF212" s="115">
        <v>0</v>
      </c>
      <c r="AG212" s="115">
        <v>0</v>
      </c>
      <c r="AH212" s="115">
        <v>0</v>
      </c>
      <c r="AI212" s="115">
        <v>0</v>
      </c>
      <c r="AJ212" s="115">
        <v>0</v>
      </c>
      <c r="AK212" s="115">
        <v>0</v>
      </c>
      <c r="AL212" s="115">
        <v>0</v>
      </c>
      <c r="AM212" s="115">
        <v>0</v>
      </c>
      <c r="AN212" s="115">
        <v>0</v>
      </c>
      <c r="AO212" s="115">
        <v>0</v>
      </c>
      <c r="AP212" s="115">
        <v>0</v>
      </c>
      <c r="AQ212" s="115">
        <v>0</v>
      </c>
      <c r="AR212" s="115">
        <v>0</v>
      </c>
      <c r="AS212" s="115">
        <v>0</v>
      </c>
      <c r="AT212" s="115">
        <v>0</v>
      </c>
      <c r="AU212" s="115">
        <v>0</v>
      </c>
      <c r="AV212" s="115">
        <v>0</v>
      </c>
      <c r="AW212" s="115">
        <v>0</v>
      </c>
      <c r="AX212" s="115">
        <v>0</v>
      </c>
      <c r="AY212" s="115">
        <v>0</v>
      </c>
    </row>
    <row r="213" spans="1:51" x14ac:dyDescent="0.2">
      <c r="A213" s="114"/>
      <c r="B213" s="124">
        <v>5</v>
      </c>
      <c r="C213" s="111">
        <v>0</v>
      </c>
      <c r="D213" s="115">
        <v>0</v>
      </c>
      <c r="E213" s="115">
        <v>0</v>
      </c>
      <c r="F213" s="115">
        <v>0</v>
      </c>
      <c r="G213" s="115">
        <v>0</v>
      </c>
      <c r="H213" s="115">
        <v>0</v>
      </c>
      <c r="I213" s="115">
        <v>0</v>
      </c>
      <c r="J213" s="115">
        <v>0</v>
      </c>
      <c r="K213" s="115">
        <v>0</v>
      </c>
      <c r="L213" s="115">
        <v>0</v>
      </c>
      <c r="M213" s="115">
        <v>0</v>
      </c>
      <c r="N213" s="115">
        <v>0</v>
      </c>
      <c r="O213" s="115">
        <v>0</v>
      </c>
      <c r="P213" s="115">
        <v>0</v>
      </c>
      <c r="Q213" s="115">
        <v>0</v>
      </c>
      <c r="R213" s="115">
        <v>0</v>
      </c>
      <c r="S213" s="115">
        <v>0</v>
      </c>
      <c r="T213" s="115">
        <v>0</v>
      </c>
      <c r="U213" s="115">
        <v>0</v>
      </c>
      <c r="V213" s="115">
        <v>0</v>
      </c>
      <c r="W213" s="115">
        <v>0</v>
      </c>
      <c r="X213" s="115">
        <v>0</v>
      </c>
      <c r="Y213" s="115">
        <v>0</v>
      </c>
      <c r="Z213" s="115">
        <v>0</v>
      </c>
      <c r="AA213" s="115">
        <v>0</v>
      </c>
      <c r="AB213" s="115">
        <v>0</v>
      </c>
      <c r="AC213" s="115">
        <v>0</v>
      </c>
      <c r="AD213" s="115">
        <v>0</v>
      </c>
      <c r="AE213" s="115">
        <v>0</v>
      </c>
      <c r="AF213" s="115">
        <v>0</v>
      </c>
      <c r="AG213" s="115">
        <v>0</v>
      </c>
      <c r="AH213" s="115">
        <v>0</v>
      </c>
      <c r="AI213" s="115">
        <v>0</v>
      </c>
      <c r="AJ213" s="115">
        <v>0</v>
      </c>
      <c r="AK213" s="115">
        <v>0</v>
      </c>
      <c r="AL213" s="115">
        <v>0</v>
      </c>
      <c r="AM213" s="115">
        <v>0</v>
      </c>
      <c r="AN213" s="115">
        <v>0</v>
      </c>
      <c r="AO213" s="115">
        <v>0</v>
      </c>
      <c r="AP213" s="115">
        <v>0</v>
      </c>
      <c r="AQ213" s="115">
        <v>0</v>
      </c>
      <c r="AR213" s="115">
        <v>0</v>
      </c>
      <c r="AS213" s="115">
        <v>0</v>
      </c>
      <c r="AT213" s="115">
        <v>0</v>
      </c>
      <c r="AU213" s="115">
        <v>0</v>
      </c>
      <c r="AV213" s="115">
        <v>0</v>
      </c>
      <c r="AW213" s="115">
        <v>0</v>
      </c>
      <c r="AX213" s="115">
        <v>0</v>
      </c>
      <c r="AY213" s="115">
        <v>0</v>
      </c>
    </row>
    <row r="214" spans="1:51" x14ac:dyDescent="0.2">
      <c r="A214" s="114"/>
      <c r="B214" s="124">
        <v>6</v>
      </c>
      <c r="C214" s="111">
        <v>0</v>
      </c>
      <c r="D214" s="115">
        <v>0</v>
      </c>
      <c r="E214" s="115">
        <v>0</v>
      </c>
      <c r="F214" s="115">
        <v>0</v>
      </c>
      <c r="G214" s="115">
        <v>0</v>
      </c>
      <c r="H214" s="115">
        <v>0</v>
      </c>
      <c r="I214" s="115">
        <v>0</v>
      </c>
      <c r="J214" s="115">
        <v>0</v>
      </c>
      <c r="K214" s="115">
        <v>0</v>
      </c>
      <c r="L214" s="115">
        <v>0</v>
      </c>
      <c r="M214" s="115">
        <v>0</v>
      </c>
      <c r="N214" s="115">
        <v>0</v>
      </c>
      <c r="O214" s="115">
        <v>0</v>
      </c>
      <c r="P214" s="115">
        <v>0</v>
      </c>
      <c r="Q214" s="115">
        <v>0</v>
      </c>
      <c r="R214" s="115">
        <v>0</v>
      </c>
      <c r="S214" s="115">
        <v>0</v>
      </c>
      <c r="T214" s="115">
        <v>0</v>
      </c>
      <c r="U214" s="115">
        <v>0</v>
      </c>
      <c r="V214" s="115">
        <v>0</v>
      </c>
      <c r="W214" s="115">
        <v>0</v>
      </c>
      <c r="X214" s="115">
        <v>0</v>
      </c>
      <c r="Y214" s="115">
        <v>0</v>
      </c>
      <c r="Z214" s="115">
        <v>0</v>
      </c>
      <c r="AA214" s="115">
        <v>0</v>
      </c>
      <c r="AB214" s="115">
        <v>0</v>
      </c>
      <c r="AC214" s="115">
        <v>0</v>
      </c>
      <c r="AD214" s="115">
        <v>0</v>
      </c>
      <c r="AE214" s="115">
        <v>0</v>
      </c>
      <c r="AF214" s="115">
        <v>0</v>
      </c>
      <c r="AG214" s="115">
        <v>0</v>
      </c>
      <c r="AH214" s="115">
        <v>0</v>
      </c>
      <c r="AI214" s="115">
        <v>0</v>
      </c>
      <c r="AJ214" s="115">
        <v>0</v>
      </c>
      <c r="AK214" s="115">
        <v>0</v>
      </c>
      <c r="AL214" s="115">
        <v>0</v>
      </c>
      <c r="AM214" s="115">
        <v>0</v>
      </c>
      <c r="AN214" s="115">
        <v>0</v>
      </c>
      <c r="AO214" s="115">
        <v>0</v>
      </c>
      <c r="AP214" s="115">
        <v>0</v>
      </c>
      <c r="AQ214" s="115">
        <v>0</v>
      </c>
      <c r="AR214" s="115">
        <v>0</v>
      </c>
      <c r="AS214" s="115">
        <v>0</v>
      </c>
      <c r="AT214" s="115">
        <v>0</v>
      </c>
      <c r="AU214" s="115">
        <v>0</v>
      </c>
      <c r="AV214" s="115">
        <v>0</v>
      </c>
      <c r="AW214" s="115">
        <v>0</v>
      </c>
      <c r="AX214" s="115">
        <v>0</v>
      </c>
      <c r="AY214" s="115">
        <v>0</v>
      </c>
    </row>
    <row r="215" spans="1:51" x14ac:dyDescent="0.2">
      <c r="A215" s="114"/>
      <c r="B215" s="124">
        <v>7</v>
      </c>
      <c r="C215" s="111">
        <v>0</v>
      </c>
      <c r="D215" s="115">
        <v>0</v>
      </c>
      <c r="E215" s="115">
        <v>0</v>
      </c>
      <c r="F215" s="115">
        <v>0</v>
      </c>
      <c r="G215" s="115">
        <v>0</v>
      </c>
      <c r="H215" s="115">
        <v>0</v>
      </c>
      <c r="I215" s="115">
        <v>0</v>
      </c>
      <c r="J215" s="115">
        <v>0</v>
      </c>
      <c r="K215" s="115">
        <v>0</v>
      </c>
      <c r="L215" s="115">
        <v>0</v>
      </c>
      <c r="M215" s="115">
        <v>0</v>
      </c>
      <c r="N215" s="115">
        <v>0</v>
      </c>
      <c r="O215" s="115">
        <v>0</v>
      </c>
      <c r="P215" s="115">
        <v>0</v>
      </c>
      <c r="Q215" s="115">
        <v>0</v>
      </c>
      <c r="R215" s="115">
        <v>0</v>
      </c>
      <c r="S215" s="115">
        <v>0</v>
      </c>
      <c r="T215" s="115">
        <v>0</v>
      </c>
      <c r="U215" s="115">
        <v>0</v>
      </c>
      <c r="V215" s="115">
        <v>0</v>
      </c>
      <c r="W215" s="115">
        <v>0</v>
      </c>
      <c r="X215" s="115">
        <v>0</v>
      </c>
      <c r="Y215" s="115">
        <v>0</v>
      </c>
      <c r="Z215" s="115">
        <v>0</v>
      </c>
      <c r="AA215" s="115">
        <v>0</v>
      </c>
      <c r="AB215" s="115">
        <v>0</v>
      </c>
      <c r="AC215" s="115">
        <v>0</v>
      </c>
      <c r="AD215" s="115">
        <v>0</v>
      </c>
      <c r="AE215" s="115">
        <v>0</v>
      </c>
      <c r="AF215" s="115">
        <v>0</v>
      </c>
      <c r="AG215" s="115">
        <v>0</v>
      </c>
      <c r="AH215" s="115">
        <v>0</v>
      </c>
      <c r="AI215" s="115">
        <v>0</v>
      </c>
      <c r="AJ215" s="115">
        <v>0</v>
      </c>
      <c r="AK215" s="115">
        <v>0</v>
      </c>
      <c r="AL215" s="115">
        <v>0</v>
      </c>
      <c r="AM215" s="115">
        <v>0</v>
      </c>
      <c r="AN215" s="115">
        <v>0</v>
      </c>
      <c r="AO215" s="115">
        <v>0</v>
      </c>
      <c r="AP215" s="115">
        <v>0</v>
      </c>
      <c r="AQ215" s="115">
        <v>0</v>
      </c>
      <c r="AR215" s="115">
        <v>0</v>
      </c>
      <c r="AS215" s="115">
        <v>0</v>
      </c>
      <c r="AT215" s="115">
        <v>0</v>
      </c>
      <c r="AU215" s="115">
        <v>0</v>
      </c>
      <c r="AV215" s="115">
        <v>0</v>
      </c>
      <c r="AW215" s="115">
        <v>0</v>
      </c>
      <c r="AX215" s="115">
        <v>0</v>
      </c>
      <c r="AY215" s="115">
        <v>0</v>
      </c>
    </row>
    <row r="216" spans="1:51" x14ac:dyDescent="0.2">
      <c r="A216" s="114"/>
      <c r="B216" s="124">
        <v>8</v>
      </c>
      <c r="C216" s="111">
        <v>0</v>
      </c>
      <c r="D216" s="115">
        <v>0</v>
      </c>
      <c r="E216" s="115">
        <v>0</v>
      </c>
      <c r="F216" s="115">
        <v>0</v>
      </c>
      <c r="G216" s="115">
        <v>0</v>
      </c>
      <c r="H216" s="115">
        <v>0</v>
      </c>
      <c r="I216" s="115">
        <v>0</v>
      </c>
      <c r="J216" s="115">
        <v>0</v>
      </c>
      <c r="K216" s="115">
        <v>0</v>
      </c>
      <c r="L216" s="115">
        <v>0</v>
      </c>
      <c r="M216" s="115">
        <v>0</v>
      </c>
      <c r="N216" s="115">
        <v>0</v>
      </c>
      <c r="O216" s="115">
        <v>0</v>
      </c>
      <c r="P216" s="115">
        <v>0</v>
      </c>
      <c r="Q216" s="115">
        <v>0</v>
      </c>
      <c r="R216" s="115">
        <v>0</v>
      </c>
      <c r="S216" s="115">
        <v>0</v>
      </c>
      <c r="T216" s="115">
        <v>0</v>
      </c>
      <c r="U216" s="115">
        <v>0</v>
      </c>
      <c r="V216" s="115">
        <v>0</v>
      </c>
      <c r="W216" s="115">
        <v>0</v>
      </c>
      <c r="X216" s="115">
        <v>0</v>
      </c>
      <c r="Y216" s="115">
        <v>0</v>
      </c>
      <c r="Z216" s="115">
        <v>0</v>
      </c>
      <c r="AA216" s="115">
        <v>0</v>
      </c>
      <c r="AB216" s="115">
        <v>0</v>
      </c>
      <c r="AC216" s="115">
        <v>0</v>
      </c>
      <c r="AD216" s="115">
        <v>0</v>
      </c>
      <c r="AE216" s="115">
        <v>0</v>
      </c>
      <c r="AF216" s="115">
        <v>0</v>
      </c>
      <c r="AG216" s="115">
        <v>0</v>
      </c>
      <c r="AH216" s="115">
        <v>0</v>
      </c>
      <c r="AI216" s="115">
        <v>0</v>
      </c>
      <c r="AJ216" s="115">
        <v>0</v>
      </c>
      <c r="AK216" s="115">
        <v>0</v>
      </c>
      <c r="AL216" s="115">
        <v>0</v>
      </c>
      <c r="AM216" s="115">
        <v>0</v>
      </c>
      <c r="AN216" s="115">
        <v>0</v>
      </c>
      <c r="AO216" s="115">
        <v>0</v>
      </c>
      <c r="AP216" s="115">
        <v>0</v>
      </c>
      <c r="AQ216" s="115">
        <v>0</v>
      </c>
      <c r="AR216" s="115">
        <v>0</v>
      </c>
      <c r="AS216" s="115">
        <v>0</v>
      </c>
      <c r="AT216" s="115">
        <v>0</v>
      </c>
      <c r="AU216" s="115">
        <v>0</v>
      </c>
      <c r="AV216" s="115">
        <v>0</v>
      </c>
      <c r="AW216" s="115">
        <v>0</v>
      </c>
      <c r="AX216" s="115">
        <v>0</v>
      </c>
      <c r="AY216" s="115">
        <v>0</v>
      </c>
    </row>
    <row r="217" spans="1:51" x14ac:dyDescent="0.2">
      <c r="A217" s="114"/>
      <c r="B217" s="124">
        <v>9</v>
      </c>
      <c r="C217" s="111">
        <v>0</v>
      </c>
      <c r="D217" s="115">
        <v>0</v>
      </c>
      <c r="E217" s="115">
        <v>0</v>
      </c>
      <c r="F217" s="115">
        <v>0</v>
      </c>
      <c r="G217" s="115">
        <v>0</v>
      </c>
      <c r="H217" s="115">
        <v>0</v>
      </c>
      <c r="I217" s="115">
        <v>0</v>
      </c>
      <c r="J217" s="115">
        <v>0</v>
      </c>
      <c r="K217" s="115">
        <v>0</v>
      </c>
      <c r="L217" s="115">
        <v>0</v>
      </c>
      <c r="M217" s="115">
        <v>0</v>
      </c>
      <c r="N217" s="115">
        <v>0</v>
      </c>
      <c r="O217" s="115">
        <v>0</v>
      </c>
      <c r="P217" s="115">
        <v>0</v>
      </c>
      <c r="Q217" s="115">
        <v>0</v>
      </c>
      <c r="R217" s="115">
        <v>0</v>
      </c>
      <c r="S217" s="115">
        <v>0</v>
      </c>
      <c r="T217" s="115">
        <v>0</v>
      </c>
      <c r="U217" s="115">
        <v>0</v>
      </c>
      <c r="V217" s="115">
        <v>0</v>
      </c>
      <c r="W217" s="115">
        <v>0</v>
      </c>
      <c r="X217" s="115">
        <v>0</v>
      </c>
      <c r="Y217" s="115">
        <v>0</v>
      </c>
      <c r="Z217" s="115">
        <v>0</v>
      </c>
      <c r="AA217" s="115">
        <v>0</v>
      </c>
      <c r="AB217" s="115">
        <v>0</v>
      </c>
      <c r="AC217" s="115">
        <v>0</v>
      </c>
      <c r="AD217" s="115">
        <v>0</v>
      </c>
      <c r="AE217" s="115">
        <v>0</v>
      </c>
      <c r="AF217" s="115">
        <v>0</v>
      </c>
      <c r="AG217" s="115">
        <v>0</v>
      </c>
      <c r="AH217" s="115">
        <v>0</v>
      </c>
      <c r="AI217" s="115">
        <v>0</v>
      </c>
      <c r="AJ217" s="115">
        <v>0</v>
      </c>
      <c r="AK217" s="115">
        <v>0</v>
      </c>
      <c r="AL217" s="115">
        <v>0</v>
      </c>
      <c r="AM217" s="115">
        <v>0</v>
      </c>
      <c r="AN217" s="115">
        <v>0</v>
      </c>
      <c r="AO217" s="115">
        <v>0</v>
      </c>
      <c r="AP217" s="115">
        <v>0</v>
      </c>
      <c r="AQ217" s="115">
        <v>0</v>
      </c>
      <c r="AR217" s="115">
        <v>0</v>
      </c>
      <c r="AS217" s="115">
        <v>0</v>
      </c>
      <c r="AT217" s="115">
        <v>0</v>
      </c>
      <c r="AU217" s="115">
        <v>0</v>
      </c>
      <c r="AV217" s="115">
        <v>0</v>
      </c>
      <c r="AW217" s="115">
        <v>0</v>
      </c>
      <c r="AX217" s="115">
        <v>0</v>
      </c>
      <c r="AY217" s="115">
        <v>0</v>
      </c>
    </row>
    <row r="218" spans="1:51" x14ac:dyDescent="0.2">
      <c r="A218" s="114"/>
      <c r="B218" s="124">
        <v>10</v>
      </c>
      <c r="C218" s="111">
        <v>0</v>
      </c>
      <c r="D218" s="115">
        <v>0</v>
      </c>
      <c r="E218" s="115">
        <v>0</v>
      </c>
      <c r="F218" s="115">
        <v>0</v>
      </c>
      <c r="G218" s="115">
        <v>0</v>
      </c>
      <c r="H218" s="115">
        <v>0</v>
      </c>
      <c r="I218" s="115">
        <v>0</v>
      </c>
      <c r="J218" s="115">
        <v>0</v>
      </c>
      <c r="K218" s="115">
        <v>0</v>
      </c>
      <c r="L218" s="115">
        <v>0</v>
      </c>
      <c r="M218" s="115">
        <v>0</v>
      </c>
      <c r="N218" s="115">
        <v>0</v>
      </c>
      <c r="O218" s="115">
        <v>0</v>
      </c>
      <c r="P218" s="115">
        <v>0</v>
      </c>
      <c r="Q218" s="115">
        <v>0</v>
      </c>
      <c r="R218" s="115">
        <v>0</v>
      </c>
      <c r="S218" s="115">
        <v>0</v>
      </c>
      <c r="T218" s="115">
        <v>0</v>
      </c>
      <c r="U218" s="115">
        <v>0</v>
      </c>
      <c r="V218" s="115">
        <v>0</v>
      </c>
      <c r="W218" s="115">
        <v>0</v>
      </c>
      <c r="X218" s="115">
        <v>0</v>
      </c>
      <c r="Y218" s="115">
        <v>0</v>
      </c>
      <c r="Z218" s="115">
        <v>0</v>
      </c>
      <c r="AA218" s="115">
        <v>0</v>
      </c>
      <c r="AB218" s="115">
        <v>0</v>
      </c>
      <c r="AC218" s="115">
        <v>0</v>
      </c>
      <c r="AD218" s="115">
        <v>0</v>
      </c>
      <c r="AE218" s="115">
        <v>0</v>
      </c>
      <c r="AF218" s="115">
        <v>0</v>
      </c>
      <c r="AG218" s="115">
        <v>0</v>
      </c>
      <c r="AH218" s="115">
        <v>0</v>
      </c>
      <c r="AI218" s="115">
        <v>0</v>
      </c>
      <c r="AJ218" s="115">
        <v>0</v>
      </c>
      <c r="AK218" s="115">
        <v>0</v>
      </c>
      <c r="AL218" s="115">
        <v>0</v>
      </c>
      <c r="AM218" s="115">
        <v>0</v>
      </c>
      <c r="AN218" s="115">
        <v>0</v>
      </c>
      <c r="AO218" s="115">
        <v>0</v>
      </c>
      <c r="AP218" s="115">
        <v>0</v>
      </c>
      <c r="AQ218" s="115">
        <v>0</v>
      </c>
      <c r="AR218" s="115">
        <v>0</v>
      </c>
      <c r="AS218" s="115">
        <v>0</v>
      </c>
      <c r="AT218" s="115">
        <v>0</v>
      </c>
      <c r="AU218" s="115">
        <v>0</v>
      </c>
      <c r="AV218" s="115">
        <v>0</v>
      </c>
      <c r="AW218" s="115">
        <v>0</v>
      </c>
      <c r="AX218" s="115">
        <v>0</v>
      </c>
      <c r="AY218" s="115">
        <v>0</v>
      </c>
    </row>
    <row r="219" spans="1:51" x14ac:dyDescent="0.2">
      <c r="A219" s="114"/>
      <c r="B219" s="124">
        <v>11</v>
      </c>
      <c r="C219" s="111">
        <v>0</v>
      </c>
      <c r="D219" s="115">
        <v>0</v>
      </c>
      <c r="E219" s="115">
        <v>0</v>
      </c>
      <c r="F219" s="115">
        <v>0</v>
      </c>
      <c r="G219" s="115">
        <v>0</v>
      </c>
      <c r="H219" s="115">
        <v>0</v>
      </c>
      <c r="I219" s="115">
        <v>0</v>
      </c>
      <c r="J219" s="115">
        <v>0</v>
      </c>
      <c r="K219" s="115">
        <v>0</v>
      </c>
      <c r="L219" s="115">
        <v>0</v>
      </c>
      <c r="M219" s="115">
        <v>0</v>
      </c>
      <c r="N219" s="115">
        <v>0</v>
      </c>
      <c r="O219" s="115">
        <v>0</v>
      </c>
      <c r="P219" s="115">
        <v>0</v>
      </c>
      <c r="Q219" s="115">
        <v>0</v>
      </c>
      <c r="R219" s="115">
        <v>0</v>
      </c>
      <c r="S219" s="115">
        <v>0</v>
      </c>
      <c r="T219" s="115">
        <v>0</v>
      </c>
      <c r="U219" s="115">
        <v>0</v>
      </c>
      <c r="V219" s="115">
        <v>0</v>
      </c>
      <c r="W219" s="115">
        <v>0</v>
      </c>
      <c r="X219" s="115">
        <v>0</v>
      </c>
      <c r="Y219" s="115">
        <v>0</v>
      </c>
      <c r="Z219" s="115">
        <v>0</v>
      </c>
      <c r="AA219" s="115">
        <v>0</v>
      </c>
      <c r="AB219" s="115">
        <v>0</v>
      </c>
      <c r="AC219" s="115">
        <v>0</v>
      </c>
      <c r="AD219" s="115">
        <v>0</v>
      </c>
      <c r="AE219" s="115">
        <v>0</v>
      </c>
      <c r="AF219" s="115">
        <v>0</v>
      </c>
      <c r="AG219" s="115">
        <v>0</v>
      </c>
      <c r="AH219" s="115">
        <v>0</v>
      </c>
      <c r="AI219" s="115">
        <v>0</v>
      </c>
      <c r="AJ219" s="115">
        <v>0</v>
      </c>
      <c r="AK219" s="115">
        <v>0</v>
      </c>
      <c r="AL219" s="115">
        <v>0</v>
      </c>
      <c r="AM219" s="115">
        <v>0</v>
      </c>
      <c r="AN219" s="115">
        <v>0</v>
      </c>
      <c r="AO219" s="115">
        <v>0</v>
      </c>
      <c r="AP219" s="115">
        <v>0</v>
      </c>
      <c r="AQ219" s="115">
        <v>0</v>
      </c>
      <c r="AR219" s="115">
        <v>0</v>
      </c>
      <c r="AS219" s="115">
        <v>0</v>
      </c>
      <c r="AT219" s="115">
        <v>0</v>
      </c>
      <c r="AU219" s="115">
        <v>0</v>
      </c>
      <c r="AV219" s="115">
        <v>0</v>
      </c>
      <c r="AW219" s="115">
        <v>0</v>
      </c>
      <c r="AX219" s="115">
        <v>0</v>
      </c>
      <c r="AY219" s="115">
        <v>0</v>
      </c>
    </row>
    <row r="220" spans="1:51" x14ac:dyDescent="0.2">
      <c r="A220" s="114"/>
      <c r="B220" s="124">
        <v>12</v>
      </c>
      <c r="C220" s="111">
        <v>0</v>
      </c>
      <c r="D220" s="115">
        <v>0</v>
      </c>
      <c r="E220" s="115">
        <v>0</v>
      </c>
      <c r="F220" s="115">
        <v>0</v>
      </c>
      <c r="G220" s="115">
        <v>0</v>
      </c>
      <c r="H220" s="115">
        <v>0</v>
      </c>
      <c r="I220" s="115">
        <v>0</v>
      </c>
      <c r="J220" s="115">
        <v>0</v>
      </c>
      <c r="K220" s="115">
        <v>0</v>
      </c>
      <c r="L220" s="115">
        <v>0</v>
      </c>
      <c r="M220" s="115">
        <v>0</v>
      </c>
      <c r="N220" s="115">
        <v>0</v>
      </c>
      <c r="O220" s="115">
        <v>0</v>
      </c>
      <c r="P220" s="115">
        <v>0</v>
      </c>
      <c r="Q220" s="115">
        <v>0</v>
      </c>
      <c r="R220" s="115">
        <v>0</v>
      </c>
      <c r="S220" s="115">
        <v>0</v>
      </c>
      <c r="T220" s="115">
        <v>0</v>
      </c>
      <c r="U220" s="115">
        <v>0</v>
      </c>
      <c r="V220" s="115">
        <v>0</v>
      </c>
      <c r="W220" s="115">
        <v>0</v>
      </c>
      <c r="X220" s="115">
        <v>0</v>
      </c>
      <c r="Y220" s="115">
        <v>0</v>
      </c>
      <c r="Z220" s="115">
        <v>0</v>
      </c>
      <c r="AA220" s="115">
        <v>0</v>
      </c>
      <c r="AB220" s="115">
        <v>0</v>
      </c>
      <c r="AC220" s="115">
        <v>0</v>
      </c>
      <c r="AD220" s="115">
        <v>0</v>
      </c>
      <c r="AE220" s="115">
        <v>0</v>
      </c>
      <c r="AF220" s="115">
        <v>0</v>
      </c>
      <c r="AG220" s="115">
        <v>0</v>
      </c>
      <c r="AH220" s="115">
        <v>0</v>
      </c>
      <c r="AI220" s="115">
        <v>0</v>
      </c>
      <c r="AJ220" s="115">
        <v>0</v>
      </c>
      <c r="AK220" s="115">
        <v>0</v>
      </c>
      <c r="AL220" s="115">
        <v>0</v>
      </c>
      <c r="AM220" s="115">
        <v>0</v>
      </c>
      <c r="AN220" s="115">
        <v>0</v>
      </c>
      <c r="AO220" s="115">
        <v>0</v>
      </c>
      <c r="AP220" s="115">
        <v>0</v>
      </c>
      <c r="AQ220" s="115">
        <v>0</v>
      </c>
      <c r="AR220" s="115">
        <v>0</v>
      </c>
      <c r="AS220" s="115">
        <v>0</v>
      </c>
      <c r="AT220" s="115">
        <v>0</v>
      </c>
      <c r="AU220" s="115">
        <v>0</v>
      </c>
      <c r="AV220" s="115">
        <v>0</v>
      </c>
      <c r="AW220" s="115">
        <v>0</v>
      </c>
      <c r="AX220" s="115">
        <v>0</v>
      </c>
      <c r="AY220" s="115">
        <v>0</v>
      </c>
    </row>
    <row r="221" spans="1:51" x14ac:dyDescent="0.2">
      <c r="A221" s="114"/>
      <c r="B221" s="125">
        <v>13</v>
      </c>
      <c r="C221" s="111">
        <v>0</v>
      </c>
      <c r="D221" s="115">
        <v>0</v>
      </c>
      <c r="E221" s="115">
        <v>0</v>
      </c>
      <c r="F221" s="115">
        <v>0</v>
      </c>
      <c r="G221" s="115">
        <v>0</v>
      </c>
      <c r="H221" s="115">
        <v>0</v>
      </c>
      <c r="I221" s="115">
        <v>0</v>
      </c>
      <c r="J221" s="115">
        <v>0</v>
      </c>
      <c r="K221" s="115">
        <v>0</v>
      </c>
      <c r="L221" s="115">
        <v>0</v>
      </c>
      <c r="M221" s="115">
        <v>0</v>
      </c>
      <c r="N221" s="115">
        <v>0</v>
      </c>
      <c r="O221" s="115">
        <v>0</v>
      </c>
      <c r="P221" s="115">
        <v>0</v>
      </c>
      <c r="Q221" s="115">
        <v>0</v>
      </c>
      <c r="R221" s="115">
        <v>0</v>
      </c>
      <c r="S221" s="115">
        <v>0</v>
      </c>
      <c r="T221" s="115">
        <v>0</v>
      </c>
      <c r="U221" s="115">
        <v>0</v>
      </c>
      <c r="V221" s="115">
        <v>0</v>
      </c>
      <c r="W221" s="115">
        <v>0</v>
      </c>
      <c r="X221" s="115">
        <v>0</v>
      </c>
      <c r="Y221" s="115">
        <v>0</v>
      </c>
      <c r="Z221" s="115">
        <v>0</v>
      </c>
      <c r="AA221" s="115">
        <v>0</v>
      </c>
      <c r="AB221" s="115">
        <v>0</v>
      </c>
      <c r="AC221" s="115">
        <v>0</v>
      </c>
      <c r="AD221" s="115">
        <v>0</v>
      </c>
      <c r="AE221" s="115">
        <v>0</v>
      </c>
      <c r="AF221" s="115">
        <v>0</v>
      </c>
      <c r="AG221" s="115">
        <v>0</v>
      </c>
      <c r="AH221" s="115">
        <v>0</v>
      </c>
      <c r="AI221" s="115">
        <v>0</v>
      </c>
      <c r="AJ221" s="115">
        <v>0</v>
      </c>
      <c r="AK221" s="115">
        <v>0</v>
      </c>
      <c r="AL221" s="115">
        <v>0</v>
      </c>
      <c r="AM221" s="115">
        <v>0</v>
      </c>
      <c r="AN221" s="115">
        <v>0</v>
      </c>
      <c r="AO221" s="115">
        <v>0</v>
      </c>
      <c r="AP221" s="115">
        <v>0</v>
      </c>
      <c r="AQ221" s="115">
        <v>0</v>
      </c>
      <c r="AR221" s="115">
        <v>0</v>
      </c>
      <c r="AS221" s="115">
        <v>0</v>
      </c>
      <c r="AT221" s="115">
        <v>0</v>
      </c>
      <c r="AU221" s="115">
        <v>0</v>
      </c>
      <c r="AV221" s="115">
        <v>0</v>
      </c>
      <c r="AW221" s="115">
        <v>0</v>
      </c>
      <c r="AX221" s="115">
        <v>0</v>
      </c>
      <c r="AY221" s="115">
        <v>0</v>
      </c>
    </row>
    <row r="222" spans="1:51" x14ac:dyDescent="0.2">
      <c r="A222" s="114"/>
      <c r="B222" s="125">
        <v>14</v>
      </c>
      <c r="C222" s="111">
        <v>0</v>
      </c>
      <c r="D222" s="115">
        <v>0</v>
      </c>
      <c r="E222" s="115">
        <v>0</v>
      </c>
      <c r="F222" s="115">
        <v>0</v>
      </c>
      <c r="G222" s="115">
        <v>0</v>
      </c>
      <c r="H222" s="115">
        <v>0</v>
      </c>
      <c r="I222" s="115">
        <v>0</v>
      </c>
      <c r="J222" s="115">
        <v>0</v>
      </c>
      <c r="K222" s="115">
        <v>0</v>
      </c>
      <c r="L222" s="115">
        <v>0</v>
      </c>
      <c r="M222" s="115">
        <v>0</v>
      </c>
      <c r="N222" s="115">
        <v>0</v>
      </c>
      <c r="O222" s="115">
        <v>0</v>
      </c>
      <c r="P222" s="115">
        <v>0</v>
      </c>
      <c r="Q222" s="115">
        <v>0</v>
      </c>
      <c r="R222" s="115">
        <v>0</v>
      </c>
      <c r="S222" s="115">
        <v>0</v>
      </c>
      <c r="T222" s="115">
        <v>0</v>
      </c>
      <c r="U222" s="115">
        <v>0</v>
      </c>
      <c r="V222" s="115">
        <v>0</v>
      </c>
      <c r="W222" s="115">
        <v>0</v>
      </c>
      <c r="X222" s="115">
        <v>0</v>
      </c>
      <c r="Y222" s="115">
        <v>0</v>
      </c>
      <c r="Z222" s="115">
        <v>0</v>
      </c>
      <c r="AA222" s="115">
        <v>0</v>
      </c>
      <c r="AB222" s="115">
        <v>0</v>
      </c>
      <c r="AC222" s="115">
        <v>0</v>
      </c>
      <c r="AD222" s="115">
        <v>0</v>
      </c>
      <c r="AE222" s="115">
        <v>0</v>
      </c>
      <c r="AF222" s="115">
        <v>0</v>
      </c>
      <c r="AG222" s="115">
        <v>0</v>
      </c>
      <c r="AH222" s="115">
        <v>0</v>
      </c>
      <c r="AI222" s="115">
        <v>0</v>
      </c>
      <c r="AJ222" s="115">
        <v>0</v>
      </c>
      <c r="AK222" s="115">
        <v>0</v>
      </c>
      <c r="AL222" s="115">
        <v>0</v>
      </c>
      <c r="AM222" s="115">
        <v>0</v>
      </c>
      <c r="AN222" s="115">
        <v>0</v>
      </c>
      <c r="AO222" s="115">
        <v>0</v>
      </c>
      <c r="AP222" s="115">
        <v>0</v>
      </c>
      <c r="AQ222" s="115">
        <v>0</v>
      </c>
      <c r="AR222" s="115">
        <v>0</v>
      </c>
      <c r="AS222" s="115">
        <v>0</v>
      </c>
      <c r="AT222" s="115">
        <v>0</v>
      </c>
      <c r="AU222" s="115">
        <v>0</v>
      </c>
      <c r="AV222" s="115">
        <v>0</v>
      </c>
      <c r="AW222" s="115">
        <v>0</v>
      </c>
      <c r="AX222" s="115">
        <v>0</v>
      </c>
      <c r="AY222" s="115">
        <v>0</v>
      </c>
    </row>
    <row r="223" spans="1:51" x14ac:dyDescent="0.2">
      <c r="A223" s="114"/>
      <c r="B223" s="125">
        <v>15</v>
      </c>
      <c r="C223" s="111">
        <v>0</v>
      </c>
      <c r="D223" s="115">
        <v>0</v>
      </c>
      <c r="E223" s="115">
        <v>0</v>
      </c>
      <c r="F223" s="115">
        <v>0</v>
      </c>
      <c r="G223" s="115">
        <v>0</v>
      </c>
      <c r="H223" s="115">
        <v>0</v>
      </c>
      <c r="I223" s="115">
        <v>0</v>
      </c>
      <c r="J223" s="115">
        <v>0</v>
      </c>
      <c r="K223" s="115">
        <v>0</v>
      </c>
      <c r="L223" s="115">
        <v>0</v>
      </c>
      <c r="M223" s="115">
        <v>0</v>
      </c>
      <c r="N223" s="115">
        <v>0</v>
      </c>
      <c r="O223" s="115">
        <v>0</v>
      </c>
      <c r="P223" s="115">
        <v>0</v>
      </c>
      <c r="Q223" s="115">
        <v>0</v>
      </c>
      <c r="R223" s="115">
        <v>0</v>
      </c>
      <c r="S223" s="115">
        <v>0</v>
      </c>
      <c r="T223" s="115">
        <v>0</v>
      </c>
      <c r="U223" s="115">
        <v>0</v>
      </c>
      <c r="V223" s="115">
        <v>0</v>
      </c>
      <c r="W223" s="115">
        <v>0</v>
      </c>
      <c r="X223" s="115">
        <v>0</v>
      </c>
      <c r="Y223" s="115">
        <v>0</v>
      </c>
      <c r="Z223" s="115">
        <v>0</v>
      </c>
      <c r="AA223" s="115">
        <v>0</v>
      </c>
      <c r="AB223" s="115">
        <v>0</v>
      </c>
      <c r="AC223" s="115">
        <v>0</v>
      </c>
      <c r="AD223" s="115">
        <v>0</v>
      </c>
      <c r="AE223" s="115">
        <v>0</v>
      </c>
      <c r="AF223" s="115">
        <v>0</v>
      </c>
      <c r="AG223" s="115">
        <v>0</v>
      </c>
      <c r="AH223" s="115">
        <v>0</v>
      </c>
      <c r="AI223" s="115">
        <v>0</v>
      </c>
      <c r="AJ223" s="115">
        <v>0</v>
      </c>
      <c r="AK223" s="115">
        <v>0</v>
      </c>
      <c r="AL223" s="115">
        <v>0</v>
      </c>
      <c r="AM223" s="115">
        <v>0</v>
      </c>
      <c r="AN223" s="115">
        <v>0</v>
      </c>
      <c r="AO223" s="115">
        <v>0</v>
      </c>
      <c r="AP223" s="115">
        <v>0</v>
      </c>
      <c r="AQ223" s="115">
        <v>0</v>
      </c>
      <c r="AR223" s="115">
        <v>0</v>
      </c>
      <c r="AS223" s="115">
        <v>0</v>
      </c>
      <c r="AT223" s="115">
        <v>0</v>
      </c>
      <c r="AU223" s="115">
        <v>0</v>
      </c>
      <c r="AV223" s="115">
        <v>0</v>
      </c>
      <c r="AW223" s="115">
        <v>0</v>
      </c>
      <c r="AX223" s="115">
        <v>0</v>
      </c>
      <c r="AY223" s="115">
        <v>0</v>
      </c>
    </row>
    <row r="224" spans="1:51" x14ac:dyDescent="0.2">
      <c r="A224" s="114"/>
      <c r="B224" s="125">
        <v>16</v>
      </c>
      <c r="C224" s="111">
        <v>0</v>
      </c>
      <c r="D224" s="115">
        <v>0</v>
      </c>
      <c r="E224" s="115">
        <v>0</v>
      </c>
      <c r="F224" s="115">
        <v>0</v>
      </c>
      <c r="G224" s="115">
        <v>0</v>
      </c>
      <c r="H224" s="115">
        <v>0</v>
      </c>
      <c r="I224" s="115">
        <v>0</v>
      </c>
      <c r="J224" s="115">
        <v>0</v>
      </c>
      <c r="K224" s="115">
        <v>0</v>
      </c>
      <c r="L224" s="115">
        <v>0</v>
      </c>
      <c r="M224" s="115">
        <v>0</v>
      </c>
      <c r="N224" s="115">
        <v>0</v>
      </c>
      <c r="O224" s="115">
        <v>0</v>
      </c>
      <c r="P224" s="115">
        <v>0</v>
      </c>
      <c r="Q224" s="115">
        <v>0</v>
      </c>
      <c r="R224" s="115">
        <v>0</v>
      </c>
      <c r="S224" s="115">
        <v>0</v>
      </c>
      <c r="T224" s="115">
        <v>0</v>
      </c>
      <c r="U224" s="115">
        <v>0</v>
      </c>
      <c r="V224" s="115">
        <v>0</v>
      </c>
      <c r="W224" s="115">
        <v>0</v>
      </c>
      <c r="X224" s="115">
        <v>0</v>
      </c>
      <c r="Y224" s="115">
        <v>0</v>
      </c>
      <c r="Z224" s="115">
        <v>0</v>
      </c>
      <c r="AA224" s="115">
        <v>0</v>
      </c>
      <c r="AB224" s="115">
        <v>0</v>
      </c>
      <c r="AC224" s="115">
        <v>0</v>
      </c>
      <c r="AD224" s="115">
        <v>0</v>
      </c>
      <c r="AE224" s="115">
        <v>0</v>
      </c>
      <c r="AF224" s="115">
        <v>0</v>
      </c>
      <c r="AG224" s="115">
        <v>0</v>
      </c>
      <c r="AH224" s="115">
        <v>0</v>
      </c>
      <c r="AI224" s="115">
        <v>0</v>
      </c>
      <c r="AJ224" s="115">
        <v>0</v>
      </c>
      <c r="AK224" s="115">
        <v>0</v>
      </c>
      <c r="AL224" s="115">
        <v>0</v>
      </c>
      <c r="AM224" s="115">
        <v>0</v>
      </c>
      <c r="AN224" s="115">
        <v>0</v>
      </c>
      <c r="AO224" s="115">
        <v>0</v>
      </c>
      <c r="AP224" s="115">
        <v>0</v>
      </c>
      <c r="AQ224" s="115">
        <v>0</v>
      </c>
      <c r="AR224" s="115">
        <v>0</v>
      </c>
      <c r="AS224" s="115">
        <v>0</v>
      </c>
      <c r="AT224" s="115">
        <v>0</v>
      </c>
      <c r="AU224" s="115">
        <v>0</v>
      </c>
      <c r="AV224" s="115">
        <v>0</v>
      </c>
      <c r="AW224" s="115">
        <v>0</v>
      </c>
      <c r="AX224" s="115">
        <v>0</v>
      </c>
      <c r="AY224" s="115">
        <v>0</v>
      </c>
    </row>
    <row r="225" spans="1:51" x14ac:dyDescent="0.2">
      <c r="A225" s="114"/>
      <c r="B225" s="125">
        <v>17</v>
      </c>
      <c r="C225" s="111">
        <v>0</v>
      </c>
      <c r="D225" s="115">
        <v>0</v>
      </c>
      <c r="E225" s="115">
        <v>0</v>
      </c>
      <c r="F225" s="115">
        <v>0</v>
      </c>
      <c r="G225" s="115">
        <v>0</v>
      </c>
      <c r="H225" s="115">
        <v>0</v>
      </c>
      <c r="I225" s="115">
        <v>0</v>
      </c>
      <c r="J225" s="115">
        <v>0</v>
      </c>
      <c r="K225" s="115">
        <v>0</v>
      </c>
      <c r="L225" s="115">
        <v>0</v>
      </c>
      <c r="M225" s="115">
        <v>0</v>
      </c>
      <c r="N225" s="115">
        <v>0</v>
      </c>
      <c r="O225" s="115">
        <v>0</v>
      </c>
      <c r="P225" s="115">
        <v>0</v>
      </c>
      <c r="Q225" s="115">
        <v>0</v>
      </c>
      <c r="R225" s="115">
        <v>0</v>
      </c>
      <c r="S225" s="115">
        <v>0</v>
      </c>
      <c r="T225" s="115">
        <v>0</v>
      </c>
      <c r="U225" s="115">
        <v>0</v>
      </c>
      <c r="V225" s="115">
        <v>0</v>
      </c>
      <c r="W225" s="115">
        <v>0</v>
      </c>
      <c r="X225" s="115">
        <v>0</v>
      </c>
      <c r="Y225" s="115">
        <v>0</v>
      </c>
      <c r="Z225" s="115">
        <v>0</v>
      </c>
      <c r="AA225" s="115">
        <v>0</v>
      </c>
      <c r="AB225" s="115">
        <v>0</v>
      </c>
      <c r="AC225" s="115">
        <v>0</v>
      </c>
      <c r="AD225" s="115">
        <v>0</v>
      </c>
      <c r="AE225" s="115">
        <v>0</v>
      </c>
      <c r="AF225" s="115">
        <v>0</v>
      </c>
      <c r="AG225" s="115">
        <v>0</v>
      </c>
      <c r="AH225" s="115">
        <v>0</v>
      </c>
      <c r="AI225" s="115">
        <v>0</v>
      </c>
      <c r="AJ225" s="115">
        <v>0</v>
      </c>
      <c r="AK225" s="115">
        <v>0</v>
      </c>
      <c r="AL225" s="115">
        <v>0</v>
      </c>
      <c r="AM225" s="115">
        <v>0</v>
      </c>
      <c r="AN225" s="115">
        <v>0</v>
      </c>
      <c r="AO225" s="115">
        <v>0</v>
      </c>
      <c r="AP225" s="115">
        <v>0</v>
      </c>
      <c r="AQ225" s="115">
        <v>0</v>
      </c>
      <c r="AR225" s="115">
        <v>0</v>
      </c>
      <c r="AS225" s="115">
        <v>0</v>
      </c>
      <c r="AT225" s="115">
        <v>0</v>
      </c>
      <c r="AU225" s="115">
        <v>0</v>
      </c>
      <c r="AV225" s="115">
        <v>0</v>
      </c>
      <c r="AW225" s="115">
        <v>0</v>
      </c>
      <c r="AX225" s="115">
        <v>0</v>
      </c>
      <c r="AY225" s="115">
        <v>0</v>
      </c>
    </row>
    <row r="226" spans="1:51" x14ac:dyDescent="0.2">
      <c r="A226" s="114"/>
      <c r="B226" s="125">
        <v>18</v>
      </c>
      <c r="C226" s="111">
        <v>0</v>
      </c>
      <c r="D226" s="115">
        <v>0</v>
      </c>
      <c r="E226" s="115">
        <v>0</v>
      </c>
      <c r="F226" s="115">
        <v>0</v>
      </c>
      <c r="G226" s="115">
        <v>0</v>
      </c>
      <c r="H226" s="115">
        <v>0</v>
      </c>
      <c r="I226" s="115">
        <v>0</v>
      </c>
      <c r="J226" s="115">
        <v>0</v>
      </c>
      <c r="K226" s="115">
        <v>0</v>
      </c>
      <c r="L226" s="115">
        <v>0</v>
      </c>
      <c r="M226" s="115">
        <v>0</v>
      </c>
      <c r="N226" s="115">
        <v>0</v>
      </c>
      <c r="O226" s="115">
        <v>0</v>
      </c>
      <c r="P226" s="115">
        <v>0</v>
      </c>
      <c r="Q226" s="115">
        <v>0</v>
      </c>
      <c r="R226" s="115">
        <v>0</v>
      </c>
      <c r="S226" s="115">
        <v>0</v>
      </c>
      <c r="T226" s="115">
        <v>0</v>
      </c>
      <c r="U226" s="115">
        <v>0</v>
      </c>
      <c r="V226" s="115">
        <v>0</v>
      </c>
      <c r="W226" s="115">
        <v>0</v>
      </c>
      <c r="X226" s="115">
        <v>0</v>
      </c>
      <c r="Y226" s="115">
        <v>0</v>
      </c>
      <c r="Z226" s="115">
        <v>0</v>
      </c>
      <c r="AA226" s="115">
        <v>0</v>
      </c>
      <c r="AB226" s="115">
        <v>0</v>
      </c>
      <c r="AC226" s="115">
        <v>0</v>
      </c>
      <c r="AD226" s="115">
        <v>0</v>
      </c>
      <c r="AE226" s="115">
        <v>0</v>
      </c>
      <c r="AF226" s="115">
        <v>0</v>
      </c>
      <c r="AG226" s="115">
        <v>0</v>
      </c>
      <c r="AH226" s="115">
        <v>0</v>
      </c>
      <c r="AI226" s="115">
        <v>0</v>
      </c>
      <c r="AJ226" s="115">
        <v>0</v>
      </c>
      <c r="AK226" s="115">
        <v>0</v>
      </c>
      <c r="AL226" s="115">
        <v>0</v>
      </c>
      <c r="AM226" s="115">
        <v>0</v>
      </c>
      <c r="AN226" s="115">
        <v>0</v>
      </c>
      <c r="AO226" s="115">
        <v>0</v>
      </c>
      <c r="AP226" s="115">
        <v>0</v>
      </c>
      <c r="AQ226" s="115">
        <v>0</v>
      </c>
      <c r="AR226" s="115">
        <v>0</v>
      </c>
      <c r="AS226" s="115">
        <v>0</v>
      </c>
      <c r="AT226" s="115">
        <v>0</v>
      </c>
      <c r="AU226" s="115">
        <v>0</v>
      </c>
      <c r="AV226" s="115">
        <v>0</v>
      </c>
      <c r="AW226" s="115">
        <v>0</v>
      </c>
      <c r="AX226" s="115">
        <v>0</v>
      </c>
      <c r="AY226" s="115">
        <v>0</v>
      </c>
    </row>
    <row r="227" spans="1:51" x14ac:dyDescent="0.2">
      <c r="A227" s="114"/>
      <c r="B227" s="125">
        <v>19</v>
      </c>
      <c r="C227" s="111">
        <v>0</v>
      </c>
      <c r="D227" s="115">
        <v>0</v>
      </c>
      <c r="E227" s="115">
        <v>0</v>
      </c>
      <c r="F227" s="115">
        <v>0</v>
      </c>
      <c r="G227" s="115">
        <v>0</v>
      </c>
      <c r="H227" s="115">
        <v>0</v>
      </c>
      <c r="I227" s="115">
        <v>0</v>
      </c>
      <c r="J227" s="115">
        <v>0</v>
      </c>
      <c r="K227" s="115">
        <v>0</v>
      </c>
      <c r="L227" s="115">
        <v>0</v>
      </c>
      <c r="M227" s="115">
        <v>0</v>
      </c>
      <c r="N227" s="115">
        <v>0</v>
      </c>
      <c r="O227" s="115">
        <v>0</v>
      </c>
      <c r="P227" s="115">
        <v>0</v>
      </c>
      <c r="Q227" s="115">
        <v>0</v>
      </c>
      <c r="R227" s="115">
        <v>0</v>
      </c>
      <c r="S227" s="115">
        <v>0</v>
      </c>
      <c r="T227" s="115">
        <v>0</v>
      </c>
      <c r="U227" s="115">
        <v>0</v>
      </c>
      <c r="V227" s="115">
        <v>0</v>
      </c>
      <c r="W227" s="115">
        <v>0</v>
      </c>
      <c r="X227" s="115">
        <v>0</v>
      </c>
      <c r="Y227" s="115">
        <v>0</v>
      </c>
      <c r="Z227" s="115">
        <v>0</v>
      </c>
      <c r="AA227" s="115">
        <v>0</v>
      </c>
      <c r="AB227" s="115">
        <v>0</v>
      </c>
      <c r="AC227" s="115">
        <v>0</v>
      </c>
      <c r="AD227" s="115">
        <v>0</v>
      </c>
      <c r="AE227" s="115">
        <v>0</v>
      </c>
      <c r="AF227" s="115">
        <v>0</v>
      </c>
      <c r="AG227" s="115">
        <v>0</v>
      </c>
      <c r="AH227" s="115">
        <v>0</v>
      </c>
      <c r="AI227" s="115">
        <v>0</v>
      </c>
      <c r="AJ227" s="115">
        <v>0</v>
      </c>
      <c r="AK227" s="115">
        <v>0</v>
      </c>
      <c r="AL227" s="115">
        <v>0</v>
      </c>
      <c r="AM227" s="115">
        <v>0</v>
      </c>
      <c r="AN227" s="115">
        <v>0</v>
      </c>
      <c r="AO227" s="115">
        <v>0</v>
      </c>
      <c r="AP227" s="115">
        <v>0</v>
      </c>
      <c r="AQ227" s="115">
        <v>0</v>
      </c>
      <c r="AR227" s="115">
        <v>0</v>
      </c>
      <c r="AS227" s="115">
        <v>0</v>
      </c>
      <c r="AT227" s="115">
        <v>0</v>
      </c>
      <c r="AU227" s="115">
        <v>0</v>
      </c>
      <c r="AV227" s="115">
        <v>0</v>
      </c>
      <c r="AW227" s="115">
        <v>0</v>
      </c>
      <c r="AX227" s="115">
        <v>0</v>
      </c>
      <c r="AY227" s="115">
        <v>0</v>
      </c>
    </row>
    <row r="228" spans="1:51" x14ac:dyDescent="0.2">
      <c r="A228" s="114"/>
      <c r="B228" s="125">
        <v>20</v>
      </c>
      <c r="C228" s="111">
        <v>0</v>
      </c>
      <c r="D228" s="115">
        <v>0</v>
      </c>
      <c r="E228" s="115">
        <v>0</v>
      </c>
      <c r="F228" s="115">
        <v>0</v>
      </c>
      <c r="G228" s="115">
        <v>0</v>
      </c>
      <c r="H228" s="115">
        <v>0</v>
      </c>
      <c r="I228" s="115">
        <v>0</v>
      </c>
      <c r="J228" s="115">
        <v>0</v>
      </c>
      <c r="K228" s="115">
        <v>0</v>
      </c>
      <c r="L228" s="115">
        <v>0</v>
      </c>
      <c r="M228" s="115">
        <v>0</v>
      </c>
      <c r="N228" s="115">
        <v>0</v>
      </c>
      <c r="O228" s="115">
        <v>0</v>
      </c>
      <c r="P228" s="115">
        <v>0</v>
      </c>
      <c r="Q228" s="115">
        <v>0</v>
      </c>
      <c r="R228" s="115">
        <v>0</v>
      </c>
      <c r="S228" s="115">
        <v>0</v>
      </c>
      <c r="T228" s="115">
        <v>0</v>
      </c>
      <c r="U228" s="115">
        <v>0</v>
      </c>
      <c r="V228" s="115">
        <v>0</v>
      </c>
      <c r="W228" s="115">
        <v>0</v>
      </c>
      <c r="X228" s="115">
        <v>0</v>
      </c>
      <c r="Y228" s="115">
        <v>0</v>
      </c>
      <c r="Z228" s="115">
        <v>0</v>
      </c>
      <c r="AA228" s="115">
        <v>0</v>
      </c>
      <c r="AB228" s="115">
        <v>0</v>
      </c>
      <c r="AC228" s="115">
        <v>0</v>
      </c>
      <c r="AD228" s="115">
        <v>0</v>
      </c>
      <c r="AE228" s="115">
        <v>0</v>
      </c>
      <c r="AF228" s="115">
        <v>0</v>
      </c>
      <c r="AG228" s="115">
        <v>0</v>
      </c>
      <c r="AH228" s="115">
        <v>0</v>
      </c>
      <c r="AI228" s="115">
        <v>0</v>
      </c>
      <c r="AJ228" s="115">
        <v>0</v>
      </c>
      <c r="AK228" s="115">
        <v>0</v>
      </c>
      <c r="AL228" s="115">
        <v>0</v>
      </c>
      <c r="AM228" s="115">
        <v>0</v>
      </c>
      <c r="AN228" s="115">
        <v>0</v>
      </c>
      <c r="AO228" s="115">
        <v>0</v>
      </c>
      <c r="AP228" s="115">
        <v>0</v>
      </c>
      <c r="AQ228" s="115">
        <v>0</v>
      </c>
      <c r="AR228" s="115">
        <v>0</v>
      </c>
      <c r="AS228" s="115">
        <v>0</v>
      </c>
      <c r="AT228" s="115">
        <v>0</v>
      </c>
      <c r="AU228" s="115">
        <v>0</v>
      </c>
      <c r="AV228" s="115">
        <v>0</v>
      </c>
      <c r="AW228" s="115">
        <v>0</v>
      </c>
      <c r="AX228" s="115">
        <v>0</v>
      </c>
      <c r="AY228" s="115">
        <v>0</v>
      </c>
    </row>
    <row r="229" spans="1:51" x14ac:dyDescent="0.2">
      <c r="A229" s="114"/>
      <c r="B229" s="125">
        <v>21</v>
      </c>
      <c r="C229" s="111">
        <v>0</v>
      </c>
      <c r="D229" s="115">
        <v>0</v>
      </c>
      <c r="E229" s="115">
        <v>0</v>
      </c>
      <c r="F229" s="115">
        <v>0</v>
      </c>
      <c r="G229" s="115">
        <v>0</v>
      </c>
      <c r="H229" s="115">
        <v>0</v>
      </c>
      <c r="I229" s="115">
        <v>0</v>
      </c>
      <c r="J229" s="115">
        <v>0</v>
      </c>
      <c r="K229" s="115">
        <v>0</v>
      </c>
      <c r="L229" s="115">
        <v>0</v>
      </c>
      <c r="M229" s="115">
        <v>0</v>
      </c>
      <c r="N229" s="115">
        <v>0</v>
      </c>
      <c r="O229" s="115">
        <v>0</v>
      </c>
      <c r="P229" s="115">
        <v>0</v>
      </c>
      <c r="Q229" s="115">
        <v>0</v>
      </c>
      <c r="R229" s="115">
        <v>0</v>
      </c>
      <c r="S229" s="115">
        <v>0</v>
      </c>
      <c r="T229" s="115">
        <v>0</v>
      </c>
      <c r="U229" s="115">
        <v>0</v>
      </c>
      <c r="V229" s="115">
        <v>0</v>
      </c>
      <c r="W229" s="115">
        <v>0</v>
      </c>
      <c r="X229" s="115">
        <v>0</v>
      </c>
      <c r="Y229" s="115">
        <v>0</v>
      </c>
      <c r="Z229" s="115">
        <v>0</v>
      </c>
      <c r="AA229" s="115">
        <v>0</v>
      </c>
      <c r="AB229" s="115">
        <v>0</v>
      </c>
      <c r="AC229" s="115">
        <v>0</v>
      </c>
      <c r="AD229" s="115">
        <v>0</v>
      </c>
      <c r="AE229" s="115">
        <v>0</v>
      </c>
      <c r="AF229" s="115">
        <v>0</v>
      </c>
      <c r="AG229" s="115">
        <v>0</v>
      </c>
      <c r="AH229" s="115">
        <v>0</v>
      </c>
      <c r="AI229" s="115">
        <v>0</v>
      </c>
      <c r="AJ229" s="115">
        <v>0</v>
      </c>
      <c r="AK229" s="115">
        <v>0</v>
      </c>
      <c r="AL229" s="115">
        <v>0</v>
      </c>
      <c r="AM229" s="115">
        <v>0</v>
      </c>
      <c r="AN229" s="115">
        <v>0</v>
      </c>
      <c r="AO229" s="115">
        <v>0</v>
      </c>
      <c r="AP229" s="115">
        <v>0</v>
      </c>
      <c r="AQ229" s="115">
        <v>0</v>
      </c>
      <c r="AR229" s="115">
        <v>0</v>
      </c>
      <c r="AS229" s="115">
        <v>0</v>
      </c>
      <c r="AT229" s="115">
        <v>0</v>
      </c>
      <c r="AU229" s="115">
        <v>0</v>
      </c>
      <c r="AV229" s="115">
        <v>0</v>
      </c>
      <c r="AW229" s="115">
        <v>0</v>
      </c>
      <c r="AX229" s="115">
        <v>0</v>
      </c>
      <c r="AY229" s="115">
        <v>0</v>
      </c>
    </row>
    <row r="230" spans="1:51" x14ac:dyDescent="0.2">
      <c r="A230" s="114"/>
      <c r="B230" s="125">
        <v>22</v>
      </c>
      <c r="C230" s="111">
        <v>0</v>
      </c>
      <c r="D230" s="115">
        <v>0</v>
      </c>
      <c r="E230" s="115">
        <v>0</v>
      </c>
      <c r="F230" s="115">
        <v>0</v>
      </c>
      <c r="G230" s="115">
        <v>0</v>
      </c>
      <c r="H230" s="115">
        <v>0</v>
      </c>
      <c r="I230" s="115">
        <v>0</v>
      </c>
      <c r="J230" s="115">
        <v>0</v>
      </c>
      <c r="K230" s="115">
        <v>0</v>
      </c>
      <c r="L230" s="115">
        <v>0</v>
      </c>
      <c r="M230" s="115">
        <v>0</v>
      </c>
      <c r="N230" s="115">
        <v>0</v>
      </c>
      <c r="O230" s="115">
        <v>0</v>
      </c>
      <c r="P230" s="115">
        <v>0</v>
      </c>
      <c r="Q230" s="115">
        <v>0</v>
      </c>
      <c r="R230" s="115">
        <v>0</v>
      </c>
      <c r="S230" s="115">
        <v>0</v>
      </c>
      <c r="T230" s="115">
        <v>0</v>
      </c>
      <c r="U230" s="115">
        <v>0</v>
      </c>
      <c r="V230" s="115">
        <v>0</v>
      </c>
      <c r="W230" s="115">
        <v>0</v>
      </c>
      <c r="X230" s="115">
        <v>0</v>
      </c>
      <c r="Y230" s="115">
        <v>0</v>
      </c>
      <c r="Z230" s="115">
        <v>0</v>
      </c>
      <c r="AA230" s="115">
        <v>0</v>
      </c>
      <c r="AB230" s="115">
        <v>0</v>
      </c>
      <c r="AC230" s="115">
        <v>0</v>
      </c>
      <c r="AD230" s="115">
        <v>0</v>
      </c>
      <c r="AE230" s="115">
        <v>0</v>
      </c>
      <c r="AF230" s="115">
        <v>0</v>
      </c>
      <c r="AG230" s="115">
        <v>0</v>
      </c>
      <c r="AH230" s="115">
        <v>0</v>
      </c>
      <c r="AI230" s="115">
        <v>0</v>
      </c>
      <c r="AJ230" s="115">
        <v>0</v>
      </c>
      <c r="AK230" s="115">
        <v>0</v>
      </c>
      <c r="AL230" s="115">
        <v>0</v>
      </c>
      <c r="AM230" s="115">
        <v>0</v>
      </c>
      <c r="AN230" s="115">
        <v>0</v>
      </c>
      <c r="AO230" s="115">
        <v>0</v>
      </c>
      <c r="AP230" s="115">
        <v>0</v>
      </c>
      <c r="AQ230" s="115">
        <v>0</v>
      </c>
      <c r="AR230" s="115">
        <v>0</v>
      </c>
      <c r="AS230" s="115">
        <v>0</v>
      </c>
      <c r="AT230" s="115">
        <v>0</v>
      </c>
      <c r="AU230" s="115">
        <v>0</v>
      </c>
      <c r="AV230" s="115">
        <v>0</v>
      </c>
      <c r="AW230" s="115">
        <v>0</v>
      </c>
      <c r="AX230" s="115">
        <v>0</v>
      </c>
      <c r="AY230" s="115">
        <v>0</v>
      </c>
    </row>
    <row r="231" spans="1:51" x14ac:dyDescent="0.2">
      <c r="A231" s="114"/>
      <c r="B231" s="125">
        <v>23</v>
      </c>
      <c r="C231" s="111">
        <v>0</v>
      </c>
      <c r="D231" s="115">
        <v>0</v>
      </c>
      <c r="E231" s="115">
        <v>0</v>
      </c>
      <c r="F231" s="115">
        <v>0</v>
      </c>
      <c r="G231" s="115">
        <v>0</v>
      </c>
      <c r="H231" s="115">
        <v>0</v>
      </c>
      <c r="I231" s="115">
        <v>0</v>
      </c>
      <c r="J231" s="115">
        <v>0</v>
      </c>
      <c r="K231" s="115">
        <v>0</v>
      </c>
      <c r="L231" s="115">
        <v>0</v>
      </c>
      <c r="M231" s="115">
        <v>0</v>
      </c>
      <c r="N231" s="115">
        <v>0</v>
      </c>
      <c r="O231" s="115">
        <v>0</v>
      </c>
      <c r="P231" s="115">
        <v>0</v>
      </c>
      <c r="Q231" s="115">
        <v>0</v>
      </c>
      <c r="R231" s="115">
        <v>0</v>
      </c>
      <c r="S231" s="115">
        <v>0</v>
      </c>
      <c r="T231" s="115">
        <v>0</v>
      </c>
      <c r="U231" s="115">
        <v>0</v>
      </c>
      <c r="V231" s="115">
        <v>0</v>
      </c>
      <c r="W231" s="115">
        <v>0</v>
      </c>
      <c r="X231" s="115">
        <v>0</v>
      </c>
      <c r="Y231" s="115">
        <v>0</v>
      </c>
      <c r="Z231" s="115">
        <v>0</v>
      </c>
      <c r="AA231" s="115">
        <v>0</v>
      </c>
      <c r="AB231" s="115">
        <v>0</v>
      </c>
      <c r="AC231" s="115">
        <v>0</v>
      </c>
      <c r="AD231" s="115">
        <v>0</v>
      </c>
      <c r="AE231" s="115">
        <v>0</v>
      </c>
      <c r="AF231" s="115">
        <v>0</v>
      </c>
      <c r="AG231" s="115">
        <v>0</v>
      </c>
      <c r="AH231" s="115">
        <v>0</v>
      </c>
      <c r="AI231" s="115">
        <v>0</v>
      </c>
      <c r="AJ231" s="115">
        <v>0</v>
      </c>
      <c r="AK231" s="115">
        <v>0</v>
      </c>
      <c r="AL231" s="115">
        <v>0</v>
      </c>
      <c r="AM231" s="115">
        <v>0</v>
      </c>
      <c r="AN231" s="115">
        <v>0</v>
      </c>
      <c r="AO231" s="115">
        <v>0</v>
      </c>
      <c r="AP231" s="115">
        <v>0</v>
      </c>
      <c r="AQ231" s="115">
        <v>0</v>
      </c>
      <c r="AR231" s="115">
        <v>0</v>
      </c>
      <c r="AS231" s="115">
        <v>0</v>
      </c>
      <c r="AT231" s="115">
        <v>0</v>
      </c>
      <c r="AU231" s="115">
        <v>0</v>
      </c>
      <c r="AV231" s="115">
        <v>0</v>
      </c>
      <c r="AW231" s="115">
        <v>0</v>
      </c>
      <c r="AX231" s="115">
        <v>0</v>
      </c>
      <c r="AY231" s="115">
        <v>0</v>
      </c>
    </row>
    <row r="232" spans="1:51" x14ac:dyDescent="0.2">
      <c r="A232" s="114"/>
      <c r="B232" s="125">
        <v>24</v>
      </c>
      <c r="C232" s="111">
        <v>0</v>
      </c>
      <c r="D232" s="115">
        <v>0</v>
      </c>
      <c r="E232" s="115">
        <v>0</v>
      </c>
      <c r="F232" s="115">
        <v>0</v>
      </c>
      <c r="G232" s="115">
        <v>0</v>
      </c>
      <c r="H232" s="115">
        <v>0</v>
      </c>
      <c r="I232" s="115">
        <v>0</v>
      </c>
      <c r="J232" s="115">
        <v>0</v>
      </c>
      <c r="K232" s="115">
        <v>0</v>
      </c>
      <c r="L232" s="115">
        <v>0</v>
      </c>
      <c r="M232" s="115">
        <v>0</v>
      </c>
      <c r="N232" s="115">
        <v>0</v>
      </c>
      <c r="O232" s="115">
        <v>0</v>
      </c>
      <c r="P232" s="115">
        <v>0</v>
      </c>
      <c r="Q232" s="115">
        <v>0</v>
      </c>
      <c r="R232" s="115">
        <v>0</v>
      </c>
      <c r="S232" s="115">
        <v>0</v>
      </c>
      <c r="T232" s="115">
        <v>0</v>
      </c>
      <c r="U232" s="115">
        <v>0</v>
      </c>
      <c r="V232" s="115">
        <v>0</v>
      </c>
      <c r="W232" s="115">
        <v>0</v>
      </c>
      <c r="X232" s="115">
        <v>0</v>
      </c>
      <c r="Y232" s="115">
        <v>0</v>
      </c>
      <c r="Z232" s="115">
        <v>0</v>
      </c>
      <c r="AA232" s="115">
        <v>0</v>
      </c>
      <c r="AB232" s="115">
        <v>0</v>
      </c>
      <c r="AC232" s="115">
        <v>0</v>
      </c>
      <c r="AD232" s="115">
        <v>0</v>
      </c>
      <c r="AE232" s="115">
        <v>0</v>
      </c>
      <c r="AF232" s="115">
        <v>0</v>
      </c>
      <c r="AG232" s="115">
        <v>0</v>
      </c>
      <c r="AH232" s="115">
        <v>0</v>
      </c>
      <c r="AI232" s="115">
        <v>0</v>
      </c>
      <c r="AJ232" s="115">
        <v>0</v>
      </c>
      <c r="AK232" s="115">
        <v>0</v>
      </c>
      <c r="AL232" s="115">
        <v>0</v>
      </c>
      <c r="AM232" s="115">
        <v>0</v>
      </c>
      <c r="AN232" s="115">
        <v>0</v>
      </c>
      <c r="AO232" s="115">
        <v>0</v>
      </c>
      <c r="AP232" s="115">
        <v>0</v>
      </c>
      <c r="AQ232" s="115">
        <v>0</v>
      </c>
      <c r="AR232" s="115">
        <v>0</v>
      </c>
      <c r="AS232" s="115">
        <v>0</v>
      </c>
      <c r="AT232" s="115">
        <v>0</v>
      </c>
      <c r="AU232" s="115">
        <v>0</v>
      </c>
      <c r="AV232" s="115">
        <v>0</v>
      </c>
      <c r="AW232" s="115">
        <v>0</v>
      </c>
      <c r="AX232" s="115">
        <v>0</v>
      </c>
      <c r="AY232" s="115">
        <v>0</v>
      </c>
    </row>
    <row r="233" spans="1:51" x14ac:dyDescent="0.2">
      <c r="A233" s="114"/>
      <c r="B233" s="132">
        <v>25</v>
      </c>
      <c r="C233" s="111">
        <v>0</v>
      </c>
      <c r="D233" s="115">
        <v>0</v>
      </c>
      <c r="E233" s="115">
        <v>0</v>
      </c>
      <c r="F233" s="115">
        <v>0</v>
      </c>
      <c r="G233" s="115">
        <v>0</v>
      </c>
      <c r="H233" s="115">
        <v>0</v>
      </c>
      <c r="I233" s="115">
        <v>0</v>
      </c>
      <c r="J233" s="115">
        <v>0</v>
      </c>
      <c r="K233" s="115">
        <v>0</v>
      </c>
      <c r="L233" s="115">
        <v>0</v>
      </c>
      <c r="M233" s="115">
        <v>0</v>
      </c>
      <c r="N233" s="115">
        <v>0</v>
      </c>
      <c r="O233" s="115">
        <v>0</v>
      </c>
      <c r="P233" s="115">
        <v>0</v>
      </c>
      <c r="Q233" s="115">
        <v>0</v>
      </c>
      <c r="R233" s="115">
        <v>0</v>
      </c>
      <c r="S233" s="115">
        <v>0</v>
      </c>
      <c r="T233" s="115">
        <v>0</v>
      </c>
      <c r="U233" s="115">
        <v>0</v>
      </c>
      <c r="V233" s="115">
        <v>0</v>
      </c>
      <c r="W233" s="115">
        <v>0</v>
      </c>
      <c r="X233" s="115">
        <v>0</v>
      </c>
      <c r="Y233" s="115">
        <v>0</v>
      </c>
      <c r="Z233" s="115">
        <v>0</v>
      </c>
      <c r="AA233" s="115">
        <v>0</v>
      </c>
      <c r="AB233" s="115">
        <v>0</v>
      </c>
      <c r="AC233" s="115">
        <v>0</v>
      </c>
      <c r="AD233" s="115">
        <v>0</v>
      </c>
      <c r="AE233" s="115">
        <v>0</v>
      </c>
      <c r="AF233" s="115">
        <v>0</v>
      </c>
      <c r="AG233" s="115">
        <v>0</v>
      </c>
      <c r="AH233" s="115">
        <v>0</v>
      </c>
      <c r="AI233" s="115">
        <v>0</v>
      </c>
      <c r="AJ233" s="115">
        <v>0</v>
      </c>
      <c r="AK233" s="115">
        <v>0</v>
      </c>
      <c r="AL233" s="115">
        <v>0</v>
      </c>
      <c r="AM233" s="115">
        <v>0</v>
      </c>
      <c r="AN233" s="115">
        <v>0</v>
      </c>
      <c r="AO233" s="115">
        <v>0</v>
      </c>
      <c r="AP233" s="115">
        <v>0</v>
      </c>
      <c r="AQ233" s="115">
        <v>0</v>
      </c>
      <c r="AR233" s="115">
        <v>0</v>
      </c>
      <c r="AS233" s="115">
        <v>0</v>
      </c>
      <c r="AT233" s="115">
        <v>0</v>
      </c>
      <c r="AU233" s="115">
        <v>0</v>
      </c>
      <c r="AV233" s="115">
        <v>0</v>
      </c>
      <c r="AW233" s="115">
        <v>0</v>
      </c>
      <c r="AX233" s="115">
        <v>0</v>
      </c>
      <c r="AY233" s="115">
        <v>0</v>
      </c>
    </row>
    <row r="234" spans="1:51" x14ac:dyDescent="0.2">
      <c r="A234" s="114"/>
      <c r="B234" s="132">
        <v>26</v>
      </c>
      <c r="C234" s="111">
        <v>0</v>
      </c>
      <c r="D234" s="115">
        <v>0</v>
      </c>
      <c r="E234" s="115">
        <v>0</v>
      </c>
      <c r="F234" s="115">
        <v>0</v>
      </c>
      <c r="G234" s="115">
        <v>0</v>
      </c>
      <c r="H234" s="115">
        <v>0</v>
      </c>
      <c r="I234" s="115">
        <v>0</v>
      </c>
      <c r="J234" s="115">
        <v>0</v>
      </c>
      <c r="K234" s="115">
        <v>0</v>
      </c>
      <c r="L234" s="115">
        <v>0</v>
      </c>
      <c r="M234" s="115">
        <v>0</v>
      </c>
      <c r="N234" s="115">
        <v>0</v>
      </c>
      <c r="O234" s="115">
        <v>0</v>
      </c>
      <c r="P234" s="115">
        <v>0</v>
      </c>
      <c r="Q234" s="115">
        <v>0</v>
      </c>
      <c r="R234" s="115">
        <v>0</v>
      </c>
      <c r="S234" s="115">
        <v>0</v>
      </c>
      <c r="T234" s="115">
        <v>0</v>
      </c>
      <c r="U234" s="115">
        <v>0</v>
      </c>
      <c r="V234" s="115">
        <v>0</v>
      </c>
      <c r="W234" s="115">
        <v>0</v>
      </c>
      <c r="X234" s="115">
        <v>0</v>
      </c>
      <c r="Y234" s="115">
        <v>0</v>
      </c>
      <c r="Z234" s="115">
        <v>0</v>
      </c>
      <c r="AA234" s="115">
        <v>0</v>
      </c>
      <c r="AB234" s="115">
        <v>0</v>
      </c>
      <c r="AC234" s="115">
        <v>0</v>
      </c>
      <c r="AD234" s="115">
        <v>0</v>
      </c>
      <c r="AE234" s="115">
        <v>0</v>
      </c>
      <c r="AF234" s="115">
        <v>0</v>
      </c>
      <c r="AG234" s="115">
        <v>0</v>
      </c>
      <c r="AH234" s="115">
        <v>0</v>
      </c>
      <c r="AI234" s="115">
        <v>0</v>
      </c>
      <c r="AJ234" s="115">
        <v>0</v>
      </c>
      <c r="AK234" s="115">
        <v>0</v>
      </c>
      <c r="AL234" s="115">
        <v>0</v>
      </c>
      <c r="AM234" s="115">
        <v>0</v>
      </c>
      <c r="AN234" s="115">
        <v>0</v>
      </c>
      <c r="AO234" s="115">
        <v>0</v>
      </c>
      <c r="AP234" s="115">
        <v>0</v>
      </c>
      <c r="AQ234" s="115">
        <v>0</v>
      </c>
      <c r="AR234" s="115">
        <v>0</v>
      </c>
      <c r="AS234" s="115">
        <v>0</v>
      </c>
      <c r="AT234" s="115">
        <v>0</v>
      </c>
      <c r="AU234" s="115">
        <v>0</v>
      </c>
      <c r="AV234" s="115">
        <v>0</v>
      </c>
      <c r="AW234" s="115">
        <v>0</v>
      </c>
      <c r="AX234" s="115">
        <v>0</v>
      </c>
      <c r="AY234" s="115">
        <v>0</v>
      </c>
    </row>
    <row r="235" spans="1:51" x14ac:dyDescent="0.2">
      <c r="A235" s="114"/>
      <c r="B235" s="132">
        <v>27</v>
      </c>
      <c r="C235" s="111">
        <v>0</v>
      </c>
      <c r="D235" s="115">
        <v>0</v>
      </c>
      <c r="E235" s="115">
        <v>0</v>
      </c>
      <c r="F235" s="115">
        <v>0</v>
      </c>
      <c r="G235" s="115">
        <v>0</v>
      </c>
      <c r="H235" s="115">
        <v>0</v>
      </c>
      <c r="I235" s="115">
        <v>0</v>
      </c>
      <c r="J235" s="115">
        <v>0</v>
      </c>
      <c r="K235" s="115">
        <v>0</v>
      </c>
      <c r="L235" s="115">
        <v>0</v>
      </c>
      <c r="M235" s="115">
        <v>0</v>
      </c>
      <c r="N235" s="115">
        <v>0</v>
      </c>
      <c r="O235" s="115">
        <v>0</v>
      </c>
      <c r="P235" s="115">
        <v>0</v>
      </c>
      <c r="Q235" s="115">
        <v>0</v>
      </c>
      <c r="R235" s="115">
        <v>0</v>
      </c>
      <c r="S235" s="115">
        <v>0</v>
      </c>
      <c r="T235" s="115">
        <v>0</v>
      </c>
      <c r="U235" s="115">
        <v>0</v>
      </c>
      <c r="V235" s="115">
        <v>0</v>
      </c>
      <c r="W235" s="115">
        <v>0</v>
      </c>
      <c r="X235" s="115">
        <v>0</v>
      </c>
      <c r="Y235" s="115">
        <v>0</v>
      </c>
      <c r="Z235" s="115">
        <v>0</v>
      </c>
      <c r="AA235" s="115">
        <v>0</v>
      </c>
      <c r="AB235" s="115">
        <v>0</v>
      </c>
      <c r="AC235" s="115">
        <v>0</v>
      </c>
      <c r="AD235" s="115">
        <v>0</v>
      </c>
      <c r="AE235" s="115">
        <v>0</v>
      </c>
      <c r="AF235" s="115">
        <v>0</v>
      </c>
      <c r="AG235" s="115">
        <v>0</v>
      </c>
      <c r="AH235" s="115">
        <v>0</v>
      </c>
      <c r="AI235" s="115">
        <v>0</v>
      </c>
      <c r="AJ235" s="115">
        <v>0</v>
      </c>
      <c r="AK235" s="115">
        <v>0</v>
      </c>
      <c r="AL235" s="115">
        <v>0</v>
      </c>
      <c r="AM235" s="115">
        <v>0</v>
      </c>
      <c r="AN235" s="115">
        <v>0</v>
      </c>
      <c r="AO235" s="115">
        <v>0</v>
      </c>
      <c r="AP235" s="115">
        <v>0</v>
      </c>
      <c r="AQ235" s="115">
        <v>0</v>
      </c>
      <c r="AR235" s="115">
        <v>0</v>
      </c>
      <c r="AS235" s="115">
        <v>0</v>
      </c>
      <c r="AT235" s="115">
        <v>0</v>
      </c>
      <c r="AU235" s="115">
        <v>0</v>
      </c>
      <c r="AV235" s="115">
        <v>0</v>
      </c>
      <c r="AW235" s="115">
        <v>0</v>
      </c>
      <c r="AX235" s="115">
        <v>0</v>
      </c>
      <c r="AY235" s="115">
        <v>0</v>
      </c>
    </row>
    <row r="236" spans="1:51" x14ac:dyDescent="0.2">
      <c r="A236" s="114"/>
      <c r="B236" s="132">
        <v>28</v>
      </c>
      <c r="C236" s="111">
        <v>0</v>
      </c>
      <c r="D236" s="115">
        <v>0</v>
      </c>
      <c r="E236" s="115">
        <v>0</v>
      </c>
      <c r="F236" s="115">
        <v>0</v>
      </c>
      <c r="G236" s="115">
        <v>0</v>
      </c>
      <c r="H236" s="115">
        <v>0</v>
      </c>
      <c r="I236" s="115">
        <v>0</v>
      </c>
      <c r="J236" s="115">
        <v>0</v>
      </c>
      <c r="K236" s="115">
        <v>0</v>
      </c>
      <c r="L236" s="115">
        <v>0</v>
      </c>
      <c r="M236" s="115">
        <v>0</v>
      </c>
      <c r="N236" s="115">
        <v>0</v>
      </c>
      <c r="O236" s="115">
        <v>0</v>
      </c>
      <c r="P236" s="115">
        <v>0</v>
      </c>
      <c r="Q236" s="115">
        <v>0</v>
      </c>
      <c r="R236" s="115">
        <v>0</v>
      </c>
      <c r="S236" s="115">
        <v>0</v>
      </c>
      <c r="T236" s="115">
        <v>0</v>
      </c>
      <c r="U236" s="115">
        <v>0</v>
      </c>
      <c r="V236" s="115">
        <v>0</v>
      </c>
      <c r="W236" s="115">
        <v>0</v>
      </c>
      <c r="X236" s="115">
        <v>0</v>
      </c>
      <c r="Y236" s="115">
        <v>0</v>
      </c>
      <c r="Z236" s="115">
        <v>0</v>
      </c>
      <c r="AA236" s="115">
        <v>0</v>
      </c>
      <c r="AB236" s="115">
        <v>0</v>
      </c>
      <c r="AC236" s="115">
        <v>0</v>
      </c>
      <c r="AD236" s="115">
        <v>0</v>
      </c>
      <c r="AE236" s="115">
        <v>0</v>
      </c>
      <c r="AF236" s="115">
        <v>0</v>
      </c>
      <c r="AG236" s="115">
        <v>0</v>
      </c>
      <c r="AH236" s="115">
        <v>0</v>
      </c>
      <c r="AI236" s="115">
        <v>0</v>
      </c>
      <c r="AJ236" s="115">
        <v>0</v>
      </c>
      <c r="AK236" s="115">
        <v>0</v>
      </c>
      <c r="AL236" s="115">
        <v>0</v>
      </c>
      <c r="AM236" s="115">
        <v>0</v>
      </c>
      <c r="AN236" s="115">
        <v>0</v>
      </c>
      <c r="AO236" s="115">
        <v>0</v>
      </c>
      <c r="AP236" s="115">
        <v>0</v>
      </c>
      <c r="AQ236" s="115">
        <v>0</v>
      </c>
      <c r="AR236" s="115">
        <v>0</v>
      </c>
      <c r="AS236" s="115">
        <v>0</v>
      </c>
      <c r="AT236" s="115">
        <v>0</v>
      </c>
      <c r="AU236" s="115">
        <v>0</v>
      </c>
      <c r="AV236" s="115">
        <v>0</v>
      </c>
      <c r="AW236" s="115">
        <v>0</v>
      </c>
      <c r="AX236" s="115">
        <v>0</v>
      </c>
      <c r="AY236" s="115">
        <v>0</v>
      </c>
    </row>
    <row r="237" spans="1:51" x14ac:dyDescent="0.2">
      <c r="A237" s="114"/>
      <c r="B237" s="132">
        <v>29</v>
      </c>
      <c r="C237" s="111">
        <v>0</v>
      </c>
      <c r="D237" s="115">
        <v>0</v>
      </c>
      <c r="E237" s="115">
        <v>0</v>
      </c>
      <c r="F237" s="115">
        <v>0</v>
      </c>
      <c r="G237" s="115">
        <v>0</v>
      </c>
      <c r="H237" s="115">
        <v>0</v>
      </c>
      <c r="I237" s="115">
        <v>0</v>
      </c>
      <c r="J237" s="115">
        <v>0</v>
      </c>
      <c r="K237" s="115">
        <v>0</v>
      </c>
      <c r="L237" s="115">
        <v>0</v>
      </c>
      <c r="M237" s="115">
        <v>0</v>
      </c>
      <c r="N237" s="115">
        <v>0</v>
      </c>
      <c r="O237" s="115">
        <v>0</v>
      </c>
      <c r="P237" s="115">
        <v>0</v>
      </c>
      <c r="Q237" s="115">
        <v>0</v>
      </c>
      <c r="R237" s="115">
        <v>0</v>
      </c>
      <c r="S237" s="115">
        <v>0</v>
      </c>
      <c r="T237" s="115">
        <v>0</v>
      </c>
      <c r="U237" s="115">
        <v>0</v>
      </c>
      <c r="V237" s="115">
        <v>0</v>
      </c>
      <c r="W237" s="115">
        <v>0</v>
      </c>
      <c r="X237" s="115">
        <v>0</v>
      </c>
      <c r="Y237" s="115">
        <v>0</v>
      </c>
      <c r="Z237" s="115">
        <v>0</v>
      </c>
      <c r="AA237" s="115">
        <v>0</v>
      </c>
      <c r="AB237" s="115">
        <v>0</v>
      </c>
      <c r="AC237" s="115">
        <v>0</v>
      </c>
      <c r="AD237" s="115">
        <v>0</v>
      </c>
      <c r="AE237" s="115">
        <v>0</v>
      </c>
      <c r="AF237" s="115">
        <v>0</v>
      </c>
      <c r="AG237" s="115">
        <v>0</v>
      </c>
      <c r="AH237" s="115">
        <v>0</v>
      </c>
      <c r="AI237" s="115">
        <v>0</v>
      </c>
      <c r="AJ237" s="115">
        <v>0</v>
      </c>
      <c r="AK237" s="115">
        <v>0</v>
      </c>
      <c r="AL237" s="115">
        <v>0</v>
      </c>
      <c r="AM237" s="115">
        <v>0</v>
      </c>
      <c r="AN237" s="115">
        <v>0</v>
      </c>
      <c r="AO237" s="115">
        <v>0</v>
      </c>
      <c r="AP237" s="115">
        <v>0</v>
      </c>
      <c r="AQ237" s="115">
        <v>0</v>
      </c>
      <c r="AR237" s="115">
        <v>0</v>
      </c>
      <c r="AS237" s="115">
        <v>0</v>
      </c>
      <c r="AT237" s="115">
        <v>0</v>
      </c>
      <c r="AU237" s="115">
        <v>0</v>
      </c>
      <c r="AV237" s="115">
        <v>0</v>
      </c>
      <c r="AW237" s="115">
        <v>0</v>
      </c>
      <c r="AX237" s="115">
        <v>0</v>
      </c>
      <c r="AY237" s="115">
        <v>0</v>
      </c>
    </row>
    <row r="238" spans="1:51" x14ac:dyDescent="0.2">
      <c r="A238" s="114"/>
      <c r="B238" s="132">
        <v>30</v>
      </c>
      <c r="C238" s="111">
        <v>0</v>
      </c>
      <c r="D238" s="115">
        <v>0</v>
      </c>
      <c r="E238" s="115">
        <v>0</v>
      </c>
      <c r="F238" s="115">
        <v>0</v>
      </c>
      <c r="G238" s="115">
        <v>0</v>
      </c>
      <c r="H238" s="115">
        <v>0</v>
      </c>
      <c r="I238" s="115">
        <v>0</v>
      </c>
      <c r="J238" s="115">
        <v>0</v>
      </c>
      <c r="K238" s="115">
        <v>0</v>
      </c>
      <c r="L238" s="115">
        <v>0</v>
      </c>
      <c r="M238" s="115">
        <v>0</v>
      </c>
      <c r="N238" s="115">
        <v>0</v>
      </c>
      <c r="O238" s="115">
        <v>0</v>
      </c>
      <c r="P238" s="115">
        <v>0</v>
      </c>
      <c r="Q238" s="115">
        <v>0</v>
      </c>
      <c r="R238" s="115">
        <v>0</v>
      </c>
      <c r="S238" s="115">
        <v>0</v>
      </c>
      <c r="T238" s="115">
        <v>0</v>
      </c>
      <c r="U238" s="115">
        <v>0</v>
      </c>
      <c r="V238" s="115">
        <v>0</v>
      </c>
      <c r="W238" s="115">
        <v>0</v>
      </c>
      <c r="X238" s="115">
        <v>0</v>
      </c>
      <c r="Y238" s="115">
        <v>0</v>
      </c>
      <c r="Z238" s="115">
        <v>0</v>
      </c>
      <c r="AA238" s="115">
        <v>0</v>
      </c>
      <c r="AB238" s="115">
        <v>0</v>
      </c>
      <c r="AC238" s="115">
        <v>0</v>
      </c>
      <c r="AD238" s="115">
        <v>0</v>
      </c>
      <c r="AE238" s="115">
        <v>0</v>
      </c>
      <c r="AF238" s="115">
        <v>0</v>
      </c>
      <c r="AG238" s="115">
        <v>0</v>
      </c>
      <c r="AH238" s="115">
        <v>0</v>
      </c>
      <c r="AI238" s="115">
        <v>0</v>
      </c>
      <c r="AJ238" s="115">
        <v>0</v>
      </c>
      <c r="AK238" s="115">
        <v>0</v>
      </c>
      <c r="AL238" s="115">
        <v>0</v>
      </c>
      <c r="AM238" s="115">
        <v>0</v>
      </c>
      <c r="AN238" s="115">
        <v>0</v>
      </c>
      <c r="AO238" s="115">
        <v>0</v>
      </c>
      <c r="AP238" s="115">
        <v>0</v>
      </c>
      <c r="AQ238" s="115">
        <v>0</v>
      </c>
      <c r="AR238" s="115">
        <v>0</v>
      </c>
      <c r="AS238" s="115">
        <v>0</v>
      </c>
      <c r="AT238" s="115">
        <v>0</v>
      </c>
      <c r="AU238" s="115">
        <v>0</v>
      </c>
      <c r="AV238" s="115">
        <v>0</v>
      </c>
      <c r="AW238" s="115">
        <v>0</v>
      </c>
      <c r="AX238" s="115">
        <v>0</v>
      </c>
      <c r="AY238" s="115">
        <v>0</v>
      </c>
    </row>
    <row r="239" spans="1:51" x14ac:dyDescent="0.2">
      <c r="A239" s="114"/>
      <c r="B239" s="132">
        <v>31</v>
      </c>
      <c r="C239" s="111">
        <v>0</v>
      </c>
      <c r="D239" s="115">
        <v>0</v>
      </c>
      <c r="E239" s="115">
        <v>0</v>
      </c>
      <c r="F239" s="115">
        <v>0</v>
      </c>
      <c r="G239" s="115">
        <v>0</v>
      </c>
      <c r="H239" s="115">
        <v>0</v>
      </c>
      <c r="I239" s="115">
        <v>0</v>
      </c>
      <c r="J239" s="115">
        <v>0</v>
      </c>
      <c r="K239" s="115">
        <v>0</v>
      </c>
      <c r="L239" s="115">
        <v>0</v>
      </c>
      <c r="M239" s="115">
        <v>0</v>
      </c>
      <c r="N239" s="115">
        <v>0</v>
      </c>
      <c r="O239" s="115">
        <v>0</v>
      </c>
      <c r="P239" s="115">
        <v>0</v>
      </c>
      <c r="Q239" s="115">
        <v>0</v>
      </c>
      <c r="R239" s="115">
        <v>0</v>
      </c>
      <c r="S239" s="115">
        <v>0</v>
      </c>
      <c r="T239" s="115">
        <v>0</v>
      </c>
      <c r="U239" s="115">
        <v>0</v>
      </c>
      <c r="V239" s="115">
        <v>0</v>
      </c>
      <c r="W239" s="115">
        <v>0</v>
      </c>
      <c r="X239" s="115">
        <v>0</v>
      </c>
      <c r="Y239" s="115">
        <v>0</v>
      </c>
      <c r="Z239" s="115">
        <v>0</v>
      </c>
      <c r="AA239" s="115">
        <v>0</v>
      </c>
      <c r="AB239" s="115">
        <v>0</v>
      </c>
      <c r="AC239" s="115">
        <v>0</v>
      </c>
      <c r="AD239" s="115">
        <v>0</v>
      </c>
      <c r="AE239" s="115">
        <v>0</v>
      </c>
      <c r="AF239" s="115">
        <v>0</v>
      </c>
      <c r="AG239" s="115">
        <v>0</v>
      </c>
      <c r="AH239" s="115">
        <v>0</v>
      </c>
      <c r="AI239" s="115">
        <v>0</v>
      </c>
      <c r="AJ239" s="115">
        <v>0</v>
      </c>
      <c r="AK239" s="115">
        <v>0</v>
      </c>
      <c r="AL239" s="115">
        <v>0</v>
      </c>
      <c r="AM239" s="115">
        <v>0</v>
      </c>
      <c r="AN239" s="115">
        <v>0</v>
      </c>
      <c r="AO239" s="115">
        <v>0</v>
      </c>
      <c r="AP239" s="115">
        <v>0</v>
      </c>
      <c r="AQ239" s="115">
        <v>0</v>
      </c>
      <c r="AR239" s="115">
        <v>0</v>
      </c>
      <c r="AS239" s="115">
        <v>0</v>
      </c>
      <c r="AT239" s="115">
        <v>0</v>
      </c>
      <c r="AU239" s="115">
        <v>0</v>
      </c>
      <c r="AV239" s="115">
        <v>0</v>
      </c>
      <c r="AW239" s="115">
        <v>0</v>
      </c>
      <c r="AX239" s="115">
        <v>0</v>
      </c>
      <c r="AY239" s="115">
        <v>0</v>
      </c>
    </row>
    <row r="240" spans="1:51" x14ac:dyDescent="0.2">
      <c r="A240" s="114"/>
      <c r="B240" s="132">
        <v>32</v>
      </c>
      <c r="C240" s="111">
        <v>0</v>
      </c>
      <c r="D240" s="115">
        <v>0</v>
      </c>
      <c r="E240" s="115">
        <v>0</v>
      </c>
      <c r="F240" s="115">
        <v>0</v>
      </c>
      <c r="G240" s="115">
        <v>0</v>
      </c>
      <c r="H240" s="115">
        <v>0</v>
      </c>
      <c r="I240" s="115">
        <v>0</v>
      </c>
      <c r="J240" s="115">
        <v>0</v>
      </c>
      <c r="K240" s="115">
        <v>0</v>
      </c>
      <c r="L240" s="115">
        <v>0</v>
      </c>
      <c r="M240" s="115">
        <v>0</v>
      </c>
      <c r="N240" s="115">
        <v>0</v>
      </c>
      <c r="O240" s="115">
        <v>0</v>
      </c>
      <c r="P240" s="115">
        <v>0</v>
      </c>
      <c r="Q240" s="115">
        <v>0</v>
      </c>
      <c r="R240" s="115">
        <v>0</v>
      </c>
      <c r="S240" s="115">
        <v>0</v>
      </c>
      <c r="T240" s="115">
        <v>0</v>
      </c>
      <c r="U240" s="115">
        <v>0</v>
      </c>
      <c r="V240" s="115">
        <v>0</v>
      </c>
      <c r="W240" s="115">
        <v>0</v>
      </c>
      <c r="X240" s="115">
        <v>0</v>
      </c>
      <c r="Y240" s="115">
        <v>0</v>
      </c>
      <c r="Z240" s="115">
        <v>0</v>
      </c>
      <c r="AA240" s="115">
        <v>0</v>
      </c>
      <c r="AB240" s="115">
        <v>0</v>
      </c>
      <c r="AC240" s="115">
        <v>0</v>
      </c>
      <c r="AD240" s="115">
        <v>0</v>
      </c>
      <c r="AE240" s="115">
        <v>0</v>
      </c>
      <c r="AF240" s="115">
        <v>0</v>
      </c>
      <c r="AG240" s="115">
        <v>0</v>
      </c>
      <c r="AH240" s="115">
        <v>0</v>
      </c>
      <c r="AI240" s="115">
        <v>0</v>
      </c>
      <c r="AJ240" s="115">
        <v>0</v>
      </c>
      <c r="AK240" s="115">
        <v>0</v>
      </c>
      <c r="AL240" s="115">
        <v>0</v>
      </c>
      <c r="AM240" s="115">
        <v>0</v>
      </c>
      <c r="AN240" s="115">
        <v>0</v>
      </c>
      <c r="AO240" s="115">
        <v>0</v>
      </c>
      <c r="AP240" s="115">
        <v>0</v>
      </c>
      <c r="AQ240" s="115">
        <v>0</v>
      </c>
      <c r="AR240" s="115">
        <v>0</v>
      </c>
      <c r="AS240" s="115">
        <v>0</v>
      </c>
      <c r="AT240" s="115">
        <v>0</v>
      </c>
      <c r="AU240" s="115">
        <v>0</v>
      </c>
      <c r="AV240" s="115">
        <v>0</v>
      </c>
      <c r="AW240" s="115">
        <v>0</v>
      </c>
      <c r="AX240" s="115">
        <v>0</v>
      </c>
      <c r="AY240" s="115">
        <v>0</v>
      </c>
    </row>
    <row r="241" spans="1:51" x14ac:dyDescent="0.2">
      <c r="A241" s="114"/>
      <c r="B241" s="132">
        <v>33</v>
      </c>
      <c r="C241" s="111">
        <v>0</v>
      </c>
      <c r="D241" s="115">
        <v>0</v>
      </c>
      <c r="E241" s="115">
        <v>0</v>
      </c>
      <c r="F241" s="115">
        <v>0</v>
      </c>
      <c r="G241" s="115">
        <v>0</v>
      </c>
      <c r="H241" s="115">
        <v>0</v>
      </c>
      <c r="I241" s="115">
        <v>0</v>
      </c>
      <c r="J241" s="115">
        <v>0</v>
      </c>
      <c r="K241" s="115">
        <v>0</v>
      </c>
      <c r="L241" s="115">
        <v>0</v>
      </c>
      <c r="M241" s="115">
        <v>0</v>
      </c>
      <c r="N241" s="115">
        <v>0</v>
      </c>
      <c r="O241" s="115">
        <v>0</v>
      </c>
      <c r="P241" s="115">
        <v>0</v>
      </c>
      <c r="Q241" s="115">
        <v>0</v>
      </c>
      <c r="R241" s="115">
        <v>0</v>
      </c>
      <c r="S241" s="115">
        <v>0</v>
      </c>
      <c r="T241" s="115">
        <v>0</v>
      </c>
      <c r="U241" s="115">
        <v>0</v>
      </c>
      <c r="V241" s="115">
        <v>0</v>
      </c>
      <c r="W241" s="115">
        <v>0</v>
      </c>
      <c r="X241" s="115">
        <v>0</v>
      </c>
      <c r="Y241" s="115">
        <v>0</v>
      </c>
      <c r="Z241" s="115">
        <v>0</v>
      </c>
      <c r="AA241" s="115">
        <v>0</v>
      </c>
      <c r="AB241" s="115">
        <v>0</v>
      </c>
      <c r="AC241" s="115">
        <v>0</v>
      </c>
      <c r="AD241" s="115">
        <v>0</v>
      </c>
      <c r="AE241" s="115">
        <v>0</v>
      </c>
      <c r="AF241" s="115">
        <v>0</v>
      </c>
      <c r="AG241" s="115">
        <v>0</v>
      </c>
      <c r="AH241" s="115">
        <v>0</v>
      </c>
      <c r="AI241" s="115">
        <v>0</v>
      </c>
      <c r="AJ241" s="115">
        <v>0</v>
      </c>
      <c r="AK241" s="115">
        <v>0</v>
      </c>
      <c r="AL241" s="115">
        <v>0</v>
      </c>
      <c r="AM241" s="115">
        <v>0</v>
      </c>
      <c r="AN241" s="115">
        <v>0</v>
      </c>
      <c r="AO241" s="115">
        <v>0</v>
      </c>
      <c r="AP241" s="115">
        <v>0</v>
      </c>
      <c r="AQ241" s="115">
        <v>0</v>
      </c>
      <c r="AR241" s="115">
        <v>0</v>
      </c>
      <c r="AS241" s="115">
        <v>0</v>
      </c>
      <c r="AT241" s="115">
        <v>0</v>
      </c>
      <c r="AU241" s="115">
        <v>0</v>
      </c>
      <c r="AV241" s="115">
        <v>0</v>
      </c>
      <c r="AW241" s="115">
        <v>0</v>
      </c>
      <c r="AX241" s="115">
        <v>0</v>
      </c>
      <c r="AY241" s="115">
        <v>0</v>
      </c>
    </row>
    <row r="242" spans="1:51" x14ac:dyDescent="0.2">
      <c r="A242" s="114"/>
      <c r="B242" s="132">
        <v>34</v>
      </c>
      <c r="C242" s="111">
        <v>0</v>
      </c>
      <c r="D242" s="115">
        <v>0</v>
      </c>
      <c r="E242" s="115">
        <v>0</v>
      </c>
      <c r="F242" s="115">
        <v>0</v>
      </c>
      <c r="G242" s="115">
        <v>0</v>
      </c>
      <c r="H242" s="115">
        <v>0</v>
      </c>
      <c r="I242" s="115">
        <v>0</v>
      </c>
      <c r="J242" s="115">
        <v>0</v>
      </c>
      <c r="K242" s="115">
        <v>0</v>
      </c>
      <c r="L242" s="115">
        <v>0</v>
      </c>
      <c r="M242" s="115">
        <v>0</v>
      </c>
      <c r="N242" s="115">
        <v>0</v>
      </c>
      <c r="O242" s="115">
        <v>0</v>
      </c>
      <c r="P242" s="115">
        <v>0</v>
      </c>
      <c r="Q242" s="115">
        <v>0</v>
      </c>
      <c r="R242" s="115">
        <v>0</v>
      </c>
      <c r="S242" s="115">
        <v>0</v>
      </c>
      <c r="T242" s="115">
        <v>0</v>
      </c>
      <c r="U242" s="115">
        <v>0</v>
      </c>
      <c r="V242" s="115">
        <v>0</v>
      </c>
      <c r="W242" s="115">
        <v>0</v>
      </c>
      <c r="X242" s="115">
        <v>0</v>
      </c>
      <c r="Y242" s="115">
        <v>0</v>
      </c>
      <c r="Z242" s="115">
        <v>0</v>
      </c>
      <c r="AA242" s="115">
        <v>0</v>
      </c>
      <c r="AB242" s="115">
        <v>0</v>
      </c>
      <c r="AC242" s="115">
        <v>0</v>
      </c>
      <c r="AD242" s="115">
        <v>0</v>
      </c>
      <c r="AE242" s="115">
        <v>0</v>
      </c>
      <c r="AF242" s="115">
        <v>0</v>
      </c>
      <c r="AG242" s="115">
        <v>0</v>
      </c>
      <c r="AH242" s="115">
        <v>0</v>
      </c>
      <c r="AI242" s="115">
        <v>0</v>
      </c>
      <c r="AJ242" s="115">
        <v>0</v>
      </c>
      <c r="AK242" s="115">
        <v>0</v>
      </c>
      <c r="AL242" s="115">
        <v>0</v>
      </c>
      <c r="AM242" s="115">
        <v>0</v>
      </c>
      <c r="AN242" s="115">
        <v>0</v>
      </c>
      <c r="AO242" s="115">
        <v>0</v>
      </c>
      <c r="AP242" s="115">
        <v>0</v>
      </c>
      <c r="AQ242" s="115">
        <v>0</v>
      </c>
      <c r="AR242" s="115">
        <v>0</v>
      </c>
      <c r="AS242" s="115">
        <v>0</v>
      </c>
      <c r="AT242" s="115">
        <v>0</v>
      </c>
      <c r="AU242" s="115">
        <v>0</v>
      </c>
      <c r="AV242" s="115">
        <v>0</v>
      </c>
      <c r="AW242" s="115">
        <v>0</v>
      </c>
      <c r="AX242" s="115">
        <v>0</v>
      </c>
      <c r="AY242" s="115">
        <v>0</v>
      </c>
    </row>
    <row r="243" spans="1:51" x14ac:dyDescent="0.2">
      <c r="A243" s="114"/>
      <c r="B243" s="132">
        <v>35</v>
      </c>
      <c r="C243" s="111">
        <v>0</v>
      </c>
      <c r="D243" s="115">
        <v>0</v>
      </c>
      <c r="E243" s="115">
        <v>0</v>
      </c>
      <c r="F243" s="115">
        <v>0</v>
      </c>
      <c r="G243" s="115">
        <v>0</v>
      </c>
      <c r="H243" s="115">
        <v>0</v>
      </c>
      <c r="I243" s="115">
        <v>0</v>
      </c>
      <c r="J243" s="115">
        <v>0</v>
      </c>
      <c r="K243" s="115">
        <v>0</v>
      </c>
      <c r="L243" s="115">
        <v>0</v>
      </c>
      <c r="M243" s="115">
        <v>0</v>
      </c>
      <c r="N243" s="115">
        <v>0</v>
      </c>
      <c r="O243" s="115">
        <v>0</v>
      </c>
      <c r="P243" s="115">
        <v>0</v>
      </c>
      <c r="Q243" s="115">
        <v>0</v>
      </c>
      <c r="R243" s="115">
        <v>0</v>
      </c>
      <c r="S243" s="115">
        <v>0</v>
      </c>
      <c r="T243" s="115">
        <v>0</v>
      </c>
      <c r="U243" s="115">
        <v>0</v>
      </c>
      <c r="V243" s="115">
        <v>0</v>
      </c>
      <c r="W243" s="115">
        <v>0</v>
      </c>
      <c r="X243" s="115">
        <v>0</v>
      </c>
      <c r="Y243" s="115">
        <v>0</v>
      </c>
      <c r="Z243" s="115">
        <v>0</v>
      </c>
      <c r="AA243" s="115">
        <v>0</v>
      </c>
      <c r="AB243" s="115">
        <v>0</v>
      </c>
      <c r="AC243" s="115">
        <v>0</v>
      </c>
      <c r="AD243" s="115">
        <v>0</v>
      </c>
      <c r="AE243" s="115">
        <v>0</v>
      </c>
      <c r="AF243" s="115">
        <v>0</v>
      </c>
      <c r="AG243" s="115">
        <v>0</v>
      </c>
      <c r="AH243" s="115">
        <v>0</v>
      </c>
      <c r="AI243" s="115">
        <v>0</v>
      </c>
      <c r="AJ243" s="115">
        <v>0</v>
      </c>
      <c r="AK243" s="115">
        <v>0</v>
      </c>
      <c r="AL243" s="115">
        <v>0</v>
      </c>
      <c r="AM243" s="115">
        <v>0</v>
      </c>
      <c r="AN243" s="115">
        <v>0</v>
      </c>
      <c r="AO243" s="115">
        <v>0</v>
      </c>
      <c r="AP243" s="115">
        <v>0</v>
      </c>
      <c r="AQ243" s="115">
        <v>0</v>
      </c>
      <c r="AR243" s="115">
        <v>0</v>
      </c>
      <c r="AS243" s="115">
        <v>0</v>
      </c>
      <c r="AT243" s="115">
        <v>0</v>
      </c>
      <c r="AU243" s="115">
        <v>0</v>
      </c>
      <c r="AV243" s="115">
        <v>0</v>
      </c>
      <c r="AW243" s="115">
        <v>0</v>
      </c>
      <c r="AX243" s="115">
        <v>0</v>
      </c>
      <c r="AY243" s="115">
        <v>0</v>
      </c>
    </row>
    <row r="244" spans="1:51" x14ac:dyDescent="0.2">
      <c r="A244" s="114"/>
      <c r="B244" s="132">
        <v>36</v>
      </c>
      <c r="C244" s="111">
        <v>0</v>
      </c>
      <c r="D244" s="115">
        <v>0</v>
      </c>
      <c r="E244" s="115">
        <v>0</v>
      </c>
      <c r="F244" s="115">
        <v>0</v>
      </c>
      <c r="G244" s="115">
        <v>0</v>
      </c>
      <c r="H244" s="115">
        <v>0</v>
      </c>
      <c r="I244" s="115">
        <v>0</v>
      </c>
      <c r="J244" s="115">
        <v>0</v>
      </c>
      <c r="K244" s="115">
        <v>0</v>
      </c>
      <c r="L244" s="115">
        <v>0</v>
      </c>
      <c r="M244" s="115">
        <v>0</v>
      </c>
      <c r="N244" s="115">
        <v>0</v>
      </c>
      <c r="O244" s="115">
        <v>0</v>
      </c>
      <c r="P244" s="115">
        <v>0</v>
      </c>
      <c r="Q244" s="115">
        <v>0</v>
      </c>
      <c r="R244" s="115">
        <v>0</v>
      </c>
      <c r="S244" s="115">
        <v>0</v>
      </c>
      <c r="T244" s="115">
        <v>0</v>
      </c>
      <c r="U244" s="115">
        <v>0</v>
      </c>
      <c r="V244" s="115">
        <v>0</v>
      </c>
      <c r="W244" s="115">
        <v>0</v>
      </c>
      <c r="X244" s="115">
        <v>0</v>
      </c>
      <c r="Y244" s="115">
        <v>0</v>
      </c>
      <c r="Z244" s="115">
        <v>0</v>
      </c>
      <c r="AA244" s="115">
        <v>0</v>
      </c>
      <c r="AB244" s="115">
        <v>0</v>
      </c>
      <c r="AC244" s="115">
        <v>0</v>
      </c>
      <c r="AD244" s="115">
        <v>0</v>
      </c>
      <c r="AE244" s="115">
        <v>0</v>
      </c>
      <c r="AF244" s="115">
        <v>0</v>
      </c>
      <c r="AG244" s="115">
        <v>0</v>
      </c>
      <c r="AH244" s="115">
        <v>0</v>
      </c>
      <c r="AI244" s="115">
        <v>0</v>
      </c>
      <c r="AJ244" s="115">
        <v>0</v>
      </c>
      <c r="AK244" s="115">
        <v>0</v>
      </c>
      <c r="AL244" s="115">
        <v>0</v>
      </c>
      <c r="AM244" s="115">
        <v>0</v>
      </c>
      <c r="AN244" s="115">
        <v>0</v>
      </c>
      <c r="AO244" s="115">
        <v>0</v>
      </c>
      <c r="AP244" s="115">
        <v>0</v>
      </c>
      <c r="AQ244" s="115">
        <v>0</v>
      </c>
      <c r="AR244" s="115">
        <v>0</v>
      </c>
      <c r="AS244" s="115">
        <v>0</v>
      </c>
      <c r="AT244" s="115">
        <v>0</v>
      </c>
      <c r="AU244" s="115">
        <v>0</v>
      </c>
      <c r="AV244" s="115">
        <v>0</v>
      </c>
      <c r="AW244" s="115">
        <v>0</v>
      </c>
      <c r="AX244" s="115">
        <v>0</v>
      </c>
      <c r="AY244" s="115">
        <v>0</v>
      </c>
    </row>
    <row r="245" spans="1:51" x14ac:dyDescent="0.2">
      <c r="A245" s="114"/>
      <c r="B245" s="135">
        <v>37</v>
      </c>
      <c r="C245" s="111">
        <v>0</v>
      </c>
      <c r="D245" s="115">
        <v>0</v>
      </c>
      <c r="E245" s="115">
        <v>0</v>
      </c>
      <c r="F245" s="115">
        <v>0</v>
      </c>
      <c r="G245" s="115">
        <v>0</v>
      </c>
      <c r="H245" s="115">
        <v>0</v>
      </c>
      <c r="I245" s="115">
        <v>0</v>
      </c>
      <c r="J245" s="115">
        <v>0</v>
      </c>
      <c r="K245" s="115">
        <v>0</v>
      </c>
      <c r="L245" s="115">
        <v>0</v>
      </c>
      <c r="M245" s="115">
        <v>0</v>
      </c>
      <c r="N245" s="115">
        <v>0</v>
      </c>
      <c r="O245" s="115">
        <v>0</v>
      </c>
      <c r="P245" s="115">
        <v>0</v>
      </c>
      <c r="Q245" s="115">
        <v>0</v>
      </c>
      <c r="R245" s="115">
        <v>0</v>
      </c>
      <c r="S245" s="115">
        <v>0</v>
      </c>
      <c r="T245" s="115">
        <v>0</v>
      </c>
      <c r="U245" s="115">
        <v>0</v>
      </c>
      <c r="V245" s="115">
        <v>0</v>
      </c>
      <c r="W245" s="115">
        <v>0</v>
      </c>
      <c r="X245" s="115">
        <v>0</v>
      </c>
      <c r="Y245" s="115">
        <v>0</v>
      </c>
      <c r="Z245" s="115">
        <v>0</v>
      </c>
      <c r="AA245" s="115">
        <v>0</v>
      </c>
      <c r="AB245" s="115">
        <v>0</v>
      </c>
      <c r="AC245" s="115">
        <v>0</v>
      </c>
      <c r="AD245" s="115">
        <v>0</v>
      </c>
      <c r="AE245" s="115">
        <v>0</v>
      </c>
      <c r="AF245" s="115">
        <v>0</v>
      </c>
      <c r="AG245" s="115">
        <v>0</v>
      </c>
      <c r="AH245" s="115">
        <v>0</v>
      </c>
      <c r="AI245" s="115">
        <v>0</v>
      </c>
      <c r="AJ245" s="115">
        <v>0</v>
      </c>
      <c r="AK245" s="115">
        <v>0</v>
      </c>
      <c r="AL245" s="115">
        <v>0</v>
      </c>
      <c r="AM245" s="115">
        <v>0</v>
      </c>
      <c r="AN245" s="115">
        <v>0</v>
      </c>
      <c r="AO245" s="115">
        <v>0</v>
      </c>
      <c r="AP245" s="115">
        <v>0</v>
      </c>
      <c r="AQ245" s="115">
        <v>0</v>
      </c>
      <c r="AR245" s="115">
        <v>0</v>
      </c>
      <c r="AS245" s="115">
        <v>0</v>
      </c>
      <c r="AT245" s="115">
        <v>0</v>
      </c>
      <c r="AU245" s="115">
        <v>0</v>
      </c>
      <c r="AV245" s="115">
        <v>0</v>
      </c>
      <c r="AW245" s="115">
        <v>0</v>
      </c>
      <c r="AX245" s="115">
        <v>0</v>
      </c>
      <c r="AY245" s="115">
        <v>0</v>
      </c>
    </row>
    <row r="246" spans="1:51" x14ac:dyDescent="0.2">
      <c r="A246" s="114"/>
      <c r="B246" s="135">
        <v>38</v>
      </c>
      <c r="C246" s="111">
        <v>0</v>
      </c>
      <c r="D246" s="115">
        <v>0</v>
      </c>
      <c r="E246" s="115">
        <v>0</v>
      </c>
      <c r="F246" s="115">
        <v>0</v>
      </c>
      <c r="G246" s="115">
        <v>0</v>
      </c>
      <c r="H246" s="115">
        <v>0</v>
      </c>
      <c r="I246" s="115">
        <v>0</v>
      </c>
      <c r="J246" s="115">
        <v>0</v>
      </c>
      <c r="K246" s="115">
        <v>0</v>
      </c>
      <c r="L246" s="115">
        <v>0</v>
      </c>
      <c r="M246" s="115">
        <v>0</v>
      </c>
      <c r="N246" s="115">
        <v>0</v>
      </c>
      <c r="O246" s="115">
        <v>0</v>
      </c>
      <c r="P246" s="115">
        <v>0</v>
      </c>
      <c r="Q246" s="115">
        <v>0</v>
      </c>
      <c r="R246" s="115">
        <v>0</v>
      </c>
      <c r="S246" s="115">
        <v>0</v>
      </c>
      <c r="T246" s="115">
        <v>0</v>
      </c>
      <c r="U246" s="115">
        <v>0</v>
      </c>
      <c r="V246" s="115">
        <v>0</v>
      </c>
      <c r="W246" s="115">
        <v>0</v>
      </c>
      <c r="X246" s="115">
        <v>0</v>
      </c>
      <c r="Y246" s="115">
        <v>0</v>
      </c>
      <c r="Z246" s="115">
        <v>0</v>
      </c>
      <c r="AA246" s="115">
        <v>0</v>
      </c>
      <c r="AB246" s="115">
        <v>0</v>
      </c>
      <c r="AC246" s="115">
        <v>0</v>
      </c>
      <c r="AD246" s="115">
        <v>0</v>
      </c>
      <c r="AE246" s="115">
        <v>0</v>
      </c>
      <c r="AF246" s="115">
        <v>0</v>
      </c>
      <c r="AG246" s="115">
        <v>0</v>
      </c>
      <c r="AH246" s="115">
        <v>0</v>
      </c>
      <c r="AI246" s="115">
        <v>0</v>
      </c>
      <c r="AJ246" s="115">
        <v>0</v>
      </c>
      <c r="AK246" s="115">
        <v>0</v>
      </c>
      <c r="AL246" s="115">
        <v>0</v>
      </c>
      <c r="AM246" s="115">
        <v>0</v>
      </c>
      <c r="AN246" s="115">
        <v>0</v>
      </c>
      <c r="AO246" s="115">
        <v>0</v>
      </c>
      <c r="AP246" s="115">
        <v>0</v>
      </c>
      <c r="AQ246" s="115">
        <v>0</v>
      </c>
      <c r="AR246" s="115">
        <v>0</v>
      </c>
      <c r="AS246" s="115">
        <v>0</v>
      </c>
      <c r="AT246" s="115">
        <v>0</v>
      </c>
      <c r="AU246" s="115">
        <v>0</v>
      </c>
      <c r="AV246" s="115">
        <v>0</v>
      </c>
      <c r="AW246" s="115">
        <v>0</v>
      </c>
      <c r="AX246" s="115">
        <v>0</v>
      </c>
      <c r="AY246" s="115">
        <v>0</v>
      </c>
    </row>
    <row r="247" spans="1:51" x14ac:dyDescent="0.2">
      <c r="A247" s="114"/>
      <c r="B247" s="135">
        <v>39</v>
      </c>
      <c r="C247" s="111">
        <v>0</v>
      </c>
      <c r="D247" s="115">
        <v>0</v>
      </c>
      <c r="E247" s="115">
        <v>0</v>
      </c>
      <c r="F247" s="115">
        <v>0</v>
      </c>
      <c r="G247" s="115">
        <v>0</v>
      </c>
      <c r="H247" s="115">
        <v>0</v>
      </c>
      <c r="I247" s="115">
        <v>0</v>
      </c>
      <c r="J247" s="115">
        <v>0</v>
      </c>
      <c r="K247" s="115">
        <v>0</v>
      </c>
      <c r="L247" s="115">
        <v>0</v>
      </c>
      <c r="M247" s="115">
        <v>0</v>
      </c>
      <c r="N247" s="115">
        <v>0</v>
      </c>
      <c r="O247" s="115">
        <v>0</v>
      </c>
      <c r="P247" s="115">
        <v>0</v>
      </c>
      <c r="Q247" s="115">
        <v>0</v>
      </c>
      <c r="R247" s="115">
        <v>0</v>
      </c>
      <c r="S247" s="115">
        <v>0</v>
      </c>
      <c r="T247" s="115">
        <v>0</v>
      </c>
      <c r="U247" s="115">
        <v>0</v>
      </c>
      <c r="V247" s="115">
        <v>0</v>
      </c>
      <c r="W247" s="115">
        <v>0</v>
      </c>
      <c r="X247" s="115">
        <v>0</v>
      </c>
      <c r="Y247" s="115">
        <v>0</v>
      </c>
      <c r="Z247" s="115">
        <v>0</v>
      </c>
      <c r="AA247" s="115">
        <v>0</v>
      </c>
      <c r="AB247" s="115">
        <v>0</v>
      </c>
      <c r="AC247" s="115">
        <v>0</v>
      </c>
      <c r="AD247" s="115">
        <v>0</v>
      </c>
      <c r="AE247" s="115">
        <v>0</v>
      </c>
      <c r="AF247" s="115">
        <v>0</v>
      </c>
      <c r="AG247" s="115">
        <v>0</v>
      </c>
      <c r="AH247" s="115">
        <v>0</v>
      </c>
      <c r="AI247" s="115">
        <v>0</v>
      </c>
      <c r="AJ247" s="115">
        <v>0</v>
      </c>
      <c r="AK247" s="115">
        <v>0</v>
      </c>
      <c r="AL247" s="115">
        <v>0</v>
      </c>
      <c r="AM247" s="115">
        <v>0</v>
      </c>
      <c r="AN247" s="115">
        <v>0</v>
      </c>
      <c r="AO247" s="115">
        <v>0</v>
      </c>
      <c r="AP247" s="115">
        <v>0</v>
      </c>
      <c r="AQ247" s="115">
        <v>0</v>
      </c>
      <c r="AR247" s="115">
        <v>0</v>
      </c>
      <c r="AS247" s="115">
        <v>0</v>
      </c>
      <c r="AT247" s="115">
        <v>0</v>
      </c>
      <c r="AU247" s="115">
        <v>0</v>
      </c>
      <c r="AV247" s="115">
        <v>0</v>
      </c>
      <c r="AW247" s="115">
        <v>0</v>
      </c>
      <c r="AX247" s="115">
        <v>0</v>
      </c>
      <c r="AY247" s="115">
        <v>0</v>
      </c>
    </row>
    <row r="248" spans="1:51" x14ac:dyDescent="0.2">
      <c r="A248" s="114"/>
      <c r="B248" s="135">
        <v>40</v>
      </c>
      <c r="C248" s="111">
        <v>0</v>
      </c>
      <c r="D248" s="115">
        <v>0</v>
      </c>
      <c r="E248" s="115">
        <v>0</v>
      </c>
      <c r="F248" s="115">
        <v>0</v>
      </c>
      <c r="G248" s="115">
        <v>0</v>
      </c>
      <c r="H248" s="115">
        <v>0</v>
      </c>
      <c r="I248" s="115">
        <v>0</v>
      </c>
      <c r="J248" s="115">
        <v>0</v>
      </c>
      <c r="K248" s="115">
        <v>0</v>
      </c>
      <c r="L248" s="115">
        <v>0</v>
      </c>
      <c r="M248" s="115">
        <v>0</v>
      </c>
      <c r="N248" s="115">
        <v>0</v>
      </c>
      <c r="O248" s="115">
        <v>0</v>
      </c>
      <c r="P248" s="115">
        <v>0</v>
      </c>
      <c r="Q248" s="115">
        <v>0</v>
      </c>
      <c r="R248" s="115">
        <v>0</v>
      </c>
      <c r="S248" s="115">
        <v>0</v>
      </c>
      <c r="T248" s="115">
        <v>0</v>
      </c>
      <c r="U248" s="115">
        <v>0</v>
      </c>
      <c r="V248" s="115">
        <v>0</v>
      </c>
      <c r="W248" s="115">
        <v>0</v>
      </c>
      <c r="X248" s="115">
        <v>0</v>
      </c>
      <c r="Y248" s="115">
        <v>0</v>
      </c>
      <c r="Z248" s="115">
        <v>0</v>
      </c>
      <c r="AA248" s="115">
        <v>0</v>
      </c>
      <c r="AB248" s="115">
        <v>0</v>
      </c>
      <c r="AC248" s="115">
        <v>0</v>
      </c>
      <c r="AD248" s="115">
        <v>0</v>
      </c>
      <c r="AE248" s="115">
        <v>0</v>
      </c>
      <c r="AF248" s="115">
        <v>0</v>
      </c>
      <c r="AG248" s="115">
        <v>0</v>
      </c>
      <c r="AH248" s="115">
        <v>0</v>
      </c>
      <c r="AI248" s="115">
        <v>0</v>
      </c>
      <c r="AJ248" s="115">
        <v>0</v>
      </c>
      <c r="AK248" s="115">
        <v>0</v>
      </c>
      <c r="AL248" s="115">
        <v>0</v>
      </c>
      <c r="AM248" s="115">
        <v>0</v>
      </c>
      <c r="AN248" s="115">
        <v>0</v>
      </c>
      <c r="AO248" s="115">
        <v>0</v>
      </c>
      <c r="AP248" s="115">
        <v>0</v>
      </c>
      <c r="AQ248" s="115">
        <v>0</v>
      </c>
      <c r="AR248" s="115">
        <v>0</v>
      </c>
      <c r="AS248" s="115">
        <v>0</v>
      </c>
      <c r="AT248" s="115">
        <v>0</v>
      </c>
      <c r="AU248" s="115">
        <v>0</v>
      </c>
      <c r="AV248" s="115">
        <v>0</v>
      </c>
      <c r="AW248" s="115">
        <v>0</v>
      </c>
      <c r="AX248" s="115">
        <v>0</v>
      </c>
      <c r="AY248" s="115">
        <v>0</v>
      </c>
    </row>
    <row r="249" spans="1:51" x14ac:dyDescent="0.2">
      <c r="A249" s="114"/>
      <c r="B249" s="135">
        <v>41</v>
      </c>
      <c r="C249" s="111">
        <v>0</v>
      </c>
      <c r="D249" s="115">
        <v>0</v>
      </c>
      <c r="E249" s="115">
        <v>0</v>
      </c>
      <c r="F249" s="115">
        <v>0</v>
      </c>
      <c r="G249" s="115">
        <v>0</v>
      </c>
      <c r="H249" s="115">
        <v>0</v>
      </c>
      <c r="I249" s="115">
        <v>0</v>
      </c>
      <c r="J249" s="115">
        <v>0</v>
      </c>
      <c r="K249" s="115">
        <v>0</v>
      </c>
      <c r="L249" s="115">
        <v>0</v>
      </c>
      <c r="M249" s="115">
        <v>0</v>
      </c>
      <c r="N249" s="115">
        <v>0</v>
      </c>
      <c r="O249" s="115">
        <v>0</v>
      </c>
      <c r="P249" s="115">
        <v>0</v>
      </c>
      <c r="Q249" s="115">
        <v>0</v>
      </c>
      <c r="R249" s="115">
        <v>0</v>
      </c>
      <c r="S249" s="115">
        <v>0</v>
      </c>
      <c r="T249" s="115">
        <v>0</v>
      </c>
      <c r="U249" s="115">
        <v>0</v>
      </c>
      <c r="V249" s="115">
        <v>0</v>
      </c>
      <c r="W249" s="115">
        <v>0</v>
      </c>
      <c r="X249" s="115">
        <v>0</v>
      </c>
      <c r="Y249" s="115">
        <v>0</v>
      </c>
      <c r="Z249" s="115">
        <v>0</v>
      </c>
      <c r="AA249" s="115">
        <v>0</v>
      </c>
      <c r="AB249" s="115">
        <v>0</v>
      </c>
      <c r="AC249" s="115">
        <v>0</v>
      </c>
      <c r="AD249" s="115">
        <v>0</v>
      </c>
      <c r="AE249" s="115">
        <v>0</v>
      </c>
      <c r="AF249" s="115">
        <v>0</v>
      </c>
      <c r="AG249" s="115">
        <v>0</v>
      </c>
      <c r="AH249" s="115">
        <v>0</v>
      </c>
      <c r="AI249" s="115">
        <v>0</v>
      </c>
      <c r="AJ249" s="115">
        <v>0</v>
      </c>
      <c r="AK249" s="115">
        <v>0</v>
      </c>
      <c r="AL249" s="115">
        <v>0</v>
      </c>
      <c r="AM249" s="115">
        <v>0</v>
      </c>
      <c r="AN249" s="115">
        <v>0</v>
      </c>
      <c r="AO249" s="115">
        <v>0</v>
      </c>
      <c r="AP249" s="115">
        <v>0</v>
      </c>
      <c r="AQ249" s="115">
        <v>0</v>
      </c>
      <c r="AR249" s="115">
        <v>0</v>
      </c>
      <c r="AS249" s="115">
        <v>0</v>
      </c>
      <c r="AT249" s="115">
        <v>0</v>
      </c>
      <c r="AU249" s="115">
        <v>0</v>
      </c>
      <c r="AV249" s="115">
        <v>0</v>
      </c>
      <c r="AW249" s="115">
        <v>0</v>
      </c>
      <c r="AX249" s="115">
        <v>0</v>
      </c>
      <c r="AY249" s="115">
        <v>0</v>
      </c>
    </row>
    <row r="250" spans="1:51" x14ac:dyDescent="0.2">
      <c r="A250" s="114"/>
      <c r="B250" s="135">
        <v>42</v>
      </c>
      <c r="C250" s="111">
        <v>0</v>
      </c>
      <c r="D250" s="115">
        <v>0</v>
      </c>
      <c r="E250" s="115">
        <v>0</v>
      </c>
      <c r="F250" s="115">
        <v>0</v>
      </c>
      <c r="G250" s="115">
        <v>0</v>
      </c>
      <c r="H250" s="115">
        <v>0</v>
      </c>
      <c r="I250" s="115">
        <v>0</v>
      </c>
      <c r="J250" s="115">
        <v>0</v>
      </c>
      <c r="K250" s="115">
        <v>0</v>
      </c>
      <c r="L250" s="115">
        <v>0</v>
      </c>
      <c r="M250" s="115">
        <v>0</v>
      </c>
      <c r="N250" s="115">
        <v>0</v>
      </c>
      <c r="O250" s="115">
        <v>0</v>
      </c>
      <c r="P250" s="115">
        <v>0</v>
      </c>
      <c r="Q250" s="115">
        <v>0</v>
      </c>
      <c r="R250" s="115">
        <v>0</v>
      </c>
      <c r="S250" s="115">
        <v>0</v>
      </c>
      <c r="T250" s="115">
        <v>0</v>
      </c>
      <c r="U250" s="115">
        <v>0</v>
      </c>
      <c r="V250" s="115">
        <v>0</v>
      </c>
      <c r="W250" s="115">
        <v>0</v>
      </c>
      <c r="X250" s="115">
        <v>0</v>
      </c>
      <c r="Y250" s="115">
        <v>0</v>
      </c>
      <c r="Z250" s="115">
        <v>0</v>
      </c>
      <c r="AA250" s="115">
        <v>0</v>
      </c>
      <c r="AB250" s="115">
        <v>0</v>
      </c>
      <c r="AC250" s="115">
        <v>0</v>
      </c>
      <c r="AD250" s="115">
        <v>0</v>
      </c>
      <c r="AE250" s="115">
        <v>0</v>
      </c>
      <c r="AF250" s="115">
        <v>0</v>
      </c>
      <c r="AG250" s="115">
        <v>0</v>
      </c>
      <c r="AH250" s="115">
        <v>0</v>
      </c>
      <c r="AI250" s="115">
        <v>0</v>
      </c>
      <c r="AJ250" s="115">
        <v>0</v>
      </c>
      <c r="AK250" s="115">
        <v>0</v>
      </c>
      <c r="AL250" s="115">
        <v>0</v>
      </c>
      <c r="AM250" s="115">
        <v>0</v>
      </c>
      <c r="AN250" s="115">
        <v>0</v>
      </c>
      <c r="AO250" s="115">
        <v>0</v>
      </c>
      <c r="AP250" s="115">
        <v>0</v>
      </c>
      <c r="AQ250" s="115">
        <v>0</v>
      </c>
      <c r="AR250" s="115">
        <v>0</v>
      </c>
      <c r="AS250" s="115">
        <v>0</v>
      </c>
      <c r="AT250" s="115">
        <v>0</v>
      </c>
      <c r="AU250" s="115">
        <v>0</v>
      </c>
      <c r="AV250" s="115">
        <v>0</v>
      </c>
      <c r="AW250" s="115">
        <v>0</v>
      </c>
      <c r="AX250" s="115">
        <v>0</v>
      </c>
      <c r="AY250" s="115">
        <v>0</v>
      </c>
    </row>
    <row r="251" spans="1:51" x14ac:dyDescent="0.2">
      <c r="A251" s="114"/>
      <c r="B251" s="135">
        <v>43</v>
      </c>
      <c r="C251" s="111">
        <v>0</v>
      </c>
      <c r="D251" s="115">
        <v>0</v>
      </c>
      <c r="E251" s="115">
        <v>0</v>
      </c>
      <c r="F251" s="115">
        <v>0</v>
      </c>
      <c r="G251" s="115">
        <v>0</v>
      </c>
      <c r="H251" s="115">
        <v>0</v>
      </c>
      <c r="I251" s="115">
        <v>0</v>
      </c>
      <c r="J251" s="115">
        <v>0</v>
      </c>
      <c r="K251" s="115">
        <v>0</v>
      </c>
      <c r="L251" s="115">
        <v>0</v>
      </c>
      <c r="M251" s="115">
        <v>0</v>
      </c>
      <c r="N251" s="115">
        <v>0</v>
      </c>
      <c r="O251" s="115">
        <v>0</v>
      </c>
      <c r="P251" s="115">
        <v>0</v>
      </c>
      <c r="Q251" s="115">
        <v>0</v>
      </c>
      <c r="R251" s="115">
        <v>0</v>
      </c>
      <c r="S251" s="115">
        <v>0</v>
      </c>
      <c r="T251" s="115">
        <v>0</v>
      </c>
      <c r="U251" s="115">
        <v>0</v>
      </c>
      <c r="V251" s="115">
        <v>0</v>
      </c>
      <c r="W251" s="115">
        <v>0</v>
      </c>
      <c r="X251" s="115">
        <v>0</v>
      </c>
      <c r="Y251" s="115">
        <v>0</v>
      </c>
      <c r="Z251" s="115">
        <v>0</v>
      </c>
      <c r="AA251" s="115">
        <v>0</v>
      </c>
      <c r="AB251" s="115">
        <v>0</v>
      </c>
      <c r="AC251" s="115">
        <v>0</v>
      </c>
      <c r="AD251" s="115">
        <v>0</v>
      </c>
      <c r="AE251" s="115">
        <v>0</v>
      </c>
      <c r="AF251" s="115">
        <v>0</v>
      </c>
      <c r="AG251" s="115">
        <v>0</v>
      </c>
      <c r="AH251" s="115">
        <v>0</v>
      </c>
      <c r="AI251" s="115">
        <v>0</v>
      </c>
      <c r="AJ251" s="115">
        <v>0</v>
      </c>
      <c r="AK251" s="115">
        <v>0</v>
      </c>
      <c r="AL251" s="115">
        <v>0</v>
      </c>
      <c r="AM251" s="115">
        <v>0</v>
      </c>
      <c r="AN251" s="115">
        <v>0</v>
      </c>
      <c r="AO251" s="115">
        <v>0</v>
      </c>
      <c r="AP251" s="115">
        <v>0</v>
      </c>
      <c r="AQ251" s="115">
        <v>0</v>
      </c>
      <c r="AR251" s="115">
        <v>0</v>
      </c>
      <c r="AS251" s="115">
        <v>0</v>
      </c>
      <c r="AT251" s="115">
        <v>0</v>
      </c>
      <c r="AU251" s="115">
        <v>0</v>
      </c>
      <c r="AV251" s="115">
        <v>0</v>
      </c>
      <c r="AW251" s="115">
        <v>0</v>
      </c>
      <c r="AX251" s="115">
        <v>0</v>
      </c>
      <c r="AY251" s="115">
        <v>0</v>
      </c>
    </row>
    <row r="252" spans="1:51" x14ac:dyDescent="0.2">
      <c r="A252" s="114"/>
      <c r="B252" s="135">
        <v>44</v>
      </c>
      <c r="C252" s="111">
        <v>0</v>
      </c>
      <c r="D252" s="115">
        <v>0</v>
      </c>
      <c r="E252" s="115">
        <v>0</v>
      </c>
      <c r="F252" s="115">
        <v>0</v>
      </c>
      <c r="G252" s="115">
        <v>0</v>
      </c>
      <c r="H252" s="115">
        <v>0</v>
      </c>
      <c r="I252" s="115">
        <v>0</v>
      </c>
      <c r="J252" s="115">
        <v>0</v>
      </c>
      <c r="K252" s="115">
        <v>0</v>
      </c>
      <c r="L252" s="115">
        <v>0</v>
      </c>
      <c r="M252" s="115">
        <v>0</v>
      </c>
      <c r="N252" s="115">
        <v>0</v>
      </c>
      <c r="O252" s="115">
        <v>0</v>
      </c>
      <c r="P252" s="115">
        <v>0</v>
      </c>
      <c r="Q252" s="115">
        <v>0</v>
      </c>
      <c r="R252" s="115">
        <v>0</v>
      </c>
      <c r="S252" s="115">
        <v>0</v>
      </c>
      <c r="T252" s="115">
        <v>0</v>
      </c>
      <c r="U252" s="115">
        <v>0</v>
      </c>
      <c r="V252" s="115">
        <v>0</v>
      </c>
      <c r="W252" s="115">
        <v>0</v>
      </c>
      <c r="X252" s="115">
        <v>0</v>
      </c>
      <c r="Y252" s="115">
        <v>0</v>
      </c>
      <c r="Z252" s="115">
        <v>0</v>
      </c>
      <c r="AA252" s="115">
        <v>0</v>
      </c>
      <c r="AB252" s="115">
        <v>0</v>
      </c>
      <c r="AC252" s="115">
        <v>0</v>
      </c>
      <c r="AD252" s="115">
        <v>0</v>
      </c>
      <c r="AE252" s="115">
        <v>0</v>
      </c>
      <c r="AF252" s="115">
        <v>0</v>
      </c>
      <c r="AG252" s="115">
        <v>0</v>
      </c>
      <c r="AH252" s="115">
        <v>0</v>
      </c>
      <c r="AI252" s="115">
        <v>0</v>
      </c>
      <c r="AJ252" s="115">
        <v>0</v>
      </c>
      <c r="AK252" s="115">
        <v>0</v>
      </c>
      <c r="AL252" s="115">
        <v>0</v>
      </c>
      <c r="AM252" s="115">
        <v>0</v>
      </c>
      <c r="AN252" s="115">
        <v>0</v>
      </c>
      <c r="AO252" s="115">
        <v>0</v>
      </c>
      <c r="AP252" s="115">
        <v>0</v>
      </c>
      <c r="AQ252" s="115">
        <v>0</v>
      </c>
      <c r="AR252" s="115">
        <v>0</v>
      </c>
      <c r="AS252" s="115">
        <v>0</v>
      </c>
      <c r="AT252" s="115">
        <v>0</v>
      </c>
      <c r="AU252" s="115">
        <v>0</v>
      </c>
      <c r="AV252" s="115">
        <v>0</v>
      </c>
      <c r="AW252" s="115">
        <v>0</v>
      </c>
      <c r="AX252" s="115">
        <v>0</v>
      </c>
      <c r="AY252" s="115">
        <v>0</v>
      </c>
    </row>
    <row r="253" spans="1:51" x14ac:dyDescent="0.2">
      <c r="A253" s="114"/>
      <c r="B253" s="135">
        <v>45</v>
      </c>
      <c r="C253" s="111">
        <v>0</v>
      </c>
      <c r="D253" s="115">
        <v>0</v>
      </c>
      <c r="E253" s="115">
        <v>0</v>
      </c>
      <c r="F253" s="115">
        <v>0</v>
      </c>
      <c r="G253" s="115">
        <v>0</v>
      </c>
      <c r="H253" s="115">
        <v>0</v>
      </c>
      <c r="I253" s="115">
        <v>0</v>
      </c>
      <c r="J253" s="115">
        <v>0</v>
      </c>
      <c r="K253" s="115">
        <v>0</v>
      </c>
      <c r="L253" s="115">
        <v>0</v>
      </c>
      <c r="M253" s="115">
        <v>0</v>
      </c>
      <c r="N253" s="115">
        <v>0</v>
      </c>
      <c r="O253" s="115">
        <v>0</v>
      </c>
      <c r="P253" s="115">
        <v>0</v>
      </c>
      <c r="Q253" s="115">
        <v>0</v>
      </c>
      <c r="R253" s="115">
        <v>0</v>
      </c>
      <c r="S253" s="115">
        <v>0</v>
      </c>
      <c r="T253" s="115">
        <v>0</v>
      </c>
      <c r="U253" s="115">
        <v>0</v>
      </c>
      <c r="V253" s="115">
        <v>0</v>
      </c>
      <c r="W253" s="115">
        <v>0</v>
      </c>
      <c r="X253" s="115">
        <v>0</v>
      </c>
      <c r="Y253" s="115">
        <v>0</v>
      </c>
      <c r="Z253" s="115">
        <v>0</v>
      </c>
      <c r="AA253" s="115">
        <v>0</v>
      </c>
      <c r="AB253" s="115">
        <v>0</v>
      </c>
      <c r="AC253" s="115">
        <v>0</v>
      </c>
      <c r="AD253" s="115">
        <v>0</v>
      </c>
      <c r="AE253" s="115">
        <v>0</v>
      </c>
      <c r="AF253" s="115">
        <v>0</v>
      </c>
      <c r="AG253" s="115">
        <v>0</v>
      </c>
      <c r="AH253" s="115">
        <v>0</v>
      </c>
      <c r="AI253" s="115">
        <v>0</v>
      </c>
      <c r="AJ253" s="115">
        <v>0</v>
      </c>
      <c r="AK253" s="115">
        <v>0</v>
      </c>
      <c r="AL253" s="115">
        <v>0</v>
      </c>
      <c r="AM253" s="115">
        <v>0</v>
      </c>
      <c r="AN253" s="115">
        <v>0</v>
      </c>
      <c r="AO253" s="115">
        <v>0</v>
      </c>
      <c r="AP253" s="115">
        <v>0</v>
      </c>
      <c r="AQ253" s="115">
        <v>0</v>
      </c>
      <c r="AR253" s="115">
        <v>0</v>
      </c>
      <c r="AS253" s="115">
        <v>0</v>
      </c>
      <c r="AT253" s="115">
        <v>0</v>
      </c>
      <c r="AU253" s="115">
        <v>0</v>
      </c>
      <c r="AV253" s="115">
        <v>0</v>
      </c>
      <c r="AW253" s="115">
        <v>0</v>
      </c>
      <c r="AX253" s="115">
        <v>0</v>
      </c>
      <c r="AY253" s="115">
        <v>0</v>
      </c>
    </row>
    <row r="254" spans="1:51" x14ac:dyDescent="0.2">
      <c r="A254" s="114"/>
      <c r="B254" s="135">
        <v>46</v>
      </c>
      <c r="C254" s="111">
        <v>0</v>
      </c>
      <c r="D254" s="115">
        <v>0</v>
      </c>
      <c r="E254" s="115">
        <v>0</v>
      </c>
      <c r="F254" s="115">
        <v>0</v>
      </c>
      <c r="G254" s="115">
        <v>0</v>
      </c>
      <c r="H254" s="115">
        <v>0</v>
      </c>
      <c r="I254" s="115">
        <v>0</v>
      </c>
      <c r="J254" s="115">
        <v>0</v>
      </c>
      <c r="K254" s="115">
        <v>0</v>
      </c>
      <c r="L254" s="115">
        <v>0</v>
      </c>
      <c r="M254" s="115">
        <v>0</v>
      </c>
      <c r="N254" s="115">
        <v>0</v>
      </c>
      <c r="O254" s="115">
        <v>0</v>
      </c>
      <c r="P254" s="115">
        <v>0</v>
      </c>
      <c r="Q254" s="115">
        <v>0</v>
      </c>
      <c r="R254" s="115">
        <v>0</v>
      </c>
      <c r="S254" s="115">
        <v>0</v>
      </c>
      <c r="T254" s="115">
        <v>0</v>
      </c>
      <c r="U254" s="115">
        <v>0</v>
      </c>
      <c r="V254" s="115">
        <v>0</v>
      </c>
      <c r="W254" s="115">
        <v>0</v>
      </c>
      <c r="X254" s="115">
        <v>0</v>
      </c>
      <c r="Y254" s="115">
        <v>0</v>
      </c>
      <c r="Z254" s="115">
        <v>0</v>
      </c>
      <c r="AA254" s="115">
        <v>0</v>
      </c>
      <c r="AB254" s="115">
        <v>0</v>
      </c>
      <c r="AC254" s="115">
        <v>0</v>
      </c>
      <c r="AD254" s="115">
        <v>0</v>
      </c>
      <c r="AE254" s="115">
        <v>0</v>
      </c>
      <c r="AF254" s="115">
        <v>0</v>
      </c>
      <c r="AG254" s="115">
        <v>0</v>
      </c>
      <c r="AH254" s="115">
        <v>0</v>
      </c>
      <c r="AI254" s="115">
        <v>0</v>
      </c>
      <c r="AJ254" s="115">
        <v>0</v>
      </c>
      <c r="AK254" s="115">
        <v>0</v>
      </c>
      <c r="AL254" s="115">
        <v>0</v>
      </c>
      <c r="AM254" s="115">
        <v>0</v>
      </c>
      <c r="AN254" s="115">
        <v>0</v>
      </c>
      <c r="AO254" s="115">
        <v>0</v>
      </c>
      <c r="AP254" s="115">
        <v>0</v>
      </c>
      <c r="AQ254" s="115">
        <v>0</v>
      </c>
      <c r="AR254" s="115">
        <v>0</v>
      </c>
      <c r="AS254" s="115">
        <v>0</v>
      </c>
      <c r="AT254" s="115">
        <v>0</v>
      </c>
      <c r="AU254" s="115">
        <v>0</v>
      </c>
      <c r="AV254" s="115">
        <v>0</v>
      </c>
      <c r="AW254" s="115">
        <v>0</v>
      </c>
      <c r="AX254" s="115">
        <v>0</v>
      </c>
      <c r="AY254" s="115">
        <v>0</v>
      </c>
    </row>
    <row r="255" spans="1:51" x14ac:dyDescent="0.2">
      <c r="A255" s="114"/>
      <c r="B255" s="135">
        <v>47</v>
      </c>
      <c r="C255" s="111">
        <v>0</v>
      </c>
      <c r="D255" s="115">
        <v>0</v>
      </c>
      <c r="E255" s="115">
        <v>0</v>
      </c>
      <c r="F255" s="115">
        <v>0</v>
      </c>
      <c r="G255" s="115">
        <v>0</v>
      </c>
      <c r="H255" s="115">
        <v>0</v>
      </c>
      <c r="I255" s="115">
        <v>0</v>
      </c>
      <c r="J255" s="115">
        <v>0</v>
      </c>
      <c r="K255" s="115">
        <v>0</v>
      </c>
      <c r="L255" s="115">
        <v>0</v>
      </c>
      <c r="M255" s="115">
        <v>0</v>
      </c>
      <c r="N255" s="115">
        <v>0</v>
      </c>
      <c r="O255" s="115">
        <v>0</v>
      </c>
      <c r="P255" s="115">
        <v>0</v>
      </c>
      <c r="Q255" s="115">
        <v>0</v>
      </c>
      <c r="R255" s="115">
        <v>0</v>
      </c>
      <c r="S255" s="115">
        <v>0</v>
      </c>
      <c r="T255" s="115">
        <v>0</v>
      </c>
      <c r="U255" s="115">
        <v>0</v>
      </c>
      <c r="V255" s="115">
        <v>0</v>
      </c>
      <c r="W255" s="115">
        <v>0</v>
      </c>
      <c r="X255" s="115">
        <v>0</v>
      </c>
      <c r="Y255" s="115">
        <v>0</v>
      </c>
      <c r="Z255" s="115">
        <v>0</v>
      </c>
      <c r="AA255" s="115">
        <v>0</v>
      </c>
      <c r="AB255" s="115">
        <v>0</v>
      </c>
      <c r="AC255" s="115">
        <v>0</v>
      </c>
      <c r="AD255" s="115">
        <v>0</v>
      </c>
      <c r="AE255" s="115">
        <v>0</v>
      </c>
      <c r="AF255" s="115">
        <v>0</v>
      </c>
      <c r="AG255" s="115">
        <v>0</v>
      </c>
      <c r="AH255" s="115">
        <v>0</v>
      </c>
      <c r="AI255" s="115">
        <v>0</v>
      </c>
      <c r="AJ255" s="115">
        <v>0</v>
      </c>
      <c r="AK255" s="115">
        <v>0</v>
      </c>
      <c r="AL255" s="115">
        <v>0</v>
      </c>
      <c r="AM255" s="115">
        <v>0</v>
      </c>
      <c r="AN255" s="115">
        <v>0</v>
      </c>
      <c r="AO255" s="115">
        <v>0</v>
      </c>
      <c r="AP255" s="115">
        <v>0</v>
      </c>
      <c r="AQ255" s="115">
        <v>0</v>
      </c>
      <c r="AR255" s="115">
        <v>0</v>
      </c>
      <c r="AS255" s="115">
        <v>0</v>
      </c>
      <c r="AT255" s="115">
        <v>0</v>
      </c>
      <c r="AU255" s="115">
        <v>0</v>
      </c>
      <c r="AV255" s="115">
        <v>0</v>
      </c>
      <c r="AW255" s="115">
        <v>0</v>
      </c>
      <c r="AX255" s="115">
        <v>0</v>
      </c>
      <c r="AY255" s="115">
        <v>0</v>
      </c>
    </row>
    <row r="256" spans="1:51" x14ac:dyDescent="0.2">
      <c r="A256" s="133"/>
      <c r="B256" s="134">
        <v>48</v>
      </c>
      <c r="C256" s="119">
        <v>0</v>
      </c>
      <c r="D256" s="130">
        <v>0</v>
      </c>
      <c r="E256" s="130">
        <v>0</v>
      </c>
      <c r="F256" s="130">
        <v>0</v>
      </c>
      <c r="G256" s="130">
        <v>0</v>
      </c>
      <c r="H256" s="130">
        <v>0</v>
      </c>
      <c r="I256" s="130">
        <v>0</v>
      </c>
      <c r="J256" s="130">
        <v>0</v>
      </c>
      <c r="K256" s="130">
        <v>0</v>
      </c>
      <c r="L256" s="130">
        <v>0</v>
      </c>
      <c r="M256" s="130">
        <v>0</v>
      </c>
      <c r="N256" s="130">
        <v>0</v>
      </c>
      <c r="O256" s="130">
        <v>0</v>
      </c>
      <c r="P256" s="130">
        <v>0</v>
      </c>
      <c r="Q256" s="130">
        <v>0</v>
      </c>
      <c r="R256" s="130">
        <v>0</v>
      </c>
      <c r="S256" s="130">
        <v>0</v>
      </c>
      <c r="T256" s="130">
        <v>0</v>
      </c>
      <c r="U256" s="130">
        <v>0</v>
      </c>
      <c r="V256" s="130">
        <v>0</v>
      </c>
      <c r="W256" s="130">
        <v>0</v>
      </c>
      <c r="X256" s="130">
        <v>0</v>
      </c>
      <c r="Y256" s="130">
        <v>0</v>
      </c>
      <c r="Z256" s="130">
        <v>0</v>
      </c>
      <c r="AA256" s="130">
        <v>0</v>
      </c>
      <c r="AB256" s="130">
        <v>0</v>
      </c>
      <c r="AC256" s="130">
        <v>0</v>
      </c>
      <c r="AD256" s="130">
        <v>0</v>
      </c>
      <c r="AE256" s="130">
        <v>0</v>
      </c>
      <c r="AF256" s="130">
        <v>0</v>
      </c>
      <c r="AG256" s="130">
        <v>0</v>
      </c>
      <c r="AH256" s="130">
        <v>0</v>
      </c>
      <c r="AI256" s="130">
        <v>0</v>
      </c>
      <c r="AJ256" s="130">
        <v>0</v>
      </c>
      <c r="AK256" s="130">
        <v>0</v>
      </c>
      <c r="AL256" s="130">
        <v>0</v>
      </c>
      <c r="AM256" s="130">
        <v>0</v>
      </c>
      <c r="AN256" s="130">
        <v>0</v>
      </c>
      <c r="AO256" s="130">
        <v>0</v>
      </c>
      <c r="AP256" s="130">
        <v>0</v>
      </c>
      <c r="AQ256" s="130">
        <v>0</v>
      </c>
      <c r="AR256" s="130">
        <v>0</v>
      </c>
      <c r="AS256" s="130">
        <v>0</v>
      </c>
      <c r="AT256" s="130">
        <v>0</v>
      </c>
      <c r="AU256" s="130">
        <v>0</v>
      </c>
      <c r="AV256" s="130">
        <v>0</v>
      </c>
      <c r="AW256" s="130">
        <v>0</v>
      </c>
      <c r="AX256" s="130">
        <v>0</v>
      </c>
      <c r="AY256" s="130">
        <v>0</v>
      </c>
    </row>
    <row r="258" spans="1:52" x14ac:dyDescent="0.2">
      <c r="A258" s="107" t="s">
        <v>301</v>
      </c>
    </row>
    <row r="259" spans="1:52" x14ac:dyDescent="0.2">
      <c r="A259" s="142" t="s">
        <v>124</v>
      </c>
      <c r="B259" s="143">
        <v>650</v>
      </c>
      <c r="C259" s="129" t="s">
        <v>293</v>
      </c>
      <c r="D259" s="129">
        <f>E$14*$B$259</f>
        <v>0</v>
      </c>
      <c r="E259" s="129">
        <f t="shared" ref="E259:AX259" si="5">F$14*$B$259</f>
        <v>0</v>
      </c>
      <c r="F259" s="129">
        <f t="shared" si="5"/>
        <v>0</v>
      </c>
      <c r="G259" s="129">
        <f t="shared" si="5"/>
        <v>0</v>
      </c>
      <c r="H259" s="129">
        <f t="shared" si="5"/>
        <v>27442.706867460653</v>
      </c>
      <c r="I259" s="129">
        <f t="shared" si="5"/>
        <v>27442.706867460653</v>
      </c>
      <c r="J259" s="129">
        <f t="shared" si="5"/>
        <v>30345.290545042797</v>
      </c>
      <c r="K259" s="129">
        <f t="shared" si="5"/>
        <v>30345.290545042797</v>
      </c>
      <c r="L259" s="129">
        <f t="shared" si="5"/>
        <v>30345.290545042797</v>
      </c>
      <c r="M259" s="129">
        <f t="shared" si="5"/>
        <v>30345.290545042797</v>
      </c>
      <c r="N259" s="129">
        <f t="shared" si="5"/>
        <v>29764.77380952637</v>
      </c>
      <c r="O259" s="129">
        <f t="shared" si="5"/>
        <v>29764.77380952637</v>
      </c>
      <c r="P259" s="129">
        <f t="shared" si="5"/>
        <v>29764.77380952637</v>
      </c>
      <c r="Q259" s="129">
        <f t="shared" si="5"/>
        <v>29764.77380952637</v>
      </c>
      <c r="R259" s="129">
        <f t="shared" si="5"/>
        <v>29764.77380952637</v>
      </c>
      <c r="S259" s="129">
        <f t="shared" si="5"/>
        <v>29764.77380952637</v>
      </c>
      <c r="T259" s="129">
        <f t="shared" si="5"/>
        <v>27442.706867460653</v>
      </c>
      <c r="U259" s="129">
        <f t="shared" si="5"/>
        <v>31723.719336742251</v>
      </c>
      <c r="V259" s="129">
        <f t="shared" si="5"/>
        <v>30872.952652253436</v>
      </c>
      <c r="W259" s="129">
        <f t="shared" si="5"/>
        <v>29764.77380952637</v>
      </c>
      <c r="X259" s="129">
        <f t="shared" si="5"/>
        <v>29764.77380952637</v>
      </c>
      <c r="Y259" s="129">
        <f t="shared" si="5"/>
        <v>29764.77380952637</v>
      </c>
      <c r="Z259" s="129">
        <f t="shared" si="5"/>
        <v>29764.77380952637</v>
      </c>
      <c r="AA259" s="129">
        <f t="shared" si="5"/>
        <v>29764.77380952637</v>
      </c>
      <c r="AB259" s="129">
        <f t="shared" si="5"/>
        <v>29764.77380952637</v>
      </c>
      <c r="AC259" s="129">
        <f t="shared" si="5"/>
        <v>31721.348182725244</v>
      </c>
      <c r="AD259" s="129">
        <f t="shared" si="5"/>
        <v>29764.77380952637</v>
      </c>
      <c r="AE259" s="129">
        <f t="shared" si="5"/>
        <v>29764.77380952637</v>
      </c>
      <c r="AF259" s="129">
        <f t="shared" si="5"/>
        <v>29764.77380952637</v>
      </c>
      <c r="AG259" s="129">
        <f t="shared" si="5"/>
        <v>29764.77380952637</v>
      </c>
      <c r="AH259" s="129">
        <f t="shared" si="5"/>
        <v>29764.77380952637</v>
      </c>
      <c r="AI259" s="129">
        <f t="shared" si="5"/>
        <v>30442.160582787656</v>
      </c>
      <c r="AJ259" s="129">
        <f t="shared" si="5"/>
        <v>29959.97525993871</v>
      </c>
      <c r="AK259" s="129">
        <f t="shared" si="5"/>
        <v>29764.77380952637</v>
      </c>
      <c r="AL259" s="129">
        <f t="shared" si="5"/>
        <v>29764.77380952637</v>
      </c>
      <c r="AM259" s="129">
        <f t="shared" si="5"/>
        <v>29764.77380952637</v>
      </c>
      <c r="AN259" s="129">
        <f t="shared" si="5"/>
        <v>29764.77380952637</v>
      </c>
      <c r="AO259" s="129">
        <f t="shared" si="5"/>
        <v>29764.77380952637</v>
      </c>
      <c r="AP259" s="129">
        <f t="shared" si="5"/>
        <v>29764.77380952637</v>
      </c>
      <c r="AQ259" s="129">
        <f t="shared" si="5"/>
        <v>29764.77380952637</v>
      </c>
      <c r="AR259" s="129">
        <f t="shared" si="5"/>
        <v>29764.77380952637</v>
      </c>
      <c r="AS259" s="129">
        <f t="shared" si="5"/>
        <v>29764.77380952637</v>
      </c>
      <c r="AT259" s="129">
        <f t="shared" si="5"/>
        <v>29764.77380952637</v>
      </c>
      <c r="AU259" s="129">
        <f t="shared" si="5"/>
        <v>29764.77380952637</v>
      </c>
      <c r="AV259" s="129">
        <f t="shared" si="5"/>
        <v>29764.77380952637</v>
      </c>
      <c r="AW259" s="129">
        <f t="shared" si="5"/>
        <v>30536.620732208859</v>
      </c>
      <c r="AX259" s="129">
        <f t="shared" si="5"/>
        <v>30134.375560024822</v>
      </c>
      <c r="AY259" s="129">
        <f>AZ$14*$B$259</f>
        <v>30096.488177273448</v>
      </c>
      <c r="AZ259" s="144">
        <f>SUM($D259:$AY259)</f>
        <v>1312375.363742772</v>
      </c>
    </row>
    <row r="260" spans="1:52" x14ac:dyDescent="0.2">
      <c r="A260" s="145" t="s">
        <v>302</v>
      </c>
      <c r="B260" s="119">
        <v>60</v>
      </c>
      <c r="C260" s="130" t="s">
        <v>293</v>
      </c>
      <c r="D260" s="130">
        <f>(D$175-D$176+D$177-D$178+D$179-D$180+D$181-D$182)*$B$260</f>
        <v>660.00000000000171</v>
      </c>
      <c r="E260" s="130">
        <f t="shared" ref="E260:AY260" si="6">(E$175-E$176+E$177-E$178+E$179-E$180+E$181-E$182)*$B$260</f>
        <v>1043.023344000002</v>
      </c>
      <c r="F260" s="130">
        <f t="shared" si="6"/>
        <v>0</v>
      </c>
      <c r="G260" s="130">
        <f t="shared" si="6"/>
        <v>0</v>
      </c>
      <c r="H260" s="130">
        <f t="shared" si="6"/>
        <v>0</v>
      </c>
      <c r="I260" s="130">
        <f t="shared" si="6"/>
        <v>0</v>
      </c>
      <c r="J260" s="130">
        <f t="shared" si="6"/>
        <v>0</v>
      </c>
      <c r="K260" s="130">
        <f t="shared" si="6"/>
        <v>0</v>
      </c>
      <c r="L260" s="130">
        <f t="shared" si="6"/>
        <v>0</v>
      </c>
      <c r="M260" s="130">
        <f t="shared" si="6"/>
        <v>0</v>
      </c>
      <c r="N260" s="130">
        <f t="shared" si="6"/>
        <v>0</v>
      </c>
      <c r="O260" s="130">
        <f t="shared" si="6"/>
        <v>0</v>
      </c>
      <c r="P260" s="130">
        <f t="shared" si="6"/>
        <v>0</v>
      </c>
      <c r="Q260" s="130">
        <f t="shared" si="6"/>
        <v>0</v>
      </c>
      <c r="R260" s="130">
        <f t="shared" si="6"/>
        <v>0</v>
      </c>
      <c r="S260" s="130">
        <f t="shared" si="6"/>
        <v>0</v>
      </c>
      <c r="T260" s="130">
        <f t="shared" si="6"/>
        <v>0</v>
      </c>
      <c r="U260" s="130">
        <f t="shared" si="6"/>
        <v>2249.2167593100135</v>
      </c>
      <c r="V260" s="130">
        <f t="shared" si="6"/>
        <v>0</v>
      </c>
      <c r="W260" s="130">
        <f t="shared" si="6"/>
        <v>0</v>
      </c>
      <c r="X260" s="130">
        <f t="shared" si="6"/>
        <v>0</v>
      </c>
      <c r="Y260" s="130">
        <f t="shared" si="6"/>
        <v>0</v>
      </c>
      <c r="Z260" s="130">
        <f t="shared" si="6"/>
        <v>0</v>
      </c>
      <c r="AA260" s="130">
        <f t="shared" si="6"/>
        <v>0</v>
      </c>
      <c r="AB260" s="130">
        <f t="shared" si="6"/>
        <v>1868.976920133739</v>
      </c>
      <c r="AC260" s="130">
        <f t="shared" si="6"/>
        <v>0</v>
      </c>
      <c r="AD260" s="130">
        <f t="shared" si="6"/>
        <v>0</v>
      </c>
      <c r="AE260" s="130">
        <f t="shared" si="6"/>
        <v>253.11159847920067</v>
      </c>
      <c r="AF260" s="130">
        <f t="shared" si="6"/>
        <v>0</v>
      </c>
      <c r="AG260" s="130">
        <f t="shared" si="6"/>
        <v>0</v>
      </c>
      <c r="AH260" s="130">
        <f t="shared" si="6"/>
        <v>647.05960712311139</v>
      </c>
      <c r="AI260" s="130">
        <f t="shared" si="6"/>
        <v>186.46212001684944</v>
      </c>
      <c r="AJ260" s="130">
        <f t="shared" si="6"/>
        <v>0</v>
      </c>
      <c r="AK260" s="130">
        <f t="shared" si="6"/>
        <v>0</v>
      </c>
      <c r="AL260" s="130">
        <f t="shared" si="6"/>
        <v>0</v>
      </c>
      <c r="AM260" s="130">
        <f t="shared" si="6"/>
        <v>0</v>
      </c>
      <c r="AN260" s="130">
        <f t="shared" si="6"/>
        <v>0</v>
      </c>
      <c r="AO260" s="130">
        <f t="shared" si="6"/>
        <v>0</v>
      </c>
      <c r="AP260" s="130">
        <f t="shared" si="6"/>
        <v>0</v>
      </c>
      <c r="AQ260" s="130">
        <f t="shared" si="6"/>
        <v>0</v>
      </c>
      <c r="AR260" s="130">
        <f t="shared" si="6"/>
        <v>0</v>
      </c>
      <c r="AS260" s="130">
        <f t="shared" si="6"/>
        <v>0</v>
      </c>
      <c r="AT260" s="130">
        <f t="shared" si="6"/>
        <v>0</v>
      </c>
      <c r="AU260" s="130">
        <f t="shared" si="6"/>
        <v>0</v>
      </c>
      <c r="AV260" s="130">
        <f t="shared" si="6"/>
        <v>737.29069752218606</v>
      </c>
      <c r="AW260" s="130">
        <f t="shared" si="6"/>
        <v>353.05437441320578</v>
      </c>
      <c r="AX260" s="130">
        <f t="shared" si="6"/>
        <v>316.86324112608872</v>
      </c>
      <c r="AY260" s="130">
        <f t="shared" si="6"/>
        <v>0</v>
      </c>
      <c r="AZ260" s="146">
        <f>SUM($D260:$AY260)</f>
        <v>8315.0586621243965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76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5" customWidth="1"/>
    <col min="2" max="2" width="12.7109375" style="105" customWidth="1"/>
    <col min="3" max="16384" width="9.140625" style="105"/>
  </cols>
  <sheetData>
    <row r="1" spans="1:53" x14ac:dyDescent="0.2">
      <c r="A1" s="107" t="s">
        <v>284</v>
      </c>
    </row>
    <row r="2" spans="1:53" x14ac:dyDescent="0.2">
      <c r="A2" s="105" t="s">
        <v>285</v>
      </c>
      <c r="B2" s="112" t="s">
        <v>49</v>
      </c>
    </row>
    <row r="3" spans="1:53" x14ac:dyDescent="0.2">
      <c r="A3" s="105" t="s">
        <v>286</v>
      </c>
      <c r="B3" s="113">
        <v>3000</v>
      </c>
      <c r="C3" s="114"/>
    </row>
    <row r="4" spans="1:53" x14ac:dyDescent="0.2">
      <c r="B4" s="115"/>
      <c r="C4" s="115"/>
    </row>
    <row r="5" spans="1:53" x14ac:dyDescent="0.2">
      <c r="C5" s="116" t="s">
        <v>287</v>
      </c>
    </row>
    <row r="6" spans="1:53" x14ac:dyDescent="0.2">
      <c r="C6" s="117">
        <v>0</v>
      </c>
      <c r="D6" s="117">
        <v>1</v>
      </c>
      <c r="E6" s="117">
        <v>2</v>
      </c>
      <c r="F6" s="117">
        <v>3</v>
      </c>
      <c r="G6" s="117">
        <v>4</v>
      </c>
      <c r="H6" s="117">
        <v>5</v>
      </c>
      <c r="I6" s="117">
        <v>6</v>
      </c>
      <c r="J6" s="117">
        <v>7</v>
      </c>
      <c r="K6" s="117">
        <v>8</v>
      </c>
      <c r="L6" s="117">
        <v>9</v>
      </c>
      <c r="M6" s="117">
        <v>10</v>
      </c>
      <c r="N6" s="117">
        <v>11</v>
      </c>
      <c r="O6" s="117">
        <v>12</v>
      </c>
      <c r="P6" s="117">
        <v>13</v>
      </c>
      <c r="Q6" s="117">
        <v>14</v>
      </c>
      <c r="R6" s="117">
        <v>15</v>
      </c>
      <c r="S6" s="117">
        <v>16</v>
      </c>
      <c r="T6" s="117">
        <v>17</v>
      </c>
      <c r="U6" s="117">
        <v>18</v>
      </c>
      <c r="V6" s="117">
        <v>19</v>
      </c>
      <c r="W6" s="117">
        <v>20</v>
      </c>
      <c r="X6" s="117">
        <v>21</v>
      </c>
      <c r="Y6" s="117">
        <v>22</v>
      </c>
      <c r="Z6" s="117">
        <v>23</v>
      </c>
      <c r="AA6" s="117">
        <v>24</v>
      </c>
      <c r="AB6" s="117">
        <v>25</v>
      </c>
      <c r="AC6" s="117">
        <v>26</v>
      </c>
      <c r="AD6" s="117">
        <v>27</v>
      </c>
      <c r="AE6" s="117">
        <v>28</v>
      </c>
      <c r="AF6" s="117">
        <v>29</v>
      </c>
      <c r="AG6" s="117">
        <v>30</v>
      </c>
      <c r="AH6" s="117">
        <v>31</v>
      </c>
      <c r="AI6" s="117">
        <v>32</v>
      </c>
      <c r="AJ6" s="117">
        <v>33</v>
      </c>
      <c r="AK6" s="117">
        <v>34</v>
      </c>
      <c r="AL6" s="117">
        <v>35</v>
      </c>
      <c r="AM6" s="117">
        <v>36</v>
      </c>
      <c r="AN6" s="117">
        <v>37</v>
      </c>
      <c r="AO6" s="117">
        <v>38</v>
      </c>
      <c r="AP6" s="117">
        <v>39</v>
      </c>
      <c r="AQ6" s="117">
        <v>40</v>
      </c>
      <c r="AR6" s="117">
        <v>41</v>
      </c>
      <c r="AS6" s="117">
        <v>42</v>
      </c>
      <c r="AT6" s="117">
        <v>43</v>
      </c>
      <c r="AU6" s="117">
        <v>44</v>
      </c>
      <c r="AV6" s="117">
        <v>45</v>
      </c>
      <c r="AW6" s="117">
        <v>46</v>
      </c>
      <c r="AX6" s="117">
        <v>47</v>
      </c>
      <c r="AY6" s="117">
        <v>48</v>
      </c>
    </row>
    <row r="7" spans="1:53" x14ac:dyDescent="0.2">
      <c r="B7" s="115"/>
      <c r="C7" s="118" t="s">
        <v>288</v>
      </c>
      <c r="D7" s="117" t="s">
        <v>289</v>
      </c>
      <c r="E7" s="117" t="s">
        <v>289</v>
      </c>
      <c r="F7" s="117" t="s">
        <v>289</v>
      </c>
      <c r="G7" s="117" t="s">
        <v>289</v>
      </c>
      <c r="H7" s="117" t="s">
        <v>289</v>
      </c>
      <c r="I7" s="117" t="s">
        <v>289</v>
      </c>
      <c r="J7" s="117" t="s">
        <v>289</v>
      </c>
      <c r="K7" s="117" t="s">
        <v>289</v>
      </c>
      <c r="L7" s="117" t="s">
        <v>289</v>
      </c>
      <c r="M7" s="117" t="s">
        <v>289</v>
      </c>
      <c r="N7" s="117" t="s">
        <v>289</v>
      </c>
      <c r="O7" s="117" t="s">
        <v>289</v>
      </c>
      <c r="P7" s="117" t="s">
        <v>289</v>
      </c>
      <c r="Q7" s="117" t="s">
        <v>289</v>
      </c>
      <c r="R7" s="117" t="s">
        <v>289</v>
      </c>
      <c r="S7" s="117" t="s">
        <v>289</v>
      </c>
      <c r="T7" s="117" t="s">
        <v>289</v>
      </c>
      <c r="U7" s="117" t="s">
        <v>289</v>
      </c>
      <c r="V7" s="117" t="s">
        <v>289</v>
      </c>
      <c r="W7" s="117" t="s">
        <v>289</v>
      </c>
      <c r="X7" s="117" t="s">
        <v>289</v>
      </c>
      <c r="Y7" s="117" t="s">
        <v>289</v>
      </c>
      <c r="Z7" s="117" t="s">
        <v>289</v>
      </c>
      <c r="AA7" s="117" t="s">
        <v>289</v>
      </c>
      <c r="AB7" s="117" t="s">
        <v>289</v>
      </c>
      <c r="AC7" s="117" t="s">
        <v>289</v>
      </c>
      <c r="AD7" s="117" t="s">
        <v>289</v>
      </c>
      <c r="AE7" s="117" t="s">
        <v>289</v>
      </c>
      <c r="AF7" s="117" t="s">
        <v>289</v>
      </c>
      <c r="AG7" s="117" t="s">
        <v>289</v>
      </c>
      <c r="AH7" s="117" t="s">
        <v>289</v>
      </c>
      <c r="AI7" s="117" t="s">
        <v>289</v>
      </c>
      <c r="AJ7" s="117" t="s">
        <v>289</v>
      </c>
      <c r="AK7" s="117" t="s">
        <v>289</v>
      </c>
      <c r="AL7" s="117" t="s">
        <v>289</v>
      </c>
      <c r="AM7" s="117" t="s">
        <v>289</v>
      </c>
      <c r="AN7" s="117" t="s">
        <v>289</v>
      </c>
      <c r="AO7" s="117" t="s">
        <v>289</v>
      </c>
      <c r="AP7" s="117" t="s">
        <v>289</v>
      </c>
      <c r="AQ7" s="117" t="s">
        <v>289</v>
      </c>
      <c r="AR7" s="117" t="s">
        <v>289</v>
      </c>
      <c r="AS7" s="117" t="s">
        <v>289</v>
      </c>
      <c r="AT7" s="117" t="s">
        <v>289</v>
      </c>
      <c r="AU7" s="117" t="s">
        <v>289</v>
      </c>
      <c r="AV7" s="117" t="s">
        <v>289</v>
      </c>
      <c r="AW7" s="117" t="s">
        <v>289</v>
      </c>
      <c r="AX7" s="117" t="s">
        <v>289</v>
      </c>
      <c r="AY7" s="116" t="s">
        <v>290</v>
      </c>
      <c r="AZ7" s="116" t="s">
        <v>291</v>
      </c>
    </row>
    <row r="8" spans="1:53" x14ac:dyDescent="0.2">
      <c r="A8" s="107" t="s">
        <v>292</v>
      </c>
      <c r="B8" s="119"/>
      <c r="AY8" s="115"/>
    </row>
    <row r="9" spans="1:53" x14ac:dyDescent="0.2">
      <c r="A9" s="120" t="s">
        <v>125</v>
      </c>
      <c r="B9" s="121">
        <v>1</v>
      </c>
      <c r="C9" s="122" t="s">
        <v>293</v>
      </c>
      <c r="D9" s="122">
        <v>0</v>
      </c>
      <c r="E9" s="122">
        <v>0</v>
      </c>
      <c r="F9" s="122">
        <v>0</v>
      </c>
      <c r="G9" s="122">
        <v>0</v>
      </c>
      <c r="H9" s="122">
        <v>594.00921297477203</v>
      </c>
      <c r="I9" s="122">
        <v>594.00921297477203</v>
      </c>
      <c r="J9" s="122">
        <v>594.00921297477203</v>
      </c>
      <c r="K9" s="122">
        <v>594.00921297477203</v>
      </c>
      <c r="L9" s="122">
        <v>594.00921297477203</v>
      </c>
      <c r="M9" s="122">
        <v>594.00921297477203</v>
      </c>
      <c r="N9" s="122">
        <v>594.00921297477203</v>
      </c>
      <c r="O9" s="122">
        <v>594.00921297477203</v>
      </c>
      <c r="P9" s="122">
        <v>594.00921297477203</v>
      </c>
      <c r="Q9" s="122">
        <v>594.00921297477203</v>
      </c>
      <c r="R9" s="122">
        <v>594.00921297477203</v>
      </c>
      <c r="S9" s="122">
        <v>594.00921297477203</v>
      </c>
      <c r="T9" s="122">
        <v>594.00921297477203</v>
      </c>
      <c r="U9" s="122">
        <v>594.00921297477203</v>
      </c>
      <c r="V9" s="122">
        <v>594.00921297477203</v>
      </c>
      <c r="W9" s="122">
        <v>594.00921297477203</v>
      </c>
      <c r="X9" s="122">
        <v>594.00921297477203</v>
      </c>
      <c r="Y9" s="122">
        <v>594.00921297477203</v>
      </c>
      <c r="Z9" s="122">
        <v>594.00921297477203</v>
      </c>
      <c r="AA9" s="122">
        <v>594.00921297477203</v>
      </c>
      <c r="AB9" s="122">
        <v>594.00921297477203</v>
      </c>
      <c r="AC9" s="122">
        <v>594.00921297477203</v>
      </c>
      <c r="AD9" s="122">
        <v>594.00921297477203</v>
      </c>
      <c r="AE9" s="122">
        <v>594.00921297477203</v>
      </c>
      <c r="AF9" s="122">
        <v>594.00921297477203</v>
      </c>
      <c r="AG9" s="122">
        <v>594.00921297477203</v>
      </c>
      <c r="AH9" s="122">
        <v>594.00921297477203</v>
      </c>
      <c r="AI9" s="122">
        <v>594.00921297477203</v>
      </c>
      <c r="AJ9" s="122">
        <v>594.00921297477203</v>
      </c>
      <c r="AK9" s="122">
        <v>594.00921297477203</v>
      </c>
      <c r="AL9" s="122">
        <v>594.00921297477203</v>
      </c>
      <c r="AM9" s="122">
        <v>594.00921297477203</v>
      </c>
      <c r="AN9" s="122">
        <v>594.00921297477203</v>
      </c>
      <c r="AO9" s="122">
        <v>594.00921297477203</v>
      </c>
      <c r="AP9" s="122">
        <v>594.00921297477203</v>
      </c>
      <c r="AQ9" s="122">
        <v>594.00921297477203</v>
      </c>
      <c r="AR9" s="122">
        <v>594.00921297477203</v>
      </c>
      <c r="AS9" s="122">
        <v>594.00921297477203</v>
      </c>
      <c r="AT9" s="122">
        <v>594.00921297477203</v>
      </c>
      <c r="AU9" s="122">
        <v>594.00921297477203</v>
      </c>
      <c r="AV9" s="122">
        <v>594.00921297477203</v>
      </c>
      <c r="AW9" s="122">
        <v>594.00921297477203</v>
      </c>
      <c r="AX9" s="122">
        <v>594.00921297477203</v>
      </c>
      <c r="AY9" s="122">
        <v>594.00921297477203</v>
      </c>
    </row>
    <row r="10" spans="1:53" x14ac:dyDescent="0.2">
      <c r="A10" s="123" t="s">
        <v>133</v>
      </c>
      <c r="B10" s="124">
        <v>1</v>
      </c>
      <c r="C10" s="111" t="s">
        <v>293</v>
      </c>
      <c r="D10" s="105">
        <v>422.85800909550284</v>
      </c>
      <c r="E10" s="105">
        <v>407.55232429121753</v>
      </c>
      <c r="F10" s="105">
        <v>0</v>
      </c>
      <c r="G10" s="105">
        <v>0</v>
      </c>
      <c r="H10" s="105">
        <v>0</v>
      </c>
      <c r="I10" s="105">
        <v>0</v>
      </c>
      <c r="J10" s="105">
        <v>202.04820232596759</v>
      </c>
      <c r="K10" s="105">
        <v>202.04820232596759</v>
      </c>
      <c r="L10" s="105">
        <v>202.04820232596759</v>
      </c>
      <c r="M10" s="105">
        <v>0</v>
      </c>
      <c r="N10" s="105">
        <v>404.09640465193496</v>
      </c>
      <c r="O10" s="105">
        <v>202.04820232596759</v>
      </c>
      <c r="P10" s="105">
        <v>202.04820232596759</v>
      </c>
      <c r="Q10" s="105">
        <v>202.04820232596759</v>
      </c>
      <c r="R10" s="105">
        <v>202.04820232596759</v>
      </c>
      <c r="S10" s="105">
        <v>202.04820232596759</v>
      </c>
      <c r="T10" s="105">
        <v>202.04820232596759</v>
      </c>
      <c r="U10" s="105">
        <v>202.04820232596759</v>
      </c>
      <c r="V10" s="105">
        <v>202.04820232596759</v>
      </c>
      <c r="W10" s="105">
        <v>202.04820232596759</v>
      </c>
      <c r="X10" s="105">
        <v>202.04820232596759</v>
      </c>
      <c r="Y10" s="105">
        <v>202.04820232596759</v>
      </c>
      <c r="Z10" s="105">
        <v>202.04820232596759</v>
      </c>
      <c r="AA10" s="105">
        <v>202.04820232596759</v>
      </c>
      <c r="AB10" s="105">
        <v>202.04820232596759</v>
      </c>
      <c r="AC10" s="105">
        <v>202.04820232596759</v>
      </c>
      <c r="AD10" s="105">
        <v>202.04820232596759</v>
      </c>
      <c r="AE10" s="105">
        <v>202.04820232596759</v>
      </c>
      <c r="AF10" s="105">
        <v>0</v>
      </c>
      <c r="AG10" s="105">
        <v>404.09640465193496</v>
      </c>
      <c r="AH10" s="105">
        <v>202.04820232596759</v>
      </c>
      <c r="AI10" s="105">
        <v>202.04820232596759</v>
      </c>
      <c r="AJ10" s="105">
        <v>202.04820232596759</v>
      </c>
      <c r="AK10" s="105">
        <v>202.04820232596759</v>
      </c>
      <c r="AL10" s="105">
        <v>202.04820232596759</v>
      </c>
      <c r="AM10" s="105">
        <v>202.04820232596759</v>
      </c>
      <c r="AN10" s="105">
        <v>202.04820232596759</v>
      </c>
      <c r="AO10" s="105">
        <v>202.04820232596759</v>
      </c>
      <c r="AP10" s="105">
        <v>202.04820232596759</v>
      </c>
      <c r="AQ10" s="105">
        <v>202.04820232596759</v>
      </c>
      <c r="AR10" s="105">
        <v>202.04820232596759</v>
      </c>
      <c r="AS10" s="105">
        <v>202.04820232596759</v>
      </c>
      <c r="AT10" s="105">
        <v>0</v>
      </c>
      <c r="AU10" s="105">
        <v>404.09640465193496</v>
      </c>
      <c r="AV10" s="105">
        <v>202.04820232596759</v>
      </c>
      <c r="AW10" s="105">
        <v>202.04820232596759</v>
      </c>
      <c r="AX10" s="105">
        <v>202.04820232596759</v>
      </c>
      <c r="AY10" s="105">
        <v>202.04820232596759</v>
      </c>
      <c r="AZ10" s="105">
        <v>202.04820232596759</v>
      </c>
    </row>
    <row r="11" spans="1:53" x14ac:dyDescent="0.2">
      <c r="B11" s="124">
        <v>2</v>
      </c>
      <c r="C11" s="111" t="s">
        <v>293</v>
      </c>
      <c r="D11" s="105">
        <v>0</v>
      </c>
      <c r="E11" s="105">
        <v>0</v>
      </c>
      <c r="F11" s="105">
        <v>0</v>
      </c>
      <c r="G11" s="105">
        <v>0</v>
      </c>
      <c r="H11" s="105">
        <v>0</v>
      </c>
      <c r="I11" s="105">
        <v>0</v>
      </c>
      <c r="J11" s="105">
        <v>0</v>
      </c>
      <c r="K11" s="105">
        <v>0</v>
      </c>
      <c r="M11" s="105">
        <v>0</v>
      </c>
      <c r="N11" s="105">
        <v>0</v>
      </c>
      <c r="O11" s="105">
        <v>0</v>
      </c>
      <c r="P11" s="105">
        <v>0</v>
      </c>
      <c r="Q11" s="105">
        <v>0</v>
      </c>
      <c r="R11" s="105">
        <v>0</v>
      </c>
      <c r="S11" s="105">
        <v>0</v>
      </c>
      <c r="T11" s="105">
        <v>0</v>
      </c>
      <c r="U11" s="105">
        <v>0</v>
      </c>
      <c r="V11" s="105">
        <v>0</v>
      </c>
      <c r="W11" s="105">
        <v>0</v>
      </c>
      <c r="X11" s="105">
        <v>0</v>
      </c>
      <c r="Y11" s="105">
        <v>0</v>
      </c>
      <c r="AA11" s="105">
        <v>0</v>
      </c>
      <c r="AB11" s="105">
        <v>0</v>
      </c>
      <c r="AC11" s="105">
        <v>0</v>
      </c>
      <c r="AE11" s="105">
        <v>0</v>
      </c>
      <c r="AF11" s="105">
        <v>0</v>
      </c>
      <c r="AG11" s="105">
        <v>0</v>
      </c>
      <c r="AH11" s="105">
        <v>0</v>
      </c>
      <c r="AI11" s="105">
        <v>0</v>
      </c>
      <c r="AJ11" s="105">
        <v>0</v>
      </c>
      <c r="AK11" s="105">
        <v>0</v>
      </c>
      <c r="AL11" s="105">
        <v>0</v>
      </c>
      <c r="AM11" s="105">
        <v>0</v>
      </c>
      <c r="AN11" s="105">
        <v>0</v>
      </c>
      <c r="AO11" s="105">
        <v>0</v>
      </c>
      <c r="AP11" s="105">
        <v>0</v>
      </c>
      <c r="AQ11" s="105">
        <v>0</v>
      </c>
      <c r="AR11" s="105">
        <v>0</v>
      </c>
      <c r="AT11" s="105">
        <v>0</v>
      </c>
      <c r="AU11" s="105">
        <v>0</v>
      </c>
      <c r="AV11" s="105">
        <v>0</v>
      </c>
      <c r="AW11" s="105">
        <v>0</v>
      </c>
      <c r="AX11" s="105">
        <v>0</v>
      </c>
      <c r="AY11" s="105">
        <v>0</v>
      </c>
      <c r="AZ11" s="105">
        <v>0</v>
      </c>
      <c r="BA11" s="105">
        <v>0</v>
      </c>
    </row>
    <row r="12" spans="1:53" x14ac:dyDescent="0.2">
      <c r="B12" s="125">
        <v>3</v>
      </c>
      <c r="C12" s="111" t="s">
        <v>293</v>
      </c>
      <c r="E12" s="105">
        <v>0</v>
      </c>
      <c r="F12" s="105">
        <v>0</v>
      </c>
      <c r="N12" s="105">
        <v>0</v>
      </c>
      <c r="P12" s="105">
        <v>0</v>
      </c>
      <c r="R12" s="105">
        <v>0</v>
      </c>
      <c r="T12" s="105">
        <v>0</v>
      </c>
      <c r="U12" s="105">
        <v>0</v>
      </c>
      <c r="X12" s="105">
        <v>0</v>
      </c>
      <c r="AA12" s="105">
        <v>0</v>
      </c>
      <c r="AB12" s="105">
        <v>0</v>
      </c>
      <c r="AC12" s="105">
        <v>0</v>
      </c>
      <c r="AE12" s="105">
        <v>0</v>
      </c>
      <c r="AG12" s="105">
        <v>0</v>
      </c>
      <c r="AJ12" s="105">
        <v>0</v>
      </c>
      <c r="AK12" s="105">
        <v>0</v>
      </c>
      <c r="AP12" s="105">
        <v>0</v>
      </c>
      <c r="AV12" s="105">
        <v>0</v>
      </c>
      <c r="AX12" s="105">
        <v>0</v>
      </c>
      <c r="BA12" s="105">
        <v>0</v>
      </c>
    </row>
    <row r="13" spans="1:53" x14ac:dyDescent="0.2">
      <c r="B13" s="125">
        <v>4</v>
      </c>
      <c r="C13" s="111" t="s">
        <v>293</v>
      </c>
      <c r="N13" s="105">
        <v>0</v>
      </c>
      <c r="P13" s="105">
        <v>0</v>
      </c>
      <c r="X13" s="105">
        <v>0</v>
      </c>
      <c r="AP13" s="105">
        <v>0</v>
      </c>
      <c r="AU13" s="105">
        <v>0</v>
      </c>
    </row>
    <row r="14" spans="1:53" x14ac:dyDescent="0.2">
      <c r="A14" s="120" t="s">
        <v>134</v>
      </c>
      <c r="B14" s="126">
        <v>1</v>
      </c>
      <c r="C14" s="122" t="s">
        <v>293</v>
      </c>
      <c r="D14" s="122">
        <v>282.67666962664475</v>
      </c>
      <c r="E14" s="122">
        <f t="shared" ref="E14:AZ14" si="0">D$172*SUM(D$122:D$169)</f>
        <v>0</v>
      </c>
      <c r="F14" s="122">
        <f t="shared" si="0"/>
        <v>0</v>
      </c>
      <c r="G14" s="122">
        <f t="shared" si="0"/>
        <v>0</v>
      </c>
      <c r="H14" s="122">
        <f t="shared" si="0"/>
        <v>0</v>
      </c>
      <c r="I14" s="122">
        <f t="shared" si="0"/>
        <v>216.45877376320729</v>
      </c>
      <c r="J14" s="122">
        <f t="shared" si="0"/>
        <v>216.45877376320729</v>
      </c>
      <c r="K14" s="122">
        <f t="shared" si="0"/>
        <v>233.93654995021964</v>
      </c>
      <c r="L14" s="122">
        <f t="shared" si="0"/>
        <v>233.93654995021964</v>
      </c>
      <c r="M14" s="122">
        <f t="shared" si="0"/>
        <v>233.93654995021964</v>
      </c>
      <c r="N14" s="122">
        <f t="shared" si="0"/>
        <v>216.45877376320729</v>
      </c>
      <c r="O14" s="122">
        <f t="shared" si="0"/>
        <v>251.414326137232</v>
      </c>
      <c r="P14" s="122">
        <f t="shared" si="0"/>
        <v>233.93654995021964</v>
      </c>
      <c r="Q14" s="122">
        <f t="shared" si="0"/>
        <v>233.93654995021964</v>
      </c>
      <c r="R14" s="122">
        <f t="shared" si="0"/>
        <v>233.93654995021964</v>
      </c>
      <c r="S14" s="122">
        <f t="shared" si="0"/>
        <v>233.93654995021964</v>
      </c>
      <c r="T14" s="122">
        <f t="shared" si="0"/>
        <v>233.93654995021964</v>
      </c>
      <c r="U14" s="122">
        <f t="shared" si="0"/>
        <v>233.93654995021964</v>
      </c>
      <c r="V14" s="122">
        <f t="shared" si="0"/>
        <v>240.95547808952662</v>
      </c>
      <c r="W14" s="122">
        <f t="shared" si="0"/>
        <v>240.52489197935421</v>
      </c>
      <c r="X14" s="122">
        <f t="shared" si="0"/>
        <v>233.93654995021964</v>
      </c>
      <c r="Y14" s="122">
        <f t="shared" si="0"/>
        <v>233.93654995021964</v>
      </c>
      <c r="Z14" s="122">
        <f t="shared" si="0"/>
        <v>233.93654995021964</v>
      </c>
      <c r="AA14" s="122">
        <f t="shared" si="0"/>
        <v>249.23856348931042</v>
      </c>
      <c r="AB14" s="122">
        <f t="shared" si="0"/>
        <v>239.01157376916322</v>
      </c>
      <c r="AC14" s="122">
        <f t="shared" si="0"/>
        <v>233.93654995021964</v>
      </c>
      <c r="AD14" s="122">
        <f t="shared" si="0"/>
        <v>248.40821240192361</v>
      </c>
      <c r="AE14" s="122">
        <f t="shared" si="0"/>
        <v>233.93654995021964</v>
      </c>
      <c r="AF14" s="122">
        <f t="shared" si="0"/>
        <v>246.18420300191929</v>
      </c>
      <c r="AG14" s="122">
        <f t="shared" si="0"/>
        <v>216.45877376320729</v>
      </c>
      <c r="AH14" s="122">
        <f t="shared" si="0"/>
        <v>251.414326137232</v>
      </c>
      <c r="AI14" s="122">
        <f t="shared" si="0"/>
        <v>233.93654995021964</v>
      </c>
      <c r="AJ14" s="122">
        <f t="shared" si="0"/>
        <v>233.93654995021964</v>
      </c>
      <c r="AK14" s="122">
        <f t="shared" si="0"/>
        <v>233.93654995021964</v>
      </c>
      <c r="AL14" s="122">
        <f t="shared" si="0"/>
        <v>233.93654995021964</v>
      </c>
      <c r="AM14" s="122">
        <f t="shared" si="0"/>
        <v>246.06630969272379</v>
      </c>
      <c r="AN14" s="122">
        <f t="shared" si="0"/>
        <v>233.93654995021967</v>
      </c>
      <c r="AO14" s="122">
        <f t="shared" si="0"/>
        <v>240.11915082766836</v>
      </c>
      <c r="AP14" s="122">
        <f t="shared" si="0"/>
        <v>233.93654995021964</v>
      </c>
      <c r="AQ14" s="122">
        <f t="shared" si="0"/>
        <v>233.93654995021964</v>
      </c>
      <c r="AR14" s="122">
        <f t="shared" si="0"/>
        <v>233.93654995021964</v>
      </c>
      <c r="AS14" s="122">
        <f t="shared" si="0"/>
        <v>233.93654995021964</v>
      </c>
      <c r="AT14" s="122">
        <f t="shared" si="0"/>
        <v>233.93654995021964</v>
      </c>
      <c r="AU14" s="122">
        <f t="shared" si="0"/>
        <v>243.65674541893534</v>
      </c>
      <c r="AV14" s="122">
        <f t="shared" si="0"/>
        <v>251.414326137232</v>
      </c>
      <c r="AW14" s="122">
        <f t="shared" si="0"/>
        <v>244.77562686956381</v>
      </c>
      <c r="AX14" s="122">
        <f t="shared" si="0"/>
        <v>233.93654995021964</v>
      </c>
      <c r="AY14" s="122">
        <f t="shared" si="0"/>
        <v>233.93654995021964</v>
      </c>
      <c r="AZ14" s="115">
        <f t="shared" si="0"/>
        <v>233.93654995021964</v>
      </c>
      <c r="BA14" s="112">
        <f>SUM($E14:$AZ14)</f>
        <v>10375.30567766055</v>
      </c>
    </row>
    <row r="15" spans="1:53" x14ac:dyDescent="0.2">
      <c r="A15" s="127" t="s">
        <v>123</v>
      </c>
      <c r="B15" s="128">
        <v>1</v>
      </c>
      <c r="C15" s="129" t="s">
        <v>293</v>
      </c>
      <c r="D15" s="129">
        <v>278.97645275391636</v>
      </c>
      <c r="E15" s="129">
        <v>294.2821375582011</v>
      </c>
      <c r="F15" s="129">
        <v>0</v>
      </c>
      <c r="G15" s="129">
        <v>0</v>
      </c>
      <c r="H15" s="129">
        <v>1806.8601454545455</v>
      </c>
      <c r="I15" s="129">
        <v>1806.8601454545455</v>
      </c>
      <c r="J15" s="129">
        <v>1952.7535027643935</v>
      </c>
      <c r="K15" s="129">
        <v>1952.7535027643935</v>
      </c>
      <c r="L15" s="129">
        <v>1952.7535027643935</v>
      </c>
      <c r="M15" s="129">
        <v>1806.8601454545455</v>
      </c>
      <c r="N15" s="129">
        <v>2098.6468600742414</v>
      </c>
      <c r="O15" s="129">
        <v>1952.7535027643935</v>
      </c>
      <c r="P15" s="129">
        <v>1952.7535027643935</v>
      </c>
      <c r="Q15" s="129">
        <v>1952.7535027643935</v>
      </c>
      <c r="R15" s="129">
        <v>1952.7535027643935</v>
      </c>
      <c r="S15" s="129">
        <v>1952.7535027643935</v>
      </c>
      <c r="T15" s="129">
        <v>1952.7535027643935</v>
      </c>
      <c r="U15" s="129">
        <v>1952.7535027643935</v>
      </c>
      <c r="V15" s="129">
        <v>1952.7535027643935</v>
      </c>
      <c r="W15" s="129">
        <v>1952.7535027643935</v>
      </c>
      <c r="X15" s="129">
        <v>1952.7535027643935</v>
      </c>
      <c r="Y15" s="129">
        <v>1952.7535027643935</v>
      </c>
      <c r="Z15" s="129">
        <v>1952.7535027643935</v>
      </c>
      <c r="AA15" s="129">
        <v>1952.7535027643935</v>
      </c>
      <c r="AB15" s="129">
        <v>1952.7535027643935</v>
      </c>
      <c r="AC15" s="129">
        <v>1952.7535027643935</v>
      </c>
      <c r="AD15" s="129">
        <v>1952.7535027643935</v>
      </c>
      <c r="AE15" s="129">
        <v>1952.7535027643935</v>
      </c>
      <c r="AF15" s="129">
        <v>1806.8601454545455</v>
      </c>
      <c r="AG15" s="129">
        <v>2098.6468600742414</v>
      </c>
      <c r="AH15" s="129">
        <v>1952.7535027643935</v>
      </c>
      <c r="AI15" s="129">
        <v>1952.7535027643935</v>
      </c>
      <c r="AJ15" s="129">
        <v>1952.7535027643935</v>
      </c>
      <c r="AK15" s="129">
        <v>1952.7535027643935</v>
      </c>
      <c r="AL15" s="129">
        <v>1952.7535027643935</v>
      </c>
      <c r="AM15" s="129">
        <v>1952.7535027643935</v>
      </c>
      <c r="AN15" s="129">
        <v>1952.7535027643935</v>
      </c>
      <c r="AO15" s="129">
        <v>1952.7535027643935</v>
      </c>
      <c r="AP15" s="129">
        <v>1952.7535027643935</v>
      </c>
      <c r="AQ15" s="129">
        <v>1952.7535027643935</v>
      </c>
      <c r="AR15" s="129">
        <v>1952.7535027643935</v>
      </c>
      <c r="AS15" s="129">
        <v>1952.7535027643935</v>
      </c>
      <c r="AT15" s="129">
        <v>1806.8601454545455</v>
      </c>
      <c r="AU15" s="129">
        <v>2098.6468600742414</v>
      </c>
      <c r="AV15" s="129">
        <v>1952.7535027643935</v>
      </c>
      <c r="AW15" s="129">
        <v>1952.7535027643935</v>
      </c>
      <c r="AX15" s="129">
        <v>1952.7535027643935</v>
      </c>
      <c r="AY15" s="129">
        <v>1952.7535027643935</v>
      </c>
      <c r="AZ15" s="105">
        <v>145.89335730984794</v>
      </c>
    </row>
    <row r="16" spans="1:53" x14ac:dyDescent="0.2">
      <c r="A16" s="115"/>
      <c r="B16" s="124">
        <v>2</v>
      </c>
      <c r="C16" s="114" t="s">
        <v>293</v>
      </c>
      <c r="D16" s="111">
        <v>0</v>
      </c>
      <c r="E16" s="115">
        <v>0</v>
      </c>
      <c r="F16" s="115">
        <v>0</v>
      </c>
      <c r="G16" s="115">
        <v>0</v>
      </c>
      <c r="H16" s="115">
        <v>0</v>
      </c>
      <c r="I16" s="115">
        <v>0</v>
      </c>
      <c r="J16" s="115">
        <v>0</v>
      </c>
      <c r="K16" s="115">
        <v>0</v>
      </c>
      <c r="L16" s="115"/>
      <c r="M16" s="115">
        <v>0</v>
      </c>
      <c r="N16" s="115">
        <v>0</v>
      </c>
      <c r="O16" s="115">
        <v>0</v>
      </c>
      <c r="P16" s="115">
        <v>0</v>
      </c>
      <c r="Q16" s="115">
        <v>0</v>
      </c>
      <c r="R16" s="115">
        <v>0</v>
      </c>
      <c r="S16" s="115">
        <v>0</v>
      </c>
      <c r="T16" s="115">
        <v>0</v>
      </c>
      <c r="U16" s="115">
        <v>0</v>
      </c>
      <c r="V16" s="115">
        <v>0</v>
      </c>
      <c r="W16" s="115">
        <v>0</v>
      </c>
      <c r="X16" s="115">
        <v>0</v>
      </c>
      <c r="Y16" s="115">
        <v>0</v>
      </c>
      <c r="Z16" s="115"/>
      <c r="AA16" s="115">
        <v>0</v>
      </c>
      <c r="AB16" s="115">
        <v>0</v>
      </c>
      <c r="AC16" s="115">
        <v>0</v>
      </c>
      <c r="AD16" s="115"/>
      <c r="AE16" s="115">
        <v>0</v>
      </c>
      <c r="AF16" s="115">
        <v>0</v>
      </c>
      <c r="AG16" s="115">
        <v>0</v>
      </c>
      <c r="AH16" s="115">
        <v>0</v>
      </c>
      <c r="AI16" s="115">
        <v>0</v>
      </c>
      <c r="AJ16" s="115">
        <v>0</v>
      </c>
      <c r="AK16" s="115">
        <v>0</v>
      </c>
      <c r="AL16" s="115">
        <v>0</v>
      </c>
      <c r="AM16" s="115">
        <v>0</v>
      </c>
      <c r="AN16" s="115">
        <v>0</v>
      </c>
      <c r="AO16" s="115">
        <v>0</v>
      </c>
      <c r="AP16" s="115">
        <v>0</v>
      </c>
      <c r="AQ16" s="115">
        <v>0</v>
      </c>
      <c r="AR16" s="115">
        <v>0</v>
      </c>
      <c r="AS16" s="115"/>
      <c r="AT16" s="115">
        <v>0</v>
      </c>
      <c r="AU16" s="115">
        <v>0</v>
      </c>
      <c r="AV16" s="115">
        <v>0</v>
      </c>
      <c r="AW16" s="115">
        <v>0</v>
      </c>
      <c r="AX16" s="115">
        <v>0</v>
      </c>
      <c r="AY16" s="115">
        <v>0</v>
      </c>
      <c r="AZ16" s="105">
        <v>0</v>
      </c>
      <c r="BA16" s="105">
        <v>0</v>
      </c>
    </row>
    <row r="17" spans="1:53" x14ac:dyDescent="0.2">
      <c r="A17" s="115"/>
      <c r="B17" s="124">
        <v>3</v>
      </c>
      <c r="C17" s="114" t="s">
        <v>293</v>
      </c>
      <c r="D17" s="111"/>
      <c r="E17" s="115">
        <v>0</v>
      </c>
      <c r="F17" s="115">
        <v>0</v>
      </c>
      <c r="G17" s="115"/>
      <c r="H17" s="115"/>
      <c r="I17" s="115"/>
      <c r="J17" s="115"/>
      <c r="K17" s="115"/>
      <c r="L17" s="115"/>
      <c r="M17" s="115"/>
      <c r="N17" s="115">
        <v>0</v>
      </c>
      <c r="O17" s="115"/>
      <c r="P17" s="115">
        <v>0</v>
      </c>
      <c r="Q17" s="115"/>
      <c r="R17" s="115">
        <v>0</v>
      </c>
      <c r="S17" s="115"/>
      <c r="T17" s="115">
        <v>0</v>
      </c>
      <c r="U17" s="115">
        <v>0</v>
      </c>
      <c r="V17" s="115"/>
      <c r="W17" s="115"/>
      <c r="X17" s="115">
        <v>0</v>
      </c>
      <c r="Y17" s="115"/>
      <c r="Z17" s="115"/>
      <c r="AA17" s="115">
        <v>0</v>
      </c>
      <c r="AB17" s="115">
        <v>0</v>
      </c>
      <c r="AC17" s="115">
        <v>0</v>
      </c>
      <c r="AD17" s="115"/>
      <c r="AE17" s="115">
        <v>0</v>
      </c>
      <c r="AF17" s="115"/>
      <c r="AG17" s="115">
        <v>0</v>
      </c>
      <c r="AH17" s="115"/>
      <c r="AI17" s="115"/>
      <c r="AJ17" s="115">
        <v>0</v>
      </c>
      <c r="AK17" s="115">
        <v>0</v>
      </c>
      <c r="AL17" s="115"/>
      <c r="AM17" s="115"/>
      <c r="AN17" s="115"/>
      <c r="AO17" s="115"/>
      <c r="AP17" s="115">
        <v>0</v>
      </c>
      <c r="AQ17" s="115"/>
      <c r="AR17" s="115"/>
      <c r="AS17" s="115"/>
      <c r="AT17" s="115"/>
      <c r="AU17" s="115"/>
      <c r="AV17" s="115">
        <v>0</v>
      </c>
      <c r="AW17" s="115"/>
      <c r="AX17" s="115">
        <v>0</v>
      </c>
      <c r="AY17" s="115"/>
      <c r="BA17" s="105">
        <v>0</v>
      </c>
    </row>
    <row r="18" spans="1:53" x14ac:dyDescent="0.2">
      <c r="A18" s="130"/>
      <c r="B18" s="121">
        <v>4</v>
      </c>
      <c r="C18" s="130" t="s">
        <v>293</v>
      </c>
      <c r="D18" s="130"/>
      <c r="E18" s="130"/>
      <c r="F18" s="130"/>
      <c r="G18" s="130"/>
      <c r="H18" s="130"/>
      <c r="I18" s="130"/>
      <c r="J18" s="130"/>
      <c r="K18" s="130"/>
      <c r="L18" s="130"/>
      <c r="M18" s="130"/>
      <c r="N18" s="130">
        <v>0</v>
      </c>
      <c r="O18" s="130"/>
      <c r="P18" s="130">
        <v>0</v>
      </c>
      <c r="Q18" s="130"/>
      <c r="R18" s="130"/>
      <c r="S18" s="130"/>
      <c r="T18" s="130"/>
      <c r="U18" s="130"/>
      <c r="V18" s="130"/>
      <c r="W18" s="130"/>
      <c r="X18" s="130">
        <v>0</v>
      </c>
      <c r="Y18" s="130"/>
      <c r="Z18" s="130"/>
      <c r="AA18" s="130"/>
      <c r="AB18" s="130"/>
      <c r="AC18" s="130"/>
      <c r="AD18" s="130"/>
      <c r="AE18" s="130"/>
      <c r="AF18" s="130"/>
      <c r="AG18" s="130"/>
      <c r="AH18" s="130"/>
      <c r="AI18" s="130"/>
      <c r="AJ18" s="130"/>
      <c r="AK18" s="130"/>
      <c r="AL18" s="130"/>
      <c r="AM18" s="130"/>
      <c r="AN18" s="130"/>
      <c r="AO18" s="130"/>
      <c r="AP18" s="130">
        <v>0</v>
      </c>
      <c r="AQ18" s="130"/>
      <c r="AR18" s="130"/>
      <c r="AS18" s="130"/>
      <c r="AT18" s="130"/>
      <c r="AU18" s="130">
        <v>0</v>
      </c>
      <c r="AV18" s="130"/>
      <c r="AW18" s="130"/>
      <c r="AX18" s="130"/>
      <c r="AY18" s="130"/>
    </row>
    <row r="20" spans="1:53" x14ac:dyDescent="0.2">
      <c r="A20" s="107" t="s">
        <v>294</v>
      </c>
    </row>
    <row r="21" spans="1:53" x14ac:dyDescent="0.2">
      <c r="A21" s="131" t="s">
        <v>125</v>
      </c>
      <c r="B21" s="128">
        <v>1</v>
      </c>
      <c r="C21" s="129" t="s">
        <v>293</v>
      </c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29">
        <v>313.21125146415579</v>
      </c>
      <c r="O21" s="129">
        <v>6.3216488543002924</v>
      </c>
      <c r="P21" s="129"/>
      <c r="Q21" s="129"/>
      <c r="R21" s="129"/>
      <c r="S21" s="129"/>
      <c r="T21" s="129"/>
      <c r="U21" s="129">
        <v>41.337015106646959</v>
      </c>
      <c r="V21" s="129">
        <v>44.761684310957207</v>
      </c>
      <c r="W21" s="129"/>
      <c r="X21" s="129"/>
      <c r="Y21" s="129"/>
      <c r="Z21" s="129">
        <v>110.4789428283575</v>
      </c>
      <c r="AA21" s="129">
        <v>40.412551973168775</v>
      </c>
      <c r="AB21" s="129"/>
      <c r="AC21" s="129">
        <v>103.54770016976545</v>
      </c>
      <c r="AD21" s="129"/>
      <c r="AE21" s="129">
        <v>84.98308447818772</v>
      </c>
      <c r="AF21" s="129"/>
      <c r="AG21" s="129">
        <v>313.21125146415579</v>
      </c>
      <c r="AH21" s="129">
        <v>0.22524420236504739</v>
      </c>
      <c r="AI21" s="129"/>
      <c r="AJ21" s="129"/>
      <c r="AK21" s="129"/>
      <c r="AL21" s="129">
        <v>83.998986129584409</v>
      </c>
      <c r="AM21" s="129"/>
      <c r="AN21" s="129">
        <v>34.35588714524647</v>
      </c>
      <c r="AO21" s="129"/>
      <c r="AP21" s="129"/>
      <c r="AQ21" s="129"/>
      <c r="AR21" s="129"/>
      <c r="AS21" s="129"/>
      <c r="AT21" s="129"/>
      <c r="AU21" s="129">
        <v>340.40922311988379</v>
      </c>
      <c r="AV21" s="129">
        <v>90.702963162852939</v>
      </c>
      <c r="AW21" s="129"/>
      <c r="AX21" s="129"/>
      <c r="AY21" s="129"/>
    </row>
    <row r="22" spans="1:53" x14ac:dyDescent="0.2">
      <c r="A22" s="114"/>
      <c r="B22" s="125">
        <v>2</v>
      </c>
      <c r="C22" s="115" t="s">
        <v>293</v>
      </c>
      <c r="D22" s="115"/>
      <c r="E22" s="115"/>
      <c r="F22" s="115"/>
      <c r="G22" s="115"/>
      <c r="H22" s="115"/>
      <c r="I22" s="115"/>
      <c r="J22" s="115"/>
      <c r="K22" s="115"/>
      <c r="L22" s="115"/>
      <c r="M22" s="115"/>
      <c r="N22" s="115">
        <v>0</v>
      </c>
      <c r="O22" s="115">
        <v>0</v>
      </c>
      <c r="P22" s="115"/>
      <c r="Q22" s="115"/>
      <c r="R22" s="115"/>
      <c r="S22" s="115"/>
      <c r="T22" s="115"/>
      <c r="U22" s="115">
        <v>0</v>
      </c>
      <c r="V22" s="115">
        <v>0</v>
      </c>
      <c r="W22" s="115"/>
      <c r="X22" s="115"/>
      <c r="Y22" s="115"/>
      <c r="Z22" s="115">
        <v>0</v>
      </c>
      <c r="AA22" s="115">
        <v>0</v>
      </c>
      <c r="AB22" s="115"/>
      <c r="AC22" s="115">
        <v>0</v>
      </c>
      <c r="AD22" s="115"/>
      <c r="AE22" s="115">
        <v>0</v>
      </c>
      <c r="AF22" s="115"/>
      <c r="AG22" s="115">
        <v>0</v>
      </c>
      <c r="AH22" s="115">
        <v>0</v>
      </c>
      <c r="AI22" s="115"/>
      <c r="AJ22" s="115"/>
      <c r="AK22" s="115"/>
      <c r="AL22" s="115">
        <v>0</v>
      </c>
      <c r="AM22" s="115"/>
      <c r="AN22" s="115">
        <v>0</v>
      </c>
      <c r="AO22" s="115">
        <v>28.58339472232683</v>
      </c>
      <c r="AP22" s="115"/>
      <c r="AQ22" s="115"/>
      <c r="AR22" s="115"/>
      <c r="AS22" s="115"/>
      <c r="AT22" s="115"/>
      <c r="AU22" s="115">
        <v>0</v>
      </c>
      <c r="AV22" s="115">
        <v>0</v>
      </c>
      <c r="AW22" s="115"/>
      <c r="AX22" s="115"/>
      <c r="AY22" s="115"/>
    </row>
    <row r="23" spans="1:53" x14ac:dyDescent="0.2">
      <c r="A23" s="114"/>
      <c r="B23" s="132">
        <v>3</v>
      </c>
      <c r="C23" s="115" t="s">
        <v>293</v>
      </c>
      <c r="D23" s="115"/>
      <c r="E23" s="115"/>
      <c r="F23" s="115"/>
      <c r="G23" s="115"/>
      <c r="H23" s="115"/>
      <c r="I23" s="115"/>
      <c r="J23" s="115"/>
      <c r="K23" s="115"/>
      <c r="L23" s="115"/>
      <c r="M23" s="115"/>
      <c r="N23" s="115">
        <v>0</v>
      </c>
      <c r="O23" s="115">
        <v>0</v>
      </c>
      <c r="P23" s="115"/>
      <c r="Q23" s="115"/>
      <c r="R23" s="115"/>
      <c r="S23" s="115"/>
      <c r="T23" s="115"/>
      <c r="U23" s="115">
        <v>0</v>
      </c>
      <c r="V23" s="115">
        <v>0</v>
      </c>
      <c r="W23" s="115"/>
      <c r="X23" s="115"/>
      <c r="Y23" s="115"/>
      <c r="Z23" s="115">
        <v>0</v>
      </c>
      <c r="AA23" s="115">
        <v>0</v>
      </c>
      <c r="AB23" s="115"/>
      <c r="AC23" s="115">
        <v>0</v>
      </c>
      <c r="AD23" s="115"/>
      <c r="AE23" s="115">
        <v>0</v>
      </c>
      <c r="AF23" s="115"/>
      <c r="AG23" s="115">
        <v>0</v>
      </c>
      <c r="AH23" s="115">
        <v>0</v>
      </c>
      <c r="AI23" s="115"/>
      <c r="AJ23" s="115"/>
      <c r="AK23" s="115"/>
      <c r="AL23" s="115">
        <v>0</v>
      </c>
      <c r="AM23" s="115"/>
      <c r="AN23" s="115">
        <v>0</v>
      </c>
      <c r="AO23" s="115">
        <v>0</v>
      </c>
      <c r="AP23" s="115"/>
      <c r="AQ23" s="115"/>
      <c r="AR23" s="115"/>
      <c r="AS23" s="115"/>
      <c r="AT23" s="115"/>
      <c r="AU23" s="115">
        <v>0</v>
      </c>
      <c r="AV23" s="115">
        <v>0</v>
      </c>
      <c r="AW23" s="115"/>
      <c r="AX23" s="115"/>
      <c r="AY23" s="115"/>
    </row>
    <row r="24" spans="1:53" x14ac:dyDescent="0.2">
      <c r="A24" s="133"/>
      <c r="B24" s="134">
        <v>4</v>
      </c>
      <c r="C24" s="133" t="s">
        <v>293</v>
      </c>
      <c r="D24" s="130">
        <v>0</v>
      </c>
      <c r="E24" s="130">
        <v>0</v>
      </c>
      <c r="F24" s="130">
        <v>0</v>
      </c>
      <c r="G24" s="130">
        <v>0</v>
      </c>
      <c r="H24" s="130">
        <v>0</v>
      </c>
      <c r="I24" s="130">
        <v>0</v>
      </c>
      <c r="J24" s="130">
        <v>0</v>
      </c>
      <c r="K24" s="130">
        <v>0</v>
      </c>
      <c r="L24" s="130">
        <v>0</v>
      </c>
      <c r="M24" s="130">
        <v>0</v>
      </c>
      <c r="N24" s="130">
        <v>0</v>
      </c>
      <c r="O24" s="130">
        <v>0</v>
      </c>
      <c r="P24" s="130">
        <v>0</v>
      </c>
      <c r="Q24" s="130">
        <v>0</v>
      </c>
      <c r="R24" s="130">
        <v>0</v>
      </c>
      <c r="S24" s="130">
        <v>0</v>
      </c>
      <c r="T24" s="130">
        <v>0</v>
      </c>
      <c r="U24" s="130">
        <v>0</v>
      </c>
      <c r="V24" s="130">
        <v>0</v>
      </c>
      <c r="W24" s="130">
        <v>0</v>
      </c>
      <c r="X24" s="130">
        <v>0</v>
      </c>
      <c r="Y24" s="130">
        <v>0</v>
      </c>
      <c r="Z24" s="130">
        <v>0</v>
      </c>
      <c r="AA24" s="130">
        <v>0</v>
      </c>
      <c r="AB24" s="130">
        <v>0</v>
      </c>
      <c r="AC24" s="130">
        <v>0</v>
      </c>
      <c r="AD24" s="130">
        <v>0</v>
      </c>
      <c r="AE24" s="130">
        <v>0</v>
      </c>
      <c r="AF24" s="130">
        <v>0</v>
      </c>
      <c r="AG24" s="130">
        <v>0</v>
      </c>
      <c r="AH24" s="130">
        <v>0</v>
      </c>
      <c r="AI24" s="130">
        <v>0</v>
      </c>
      <c r="AJ24" s="130">
        <v>0</v>
      </c>
      <c r="AK24" s="130">
        <v>0</v>
      </c>
      <c r="AL24" s="130">
        <v>0</v>
      </c>
      <c r="AM24" s="130">
        <v>0</v>
      </c>
      <c r="AN24" s="130">
        <v>0</v>
      </c>
      <c r="AO24" s="130">
        <v>0</v>
      </c>
      <c r="AP24" s="130">
        <v>0</v>
      </c>
      <c r="AQ24" s="130">
        <v>0</v>
      </c>
      <c r="AR24" s="130">
        <v>0</v>
      </c>
      <c r="AS24" s="130">
        <v>0</v>
      </c>
      <c r="AT24" s="130">
        <v>0</v>
      </c>
      <c r="AU24" s="130">
        <v>0</v>
      </c>
      <c r="AV24" s="130">
        <v>0</v>
      </c>
      <c r="AW24" s="130">
        <v>0</v>
      </c>
      <c r="AX24" s="130">
        <v>0</v>
      </c>
      <c r="AY24" s="130">
        <v>0</v>
      </c>
    </row>
    <row r="25" spans="1:53" x14ac:dyDescent="0.2">
      <c r="A25" s="131" t="s">
        <v>133</v>
      </c>
      <c r="B25" s="128">
        <v>1</v>
      </c>
      <c r="C25" s="114" t="s">
        <v>293</v>
      </c>
      <c r="D25" s="115"/>
      <c r="E25" s="115"/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115"/>
      <c r="AK25" s="115"/>
      <c r="AL25" s="115"/>
      <c r="AM25" s="115"/>
      <c r="AN25" s="115"/>
      <c r="AO25" s="115"/>
      <c r="AP25" s="115"/>
      <c r="AQ25" s="115"/>
      <c r="AR25" s="115"/>
      <c r="AS25" s="115"/>
      <c r="AT25" s="115"/>
      <c r="AU25" s="115"/>
      <c r="AV25" s="115"/>
      <c r="AW25" s="115"/>
      <c r="AX25" s="115"/>
      <c r="AY25" s="115"/>
    </row>
    <row r="26" spans="1:53" x14ac:dyDescent="0.2">
      <c r="A26" s="114"/>
      <c r="B26" s="124">
        <v>2</v>
      </c>
      <c r="C26" s="114" t="s">
        <v>293</v>
      </c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5"/>
      <c r="AF26" s="115"/>
      <c r="AG26" s="115"/>
      <c r="AH26" s="115"/>
      <c r="AI26" s="115"/>
      <c r="AJ26" s="115"/>
      <c r="AK26" s="115"/>
      <c r="AL26" s="115"/>
      <c r="AM26" s="115"/>
      <c r="AN26" s="115"/>
      <c r="AO26" s="115"/>
      <c r="AP26" s="115"/>
      <c r="AQ26" s="115"/>
      <c r="AR26" s="115"/>
      <c r="AS26" s="115"/>
      <c r="AT26" s="115"/>
      <c r="AU26" s="115"/>
      <c r="AV26" s="115"/>
      <c r="AW26" s="115"/>
      <c r="AX26" s="115"/>
      <c r="AY26" s="115"/>
    </row>
    <row r="27" spans="1:53" x14ac:dyDescent="0.2">
      <c r="A27" s="114"/>
      <c r="B27" s="125">
        <v>3</v>
      </c>
      <c r="C27" s="114" t="s">
        <v>293</v>
      </c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115"/>
      <c r="AC27" s="115"/>
      <c r="AD27" s="115"/>
      <c r="AE27" s="115"/>
      <c r="AF27" s="115"/>
      <c r="AG27" s="115"/>
      <c r="AH27" s="115"/>
      <c r="AI27" s="115"/>
      <c r="AJ27" s="115"/>
      <c r="AK27" s="115"/>
      <c r="AL27" s="115"/>
      <c r="AM27" s="115"/>
      <c r="AN27" s="115"/>
      <c r="AO27" s="115"/>
      <c r="AP27" s="115"/>
      <c r="AQ27" s="115"/>
      <c r="AR27" s="115"/>
      <c r="AS27" s="115"/>
      <c r="AT27" s="115"/>
      <c r="AU27" s="115"/>
      <c r="AV27" s="115"/>
      <c r="AW27" s="115"/>
      <c r="AX27" s="115"/>
      <c r="AY27" s="115"/>
    </row>
    <row r="28" spans="1:53" x14ac:dyDescent="0.2">
      <c r="A28" s="114"/>
      <c r="B28" s="125">
        <v>4</v>
      </c>
      <c r="C28" s="114" t="s">
        <v>293</v>
      </c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15"/>
      <c r="AM28" s="115"/>
      <c r="AN28" s="115"/>
      <c r="AO28" s="115"/>
      <c r="AP28" s="115"/>
      <c r="AQ28" s="115"/>
      <c r="AR28" s="115"/>
      <c r="AS28" s="115"/>
      <c r="AT28" s="115"/>
      <c r="AU28" s="115"/>
      <c r="AV28" s="115"/>
      <c r="AW28" s="115"/>
      <c r="AX28" s="115"/>
      <c r="AY28" s="115"/>
    </row>
    <row r="29" spans="1:53" x14ac:dyDescent="0.2">
      <c r="A29" s="114"/>
      <c r="B29" s="132">
        <v>5</v>
      </c>
      <c r="C29" s="114" t="s">
        <v>293</v>
      </c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>
        <v>0</v>
      </c>
      <c r="O29" s="115">
        <v>0</v>
      </c>
      <c r="P29" s="115"/>
      <c r="Q29" s="115"/>
      <c r="R29" s="115"/>
      <c r="S29" s="115"/>
      <c r="T29" s="115"/>
      <c r="U29" s="115">
        <v>0</v>
      </c>
      <c r="V29" s="115">
        <v>0</v>
      </c>
      <c r="W29" s="115"/>
      <c r="X29" s="115"/>
      <c r="Y29" s="115"/>
      <c r="Z29" s="115">
        <v>0</v>
      </c>
      <c r="AA29" s="115">
        <v>0</v>
      </c>
      <c r="AB29" s="115"/>
      <c r="AC29" s="115">
        <v>0</v>
      </c>
      <c r="AD29" s="115"/>
      <c r="AE29" s="115">
        <v>0</v>
      </c>
      <c r="AF29" s="115"/>
      <c r="AG29" s="115">
        <v>0</v>
      </c>
      <c r="AH29" s="115">
        <v>0</v>
      </c>
      <c r="AI29" s="115"/>
      <c r="AJ29" s="115"/>
      <c r="AK29" s="115"/>
      <c r="AL29" s="115">
        <v>0</v>
      </c>
      <c r="AM29" s="115"/>
      <c r="AN29" s="115">
        <v>0</v>
      </c>
      <c r="AO29" s="115"/>
      <c r="AP29" s="115"/>
      <c r="AQ29" s="115"/>
      <c r="AR29" s="115"/>
      <c r="AS29" s="115"/>
      <c r="AT29" s="115"/>
      <c r="AU29" s="115">
        <v>0</v>
      </c>
      <c r="AV29" s="115">
        <v>0</v>
      </c>
      <c r="AW29" s="115"/>
      <c r="AX29" s="115"/>
      <c r="AY29" s="115"/>
    </row>
    <row r="30" spans="1:53" x14ac:dyDescent="0.2">
      <c r="A30" s="114"/>
      <c r="B30" s="132">
        <v>6</v>
      </c>
      <c r="C30" s="114" t="s">
        <v>293</v>
      </c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>
        <v>0</v>
      </c>
      <c r="O30" s="115">
        <v>0</v>
      </c>
      <c r="P30" s="115"/>
      <c r="Q30" s="115"/>
      <c r="R30" s="115"/>
      <c r="S30" s="115"/>
      <c r="T30" s="115"/>
      <c r="U30" s="115">
        <v>0</v>
      </c>
      <c r="V30" s="115">
        <v>0</v>
      </c>
      <c r="W30" s="115"/>
      <c r="X30" s="115"/>
      <c r="Y30" s="115"/>
      <c r="Z30" s="115">
        <v>0</v>
      </c>
      <c r="AA30" s="115">
        <v>0</v>
      </c>
      <c r="AB30" s="115"/>
      <c r="AC30" s="115">
        <v>0</v>
      </c>
      <c r="AD30" s="115"/>
      <c r="AE30" s="115">
        <v>0</v>
      </c>
      <c r="AF30" s="115"/>
      <c r="AG30" s="115">
        <v>0</v>
      </c>
      <c r="AH30" s="115">
        <v>0</v>
      </c>
      <c r="AI30" s="115"/>
      <c r="AJ30" s="115"/>
      <c r="AK30" s="115"/>
      <c r="AL30" s="115">
        <v>0</v>
      </c>
      <c r="AM30" s="115"/>
      <c r="AN30" s="115">
        <v>0</v>
      </c>
      <c r="AO30" s="115">
        <v>0</v>
      </c>
      <c r="AP30" s="115"/>
      <c r="AQ30" s="115"/>
      <c r="AR30" s="115"/>
      <c r="AS30" s="115"/>
      <c r="AT30" s="115"/>
      <c r="AU30" s="115">
        <v>0</v>
      </c>
      <c r="AV30" s="115">
        <v>0</v>
      </c>
      <c r="AW30" s="115"/>
      <c r="AX30" s="115"/>
      <c r="AY30" s="115"/>
    </row>
    <row r="31" spans="1:53" x14ac:dyDescent="0.2">
      <c r="A31" s="114"/>
      <c r="B31" s="135">
        <v>7</v>
      </c>
      <c r="C31" s="114" t="s">
        <v>293</v>
      </c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>
        <v>0</v>
      </c>
      <c r="O31" s="115">
        <v>0</v>
      </c>
      <c r="P31" s="115"/>
      <c r="Q31" s="115"/>
      <c r="R31" s="115"/>
      <c r="S31" s="115"/>
      <c r="T31" s="115"/>
      <c r="U31" s="115">
        <v>0</v>
      </c>
      <c r="V31" s="115">
        <v>0</v>
      </c>
      <c r="W31" s="115"/>
      <c r="X31" s="115"/>
      <c r="Y31" s="115"/>
      <c r="Z31" s="115">
        <v>0</v>
      </c>
      <c r="AA31" s="115">
        <v>0</v>
      </c>
      <c r="AB31" s="115"/>
      <c r="AC31" s="115">
        <v>0</v>
      </c>
      <c r="AD31" s="115"/>
      <c r="AE31" s="115">
        <v>0</v>
      </c>
      <c r="AF31" s="115"/>
      <c r="AG31" s="115">
        <v>0</v>
      </c>
      <c r="AH31" s="115">
        <v>0</v>
      </c>
      <c r="AI31" s="115"/>
      <c r="AJ31" s="115"/>
      <c r="AK31" s="115"/>
      <c r="AL31" s="115">
        <v>0</v>
      </c>
      <c r="AM31" s="115"/>
      <c r="AN31" s="115">
        <v>0</v>
      </c>
      <c r="AO31" s="115">
        <v>0</v>
      </c>
      <c r="AP31" s="115"/>
      <c r="AQ31" s="115"/>
      <c r="AR31" s="115"/>
      <c r="AS31" s="115"/>
      <c r="AT31" s="115"/>
      <c r="AU31" s="115">
        <v>0</v>
      </c>
      <c r="AV31" s="115">
        <v>0</v>
      </c>
      <c r="AW31" s="115"/>
      <c r="AX31" s="115"/>
      <c r="AY31" s="115"/>
    </row>
    <row r="32" spans="1:53" x14ac:dyDescent="0.2">
      <c r="A32" s="133"/>
      <c r="B32" s="134">
        <v>8</v>
      </c>
      <c r="C32" s="133" t="s">
        <v>293</v>
      </c>
      <c r="D32" s="130">
        <v>0</v>
      </c>
      <c r="E32" s="130">
        <v>0</v>
      </c>
      <c r="F32" s="130">
        <v>0</v>
      </c>
      <c r="G32" s="130">
        <v>0</v>
      </c>
      <c r="H32" s="130">
        <v>0</v>
      </c>
      <c r="I32" s="130">
        <v>0</v>
      </c>
      <c r="J32" s="130">
        <v>0</v>
      </c>
      <c r="K32" s="130">
        <v>0</v>
      </c>
      <c r="L32" s="130">
        <v>0</v>
      </c>
      <c r="M32" s="130">
        <v>0</v>
      </c>
      <c r="N32" s="130">
        <v>0</v>
      </c>
      <c r="O32" s="130">
        <v>0</v>
      </c>
      <c r="P32" s="130">
        <v>0</v>
      </c>
      <c r="Q32" s="130">
        <v>0</v>
      </c>
      <c r="R32" s="130">
        <v>0</v>
      </c>
      <c r="S32" s="130">
        <v>0</v>
      </c>
      <c r="T32" s="130">
        <v>0</v>
      </c>
      <c r="U32" s="130">
        <v>0</v>
      </c>
      <c r="V32" s="130">
        <v>0</v>
      </c>
      <c r="W32" s="130">
        <v>0</v>
      </c>
      <c r="X32" s="130">
        <v>0</v>
      </c>
      <c r="Y32" s="130">
        <v>0</v>
      </c>
      <c r="Z32" s="130">
        <v>0</v>
      </c>
      <c r="AA32" s="130">
        <v>0</v>
      </c>
      <c r="AB32" s="130">
        <v>0</v>
      </c>
      <c r="AC32" s="130">
        <v>0</v>
      </c>
      <c r="AD32" s="130">
        <v>0</v>
      </c>
      <c r="AE32" s="130">
        <v>0</v>
      </c>
      <c r="AF32" s="130">
        <v>0</v>
      </c>
      <c r="AG32" s="130">
        <v>0</v>
      </c>
      <c r="AH32" s="130">
        <v>0</v>
      </c>
      <c r="AI32" s="130">
        <v>0</v>
      </c>
      <c r="AJ32" s="130">
        <v>0</v>
      </c>
      <c r="AK32" s="130">
        <v>0</v>
      </c>
      <c r="AL32" s="130">
        <v>0</v>
      </c>
      <c r="AM32" s="130">
        <v>0</v>
      </c>
      <c r="AN32" s="130">
        <v>0</v>
      </c>
      <c r="AO32" s="130">
        <v>0</v>
      </c>
      <c r="AP32" s="130">
        <v>0</v>
      </c>
      <c r="AQ32" s="130">
        <v>0</v>
      </c>
      <c r="AR32" s="130">
        <v>0</v>
      </c>
      <c r="AS32" s="130">
        <v>0</v>
      </c>
      <c r="AT32" s="130">
        <v>0</v>
      </c>
      <c r="AU32" s="130">
        <v>0</v>
      </c>
      <c r="AV32" s="130">
        <v>0</v>
      </c>
      <c r="AW32" s="130">
        <v>0</v>
      </c>
      <c r="AX32" s="130">
        <v>0</v>
      </c>
      <c r="AY32" s="130">
        <v>0</v>
      </c>
    </row>
    <row r="33" spans="1:51" x14ac:dyDescent="0.2">
      <c r="A33" s="136" t="s">
        <v>134</v>
      </c>
      <c r="B33" s="124">
        <v>1</v>
      </c>
      <c r="C33" s="114" t="s">
        <v>293</v>
      </c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111"/>
      <c r="AM33" s="111"/>
      <c r="AN33" s="111"/>
      <c r="AO33" s="111"/>
      <c r="AP33" s="111"/>
      <c r="AQ33" s="111"/>
      <c r="AR33" s="111"/>
      <c r="AS33" s="111"/>
      <c r="AT33" s="111"/>
      <c r="AU33" s="111"/>
      <c r="AV33" s="111"/>
      <c r="AW33" s="111"/>
      <c r="AX33" s="111"/>
      <c r="AY33" s="111"/>
    </row>
    <row r="34" spans="1:51" x14ac:dyDescent="0.2">
      <c r="A34" s="114"/>
      <c r="B34" s="124">
        <v>2</v>
      </c>
      <c r="C34" s="114" t="s">
        <v>293</v>
      </c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  <c r="AB34" s="111"/>
      <c r="AC34" s="111"/>
      <c r="AD34" s="111"/>
      <c r="AE34" s="111"/>
      <c r="AF34" s="111"/>
      <c r="AG34" s="111"/>
      <c r="AH34" s="111"/>
      <c r="AI34" s="111"/>
      <c r="AJ34" s="111"/>
      <c r="AK34" s="111"/>
      <c r="AL34" s="111"/>
      <c r="AM34" s="111"/>
      <c r="AN34" s="111"/>
      <c r="AO34" s="111"/>
      <c r="AP34" s="111"/>
      <c r="AQ34" s="111"/>
      <c r="AR34" s="111"/>
      <c r="AS34" s="111"/>
      <c r="AT34" s="111"/>
      <c r="AU34" s="111"/>
      <c r="AV34" s="111"/>
      <c r="AW34" s="111"/>
      <c r="AX34" s="111"/>
      <c r="AY34" s="111"/>
    </row>
    <row r="35" spans="1:51" x14ac:dyDescent="0.2">
      <c r="A35" s="114"/>
      <c r="B35" s="124">
        <v>3</v>
      </c>
      <c r="C35" s="114" t="s">
        <v>293</v>
      </c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111"/>
      <c r="AB35" s="111"/>
      <c r="AC35" s="111"/>
      <c r="AD35" s="111"/>
      <c r="AE35" s="111"/>
      <c r="AF35" s="111"/>
      <c r="AG35" s="111"/>
      <c r="AH35" s="111"/>
      <c r="AI35" s="111"/>
      <c r="AJ35" s="111"/>
      <c r="AK35" s="111"/>
      <c r="AL35" s="111"/>
      <c r="AM35" s="111"/>
      <c r="AN35" s="111"/>
      <c r="AO35" s="111"/>
      <c r="AP35" s="111"/>
      <c r="AQ35" s="111"/>
      <c r="AR35" s="111"/>
      <c r="AS35" s="111"/>
      <c r="AT35" s="111"/>
      <c r="AU35" s="111"/>
      <c r="AV35" s="111"/>
      <c r="AW35" s="111"/>
      <c r="AX35" s="111"/>
      <c r="AY35" s="111"/>
    </row>
    <row r="36" spans="1:51" x14ac:dyDescent="0.2">
      <c r="A36" s="114"/>
      <c r="B36" s="125">
        <v>4</v>
      </c>
      <c r="C36" s="114" t="s">
        <v>293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  <c r="AH36" s="111"/>
      <c r="AI36" s="111"/>
      <c r="AJ36" s="111"/>
      <c r="AK36" s="111"/>
      <c r="AL36" s="111"/>
      <c r="AM36" s="111"/>
      <c r="AN36" s="111"/>
      <c r="AO36" s="111"/>
      <c r="AP36" s="111"/>
      <c r="AQ36" s="111"/>
      <c r="AR36" s="111"/>
      <c r="AS36" s="111"/>
      <c r="AT36" s="111"/>
      <c r="AU36" s="111"/>
      <c r="AV36" s="111"/>
      <c r="AW36" s="111"/>
      <c r="AX36" s="111"/>
      <c r="AY36" s="111"/>
    </row>
    <row r="37" spans="1:51" x14ac:dyDescent="0.2">
      <c r="A37" s="114"/>
      <c r="B37" s="125">
        <v>5</v>
      </c>
      <c r="C37" s="114" t="s">
        <v>293</v>
      </c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  <c r="AB37" s="111"/>
      <c r="AC37" s="111"/>
      <c r="AD37" s="111"/>
      <c r="AE37" s="111"/>
      <c r="AF37" s="111"/>
      <c r="AG37" s="111"/>
      <c r="AH37" s="111"/>
      <c r="AI37" s="111"/>
      <c r="AJ37" s="111"/>
      <c r="AK37" s="111"/>
      <c r="AL37" s="111"/>
      <c r="AM37" s="111"/>
      <c r="AN37" s="111"/>
      <c r="AO37" s="111"/>
      <c r="AP37" s="111"/>
      <c r="AQ37" s="111"/>
      <c r="AR37" s="111"/>
      <c r="AS37" s="111"/>
      <c r="AT37" s="111"/>
      <c r="AU37" s="111"/>
      <c r="AV37" s="111"/>
      <c r="AW37" s="111"/>
      <c r="AX37" s="111"/>
      <c r="AY37" s="111"/>
    </row>
    <row r="38" spans="1:51" x14ac:dyDescent="0.2">
      <c r="A38" s="114"/>
      <c r="B38" s="125">
        <v>6</v>
      </c>
      <c r="C38" s="114" t="s">
        <v>293</v>
      </c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1"/>
      <c r="AL38" s="111"/>
      <c r="AM38" s="111"/>
      <c r="AN38" s="111"/>
      <c r="AO38" s="111"/>
      <c r="AP38" s="111"/>
      <c r="AQ38" s="111"/>
      <c r="AR38" s="111"/>
      <c r="AS38" s="111"/>
      <c r="AT38" s="111"/>
      <c r="AU38" s="111"/>
      <c r="AV38" s="111"/>
      <c r="AW38" s="111"/>
      <c r="AX38" s="111"/>
      <c r="AY38" s="111"/>
    </row>
    <row r="39" spans="1:51" x14ac:dyDescent="0.2">
      <c r="A39" s="114"/>
      <c r="B39" s="132">
        <v>7</v>
      </c>
      <c r="C39" s="114" t="s">
        <v>293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  <c r="AL39" s="111"/>
      <c r="AM39" s="111"/>
      <c r="AN39" s="111"/>
      <c r="AO39" s="111"/>
      <c r="AP39" s="111"/>
      <c r="AQ39" s="111"/>
      <c r="AR39" s="111"/>
      <c r="AS39" s="111"/>
      <c r="AT39" s="111"/>
      <c r="AU39" s="111"/>
      <c r="AV39" s="111"/>
      <c r="AW39" s="111"/>
      <c r="AX39" s="111"/>
      <c r="AY39" s="111"/>
    </row>
    <row r="40" spans="1:51" x14ac:dyDescent="0.2">
      <c r="A40" s="114"/>
      <c r="B40" s="132">
        <v>8</v>
      </c>
      <c r="C40" s="114" t="s">
        <v>293</v>
      </c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1"/>
      <c r="AL40" s="111"/>
      <c r="AM40" s="111"/>
      <c r="AN40" s="111"/>
      <c r="AO40" s="111"/>
      <c r="AP40" s="111"/>
      <c r="AQ40" s="111"/>
      <c r="AR40" s="111"/>
      <c r="AS40" s="111"/>
      <c r="AT40" s="111"/>
      <c r="AU40" s="111"/>
      <c r="AV40" s="111"/>
      <c r="AW40" s="111"/>
      <c r="AX40" s="111"/>
      <c r="AY40" s="111"/>
    </row>
    <row r="41" spans="1:51" x14ac:dyDescent="0.2">
      <c r="A41" s="114"/>
      <c r="B41" s="132">
        <v>9</v>
      </c>
      <c r="C41" s="114" t="s">
        <v>293</v>
      </c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>
        <v>0</v>
      </c>
      <c r="O41" s="111">
        <v>0</v>
      </c>
      <c r="P41" s="111"/>
      <c r="Q41" s="111"/>
      <c r="R41" s="111"/>
      <c r="S41" s="111"/>
      <c r="T41" s="111"/>
      <c r="U41" s="111">
        <v>0</v>
      </c>
      <c r="V41" s="111">
        <v>0</v>
      </c>
      <c r="W41" s="111"/>
      <c r="X41" s="111"/>
      <c r="Y41" s="111"/>
      <c r="Z41" s="111">
        <v>0</v>
      </c>
      <c r="AA41" s="111">
        <v>0</v>
      </c>
      <c r="AB41" s="111"/>
      <c r="AC41" s="111">
        <v>0</v>
      </c>
      <c r="AD41" s="111"/>
      <c r="AE41" s="111">
        <v>0</v>
      </c>
      <c r="AF41" s="111"/>
      <c r="AG41" s="111">
        <v>0</v>
      </c>
      <c r="AH41" s="111">
        <v>0</v>
      </c>
      <c r="AI41" s="111"/>
      <c r="AJ41" s="111"/>
      <c r="AK41" s="111"/>
      <c r="AL41" s="111">
        <v>0</v>
      </c>
      <c r="AM41" s="111"/>
      <c r="AN41" s="111">
        <v>0</v>
      </c>
      <c r="AO41" s="111"/>
      <c r="AP41" s="111"/>
      <c r="AQ41" s="111"/>
      <c r="AR41" s="111"/>
      <c r="AS41" s="111"/>
      <c r="AT41" s="111"/>
      <c r="AU41" s="111">
        <v>0</v>
      </c>
      <c r="AV41" s="111">
        <v>0</v>
      </c>
      <c r="AW41" s="111"/>
      <c r="AX41" s="111"/>
      <c r="AY41" s="111"/>
    </row>
    <row r="42" spans="1:51" x14ac:dyDescent="0.2">
      <c r="A42" s="114"/>
      <c r="B42" s="135">
        <v>10</v>
      </c>
      <c r="C42" s="114" t="s">
        <v>293</v>
      </c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>
        <v>0</v>
      </c>
      <c r="O42" s="111">
        <v>0</v>
      </c>
      <c r="P42" s="111"/>
      <c r="Q42" s="111"/>
      <c r="R42" s="111"/>
      <c r="S42" s="111"/>
      <c r="T42" s="111"/>
      <c r="U42" s="111">
        <v>0</v>
      </c>
      <c r="V42" s="111">
        <v>0</v>
      </c>
      <c r="W42" s="111"/>
      <c r="X42" s="111"/>
      <c r="Y42" s="111"/>
      <c r="Z42" s="111">
        <v>0</v>
      </c>
      <c r="AA42" s="111">
        <v>0</v>
      </c>
      <c r="AB42" s="111"/>
      <c r="AC42" s="111">
        <v>0</v>
      </c>
      <c r="AD42" s="111"/>
      <c r="AE42" s="111">
        <v>0</v>
      </c>
      <c r="AF42" s="111"/>
      <c r="AG42" s="111">
        <v>0</v>
      </c>
      <c r="AH42" s="111">
        <v>0</v>
      </c>
      <c r="AI42" s="111"/>
      <c r="AJ42" s="111"/>
      <c r="AK42" s="111"/>
      <c r="AL42" s="111">
        <v>0</v>
      </c>
      <c r="AM42" s="111"/>
      <c r="AN42" s="111">
        <v>0</v>
      </c>
      <c r="AO42" s="111">
        <v>0</v>
      </c>
      <c r="AP42" s="111"/>
      <c r="AQ42" s="111"/>
      <c r="AR42" s="111"/>
      <c r="AS42" s="111"/>
      <c r="AT42" s="111"/>
      <c r="AU42" s="111">
        <v>0</v>
      </c>
      <c r="AV42" s="111">
        <v>0</v>
      </c>
      <c r="AW42" s="111"/>
      <c r="AX42" s="111"/>
      <c r="AY42" s="111"/>
    </row>
    <row r="43" spans="1:51" x14ac:dyDescent="0.2">
      <c r="A43" s="114"/>
      <c r="B43" s="135">
        <v>11</v>
      </c>
      <c r="C43" s="114" t="s">
        <v>293</v>
      </c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>
        <v>0</v>
      </c>
      <c r="O43" s="111">
        <v>0</v>
      </c>
      <c r="P43" s="111"/>
      <c r="Q43" s="111"/>
      <c r="R43" s="111"/>
      <c r="S43" s="111"/>
      <c r="T43" s="111"/>
      <c r="U43" s="111">
        <v>0</v>
      </c>
      <c r="V43" s="111">
        <v>0</v>
      </c>
      <c r="W43" s="111"/>
      <c r="X43" s="111"/>
      <c r="Y43" s="111"/>
      <c r="Z43" s="111">
        <v>0</v>
      </c>
      <c r="AA43" s="111">
        <v>0</v>
      </c>
      <c r="AB43" s="111"/>
      <c r="AC43" s="111">
        <v>0</v>
      </c>
      <c r="AD43" s="111"/>
      <c r="AE43" s="111">
        <v>0</v>
      </c>
      <c r="AF43" s="111"/>
      <c r="AG43" s="111">
        <v>0</v>
      </c>
      <c r="AH43" s="111">
        <v>0</v>
      </c>
      <c r="AI43" s="111"/>
      <c r="AJ43" s="111"/>
      <c r="AK43" s="111"/>
      <c r="AL43" s="111">
        <v>0</v>
      </c>
      <c r="AM43" s="111"/>
      <c r="AN43" s="111">
        <v>0</v>
      </c>
      <c r="AO43" s="111">
        <v>0</v>
      </c>
      <c r="AP43" s="111"/>
      <c r="AQ43" s="111"/>
      <c r="AR43" s="111"/>
      <c r="AS43" s="111"/>
      <c r="AT43" s="111"/>
      <c r="AU43" s="111">
        <v>0</v>
      </c>
      <c r="AV43" s="111">
        <v>0</v>
      </c>
      <c r="AW43" s="111"/>
      <c r="AX43" s="111"/>
      <c r="AY43" s="111"/>
    </row>
    <row r="44" spans="1:51" x14ac:dyDescent="0.2">
      <c r="A44" s="114"/>
      <c r="B44" s="135">
        <v>12</v>
      </c>
      <c r="C44" s="133" t="s">
        <v>293</v>
      </c>
      <c r="D44" s="111">
        <v>0</v>
      </c>
      <c r="E44" s="111">
        <v>0</v>
      </c>
      <c r="F44" s="111">
        <v>0</v>
      </c>
      <c r="G44" s="111">
        <v>0</v>
      </c>
      <c r="H44" s="111">
        <v>0</v>
      </c>
      <c r="I44" s="111">
        <v>0</v>
      </c>
      <c r="J44" s="111">
        <v>0</v>
      </c>
      <c r="K44" s="111">
        <v>0</v>
      </c>
      <c r="L44" s="111">
        <v>0</v>
      </c>
      <c r="M44" s="111">
        <v>0</v>
      </c>
      <c r="N44" s="111">
        <v>0</v>
      </c>
      <c r="O44" s="111">
        <v>0</v>
      </c>
      <c r="P44" s="111">
        <v>0</v>
      </c>
      <c r="Q44" s="111">
        <v>0</v>
      </c>
      <c r="R44" s="111">
        <v>0</v>
      </c>
      <c r="S44" s="111">
        <v>0</v>
      </c>
      <c r="T44" s="111">
        <v>0</v>
      </c>
      <c r="U44" s="111">
        <v>0</v>
      </c>
      <c r="V44" s="111">
        <v>0</v>
      </c>
      <c r="W44" s="111">
        <v>0</v>
      </c>
      <c r="X44" s="111">
        <v>0</v>
      </c>
      <c r="Y44" s="111">
        <v>0</v>
      </c>
      <c r="Z44" s="111">
        <v>0</v>
      </c>
      <c r="AA44" s="111">
        <v>0</v>
      </c>
      <c r="AB44" s="111">
        <v>0</v>
      </c>
      <c r="AC44" s="111">
        <v>0</v>
      </c>
      <c r="AD44" s="111">
        <v>0</v>
      </c>
      <c r="AE44" s="111">
        <v>0</v>
      </c>
      <c r="AF44" s="111">
        <v>0</v>
      </c>
      <c r="AG44" s="111">
        <v>0</v>
      </c>
      <c r="AH44" s="111">
        <v>0</v>
      </c>
      <c r="AI44" s="111">
        <v>0</v>
      </c>
      <c r="AJ44" s="111">
        <v>0</v>
      </c>
      <c r="AK44" s="111">
        <v>0</v>
      </c>
      <c r="AL44" s="111">
        <v>0</v>
      </c>
      <c r="AM44" s="111">
        <v>0</v>
      </c>
      <c r="AN44" s="111">
        <v>0</v>
      </c>
      <c r="AO44" s="111">
        <v>0</v>
      </c>
      <c r="AP44" s="111">
        <v>0</v>
      </c>
      <c r="AQ44" s="111">
        <v>0</v>
      </c>
      <c r="AR44" s="111">
        <v>0</v>
      </c>
      <c r="AS44" s="111">
        <v>0</v>
      </c>
      <c r="AT44" s="111">
        <v>0</v>
      </c>
      <c r="AU44" s="111">
        <v>0</v>
      </c>
      <c r="AV44" s="111">
        <v>0</v>
      </c>
      <c r="AW44" s="111">
        <v>0</v>
      </c>
      <c r="AX44" s="111">
        <v>0</v>
      </c>
      <c r="AY44" s="111">
        <v>0</v>
      </c>
    </row>
    <row r="45" spans="1:51" x14ac:dyDescent="0.2">
      <c r="A45" s="131" t="s">
        <v>123</v>
      </c>
      <c r="B45" s="128">
        <v>1</v>
      </c>
      <c r="C45" s="114" t="s">
        <v>293</v>
      </c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</row>
    <row r="46" spans="1:51" x14ac:dyDescent="0.2">
      <c r="A46" s="114"/>
      <c r="B46" s="124">
        <v>2</v>
      </c>
      <c r="C46" s="114" t="s">
        <v>293</v>
      </c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</row>
    <row r="47" spans="1:51" x14ac:dyDescent="0.2">
      <c r="A47" s="114"/>
      <c r="B47" s="124">
        <v>3</v>
      </c>
      <c r="C47" s="114" t="s">
        <v>293</v>
      </c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</row>
    <row r="48" spans="1:51" x14ac:dyDescent="0.2">
      <c r="A48" s="114"/>
      <c r="B48" s="124">
        <v>4</v>
      </c>
      <c r="C48" s="114" t="s">
        <v>293</v>
      </c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</row>
    <row r="49" spans="1:51" x14ac:dyDescent="0.2">
      <c r="A49" s="114"/>
      <c r="B49" s="124">
        <v>5</v>
      </c>
      <c r="C49" s="114" t="s">
        <v>293</v>
      </c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</row>
    <row r="50" spans="1:51" x14ac:dyDescent="0.2">
      <c r="A50" s="114"/>
      <c r="B50" s="124">
        <v>6</v>
      </c>
      <c r="C50" s="114" t="s">
        <v>293</v>
      </c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5"/>
      <c r="AF50" s="115"/>
      <c r="AG50" s="115"/>
      <c r="AH50" s="115"/>
      <c r="AI50" s="115"/>
      <c r="AJ50" s="115"/>
      <c r="AK50" s="115"/>
      <c r="AL50" s="115"/>
      <c r="AM50" s="115"/>
      <c r="AN50" s="115"/>
      <c r="AO50" s="115"/>
      <c r="AP50" s="115"/>
      <c r="AQ50" s="115"/>
      <c r="AR50" s="115"/>
      <c r="AS50" s="115"/>
      <c r="AT50" s="115"/>
      <c r="AU50" s="115"/>
      <c r="AV50" s="115"/>
      <c r="AW50" s="115"/>
      <c r="AX50" s="115"/>
      <c r="AY50" s="115"/>
    </row>
    <row r="51" spans="1:51" x14ac:dyDescent="0.2">
      <c r="A51" s="114"/>
      <c r="B51" s="124">
        <v>7</v>
      </c>
      <c r="C51" s="114" t="s">
        <v>293</v>
      </c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  <c r="AA51" s="115"/>
      <c r="AB51" s="115"/>
      <c r="AC51" s="115"/>
      <c r="AD51" s="115"/>
      <c r="AE51" s="115"/>
      <c r="AF51" s="115"/>
      <c r="AG51" s="115"/>
      <c r="AH51" s="115"/>
      <c r="AI51" s="115"/>
      <c r="AJ51" s="115"/>
      <c r="AK51" s="115"/>
      <c r="AL51" s="115"/>
      <c r="AM51" s="115"/>
      <c r="AN51" s="115"/>
      <c r="AO51" s="115"/>
      <c r="AP51" s="115"/>
      <c r="AQ51" s="115"/>
      <c r="AR51" s="115"/>
      <c r="AS51" s="115"/>
      <c r="AT51" s="115"/>
      <c r="AU51" s="115"/>
      <c r="AV51" s="115"/>
      <c r="AW51" s="115"/>
      <c r="AX51" s="115"/>
      <c r="AY51" s="115"/>
    </row>
    <row r="52" spans="1:51" x14ac:dyDescent="0.2">
      <c r="A52" s="114"/>
      <c r="B52" s="124">
        <v>8</v>
      </c>
      <c r="C52" s="114" t="s">
        <v>293</v>
      </c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  <c r="AA52" s="115"/>
      <c r="AB52" s="115"/>
      <c r="AC52" s="115"/>
      <c r="AD52" s="115"/>
      <c r="AE52" s="115"/>
      <c r="AF52" s="115"/>
      <c r="AG52" s="115"/>
      <c r="AH52" s="115"/>
      <c r="AI52" s="115"/>
      <c r="AJ52" s="115"/>
      <c r="AK52" s="115"/>
      <c r="AL52" s="115"/>
      <c r="AM52" s="115"/>
      <c r="AN52" s="115"/>
      <c r="AO52" s="115"/>
      <c r="AP52" s="115"/>
      <c r="AQ52" s="115"/>
      <c r="AR52" s="115"/>
      <c r="AS52" s="115"/>
      <c r="AT52" s="115"/>
      <c r="AU52" s="115"/>
      <c r="AV52" s="115"/>
      <c r="AW52" s="115"/>
      <c r="AX52" s="115"/>
      <c r="AY52" s="115"/>
    </row>
    <row r="53" spans="1:51" x14ac:dyDescent="0.2">
      <c r="A53" s="114"/>
      <c r="B53" s="124">
        <v>9</v>
      </c>
      <c r="C53" s="114" t="s">
        <v>293</v>
      </c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15"/>
      <c r="AH53" s="115"/>
      <c r="AI53" s="115"/>
      <c r="AJ53" s="115"/>
      <c r="AK53" s="115"/>
      <c r="AL53" s="115"/>
      <c r="AM53" s="115"/>
      <c r="AN53" s="115"/>
      <c r="AO53" s="115"/>
      <c r="AP53" s="115"/>
      <c r="AQ53" s="115"/>
      <c r="AR53" s="115"/>
      <c r="AS53" s="115"/>
      <c r="AT53" s="115"/>
      <c r="AU53" s="115"/>
      <c r="AV53" s="115"/>
      <c r="AW53" s="115"/>
      <c r="AX53" s="115"/>
      <c r="AY53" s="115"/>
    </row>
    <row r="54" spans="1:51" x14ac:dyDescent="0.2">
      <c r="A54" s="114"/>
      <c r="B54" s="124">
        <v>10</v>
      </c>
      <c r="C54" s="114" t="s">
        <v>293</v>
      </c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5"/>
      <c r="AF54" s="115"/>
      <c r="AG54" s="115"/>
      <c r="AH54" s="115"/>
      <c r="AI54" s="115"/>
      <c r="AJ54" s="115"/>
      <c r="AK54" s="115"/>
      <c r="AL54" s="115"/>
      <c r="AM54" s="115"/>
      <c r="AN54" s="115"/>
      <c r="AO54" s="115"/>
      <c r="AP54" s="115"/>
      <c r="AQ54" s="115"/>
      <c r="AR54" s="115"/>
      <c r="AS54" s="115"/>
      <c r="AT54" s="115"/>
      <c r="AU54" s="115"/>
      <c r="AV54" s="115"/>
      <c r="AW54" s="115"/>
      <c r="AX54" s="115"/>
      <c r="AY54" s="115"/>
    </row>
    <row r="55" spans="1:51" x14ac:dyDescent="0.2">
      <c r="A55" s="114"/>
      <c r="B55" s="124">
        <v>11</v>
      </c>
      <c r="C55" s="114" t="s">
        <v>293</v>
      </c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  <c r="AA55" s="115"/>
      <c r="AB55" s="115"/>
      <c r="AC55" s="115"/>
      <c r="AD55" s="115"/>
      <c r="AE55" s="115"/>
      <c r="AF55" s="115"/>
      <c r="AG55" s="115"/>
      <c r="AH55" s="115"/>
      <c r="AI55" s="115"/>
      <c r="AJ55" s="115"/>
      <c r="AK55" s="115"/>
      <c r="AL55" s="115"/>
      <c r="AM55" s="115"/>
      <c r="AN55" s="115"/>
      <c r="AO55" s="115"/>
      <c r="AP55" s="115"/>
      <c r="AQ55" s="115"/>
      <c r="AR55" s="115"/>
      <c r="AS55" s="115"/>
      <c r="AT55" s="115"/>
      <c r="AU55" s="115"/>
      <c r="AV55" s="115"/>
      <c r="AW55" s="115"/>
      <c r="AX55" s="115"/>
      <c r="AY55" s="115"/>
    </row>
    <row r="56" spans="1:51" x14ac:dyDescent="0.2">
      <c r="A56" s="114"/>
      <c r="B56" s="124">
        <v>12</v>
      </c>
      <c r="C56" s="114" t="s">
        <v>293</v>
      </c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  <c r="AA56" s="115"/>
      <c r="AB56" s="115"/>
      <c r="AC56" s="115"/>
      <c r="AD56" s="115"/>
      <c r="AE56" s="115"/>
      <c r="AF56" s="115"/>
      <c r="AG56" s="115"/>
      <c r="AH56" s="115"/>
      <c r="AI56" s="115"/>
      <c r="AJ56" s="115"/>
      <c r="AK56" s="115"/>
      <c r="AL56" s="115"/>
      <c r="AM56" s="115"/>
      <c r="AN56" s="115"/>
      <c r="AO56" s="115"/>
      <c r="AP56" s="115"/>
      <c r="AQ56" s="115"/>
      <c r="AR56" s="115"/>
      <c r="AS56" s="115"/>
      <c r="AT56" s="115"/>
      <c r="AU56" s="115"/>
      <c r="AV56" s="115"/>
      <c r="AW56" s="115"/>
      <c r="AX56" s="115"/>
      <c r="AY56" s="115"/>
    </row>
    <row r="57" spans="1:51" x14ac:dyDescent="0.2">
      <c r="A57" s="114"/>
      <c r="B57" s="125">
        <v>13</v>
      </c>
      <c r="C57" s="114" t="s">
        <v>293</v>
      </c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  <c r="AA57" s="115"/>
      <c r="AB57" s="115"/>
      <c r="AC57" s="115"/>
      <c r="AD57" s="115"/>
      <c r="AE57" s="115"/>
      <c r="AF57" s="115"/>
      <c r="AG57" s="115"/>
      <c r="AH57" s="115"/>
      <c r="AI57" s="115"/>
      <c r="AJ57" s="115"/>
      <c r="AK57" s="115"/>
      <c r="AL57" s="115"/>
      <c r="AM57" s="115"/>
      <c r="AN57" s="115"/>
      <c r="AO57" s="115"/>
      <c r="AP57" s="115"/>
      <c r="AQ57" s="115"/>
      <c r="AR57" s="115"/>
      <c r="AS57" s="115"/>
      <c r="AT57" s="115"/>
      <c r="AU57" s="115"/>
      <c r="AV57" s="115"/>
      <c r="AW57" s="115"/>
      <c r="AX57" s="115"/>
      <c r="AY57" s="115"/>
    </row>
    <row r="58" spans="1:51" x14ac:dyDescent="0.2">
      <c r="A58" s="114"/>
      <c r="B58" s="125">
        <v>14</v>
      </c>
      <c r="C58" s="114" t="s">
        <v>293</v>
      </c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</row>
    <row r="59" spans="1:51" x14ac:dyDescent="0.2">
      <c r="A59" s="114"/>
      <c r="B59" s="125">
        <v>15</v>
      </c>
      <c r="C59" s="114" t="s">
        <v>293</v>
      </c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</row>
    <row r="60" spans="1:51" x14ac:dyDescent="0.2">
      <c r="A60" s="114"/>
      <c r="B60" s="125">
        <v>16</v>
      </c>
      <c r="C60" s="114" t="s">
        <v>293</v>
      </c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</row>
    <row r="61" spans="1:51" x14ac:dyDescent="0.2">
      <c r="A61" s="114"/>
      <c r="B61" s="125">
        <v>17</v>
      </c>
      <c r="C61" s="114" t="s">
        <v>293</v>
      </c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  <c r="AA61" s="115"/>
      <c r="AB61" s="115"/>
      <c r="AC61" s="115"/>
      <c r="AD61" s="115"/>
      <c r="AE61" s="115"/>
      <c r="AF61" s="115"/>
      <c r="AG61" s="115"/>
      <c r="AH61" s="115"/>
      <c r="AI61" s="115"/>
      <c r="AJ61" s="115"/>
      <c r="AK61" s="115"/>
      <c r="AL61" s="115"/>
      <c r="AM61" s="115"/>
      <c r="AN61" s="115"/>
      <c r="AO61" s="115"/>
      <c r="AP61" s="115"/>
      <c r="AQ61" s="115"/>
      <c r="AR61" s="115"/>
      <c r="AS61" s="115"/>
      <c r="AT61" s="115"/>
      <c r="AU61" s="115"/>
      <c r="AV61" s="115"/>
      <c r="AW61" s="115"/>
      <c r="AX61" s="115"/>
      <c r="AY61" s="115"/>
    </row>
    <row r="62" spans="1:51" x14ac:dyDescent="0.2">
      <c r="A62" s="114"/>
      <c r="B62" s="125">
        <v>18</v>
      </c>
      <c r="C62" s="114" t="s">
        <v>293</v>
      </c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  <c r="AH62" s="115"/>
      <c r="AI62" s="115"/>
      <c r="AJ62" s="115"/>
      <c r="AK62" s="115"/>
      <c r="AL62" s="115"/>
      <c r="AM62" s="115"/>
      <c r="AN62" s="115"/>
      <c r="AO62" s="115"/>
      <c r="AP62" s="115"/>
      <c r="AQ62" s="115"/>
      <c r="AR62" s="115"/>
      <c r="AS62" s="115"/>
      <c r="AT62" s="115"/>
      <c r="AU62" s="115"/>
      <c r="AV62" s="115"/>
      <c r="AW62" s="115"/>
      <c r="AX62" s="115"/>
      <c r="AY62" s="115"/>
    </row>
    <row r="63" spans="1:51" x14ac:dyDescent="0.2">
      <c r="A63" s="114"/>
      <c r="B63" s="125">
        <v>19</v>
      </c>
      <c r="C63" s="114" t="s">
        <v>293</v>
      </c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</row>
    <row r="64" spans="1:51" x14ac:dyDescent="0.2">
      <c r="A64" s="114"/>
      <c r="B64" s="125">
        <v>20</v>
      </c>
      <c r="C64" s="114" t="s">
        <v>293</v>
      </c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  <c r="AE64" s="115"/>
      <c r="AF64" s="115"/>
      <c r="AG64" s="115"/>
      <c r="AH64" s="115"/>
      <c r="AI64" s="115"/>
      <c r="AJ64" s="115"/>
      <c r="AK64" s="115"/>
      <c r="AL64" s="115"/>
      <c r="AM64" s="115"/>
      <c r="AN64" s="115"/>
      <c r="AO64" s="115"/>
      <c r="AP64" s="115"/>
      <c r="AQ64" s="115"/>
      <c r="AR64" s="115"/>
      <c r="AS64" s="115"/>
      <c r="AT64" s="115"/>
      <c r="AU64" s="115"/>
      <c r="AV64" s="115"/>
      <c r="AW64" s="115"/>
      <c r="AX64" s="115"/>
      <c r="AY64" s="115"/>
    </row>
    <row r="65" spans="1:51" x14ac:dyDescent="0.2">
      <c r="A65" s="114"/>
      <c r="B65" s="125">
        <v>21</v>
      </c>
      <c r="C65" s="114" t="s">
        <v>293</v>
      </c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  <c r="AA65" s="115"/>
      <c r="AB65" s="115"/>
      <c r="AC65" s="115"/>
      <c r="AD65" s="115"/>
      <c r="AE65" s="115"/>
      <c r="AF65" s="115"/>
      <c r="AG65" s="115"/>
      <c r="AH65" s="115"/>
      <c r="AI65" s="115"/>
      <c r="AJ65" s="115"/>
      <c r="AK65" s="115"/>
      <c r="AL65" s="115"/>
      <c r="AM65" s="115"/>
      <c r="AN65" s="115"/>
      <c r="AO65" s="115"/>
      <c r="AP65" s="115"/>
      <c r="AQ65" s="115"/>
      <c r="AR65" s="115"/>
      <c r="AS65" s="115"/>
      <c r="AT65" s="115"/>
      <c r="AU65" s="115"/>
      <c r="AV65" s="115"/>
      <c r="AW65" s="115"/>
      <c r="AX65" s="115"/>
      <c r="AY65" s="115"/>
    </row>
    <row r="66" spans="1:51" x14ac:dyDescent="0.2">
      <c r="A66" s="114"/>
      <c r="B66" s="125">
        <v>22</v>
      </c>
      <c r="C66" s="114" t="s">
        <v>293</v>
      </c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  <c r="AA66" s="115"/>
      <c r="AB66" s="115"/>
      <c r="AC66" s="115"/>
      <c r="AD66" s="115"/>
      <c r="AE66" s="115"/>
      <c r="AF66" s="115"/>
      <c r="AG66" s="115"/>
      <c r="AH66" s="115"/>
      <c r="AI66" s="115"/>
      <c r="AJ66" s="115"/>
      <c r="AK66" s="115"/>
      <c r="AL66" s="115"/>
      <c r="AM66" s="115"/>
      <c r="AN66" s="115"/>
      <c r="AO66" s="115"/>
      <c r="AP66" s="115"/>
      <c r="AQ66" s="115"/>
      <c r="AR66" s="115"/>
      <c r="AS66" s="115"/>
      <c r="AT66" s="115"/>
      <c r="AU66" s="115"/>
      <c r="AV66" s="115"/>
      <c r="AW66" s="115"/>
      <c r="AX66" s="115"/>
      <c r="AY66" s="115"/>
    </row>
    <row r="67" spans="1:51" x14ac:dyDescent="0.2">
      <c r="A67" s="114"/>
      <c r="B67" s="125">
        <v>23</v>
      </c>
      <c r="C67" s="114" t="s">
        <v>293</v>
      </c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  <c r="AA67" s="115"/>
      <c r="AB67" s="115"/>
      <c r="AC67" s="115"/>
      <c r="AD67" s="115"/>
      <c r="AE67" s="115"/>
      <c r="AF67" s="115"/>
      <c r="AG67" s="115"/>
      <c r="AH67" s="115"/>
      <c r="AI67" s="115"/>
      <c r="AJ67" s="115"/>
      <c r="AK67" s="115"/>
      <c r="AL67" s="115"/>
      <c r="AM67" s="115"/>
      <c r="AN67" s="115"/>
      <c r="AO67" s="115"/>
      <c r="AP67" s="115"/>
      <c r="AQ67" s="115"/>
      <c r="AR67" s="115"/>
      <c r="AS67" s="115"/>
      <c r="AT67" s="115"/>
      <c r="AU67" s="115"/>
      <c r="AV67" s="115"/>
      <c r="AW67" s="115"/>
      <c r="AX67" s="115"/>
      <c r="AY67" s="115"/>
    </row>
    <row r="68" spans="1:51" x14ac:dyDescent="0.2">
      <c r="A68" s="114"/>
      <c r="B68" s="125">
        <v>24</v>
      </c>
      <c r="C68" s="114" t="s">
        <v>293</v>
      </c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  <c r="AA68" s="115"/>
      <c r="AB68" s="115"/>
      <c r="AC68" s="115"/>
      <c r="AD68" s="115"/>
      <c r="AE68" s="115"/>
      <c r="AF68" s="115"/>
      <c r="AG68" s="115"/>
      <c r="AH68" s="115"/>
      <c r="AI68" s="115"/>
      <c r="AJ68" s="115"/>
      <c r="AK68" s="115"/>
      <c r="AL68" s="115"/>
      <c r="AM68" s="115"/>
      <c r="AN68" s="115"/>
      <c r="AO68" s="115"/>
      <c r="AP68" s="115"/>
      <c r="AQ68" s="115"/>
      <c r="AR68" s="115"/>
      <c r="AS68" s="115"/>
      <c r="AT68" s="115"/>
      <c r="AU68" s="115"/>
      <c r="AV68" s="115"/>
      <c r="AW68" s="115"/>
      <c r="AX68" s="115"/>
      <c r="AY68" s="115"/>
    </row>
    <row r="69" spans="1:51" x14ac:dyDescent="0.2">
      <c r="A69" s="114"/>
      <c r="B69" s="132">
        <v>25</v>
      </c>
      <c r="C69" s="114" t="s">
        <v>293</v>
      </c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</row>
    <row r="70" spans="1:51" x14ac:dyDescent="0.2">
      <c r="A70" s="114"/>
      <c r="B70" s="132">
        <v>26</v>
      </c>
      <c r="C70" s="114" t="s">
        <v>293</v>
      </c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</row>
    <row r="71" spans="1:51" x14ac:dyDescent="0.2">
      <c r="A71" s="114"/>
      <c r="B71" s="132">
        <v>27</v>
      </c>
      <c r="C71" s="114" t="s">
        <v>293</v>
      </c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</row>
    <row r="72" spans="1:51" x14ac:dyDescent="0.2">
      <c r="A72" s="114"/>
      <c r="B72" s="132">
        <v>28</v>
      </c>
      <c r="C72" s="114" t="s">
        <v>293</v>
      </c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  <c r="AA72" s="115"/>
      <c r="AB72" s="115"/>
      <c r="AC72" s="115"/>
      <c r="AD72" s="115"/>
      <c r="AE72" s="115"/>
      <c r="AF72" s="115"/>
      <c r="AG72" s="115"/>
      <c r="AH72" s="115"/>
      <c r="AI72" s="115"/>
      <c r="AJ72" s="115"/>
      <c r="AK72" s="115"/>
      <c r="AL72" s="115"/>
      <c r="AM72" s="115"/>
      <c r="AN72" s="115"/>
      <c r="AO72" s="115"/>
      <c r="AP72" s="115"/>
      <c r="AQ72" s="115"/>
      <c r="AR72" s="115"/>
      <c r="AS72" s="115"/>
      <c r="AT72" s="115"/>
      <c r="AU72" s="115"/>
      <c r="AV72" s="115"/>
      <c r="AW72" s="115"/>
      <c r="AX72" s="115"/>
      <c r="AY72" s="115"/>
    </row>
    <row r="73" spans="1:51" x14ac:dyDescent="0.2">
      <c r="A73" s="114"/>
      <c r="B73" s="132">
        <v>29</v>
      </c>
      <c r="C73" s="114" t="s">
        <v>293</v>
      </c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  <c r="AA73" s="115"/>
      <c r="AB73" s="115"/>
      <c r="AC73" s="115"/>
      <c r="AD73" s="115"/>
      <c r="AE73" s="115"/>
      <c r="AF73" s="115"/>
      <c r="AG73" s="115"/>
      <c r="AH73" s="115"/>
      <c r="AI73" s="115"/>
      <c r="AJ73" s="115"/>
      <c r="AK73" s="115"/>
      <c r="AL73" s="115"/>
      <c r="AM73" s="115"/>
      <c r="AN73" s="115"/>
      <c r="AO73" s="115"/>
      <c r="AP73" s="115"/>
      <c r="AQ73" s="115"/>
      <c r="AR73" s="115"/>
      <c r="AS73" s="115"/>
      <c r="AT73" s="115"/>
      <c r="AU73" s="115"/>
      <c r="AV73" s="115"/>
      <c r="AW73" s="115"/>
      <c r="AX73" s="115"/>
      <c r="AY73" s="115"/>
    </row>
    <row r="74" spans="1:51" x14ac:dyDescent="0.2">
      <c r="A74" s="114"/>
      <c r="B74" s="132">
        <v>30</v>
      </c>
      <c r="C74" s="114" t="s">
        <v>293</v>
      </c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  <c r="AA74" s="115"/>
      <c r="AB74" s="115"/>
      <c r="AC74" s="115"/>
      <c r="AD74" s="115"/>
      <c r="AE74" s="115"/>
      <c r="AF74" s="115"/>
      <c r="AG74" s="115"/>
      <c r="AH74" s="115"/>
      <c r="AI74" s="115"/>
      <c r="AJ74" s="115"/>
      <c r="AK74" s="115"/>
      <c r="AL74" s="115"/>
      <c r="AM74" s="115"/>
      <c r="AN74" s="115"/>
      <c r="AO74" s="115"/>
      <c r="AP74" s="115"/>
      <c r="AQ74" s="115"/>
      <c r="AR74" s="115"/>
      <c r="AS74" s="115"/>
      <c r="AT74" s="115"/>
      <c r="AU74" s="115"/>
      <c r="AV74" s="115"/>
      <c r="AW74" s="115"/>
      <c r="AX74" s="115"/>
      <c r="AY74" s="115"/>
    </row>
    <row r="75" spans="1:51" x14ac:dyDescent="0.2">
      <c r="A75" s="114"/>
      <c r="B75" s="132">
        <v>31</v>
      </c>
      <c r="C75" s="114" t="s">
        <v>293</v>
      </c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  <c r="AA75" s="115"/>
      <c r="AB75" s="115"/>
      <c r="AC75" s="115"/>
      <c r="AD75" s="115"/>
      <c r="AE75" s="115"/>
      <c r="AF75" s="115"/>
      <c r="AG75" s="115"/>
      <c r="AH75" s="115"/>
      <c r="AI75" s="115"/>
      <c r="AJ75" s="115"/>
      <c r="AK75" s="115"/>
      <c r="AL75" s="115"/>
      <c r="AM75" s="115"/>
      <c r="AN75" s="115"/>
      <c r="AO75" s="115"/>
      <c r="AP75" s="115"/>
      <c r="AQ75" s="115"/>
      <c r="AR75" s="115"/>
      <c r="AS75" s="115"/>
      <c r="AT75" s="115"/>
      <c r="AU75" s="115"/>
      <c r="AV75" s="115"/>
      <c r="AW75" s="115"/>
      <c r="AX75" s="115"/>
      <c r="AY75" s="115"/>
    </row>
    <row r="76" spans="1:51" x14ac:dyDescent="0.2">
      <c r="A76" s="114"/>
      <c r="B76" s="132">
        <v>32</v>
      </c>
      <c r="C76" s="114" t="s">
        <v>293</v>
      </c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  <c r="AA76" s="115"/>
      <c r="AB76" s="115"/>
      <c r="AC76" s="115"/>
      <c r="AD76" s="115"/>
      <c r="AE76" s="115"/>
      <c r="AF76" s="115"/>
      <c r="AG76" s="115"/>
      <c r="AH76" s="115"/>
      <c r="AI76" s="115"/>
      <c r="AJ76" s="115"/>
      <c r="AK76" s="115"/>
      <c r="AL76" s="115"/>
      <c r="AM76" s="115"/>
      <c r="AN76" s="115"/>
      <c r="AO76" s="115"/>
      <c r="AP76" s="115"/>
      <c r="AQ76" s="115"/>
      <c r="AR76" s="115"/>
      <c r="AS76" s="115"/>
      <c r="AT76" s="115"/>
      <c r="AU76" s="115"/>
      <c r="AV76" s="115"/>
      <c r="AW76" s="115"/>
      <c r="AX76" s="115"/>
      <c r="AY76" s="115"/>
    </row>
    <row r="77" spans="1:51" x14ac:dyDescent="0.2">
      <c r="A77" s="114"/>
      <c r="B77" s="132">
        <v>33</v>
      </c>
      <c r="C77" s="114" t="s">
        <v>293</v>
      </c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  <c r="AA77" s="115"/>
      <c r="AB77" s="115"/>
      <c r="AC77" s="115"/>
      <c r="AD77" s="115"/>
      <c r="AE77" s="115"/>
      <c r="AF77" s="115"/>
      <c r="AG77" s="115"/>
      <c r="AH77" s="115"/>
      <c r="AI77" s="115"/>
      <c r="AJ77" s="115"/>
      <c r="AK77" s="115"/>
      <c r="AL77" s="115"/>
      <c r="AM77" s="115"/>
      <c r="AN77" s="115"/>
      <c r="AO77" s="115"/>
      <c r="AP77" s="115"/>
      <c r="AQ77" s="115"/>
      <c r="AR77" s="115"/>
      <c r="AS77" s="115"/>
      <c r="AT77" s="115"/>
      <c r="AU77" s="115"/>
      <c r="AV77" s="115"/>
      <c r="AW77" s="115"/>
      <c r="AX77" s="115"/>
      <c r="AY77" s="115"/>
    </row>
    <row r="78" spans="1:51" x14ac:dyDescent="0.2">
      <c r="A78" s="114"/>
      <c r="B78" s="132">
        <v>34</v>
      </c>
      <c r="C78" s="114" t="s">
        <v>293</v>
      </c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  <c r="AA78" s="115"/>
      <c r="AB78" s="115"/>
      <c r="AC78" s="115"/>
      <c r="AD78" s="115"/>
      <c r="AE78" s="115"/>
      <c r="AF78" s="115"/>
      <c r="AG78" s="115"/>
      <c r="AH78" s="115"/>
      <c r="AI78" s="115"/>
      <c r="AJ78" s="115"/>
      <c r="AK78" s="115"/>
      <c r="AL78" s="115"/>
      <c r="AM78" s="115"/>
      <c r="AN78" s="115"/>
      <c r="AO78" s="115"/>
      <c r="AP78" s="115"/>
      <c r="AQ78" s="115"/>
      <c r="AR78" s="115"/>
      <c r="AS78" s="115"/>
      <c r="AT78" s="115"/>
      <c r="AU78" s="115"/>
      <c r="AV78" s="115"/>
      <c r="AW78" s="115"/>
      <c r="AX78" s="115"/>
      <c r="AY78" s="115"/>
    </row>
    <row r="79" spans="1:51" x14ac:dyDescent="0.2">
      <c r="A79" s="114"/>
      <c r="B79" s="132">
        <v>35</v>
      </c>
      <c r="C79" s="114" t="s">
        <v>293</v>
      </c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  <c r="AA79" s="115"/>
      <c r="AB79" s="115"/>
      <c r="AC79" s="115"/>
      <c r="AD79" s="115"/>
      <c r="AE79" s="115"/>
      <c r="AF79" s="115"/>
      <c r="AG79" s="115"/>
      <c r="AH79" s="115"/>
      <c r="AI79" s="115"/>
      <c r="AJ79" s="115"/>
      <c r="AK79" s="115"/>
      <c r="AL79" s="115"/>
      <c r="AM79" s="115"/>
      <c r="AN79" s="115"/>
      <c r="AO79" s="115"/>
      <c r="AP79" s="115"/>
      <c r="AQ79" s="115"/>
      <c r="AR79" s="115"/>
      <c r="AS79" s="115"/>
      <c r="AT79" s="115"/>
      <c r="AU79" s="115"/>
      <c r="AV79" s="115"/>
      <c r="AW79" s="115"/>
      <c r="AX79" s="115"/>
      <c r="AY79" s="115"/>
    </row>
    <row r="80" spans="1:51" x14ac:dyDescent="0.2">
      <c r="A80" s="114"/>
      <c r="B80" s="132">
        <v>36</v>
      </c>
      <c r="C80" s="114" t="s">
        <v>293</v>
      </c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  <c r="AA80" s="115"/>
      <c r="AB80" s="115"/>
      <c r="AC80" s="115"/>
      <c r="AD80" s="115"/>
      <c r="AE80" s="115"/>
      <c r="AF80" s="115"/>
      <c r="AG80" s="115"/>
      <c r="AH80" s="115"/>
      <c r="AI80" s="115"/>
      <c r="AJ80" s="115"/>
      <c r="AK80" s="115"/>
      <c r="AL80" s="115"/>
      <c r="AM80" s="115"/>
      <c r="AN80" s="115"/>
      <c r="AO80" s="115"/>
      <c r="AP80" s="115"/>
      <c r="AQ80" s="115"/>
      <c r="AR80" s="115"/>
      <c r="AS80" s="115"/>
      <c r="AT80" s="115"/>
      <c r="AU80" s="115"/>
      <c r="AV80" s="115"/>
      <c r="AW80" s="115"/>
      <c r="AX80" s="115"/>
      <c r="AY80" s="115"/>
    </row>
    <row r="81" spans="1:52" x14ac:dyDescent="0.2">
      <c r="A81" s="114"/>
      <c r="B81" s="135">
        <v>37</v>
      </c>
      <c r="C81" s="114" t="s">
        <v>293</v>
      </c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  <c r="AH81" s="115"/>
      <c r="AI81" s="115"/>
      <c r="AJ81" s="115"/>
      <c r="AK81" s="115"/>
      <c r="AL81" s="115"/>
      <c r="AM81" s="115"/>
      <c r="AN81" s="115"/>
      <c r="AO81" s="115"/>
      <c r="AP81" s="115"/>
      <c r="AQ81" s="115"/>
      <c r="AR81" s="115"/>
      <c r="AS81" s="115"/>
      <c r="AT81" s="115"/>
      <c r="AU81" s="115"/>
      <c r="AV81" s="115"/>
      <c r="AW81" s="115"/>
      <c r="AX81" s="115"/>
      <c r="AY81" s="115"/>
    </row>
    <row r="82" spans="1:52" x14ac:dyDescent="0.2">
      <c r="A82" s="114"/>
      <c r="B82" s="135">
        <v>38</v>
      </c>
      <c r="C82" s="114" t="s">
        <v>293</v>
      </c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  <c r="AA82" s="115"/>
      <c r="AB82" s="115"/>
      <c r="AC82" s="115"/>
      <c r="AD82" s="115"/>
      <c r="AE82" s="115"/>
      <c r="AF82" s="115"/>
      <c r="AG82" s="115"/>
      <c r="AH82" s="115"/>
      <c r="AI82" s="115"/>
      <c r="AJ82" s="115"/>
      <c r="AK82" s="115"/>
      <c r="AL82" s="115"/>
      <c r="AM82" s="115"/>
      <c r="AN82" s="115"/>
      <c r="AO82" s="115"/>
      <c r="AP82" s="115"/>
      <c r="AQ82" s="115"/>
      <c r="AR82" s="115"/>
      <c r="AS82" s="115"/>
      <c r="AT82" s="115"/>
      <c r="AU82" s="115"/>
      <c r="AV82" s="115"/>
      <c r="AW82" s="115"/>
      <c r="AX82" s="115"/>
      <c r="AY82" s="115"/>
    </row>
    <row r="83" spans="1:52" x14ac:dyDescent="0.2">
      <c r="A83" s="114"/>
      <c r="B83" s="135">
        <v>39</v>
      </c>
      <c r="C83" s="114" t="s">
        <v>293</v>
      </c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  <c r="AA83" s="115"/>
      <c r="AB83" s="115"/>
      <c r="AC83" s="115"/>
      <c r="AD83" s="115"/>
      <c r="AE83" s="115"/>
      <c r="AF83" s="115"/>
      <c r="AG83" s="115"/>
      <c r="AH83" s="115"/>
      <c r="AI83" s="115"/>
      <c r="AJ83" s="115"/>
      <c r="AK83" s="115"/>
      <c r="AL83" s="115"/>
      <c r="AM83" s="115"/>
      <c r="AN83" s="115"/>
      <c r="AO83" s="115"/>
      <c r="AP83" s="115"/>
      <c r="AQ83" s="115"/>
      <c r="AR83" s="115"/>
      <c r="AS83" s="115"/>
      <c r="AT83" s="115"/>
      <c r="AU83" s="115"/>
      <c r="AV83" s="115"/>
      <c r="AW83" s="115"/>
      <c r="AX83" s="115"/>
      <c r="AY83" s="115"/>
    </row>
    <row r="84" spans="1:52" x14ac:dyDescent="0.2">
      <c r="A84" s="114"/>
      <c r="B84" s="135">
        <v>40</v>
      </c>
      <c r="C84" s="114" t="s">
        <v>293</v>
      </c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  <c r="AA84" s="115"/>
      <c r="AB84" s="115"/>
      <c r="AC84" s="115"/>
      <c r="AD84" s="115"/>
      <c r="AE84" s="115"/>
      <c r="AF84" s="115"/>
      <c r="AG84" s="115"/>
      <c r="AH84" s="115"/>
      <c r="AI84" s="115"/>
      <c r="AJ84" s="115"/>
      <c r="AK84" s="115"/>
      <c r="AL84" s="115"/>
      <c r="AM84" s="115"/>
      <c r="AN84" s="115"/>
      <c r="AO84" s="115"/>
      <c r="AP84" s="115"/>
      <c r="AQ84" s="115"/>
      <c r="AR84" s="115"/>
      <c r="AS84" s="115"/>
      <c r="AT84" s="115"/>
      <c r="AU84" s="115"/>
      <c r="AV84" s="115"/>
      <c r="AW84" s="115"/>
      <c r="AX84" s="115"/>
      <c r="AY84" s="115"/>
    </row>
    <row r="85" spans="1:52" x14ac:dyDescent="0.2">
      <c r="A85" s="114"/>
      <c r="B85" s="135">
        <v>41</v>
      </c>
      <c r="C85" s="114" t="s">
        <v>293</v>
      </c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  <c r="AA85" s="115"/>
      <c r="AB85" s="115"/>
      <c r="AC85" s="115"/>
      <c r="AD85" s="115"/>
      <c r="AE85" s="115"/>
      <c r="AF85" s="115"/>
      <c r="AG85" s="115"/>
      <c r="AH85" s="115"/>
      <c r="AI85" s="115"/>
      <c r="AJ85" s="115"/>
      <c r="AK85" s="115"/>
      <c r="AL85" s="115"/>
      <c r="AM85" s="115"/>
      <c r="AN85" s="115"/>
      <c r="AO85" s="115"/>
      <c r="AP85" s="115"/>
      <c r="AQ85" s="115"/>
      <c r="AR85" s="115"/>
      <c r="AS85" s="115"/>
      <c r="AT85" s="115"/>
      <c r="AU85" s="115"/>
      <c r="AV85" s="115"/>
      <c r="AW85" s="115"/>
      <c r="AX85" s="115"/>
      <c r="AY85" s="115"/>
    </row>
    <row r="86" spans="1:52" x14ac:dyDescent="0.2">
      <c r="A86" s="114"/>
      <c r="B86" s="135">
        <v>42</v>
      </c>
      <c r="C86" s="114" t="s">
        <v>293</v>
      </c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  <c r="AA86" s="115"/>
      <c r="AB86" s="115"/>
      <c r="AC86" s="115"/>
      <c r="AD86" s="115"/>
      <c r="AE86" s="115"/>
      <c r="AF86" s="115"/>
      <c r="AG86" s="115"/>
      <c r="AH86" s="115"/>
      <c r="AI86" s="115"/>
      <c r="AJ86" s="115"/>
      <c r="AK86" s="115"/>
      <c r="AL86" s="115"/>
      <c r="AM86" s="115"/>
      <c r="AN86" s="115"/>
      <c r="AO86" s="115"/>
      <c r="AP86" s="115"/>
      <c r="AQ86" s="115"/>
      <c r="AR86" s="115"/>
      <c r="AS86" s="115"/>
      <c r="AT86" s="115"/>
      <c r="AU86" s="115"/>
      <c r="AV86" s="115"/>
      <c r="AW86" s="115"/>
      <c r="AX86" s="115"/>
      <c r="AY86" s="115"/>
    </row>
    <row r="87" spans="1:52" x14ac:dyDescent="0.2">
      <c r="A87" s="114"/>
      <c r="B87" s="135">
        <v>43</v>
      </c>
      <c r="C87" s="114" t="s">
        <v>293</v>
      </c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  <c r="AA87" s="115"/>
      <c r="AB87" s="115"/>
      <c r="AC87" s="115"/>
      <c r="AD87" s="115"/>
      <c r="AE87" s="115"/>
      <c r="AF87" s="115"/>
      <c r="AG87" s="115"/>
      <c r="AH87" s="115"/>
      <c r="AI87" s="115"/>
      <c r="AJ87" s="115"/>
      <c r="AK87" s="115"/>
      <c r="AL87" s="115"/>
      <c r="AM87" s="115"/>
      <c r="AN87" s="115"/>
      <c r="AO87" s="115"/>
      <c r="AP87" s="115"/>
      <c r="AQ87" s="115"/>
      <c r="AR87" s="115"/>
      <c r="AS87" s="115"/>
      <c r="AT87" s="115"/>
      <c r="AU87" s="115"/>
      <c r="AV87" s="115"/>
      <c r="AW87" s="115"/>
      <c r="AX87" s="115"/>
      <c r="AY87" s="115"/>
    </row>
    <row r="88" spans="1:52" x14ac:dyDescent="0.2">
      <c r="A88" s="114"/>
      <c r="B88" s="135">
        <v>44</v>
      </c>
      <c r="C88" s="114" t="s">
        <v>293</v>
      </c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  <c r="AA88" s="115"/>
      <c r="AB88" s="115"/>
      <c r="AC88" s="115"/>
      <c r="AD88" s="115"/>
      <c r="AE88" s="115"/>
      <c r="AF88" s="115"/>
      <c r="AG88" s="115"/>
      <c r="AH88" s="115"/>
      <c r="AI88" s="115"/>
      <c r="AJ88" s="115"/>
      <c r="AK88" s="115"/>
      <c r="AL88" s="115"/>
      <c r="AM88" s="115"/>
      <c r="AN88" s="115"/>
      <c r="AO88" s="115"/>
      <c r="AP88" s="115"/>
      <c r="AQ88" s="115"/>
      <c r="AR88" s="115"/>
      <c r="AS88" s="115"/>
      <c r="AT88" s="115"/>
      <c r="AU88" s="115"/>
      <c r="AV88" s="115"/>
      <c r="AW88" s="115"/>
      <c r="AX88" s="115"/>
      <c r="AY88" s="115"/>
    </row>
    <row r="89" spans="1:52" x14ac:dyDescent="0.2">
      <c r="A89" s="114"/>
      <c r="B89" s="135">
        <v>45</v>
      </c>
      <c r="C89" s="114" t="s">
        <v>293</v>
      </c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>
        <v>0</v>
      </c>
      <c r="O89" s="115">
        <v>0</v>
      </c>
      <c r="P89" s="115"/>
      <c r="Q89" s="115"/>
      <c r="R89" s="115"/>
      <c r="S89" s="115"/>
      <c r="T89" s="115"/>
      <c r="U89" s="115">
        <v>0</v>
      </c>
      <c r="V89" s="115">
        <v>0</v>
      </c>
      <c r="W89" s="115"/>
      <c r="X89" s="115"/>
      <c r="Y89" s="115"/>
      <c r="Z89" s="115">
        <v>0</v>
      </c>
      <c r="AA89" s="115">
        <v>0</v>
      </c>
      <c r="AB89" s="115"/>
      <c r="AC89" s="115">
        <v>0</v>
      </c>
      <c r="AD89" s="115"/>
      <c r="AE89" s="115">
        <v>0</v>
      </c>
      <c r="AF89" s="115"/>
      <c r="AG89" s="115">
        <v>0</v>
      </c>
      <c r="AH89" s="115">
        <v>0</v>
      </c>
      <c r="AI89" s="115"/>
      <c r="AJ89" s="115"/>
      <c r="AK89" s="115"/>
      <c r="AL89" s="115">
        <v>0</v>
      </c>
      <c r="AM89" s="115"/>
      <c r="AN89" s="115">
        <v>0</v>
      </c>
      <c r="AO89" s="115"/>
      <c r="AP89" s="115"/>
      <c r="AQ89" s="115"/>
      <c r="AR89" s="115"/>
      <c r="AS89" s="115"/>
      <c r="AT89" s="115"/>
      <c r="AU89" s="115">
        <v>0</v>
      </c>
      <c r="AV89" s="115">
        <v>0</v>
      </c>
      <c r="AW89" s="115"/>
      <c r="AX89" s="115"/>
      <c r="AY89" s="115"/>
    </row>
    <row r="90" spans="1:52" x14ac:dyDescent="0.2">
      <c r="A90" s="114"/>
      <c r="B90" s="135">
        <v>46</v>
      </c>
      <c r="C90" s="114" t="s">
        <v>293</v>
      </c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>
        <v>0</v>
      </c>
      <c r="O90" s="115">
        <v>0</v>
      </c>
      <c r="P90" s="115"/>
      <c r="Q90" s="115"/>
      <c r="R90" s="115"/>
      <c r="S90" s="115"/>
      <c r="T90" s="115"/>
      <c r="U90" s="115">
        <v>0</v>
      </c>
      <c r="V90" s="115">
        <v>0</v>
      </c>
      <c r="W90" s="115"/>
      <c r="X90" s="115"/>
      <c r="Y90" s="115"/>
      <c r="Z90" s="115">
        <v>0</v>
      </c>
      <c r="AA90" s="115">
        <v>0</v>
      </c>
      <c r="AB90" s="115"/>
      <c r="AC90" s="115">
        <v>0</v>
      </c>
      <c r="AD90" s="115"/>
      <c r="AE90" s="115">
        <v>0</v>
      </c>
      <c r="AF90" s="115"/>
      <c r="AG90" s="115">
        <v>0</v>
      </c>
      <c r="AH90" s="115">
        <v>0</v>
      </c>
      <c r="AI90" s="115"/>
      <c r="AJ90" s="115"/>
      <c r="AK90" s="115"/>
      <c r="AL90" s="115">
        <v>0</v>
      </c>
      <c r="AM90" s="115"/>
      <c r="AN90" s="115">
        <v>0</v>
      </c>
      <c r="AO90" s="115">
        <v>0</v>
      </c>
      <c r="AP90" s="115"/>
      <c r="AQ90" s="115"/>
      <c r="AR90" s="115"/>
      <c r="AS90" s="115"/>
      <c r="AT90" s="115"/>
      <c r="AU90" s="115">
        <v>0</v>
      </c>
      <c r="AV90" s="115">
        <v>0</v>
      </c>
      <c r="AW90" s="115"/>
      <c r="AX90" s="115"/>
      <c r="AY90" s="115"/>
    </row>
    <row r="91" spans="1:52" x14ac:dyDescent="0.2">
      <c r="A91" s="114"/>
      <c r="B91" s="135">
        <v>47</v>
      </c>
      <c r="C91" s="114" t="s">
        <v>293</v>
      </c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>
        <v>0</v>
      </c>
      <c r="O91" s="115">
        <v>0</v>
      </c>
      <c r="P91" s="115"/>
      <c r="Q91" s="115"/>
      <c r="R91" s="115"/>
      <c r="S91" s="115"/>
      <c r="T91" s="115"/>
      <c r="U91" s="115">
        <v>0</v>
      </c>
      <c r="V91" s="115">
        <v>0</v>
      </c>
      <c r="W91" s="115"/>
      <c r="X91" s="115"/>
      <c r="Y91" s="115"/>
      <c r="Z91" s="115">
        <v>0</v>
      </c>
      <c r="AA91" s="115">
        <v>0</v>
      </c>
      <c r="AB91" s="115"/>
      <c r="AC91" s="115">
        <v>0</v>
      </c>
      <c r="AD91" s="115"/>
      <c r="AE91" s="115">
        <v>0</v>
      </c>
      <c r="AF91" s="115"/>
      <c r="AG91" s="115">
        <v>0</v>
      </c>
      <c r="AH91" s="115">
        <v>0</v>
      </c>
      <c r="AI91" s="115"/>
      <c r="AJ91" s="115"/>
      <c r="AK91" s="115"/>
      <c r="AL91" s="115">
        <v>0</v>
      </c>
      <c r="AM91" s="115"/>
      <c r="AN91" s="115">
        <v>0</v>
      </c>
      <c r="AO91" s="115">
        <v>0</v>
      </c>
      <c r="AP91" s="115"/>
      <c r="AQ91" s="115"/>
      <c r="AR91" s="115"/>
      <c r="AS91" s="115"/>
      <c r="AT91" s="115"/>
      <c r="AU91" s="115">
        <v>0</v>
      </c>
      <c r="AV91" s="115">
        <v>0</v>
      </c>
      <c r="AW91" s="115"/>
      <c r="AX91" s="115"/>
      <c r="AY91" s="115"/>
    </row>
    <row r="92" spans="1:52" x14ac:dyDescent="0.2">
      <c r="A92" s="133"/>
      <c r="B92" s="134">
        <v>48</v>
      </c>
      <c r="C92" s="133" t="s">
        <v>293</v>
      </c>
      <c r="D92" s="130">
        <v>0</v>
      </c>
      <c r="E92" s="130">
        <v>0</v>
      </c>
      <c r="F92" s="130">
        <v>0</v>
      </c>
      <c r="G92" s="130">
        <v>0</v>
      </c>
      <c r="H92" s="130">
        <v>0</v>
      </c>
      <c r="I92" s="130">
        <v>0</v>
      </c>
      <c r="J92" s="130">
        <v>0</v>
      </c>
      <c r="K92" s="130">
        <v>0</v>
      </c>
      <c r="L92" s="130">
        <v>0</v>
      </c>
      <c r="M92" s="130">
        <v>0</v>
      </c>
      <c r="N92" s="130">
        <v>0</v>
      </c>
      <c r="O92" s="130">
        <v>0</v>
      </c>
      <c r="P92" s="130">
        <v>0</v>
      </c>
      <c r="Q92" s="130">
        <v>0</v>
      </c>
      <c r="R92" s="130">
        <v>0</v>
      </c>
      <c r="S92" s="130">
        <v>0</v>
      </c>
      <c r="T92" s="130">
        <v>0</v>
      </c>
      <c r="U92" s="130">
        <v>0</v>
      </c>
      <c r="V92" s="130">
        <v>0</v>
      </c>
      <c r="W92" s="130">
        <v>0</v>
      </c>
      <c r="X92" s="130">
        <v>0</v>
      </c>
      <c r="Y92" s="130">
        <v>0</v>
      </c>
      <c r="Z92" s="130">
        <v>0</v>
      </c>
      <c r="AA92" s="130">
        <v>0</v>
      </c>
      <c r="AB92" s="130">
        <v>0</v>
      </c>
      <c r="AC92" s="130">
        <v>0</v>
      </c>
      <c r="AD92" s="130">
        <v>0</v>
      </c>
      <c r="AE92" s="130">
        <v>0</v>
      </c>
      <c r="AF92" s="130">
        <v>0</v>
      </c>
      <c r="AG92" s="130">
        <v>0</v>
      </c>
      <c r="AH92" s="130">
        <v>0</v>
      </c>
      <c r="AI92" s="130">
        <v>0</v>
      </c>
      <c r="AJ92" s="130">
        <v>0</v>
      </c>
      <c r="AK92" s="130">
        <v>0</v>
      </c>
      <c r="AL92" s="130">
        <v>0</v>
      </c>
      <c r="AM92" s="130">
        <v>0</v>
      </c>
      <c r="AN92" s="130">
        <v>0</v>
      </c>
      <c r="AO92" s="130">
        <v>0</v>
      </c>
      <c r="AP92" s="130">
        <v>0</v>
      </c>
      <c r="AQ92" s="130">
        <v>0</v>
      </c>
      <c r="AR92" s="130">
        <v>0</v>
      </c>
      <c r="AS92" s="130">
        <v>0</v>
      </c>
      <c r="AT92" s="130">
        <v>0</v>
      </c>
      <c r="AU92" s="130">
        <v>0</v>
      </c>
      <c r="AV92" s="130">
        <v>0</v>
      </c>
      <c r="AW92" s="130">
        <v>0</v>
      </c>
      <c r="AX92" s="130">
        <v>0</v>
      </c>
      <c r="AY92" s="130">
        <v>0</v>
      </c>
      <c r="AZ92" s="112">
        <f>SUM(D21:AY92)</f>
        <v>1636.540829131955</v>
      </c>
    </row>
    <row r="94" spans="1:52" x14ac:dyDescent="0.2">
      <c r="A94" s="107" t="s">
        <v>295</v>
      </c>
      <c r="B94" s="111"/>
      <c r="C94" s="111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  <c r="AA94" s="119"/>
      <c r="AB94" s="119"/>
      <c r="AC94" s="119"/>
      <c r="AD94" s="119"/>
      <c r="AE94" s="119"/>
      <c r="AF94" s="119"/>
      <c r="AG94" s="119"/>
      <c r="AH94" s="119"/>
      <c r="AI94" s="119"/>
      <c r="AJ94" s="119"/>
      <c r="AK94" s="119"/>
      <c r="AL94" s="119"/>
      <c r="AM94" s="119"/>
      <c r="AN94" s="119"/>
      <c r="AO94" s="119"/>
      <c r="AP94" s="119"/>
      <c r="AQ94" s="119"/>
      <c r="AR94" s="119"/>
      <c r="AS94" s="119"/>
      <c r="AT94" s="119"/>
      <c r="AU94" s="119"/>
      <c r="AV94" s="119"/>
      <c r="AW94" s="119"/>
      <c r="AX94" s="119"/>
      <c r="AY94" s="119"/>
    </row>
    <row r="95" spans="1:52" x14ac:dyDescent="0.2">
      <c r="A95" s="131" t="s">
        <v>125</v>
      </c>
      <c r="B95" s="128">
        <v>1</v>
      </c>
      <c r="C95" s="129">
        <v>0</v>
      </c>
      <c r="D95" s="115">
        <v>0</v>
      </c>
      <c r="E95" s="115">
        <v>0</v>
      </c>
      <c r="F95" s="115">
        <v>0</v>
      </c>
      <c r="G95" s="115">
        <v>0</v>
      </c>
      <c r="H95" s="115">
        <v>594.00921297477203</v>
      </c>
      <c r="I95" s="115">
        <v>594.00921297477203</v>
      </c>
      <c r="J95" s="115">
        <v>594.00921297477203</v>
      </c>
      <c r="K95" s="115">
        <v>594.00921297477203</v>
      </c>
      <c r="L95" s="115">
        <v>594.00921297477203</v>
      </c>
      <c r="M95" s="115">
        <v>594.00921297477203</v>
      </c>
      <c r="N95" s="115">
        <v>280.79796151061623</v>
      </c>
      <c r="O95" s="115">
        <v>587.68756412047173</v>
      </c>
      <c r="P95" s="115">
        <v>594.00921297477203</v>
      </c>
      <c r="Q95" s="115">
        <v>594.00921297477203</v>
      </c>
      <c r="R95" s="115">
        <v>594.00921297477203</v>
      </c>
      <c r="S95" s="115">
        <v>594.00921297477203</v>
      </c>
      <c r="T95" s="115">
        <v>594.00921297477203</v>
      </c>
      <c r="U95" s="115">
        <v>552.67219786812507</v>
      </c>
      <c r="V95" s="115">
        <v>549.24752866381482</v>
      </c>
      <c r="W95" s="115">
        <v>594.00921297477203</v>
      </c>
      <c r="X95" s="115">
        <v>594.00921297477203</v>
      </c>
      <c r="Y95" s="115">
        <v>594.00921297477203</v>
      </c>
      <c r="Z95" s="115">
        <v>483.53027014641452</v>
      </c>
      <c r="AA95" s="115">
        <v>553.59666100160325</v>
      </c>
      <c r="AB95" s="115">
        <v>594.00921297477203</v>
      </c>
      <c r="AC95" s="115">
        <v>490.46151280500658</v>
      </c>
      <c r="AD95" s="115">
        <v>594.00921297477203</v>
      </c>
      <c r="AE95" s="115">
        <v>509.02612849658431</v>
      </c>
      <c r="AF95" s="115">
        <v>594.00921297477203</v>
      </c>
      <c r="AG95" s="115">
        <v>280.79796151061623</v>
      </c>
      <c r="AH95" s="115">
        <v>593.78396877240698</v>
      </c>
      <c r="AI95" s="115">
        <v>594.00921297477203</v>
      </c>
      <c r="AJ95" s="115">
        <v>594.00921297477203</v>
      </c>
      <c r="AK95" s="115">
        <v>594.00921297477203</v>
      </c>
      <c r="AL95" s="115">
        <v>510.01022684518762</v>
      </c>
      <c r="AM95" s="115">
        <v>594.00921297477203</v>
      </c>
      <c r="AN95" s="115">
        <v>559.65332582952556</v>
      </c>
      <c r="AO95" s="115">
        <v>594.00921297477203</v>
      </c>
      <c r="AP95" s="115">
        <v>594.00921297477203</v>
      </c>
      <c r="AQ95" s="115">
        <v>594.00921297477203</v>
      </c>
      <c r="AR95" s="115">
        <v>594.00921297477203</v>
      </c>
      <c r="AS95" s="115">
        <v>594.00921297477203</v>
      </c>
      <c r="AT95" s="115">
        <v>594.00921297477203</v>
      </c>
      <c r="AU95" s="115">
        <v>253.59998985488824</v>
      </c>
      <c r="AV95" s="115">
        <v>503.30624981191909</v>
      </c>
      <c r="AW95" s="115">
        <v>594.00921297477203</v>
      </c>
      <c r="AX95" s="115">
        <v>594.00921297477203</v>
      </c>
      <c r="AY95" s="115">
        <v>594.00921297477203</v>
      </c>
    </row>
    <row r="96" spans="1:52" x14ac:dyDescent="0.2">
      <c r="A96" s="114"/>
      <c r="B96" s="125">
        <v>2</v>
      </c>
      <c r="C96" s="115">
        <v>0</v>
      </c>
      <c r="D96" s="115">
        <v>0</v>
      </c>
      <c r="E96" s="115">
        <v>0</v>
      </c>
      <c r="F96" s="115">
        <v>0</v>
      </c>
      <c r="G96" s="115">
        <v>0</v>
      </c>
      <c r="H96" s="115">
        <v>0</v>
      </c>
      <c r="I96" s="115">
        <v>0</v>
      </c>
      <c r="J96" s="115">
        <v>0</v>
      </c>
      <c r="K96" s="115">
        <v>0</v>
      </c>
      <c r="L96" s="115">
        <v>0</v>
      </c>
      <c r="M96" s="115">
        <v>0</v>
      </c>
      <c r="N96" s="115">
        <v>0</v>
      </c>
      <c r="O96" s="115">
        <v>0</v>
      </c>
      <c r="P96" s="115">
        <v>0</v>
      </c>
      <c r="Q96" s="115">
        <v>0</v>
      </c>
      <c r="R96" s="115">
        <v>0</v>
      </c>
      <c r="S96" s="115">
        <v>0</v>
      </c>
      <c r="T96" s="115">
        <v>0</v>
      </c>
      <c r="U96" s="115">
        <v>0</v>
      </c>
      <c r="V96" s="115">
        <v>0</v>
      </c>
      <c r="W96" s="115">
        <v>0</v>
      </c>
      <c r="X96" s="115">
        <v>0</v>
      </c>
      <c r="Y96" s="115">
        <v>0</v>
      </c>
      <c r="Z96" s="115">
        <v>0</v>
      </c>
      <c r="AA96" s="115">
        <v>0</v>
      </c>
      <c r="AB96" s="115">
        <v>0</v>
      </c>
      <c r="AC96" s="115">
        <v>0</v>
      </c>
      <c r="AD96" s="115">
        <v>0</v>
      </c>
      <c r="AE96" s="115">
        <v>0</v>
      </c>
      <c r="AF96" s="115">
        <v>0</v>
      </c>
      <c r="AG96" s="115">
        <v>0</v>
      </c>
      <c r="AH96" s="115">
        <v>0</v>
      </c>
      <c r="AI96" s="115">
        <v>8.783968772406979</v>
      </c>
      <c r="AJ96" s="115">
        <v>0</v>
      </c>
      <c r="AK96" s="115">
        <v>0</v>
      </c>
      <c r="AL96" s="115">
        <v>0</v>
      </c>
      <c r="AM96" s="115">
        <v>0</v>
      </c>
      <c r="AN96" s="115">
        <v>0</v>
      </c>
      <c r="AO96" s="115">
        <v>11.069931107198727</v>
      </c>
      <c r="AP96" s="115">
        <v>0</v>
      </c>
      <c r="AQ96" s="115">
        <v>0</v>
      </c>
      <c r="AR96" s="115">
        <v>0</v>
      </c>
      <c r="AS96" s="115">
        <v>0</v>
      </c>
      <c r="AT96" s="115">
        <v>62.009212974772026</v>
      </c>
      <c r="AU96" s="115">
        <v>0</v>
      </c>
      <c r="AV96" s="115">
        <v>0</v>
      </c>
      <c r="AW96" s="115">
        <v>0</v>
      </c>
      <c r="AX96" s="115">
        <v>0</v>
      </c>
      <c r="AY96" s="115">
        <v>0</v>
      </c>
    </row>
    <row r="97" spans="1:52" x14ac:dyDescent="0.2">
      <c r="A97" s="114"/>
      <c r="B97" s="132">
        <v>3</v>
      </c>
      <c r="C97" s="115">
        <v>0</v>
      </c>
      <c r="D97" s="115">
        <v>0</v>
      </c>
      <c r="E97" s="115">
        <v>0</v>
      </c>
      <c r="F97" s="115">
        <v>0</v>
      </c>
      <c r="G97" s="115">
        <v>0</v>
      </c>
      <c r="H97" s="115">
        <v>0</v>
      </c>
      <c r="I97" s="115">
        <v>0</v>
      </c>
      <c r="J97" s="115">
        <v>0</v>
      </c>
      <c r="K97" s="115">
        <v>0</v>
      </c>
      <c r="L97" s="115">
        <v>0</v>
      </c>
      <c r="M97" s="115">
        <v>0</v>
      </c>
      <c r="N97" s="115">
        <v>0</v>
      </c>
      <c r="O97" s="115">
        <v>0</v>
      </c>
      <c r="P97" s="115">
        <v>0</v>
      </c>
      <c r="Q97" s="115">
        <v>0</v>
      </c>
      <c r="R97" s="115">
        <v>0</v>
      </c>
      <c r="S97" s="115">
        <v>0</v>
      </c>
      <c r="T97" s="115">
        <v>0</v>
      </c>
      <c r="U97" s="115">
        <v>0</v>
      </c>
      <c r="V97" s="115">
        <v>0</v>
      </c>
      <c r="W97" s="115">
        <v>0</v>
      </c>
      <c r="X97" s="115">
        <v>0</v>
      </c>
      <c r="Y97" s="115">
        <v>0</v>
      </c>
      <c r="Z97" s="115">
        <v>0</v>
      </c>
      <c r="AA97" s="115">
        <v>0</v>
      </c>
      <c r="AB97" s="115">
        <v>0</v>
      </c>
      <c r="AC97" s="115">
        <v>0</v>
      </c>
      <c r="AD97" s="115">
        <v>0</v>
      </c>
      <c r="AE97" s="115">
        <v>0</v>
      </c>
      <c r="AF97" s="115">
        <v>0</v>
      </c>
      <c r="AG97" s="115">
        <v>0</v>
      </c>
      <c r="AH97" s="115">
        <v>0</v>
      </c>
      <c r="AI97" s="115">
        <v>0</v>
      </c>
      <c r="AJ97" s="115">
        <v>0</v>
      </c>
      <c r="AK97" s="115">
        <v>0</v>
      </c>
      <c r="AL97" s="115">
        <v>0</v>
      </c>
      <c r="AM97" s="115">
        <v>0</v>
      </c>
      <c r="AN97" s="115">
        <v>0</v>
      </c>
      <c r="AO97" s="115">
        <v>0</v>
      </c>
      <c r="AP97" s="115">
        <v>0</v>
      </c>
      <c r="AQ97" s="115">
        <v>0</v>
      </c>
      <c r="AR97" s="115">
        <v>0</v>
      </c>
      <c r="AS97" s="115">
        <v>0</v>
      </c>
      <c r="AT97" s="115">
        <v>0</v>
      </c>
      <c r="AU97" s="115">
        <v>0</v>
      </c>
      <c r="AV97" s="115">
        <v>0</v>
      </c>
      <c r="AW97" s="115">
        <v>0</v>
      </c>
      <c r="AX97" s="115">
        <v>0</v>
      </c>
      <c r="AY97" s="115">
        <v>0</v>
      </c>
    </row>
    <row r="98" spans="1:52" x14ac:dyDescent="0.2">
      <c r="A98" s="114"/>
      <c r="B98" s="135">
        <v>4</v>
      </c>
      <c r="C98" s="111">
        <v>0</v>
      </c>
      <c r="D98" s="115">
        <v>0</v>
      </c>
      <c r="E98" s="115">
        <v>0</v>
      </c>
      <c r="F98" s="115">
        <v>0</v>
      </c>
      <c r="G98" s="115">
        <v>0</v>
      </c>
      <c r="H98" s="115">
        <v>0</v>
      </c>
      <c r="I98" s="115">
        <v>0</v>
      </c>
      <c r="J98" s="115">
        <v>0</v>
      </c>
      <c r="K98" s="115">
        <v>0</v>
      </c>
      <c r="L98" s="115">
        <v>0</v>
      </c>
      <c r="M98" s="115">
        <v>0</v>
      </c>
      <c r="N98" s="115">
        <v>0</v>
      </c>
      <c r="O98" s="115">
        <v>0</v>
      </c>
      <c r="P98" s="115">
        <v>0</v>
      </c>
      <c r="Q98" s="115">
        <v>0</v>
      </c>
      <c r="R98" s="115">
        <v>0</v>
      </c>
      <c r="S98" s="115">
        <v>0</v>
      </c>
      <c r="T98" s="115">
        <v>0</v>
      </c>
      <c r="U98" s="115">
        <v>0</v>
      </c>
      <c r="V98" s="115">
        <v>0</v>
      </c>
      <c r="W98" s="115">
        <v>0</v>
      </c>
      <c r="X98" s="115">
        <v>0</v>
      </c>
      <c r="Y98" s="115">
        <v>0</v>
      </c>
      <c r="Z98" s="115">
        <v>0</v>
      </c>
      <c r="AA98" s="115">
        <v>0</v>
      </c>
      <c r="AB98" s="115">
        <v>0</v>
      </c>
      <c r="AC98" s="115">
        <v>0</v>
      </c>
      <c r="AD98" s="115">
        <v>0</v>
      </c>
      <c r="AE98" s="115">
        <v>0</v>
      </c>
      <c r="AF98" s="115">
        <v>0</v>
      </c>
      <c r="AG98" s="115">
        <v>0</v>
      </c>
      <c r="AH98" s="115">
        <v>0</v>
      </c>
      <c r="AI98" s="115">
        <v>0</v>
      </c>
      <c r="AJ98" s="115">
        <v>0</v>
      </c>
      <c r="AK98" s="115">
        <v>0</v>
      </c>
      <c r="AL98" s="115">
        <v>0</v>
      </c>
      <c r="AM98" s="115">
        <v>0</v>
      </c>
      <c r="AN98" s="115">
        <v>0</v>
      </c>
      <c r="AO98" s="115">
        <v>0</v>
      </c>
      <c r="AP98" s="115">
        <v>0</v>
      </c>
      <c r="AQ98" s="115">
        <v>0</v>
      </c>
      <c r="AR98" s="115">
        <v>0</v>
      </c>
      <c r="AS98" s="115">
        <v>0</v>
      </c>
      <c r="AT98" s="115">
        <v>0</v>
      </c>
      <c r="AU98" s="115">
        <v>0</v>
      </c>
      <c r="AV98" s="115">
        <v>0</v>
      </c>
      <c r="AW98" s="115">
        <v>0</v>
      </c>
      <c r="AX98" s="115">
        <v>0</v>
      </c>
      <c r="AY98" s="115">
        <v>0</v>
      </c>
    </row>
    <row r="99" spans="1:52" x14ac:dyDescent="0.2">
      <c r="A99" s="133"/>
      <c r="B99" s="137" t="s">
        <v>296</v>
      </c>
      <c r="C99" s="130">
        <v>0</v>
      </c>
      <c r="D99" s="130">
        <v>0</v>
      </c>
      <c r="E99" s="130">
        <v>0</v>
      </c>
      <c r="F99" s="130">
        <v>0</v>
      </c>
      <c r="G99" s="130">
        <v>0</v>
      </c>
      <c r="H99" s="130">
        <v>0</v>
      </c>
      <c r="I99" s="130">
        <v>0</v>
      </c>
      <c r="J99" s="130">
        <v>0</v>
      </c>
      <c r="K99" s="130">
        <v>0</v>
      </c>
      <c r="L99" s="130">
        <v>0</v>
      </c>
      <c r="M99" s="130">
        <v>0</v>
      </c>
      <c r="N99" s="130">
        <v>0</v>
      </c>
      <c r="O99" s="130">
        <v>0</v>
      </c>
      <c r="P99" s="130">
        <v>0</v>
      </c>
      <c r="Q99" s="130">
        <v>0</v>
      </c>
      <c r="R99" s="130">
        <v>0</v>
      </c>
      <c r="S99" s="130">
        <v>0</v>
      </c>
      <c r="T99" s="130">
        <v>0</v>
      </c>
      <c r="U99" s="130">
        <v>0</v>
      </c>
      <c r="V99" s="130">
        <v>0</v>
      </c>
      <c r="W99" s="130">
        <v>0</v>
      </c>
      <c r="X99" s="130">
        <v>0</v>
      </c>
      <c r="Y99" s="130">
        <v>0</v>
      </c>
      <c r="Z99" s="130">
        <v>0</v>
      </c>
      <c r="AA99" s="130">
        <v>0</v>
      </c>
      <c r="AB99" s="130">
        <v>0</v>
      </c>
      <c r="AC99" s="130">
        <v>0</v>
      </c>
      <c r="AD99" s="130">
        <v>0</v>
      </c>
      <c r="AE99" s="130">
        <v>0</v>
      </c>
      <c r="AF99" s="130">
        <v>0</v>
      </c>
      <c r="AG99" s="130">
        <v>0</v>
      </c>
      <c r="AH99" s="130">
        <v>0</v>
      </c>
      <c r="AI99" s="130">
        <v>0</v>
      </c>
      <c r="AJ99" s="130">
        <v>0</v>
      </c>
      <c r="AK99" s="130">
        <v>0</v>
      </c>
      <c r="AL99" s="130">
        <v>0</v>
      </c>
      <c r="AM99" s="130">
        <v>0</v>
      </c>
      <c r="AN99" s="130">
        <v>0</v>
      </c>
      <c r="AO99" s="130">
        <v>0</v>
      </c>
      <c r="AP99" s="130">
        <v>0</v>
      </c>
      <c r="AQ99" s="130">
        <v>0</v>
      </c>
      <c r="AR99" s="130">
        <v>0</v>
      </c>
      <c r="AS99" s="130">
        <v>0</v>
      </c>
      <c r="AT99" s="130">
        <v>0</v>
      </c>
      <c r="AU99" s="130">
        <v>0</v>
      </c>
      <c r="AV99" s="130">
        <v>0</v>
      </c>
      <c r="AW99" s="130">
        <v>0</v>
      </c>
      <c r="AX99" s="130">
        <v>0</v>
      </c>
      <c r="AY99" s="130">
        <v>0</v>
      </c>
      <c r="AZ99" s="112">
        <f>SUM($D99:$AY99)</f>
        <v>0</v>
      </c>
    </row>
    <row r="100" spans="1:52" x14ac:dyDescent="0.2">
      <c r="A100" s="136" t="s">
        <v>133</v>
      </c>
      <c r="B100" s="124">
        <v>1</v>
      </c>
      <c r="C100" s="111">
        <v>339.46430944653235</v>
      </c>
      <c r="D100" s="111">
        <v>422.85800909550284</v>
      </c>
      <c r="E100" s="111">
        <v>407.55232429121753</v>
      </c>
      <c r="F100" s="111">
        <v>0</v>
      </c>
      <c r="G100" s="111">
        <v>0</v>
      </c>
      <c r="H100" s="111">
        <v>0</v>
      </c>
      <c r="I100" s="111">
        <v>0</v>
      </c>
      <c r="J100" s="111">
        <v>202.04820232596759</v>
      </c>
      <c r="K100" s="111">
        <v>202.04820232596759</v>
      </c>
      <c r="L100" s="111">
        <v>202.04820232596759</v>
      </c>
      <c r="M100" s="111">
        <v>0</v>
      </c>
      <c r="N100" s="111">
        <v>404.09640465193496</v>
      </c>
      <c r="O100" s="111">
        <v>202.04820232596759</v>
      </c>
      <c r="P100" s="111">
        <v>202.04820232596759</v>
      </c>
      <c r="Q100" s="111">
        <v>202.04820232596759</v>
      </c>
      <c r="R100" s="111">
        <v>202.04820232596759</v>
      </c>
      <c r="S100" s="111">
        <v>202.04820232596759</v>
      </c>
      <c r="T100" s="111">
        <v>202.04820232596759</v>
      </c>
      <c r="U100" s="111">
        <v>202.04820232596759</v>
      </c>
      <c r="V100" s="111">
        <v>202.04820232596759</v>
      </c>
      <c r="W100" s="111">
        <v>202.04820232596759</v>
      </c>
      <c r="X100" s="111">
        <v>202.04820232596759</v>
      </c>
      <c r="Y100" s="111">
        <v>202.04820232596759</v>
      </c>
      <c r="Z100" s="111">
        <v>202.04820232596759</v>
      </c>
      <c r="AA100" s="111">
        <v>202.04820232596759</v>
      </c>
      <c r="AB100" s="111">
        <v>202.04820232596759</v>
      </c>
      <c r="AC100" s="111">
        <v>202.04820232596759</v>
      </c>
      <c r="AD100" s="111">
        <v>202.04820232596759</v>
      </c>
      <c r="AE100" s="111">
        <v>202.04820232596759</v>
      </c>
      <c r="AF100" s="111">
        <v>0</v>
      </c>
      <c r="AG100" s="111">
        <v>404.09640465193496</v>
      </c>
      <c r="AH100" s="111">
        <v>202.04820232596759</v>
      </c>
      <c r="AI100" s="111">
        <v>202.04820232596759</v>
      </c>
      <c r="AJ100" s="111">
        <v>202.04820232596759</v>
      </c>
      <c r="AK100" s="111">
        <v>202.04820232596759</v>
      </c>
      <c r="AL100" s="111">
        <v>202.04820232596759</v>
      </c>
      <c r="AM100" s="111">
        <v>202.04820232596759</v>
      </c>
      <c r="AN100" s="111">
        <v>202.04820232596759</v>
      </c>
      <c r="AO100" s="111">
        <v>202.04820232596759</v>
      </c>
      <c r="AP100" s="111">
        <v>202.04820232596759</v>
      </c>
      <c r="AQ100" s="111">
        <v>202.04820232596759</v>
      </c>
      <c r="AR100" s="111">
        <v>202.04820232596759</v>
      </c>
      <c r="AS100" s="111">
        <v>202.04820232596759</v>
      </c>
      <c r="AT100" s="111">
        <v>0</v>
      </c>
      <c r="AU100" s="111">
        <v>404.09640465193496</v>
      </c>
      <c r="AV100" s="111">
        <v>202.04820232596759</v>
      </c>
      <c r="AW100" s="111">
        <v>202.04820232596759</v>
      </c>
      <c r="AX100" s="111">
        <v>202.04820232596759</v>
      </c>
      <c r="AY100" s="111">
        <v>202.04820232596759</v>
      </c>
    </row>
    <row r="101" spans="1:52" x14ac:dyDescent="0.2">
      <c r="A101" s="114"/>
      <c r="B101" s="124">
        <v>2</v>
      </c>
      <c r="C101" s="111">
        <v>0</v>
      </c>
      <c r="D101" s="111">
        <v>0</v>
      </c>
      <c r="E101" s="111">
        <v>113.85800909550284</v>
      </c>
      <c r="F101" s="111">
        <v>215.41033338672037</v>
      </c>
      <c r="G101" s="111">
        <v>0</v>
      </c>
      <c r="H101" s="111">
        <v>0</v>
      </c>
      <c r="I101" s="111">
        <v>0</v>
      </c>
      <c r="J101" s="111">
        <v>0</v>
      </c>
      <c r="K101" s="111">
        <v>0</v>
      </c>
      <c r="L101" s="111">
        <v>0</v>
      </c>
      <c r="M101" s="111">
        <v>0</v>
      </c>
      <c r="N101" s="111">
        <v>0</v>
      </c>
      <c r="O101" s="111">
        <v>6.0964046519349608</v>
      </c>
      <c r="P101" s="111">
        <v>0</v>
      </c>
      <c r="Q101" s="111">
        <v>0</v>
      </c>
      <c r="R101" s="111">
        <v>0</v>
      </c>
      <c r="S101" s="111">
        <v>0</v>
      </c>
      <c r="T101" s="111">
        <v>0</v>
      </c>
      <c r="U101" s="111">
        <v>0</v>
      </c>
      <c r="V101" s="111">
        <v>0</v>
      </c>
      <c r="W101" s="111">
        <v>0</v>
      </c>
      <c r="X101" s="111">
        <v>0</v>
      </c>
      <c r="Y101" s="111">
        <v>0</v>
      </c>
      <c r="Z101" s="111">
        <v>0</v>
      </c>
      <c r="AA101" s="111">
        <v>0</v>
      </c>
      <c r="AB101" s="111">
        <v>0</v>
      </c>
      <c r="AC101" s="111">
        <v>0</v>
      </c>
      <c r="AD101" s="111">
        <v>0</v>
      </c>
      <c r="AE101" s="111">
        <v>0</v>
      </c>
      <c r="AF101" s="111">
        <v>0</v>
      </c>
      <c r="AG101" s="111">
        <v>0</v>
      </c>
      <c r="AH101" s="111">
        <v>0</v>
      </c>
      <c r="AI101" s="111">
        <v>0</v>
      </c>
      <c r="AJ101" s="111">
        <v>0</v>
      </c>
      <c r="AK101" s="111">
        <v>0</v>
      </c>
      <c r="AL101" s="111">
        <v>0</v>
      </c>
      <c r="AM101" s="111">
        <v>0</v>
      </c>
      <c r="AN101" s="111">
        <v>0</v>
      </c>
      <c r="AO101" s="111">
        <v>0</v>
      </c>
      <c r="AP101" s="111">
        <v>0</v>
      </c>
      <c r="AQ101" s="111">
        <v>0</v>
      </c>
      <c r="AR101" s="111">
        <v>0</v>
      </c>
      <c r="AS101" s="111">
        <v>0</v>
      </c>
      <c r="AT101" s="111">
        <v>0</v>
      </c>
      <c r="AU101" s="111">
        <v>0</v>
      </c>
      <c r="AV101" s="111">
        <v>0</v>
      </c>
      <c r="AW101" s="111">
        <v>0</v>
      </c>
      <c r="AX101" s="111">
        <v>0</v>
      </c>
      <c r="AY101" s="111">
        <v>0</v>
      </c>
    </row>
    <row r="102" spans="1:52" x14ac:dyDescent="0.2">
      <c r="A102" s="114"/>
      <c r="B102" s="125">
        <v>3</v>
      </c>
      <c r="C102" s="111">
        <v>0</v>
      </c>
      <c r="D102" s="111">
        <v>0</v>
      </c>
      <c r="E102" s="111">
        <v>0</v>
      </c>
      <c r="F102" s="111">
        <v>0</v>
      </c>
      <c r="G102" s="111">
        <v>0</v>
      </c>
      <c r="H102" s="111">
        <v>0</v>
      </c>
      <c r="I102" s="111">
        <v>0</v>
      </c>
      <c r="J102" s="111">
        <v>0</v>
      </c>
      <c r="K102" s="111">
        <v>0</v>
      </c>
      <c r="L102" s="111">
        <v>0</v>
      </c>
      <c r="M102" s="111">
        <v>0</v>
      </c>
      <c r="N102" s="111">
        <v>0</v>
      </c>
      <c r="O102" s="111">
        <v>0</v>
      </c>
      <c r="P102" s="111">
        <v>0</v>
      </c>
      <c r="Q102" s="111">
        <v>0</v>
      </c>
      <c r="R102" s="111">
        <v>0</v>
      </c>
      <c r="S102" s="111">
        <v>0</v>
      </c>
      <c r="T102" s="111">
        <v>0</v>
      </c>
      <c r="U102" s="111">
        <v>0</v>
      </c>
      <c r="V102" s="111">
        <v>0</v>
      </c>
      <c r="W102" s="111">
        <v>0</v>
      </c>
      <c r="X102" s="111">
        <v>0</v>
      </c>
      <c r="Y102" s="111">
        <v>0</v>
      </c>
      <c r="Z102" s="111">
        <v>0</v>
      </c>
      <c r="AA102" s="111">
        <v>0</v>
      </c>
      <c r="AB102" s="111">
        <v>0</v>
      </c>
      <c r="AC102" s="111">
        <v>0</v>
      </c>
      <c r="AD102" s="111">
        <v>0</v>
      </c>
      <c r="AE102" s="111">
        <v>0</v>
      </c>
      <c r="AF102" s="111">
        <v>0</v>
      </c>
      <c r="AG102" s="111">
        <v>0</v>
      </c>
      <c r="AH102" s="111">
        <v>0</v>
      </c>
      <c r="AI102" s="111">
        <v>0</v>
      </c>
      <c r="AJ102" s="111">
        <v>0</v>
      </c>
      <c r="AK102" s="111">
        <v>0</v>
      </c>
      <c r="AL102" s="111">
        <v>0</v>
      </c>
      <c r="AM102" s="111">
        <v>0</v>
      </c>
      <c r="AN102" s="111">
        <v>0</v>
      </c>
      <c r="AO102" s="111">
        <v>0</v>
      </c>
      <c r="AP102" s="111">
        <v>0</v>
      </c>
      <c r="AQ102" s="111">
        <v>0</v>
      </c>
      <c r="AR102" s="111">
        <v>0</v>
      </c>
      <c r="AS102" s="111">
        <v>0</v>
      </c>
      <c r="AT102" s="111">
        <v>0</v>
      </c>
      <c r="AU102" s="111">
        <v>0</v>
      </c>
      <c r="AV102" s="111">
        <v>0</v>
      </c>
      <c r="AW102" s="111">
        <v>0</v>
      </c>
      <c r="AX102" s="111">
        <v>0</v>
      </c>
      <c r="AY102" s="111">
        <v>0</v>
      </c>
    </row>
    <row r="103" spans="1:52" x14ac:dyDescent="0.2">
      <c r="A103" s="114"/>
      <c r="B103" s="125">
        <v>4</v>
      </c>
      <c r="C103" s="111">
        <v>0</v>
      </c>
      <c r="D103" s="111">
        <v>0</v>
      </c>
      <c r="E103" s="111">
        <v>0</v>
      </c>
      <c r="F103" s="111">
        <v>0</v>
      </c>
      <c r="G103" s="111">
        <v>0</v>
      </c>
      <c r="H103" s="111">
        <v>0</v>
      </c>
      <c r="I103" s="111">
        <v>0</v>
      </c>
      <c r="J103" s="111">
        <v>0</v>
      </c>
      <c r="K103" s="111">
        <v>0</v>
      </c>
      <c r="L103" s="111">
        <v>0</v>
      </c>
      <c r="M103" s="111">
        <v>0</v>
      </c>
      <c r="N103" s="111">
        <v>0</v>
      </c>
      <c r="O103" s="111">
        <v>0</v>
      </c>
      <c r="P103" s="111">
        <v>0</v>
      </c>
      <c r="Q103" s="111">
        <v>0</v>
      </c>
      <c r="R103" s="111">
        <v>0</v>
      </c>
      <c r="S103" s="111">
        <v>0</v>
      </c>
      <c r="T103" s="111">
        <v>0</v>
      </c>
      <c r="U103" s="111">
        <v>0</v>
      </c>
      <c r="V103" s="111">
        <v>0</v>
      </c>
      <c r="W103" s="111">
        <v>0</v>
      </c>
      <c r="X103" s="111">
        <v>0</v>
      </c>
      <c r="Y103" s="111">
        <v>0</v>
      </c>
      <c r="Z103" s="111">
        <v>0</v>
      </c>
      <c r="AA103" s="111">
        <v>0</v>
      </c>
      <c r="AB103" s="111">
        <v>0</v>
      </c>
      <c r="AC103" s="111">
        <v>0</v>
      </c>
      <c r="AD103" s="111">
        <v>0</v>
      </c>
      <c r="AE103" s="111">
        <v>0</v>
      </c>
      <c r="AF103" s="111">
        <v>0</v>
      </c>
      <c r="AG103" s="111">
        <v>0</v>
      </c>
      <c r="AH103" s="111">
        <v>0</v>
      </c>
      <c r="AI103" s="111">
        <v>0</v>
      </c>
      <c r="AJ103" s="111">
        <v>0</v>
      </c>
      <c r="AK103" s="111">
        <v>0</v>
      </c>
      <c r="AL103" s="111">
        <v>0</v>
      </c>
      <c r="AM103" s="111">
        <v>0</v>
      </c>
      <c r="AN103" s="111">
        <v>0</v>
      </c>
      <c r="AO103" s="111">
        <v>0</v>
      </c>
      <c r="AP103" s="111">
        <v>0</v>
      </c>
      <c r="AQ103" s="111">
        <v>0</v>
      </c>
      <c r="AR103" s="111">
        <v>0</v>
      </c>
      <c r="AS103" s="111">
        <v>0</v>
      </c>
      <c r="AT103" s="111">
        <v>0</v>
      </c>
      <c r="AU103" s="111">
        <v>0</v>
      </c>
      <c r="AV103" s="111">
        <v>0</v>
      </c>
      <c r="AW103" s="111">
        <v>0</v>
      </c>
      <c r="AX103" s="111">
        <v>0</v>
      </c>
      <c r="AY103" s="111">
        <v>0</v>
      </c>
    </row>
    <row r="104" spans="1:52" x14ac:dyDescent="0.2">
      <c r="A104" s="114"/>
      <c r="B104" s="132">
        <v>5</v>
      </c>
      <c r="C104" s="111">
        <v>0</v>
      </c>
      <c r="D104" s="111">
        <v>0</v>
      </c>
      <c r="E104" s="111">
        <v>0</v>
      </c>
      <c r="F104" s="111">
        <v>0</v>
      </c>
      <c r="G104" s="111">
        <v>0</v>
      </c>
      <c r="H104" s="111">
        <v>0</v>
      </c>
      <c r="I104" s="111">
        <v>0</v>
      </c>
      <c r="J104" s="111">
        <v>0</v>
      </c>
      <c r="K104" s="111">
        <v>0</v>
      </c>
      <c r="L104" s="111">
        <v>0</v>
      </c>
      <c r="M104" s="111">
        <v>0</v>
      </c>
      <c r="N104" s="111">
        <v>0</v>
      </c>
      <c r="O104" s="111">
        <v>0</v>
      </c>
      <c r="P104" s="111">
        <v>0</v>
      </c>
      <c r="Q104" s="111">
        <v>0</v>
      </c>
      <c r="R104" s="111">
        <v>0</v>
      </c>
      <c r="S104" s="111">
        <v>0</v>
      </c>
      <c r="T104" s="111">
        <v>0</v>
      </c>
      <c r="U104" s="111">
        <v>0</v>
      </c>
      <c r="V104" s="111">
        <v>0</v>
      </c>
      <c r="W104" s="111">
        <v>0</v>
      </c>
      <c r="X104" s="111">
        <v>0</v>
      </c>
      <c r="Y104" s="111">
        <v>0</v>
      </c>
      <c r="Z104" s="111">
        <v>0</v>
      </c>
      <c r="AA104" s="111">
        <v>0</v>
      </c>
      <c r="AB104" s="111">
        <v>0</v>
      </c>
      <c r="AC104" s="111">
        <v>0</v>
      </c>
      <c r="AD104" s="111">
        <v>0</v>
      </c>
      <c r="AE104" s="111">
        <v>0</v>
      </c>
      <c r="AF104" s="111">
        <v>0</v>
      </c>
      <c r="AG104" s="111">
        <v>0</v>
      </c>
      <c r="AH104" s="111">
        <v>0</v>
      </c>
      <c r="AI104" s="111">
        <v>0</v>
      </c>
      <c r="AJ104" s="111">
        <v>0</v>
      </c>
      <c r="AK104" s="111">
        <v>0</v>
      </c>
      <c r="AL104" s="111">
        <v>0</v>
      </c>
      <c r="AM104" s="111">
        <v>0</v>
      </c>
      <c r="AN104" s="111">
        <v>0</v>
      </c>
      <c r="AO104" s="111">
        <v>0</v>
      </c>
      <c r="AP104" s="111">
        <v>0</v>
      </c>
      <c r="AQ104" s="111">
        <v>0</v>
      </c>
      <c r="AR104" s="111">
        <v>0</v>
      </c>
      <c r="AS104" s="111">
        <v>0</v>
      </c>
      <c r="AT104" s="111">
        <v>0</v>
      </c>
      <c r="AU104" s="111">
        <v>0</v>
      </c>
      <c r="AV104" s="111">
        <v>0</v>
      </c>
      <c r="AW104" s="111">
        <v>0</v>
      </c>
      <c r="AX104" s="111">
        <v>0</v>
      </c>
      <c r="AY104" s="111">
        <v>0</v>
      </c>
    </row>
    <row r="105" spans="1:52" x14ac:dyDescent="0.2">
      <c r="A105" s="114"/>
      <c r="B105" s="132">
        <v>6</v>
      </c>
      <c r="C105" s="111">
        <v>0</v>
      </c>
      <c r="D105" s="111">
        <v>0</v>
      </c>
      <c r="E105" s="111">
        <v>0</v>
      </c>
      <c r="F105" s="111">
        <v>0</v>
      </c>
      <c r="G105" s="111">
        <v>0</v>
      </c>
      <c r="H105" s="111">
        <v>0</v>
      </c>
      <c r="I105" s="111">
        <v>0</v>
      </c>
      <c r="J105" s="111">
        <v>0</v>
      </c>
      <c r="K105" s="111">
        <v>0</v>
      </c>
      <c r="L105" s="111">
        <v>0</v>
      </c>
      <c r="M105" s="111">
        <v>0</v>
      </c>
      <c r="N105" s="111">
        <v>0</v>
      </c>
      <c r="O105" s="111">
        <v>0</v>
      </c>
      <c r="P105" s="111">
        <v>0</v>
      </c>
      <c r="Q105" s="111">
        <v>0</v>
      </c>
      <c r="R105" s="111">
        <v>0</v>
      </c>
      <c r="S105" s="111">
        <v>0</v>
      </c>
      <c r="T105" s="111">
        <v>0</v>
      </c>
      <c r="U105" s="111">
        <v>0</v>
      </c>
      <c r="V105" s="111">
        <v>0</v>
      </c>
      <c r="W105" s="111">
        <v>0</v>
      </c>
      <c r="X105" s="111">
        <v>0</v>
      </c>
      <c r="Y105" s="111">
        <v>0</v>
      </c>
      <c r="Z105" s="111">
        <v>0</v>
      </c>
      <c r="AA105" s="111">
        <v>0</v>
      </c>
      <c r="AB105" s="111">
        <v>0</v>
      </c>
      <c r="AC105" s="111">
        <v>0</v>
      </c>
      <c r="AD105" s="111">
        <v>0</v>
      </c>
      <c r="AE105" s="111">
        <v>0</v>
      </c>
      <c r="AF105" s="111">
        <v>0</v>
      </c>
      <c r="AG105" s="111">
        <v>0</v>
      </c>
      <c r="AH105" s="111">
        <v>0</v>
      </c>
      <c r="AI105" s="111">
        <v>0</v>
      </c>
      <c r="AJ105" s="111">
        <v>0</v>
      </c>
      <c r="AK105" s="111">
        <v>0</v>
      </c>
      <c r="AL105" s="111">
        <v>0</v>
      </c>
      <c r="AM105" s="111">
        <v>0</v>
      </c>
      <c r="AN105" s="111">
        <v>0</v>
      </c>
      <c r="AO105" s="111">
        <v>0</v>
      </c>
      <c r="AP105" s="111">
        <v>0</v>
      </c>
      <c r="AQ105" s="111">
        <v>0</v>
      </c>
      <c r="AR105" s="111">
        <v>0</v>
      </c>
      <c r="AS105" s="111">
        <v>0</v>
      </c>
      <c r="AT105" s="111">
        <v>0</v>
      </c>
      <c r="AU105" s="111">
        <v>0</v>
      </c>
      <c r="AV105" s="111">
        <v>0</v>
      </c>
      <c r="AW105" s="111">
        <v>0</v>
      </c>
      <c r="AX105" s="111">
        <v>0</v>
      </c>
      <c r="AY105" s="111">
        <v>0</v>
      </c>
    </row>
    <row r="106" spans="1:52" x14ac:dyDescent="0.2">
      <c r="A106" s="114"/>
      <c r="B106" s="135">
        <v>7</v>
      </c>
      <c r="C106" s="111">
        <v>0</v>
      </c>
      <c r="D106" s="111">
        <v>0</v>
      </c>
      <c r="E106" s="111">
        <v>0</v>
      </c>
      <c r="F106" s="111">
        <v>0</v>
      </c>
      <c r="G106" s="111">
        <v>0</v>
      </c>
      <c r="H106" s="111">
        <v>0</v>
      </c>
      <c r="I106" s="111">
        <v>0</v>
      </c>
      <c r="J106" s="111">
        <v>0</v>
      </c>
      <c r="K106" s="111">
        <v>0</v>
      </c>
      <c r="L106" s="111">
        <v>0</v>
      </c>
      <c r="M106" s="111">
        <v>0</v>
      </c>
      <c r="N106" s="111">
        <v>0</v>
      </c>
      <c r="O106" s="111">
        <v>0</v>
      </c>
      <c r="P106" s="111">
        <v>0</v>
      </c>
      <c r="Q106" s="111">
        <v>0</v>
      </c>
      <c r="R106" s="111">
        <v>0</v>
      </c>
      <c r="S106" s="111">
        <v>0</v>
      </c>
      <c r="T106" s="111">
        <v>0</v>
      </c>
      <c r="U106" s="111">
        <v>0</v>
      </c>
      <c r="V106" s="111">
        <v>0</v>
      </c>
      <c r="W106" s="111">
        <v>0</v>
      </c>
      <c r="X106" s="111">
        <v>0</v>
      </c>
      <c r="Y106" s="111">
        <v>0</v>
      </c>
      <c r="Z106" s="111">
        <v>0</v>
      </c>
      <c r="AA106" s="111">
        <v>0</v>
      </c>
      <c r="AB106" s="111">
        <v>0</v>
      </c>
      <c r="AC106" s="111">
        <v>0</v>
      </c>
      <c r="AD106" s="111">
        <v>0</v>
      </c>
      <c r="AE106" s="111">
        <v>0</v>
      </c>
      <c r="AF106" s="111">
        <v>0</v>
      </c>
      <c r="AG106" s="111">
        <v>0</v>
      </c>
      <c r="AH106" s="111">
        <v>0</v>
      </c>
      <c r="AI106" s="111">
        <v>0</v>
      </c>
      <c r="AJ106" s="111">
        <v>0</v>
      </c>
      <c r="AK106" s="111">
        <v>0</v>
      </c>
      <c r="AL106" s="111">
        <v>0</v>
      </c>
      <c r="AM106" s="111">
        <v>0</v>
      </c>
      <c r="AN106" s="111">
        <v>0</v>
      </c>
      <c r="AO106" s="111">
        <v>0</v>
      </c>
      <c r="AP106" s="111">
        <v>0</v>
      </c>
      <c r="AQ106" s="111">
        <v>0</v>
      </c>
      <c r="AR106" s="111">
        <v>0</v>
      </c>
      <c r="AS106" s="111">
        <v>0</v>
      </c>
      <c r="AT106" s="111">
        <v>0</v>
      </c>
      <c r="AU106" s="111">
        <v>0</v>
      </c>
      <c r="AV106" s="111">
        <v>0</v>
      </c>
      <c r="AW106" s="111">
        <v>0</v>
      </c>
      <c r="AX106" s="111">
        <v>0</v>
      </c>
      <c r="AY106" s="111">
        <v>0</v>
      </c>
    </row>
    <row r="107" spans="1:52" x14ac:dyDescent="0.2">
      <c r="A107" s="114"/>
      <c r="B107" s="135">
        <v>8</v>
      </c>
      <c r="C107" s="111">
        <v>0</v>
      </c>
      <c r="D107" s="111">
        <v>0</v>
      </c>
      <c r="E107" s="111">
        <v>0</v>
      </c>
      <c r="F107" s="111">
        <v>0</v>
      </c>
      <c r="G107" s="111">
        <v>0</v>
      </c>
      <c r="H107" s="111">
        <v>0</v>
      </c>
      <c r="I107" s="111">
        <v>0</v>
      </c>
      <c r="J107" s="111">
        <v>0</v>
      </c>
      <c r="K107" s="111">
        <v>0</v>
      </c>
      <c r="L107" s="111">
        <v>0</v>
      </c>
      <c r="M107" s="111">
        <v>0</v>
      </c>
      <c r="N107" s="111">
        <v>0</v>
      </c>
      <c r="O107" s="111">
        <v>0</v>
      </c>
      <c r="P107" s="111">
        <v>0</v>
      </c>
      <c r="Q107" s="111">
        <v>0</v>
      </c>
      <c r="R107" s="111">
        <v>0</v>
      </c>
      <c r="S107" s="111">
        <v>0</v>
      </c>
      <c r="T107" s="111">
        <v>0</v>
      </c>
      <c r="U107" s="111">
        <v>0</v>
      </c>
      <c r="V107" s="111">
        <v>0</v>
      </c>
      <c r="W107" s="111">
        <v>0</v>
      </c>
      <c r="X107" s="111">
        <v>0</v>
      </c>
      <c r="Y107" s="111">
        <v>0</v>
      </c>
      <c r="Z107" s="111">
        <v>0</v>
      </c>
      <c r="AA107" s="111">
        <v>0</v>
      </c>
      <c r="AB107" s="111">
        <v>0</v>
      </c>
      <c r="AC107" s="111">
        <v>0</v>
      </c>
      <c r="AD107" s="111">
        <v>0</v>
      </c>
      <c r="AE107" s="111">
        <v>0</v>
      </c>
      <c r="AF107" s="111">
        <v>0</v>
      </c>
      <c r="AG107" s="111">
        <v>0</v>
      </c>
      <c r="AH107" s="111">
        <v>0</v>
      </c>
      <c r="AI107" s="111">
        <v>0</v>
      </c>
      <c r="AJ107" s="111">
        <v>0</v>
      </c>
      <c r="AK107" s="111">
        <v>0</v>
      </c>
      <c r="AL107" s="111">
        <v>0</v>
      </c>
      <c r="AM107" s="111">
        <v>0</v>
      </c>
      <c r="AN107" s="111">
        <v>0</v>
      </c>
      <c r="AO107" s="111">
        <v>0</v>
      </c>
      <c r="AP107" s="111">
        <v>0</v>
      </c>
      <c r="AQ107" s="111">
        <v>0</v>
      </c>
      <c r="AR107" s="111">
        <v>0</v>
      </c>
      <c r="AS107" s="111">
        <v>0</v>
      </c>
      <c r="AT107" s="111">
        <v>0</v>
      </c>
      <c r="AU107" s="111">
        <v>0</v>
      </c>
      <c r="AV107" s="111">
        <v>0</v>
      </c>
      <c r="AW107" s="111">
        <v>0</v>
      </c>
      <c r="AX107" s="111">
        <v>0</v>
      </c>
      <c r="AY107" s="111">
        <v>0</v>
      </c>
    </row>
    <row r="108" spans="1:52" x14ac:dyDescent="0.2">
      <c r="A108" s="133"/>
      <c r="B108" s="137" t="s">
        <v>296</v>
      </c>
      <c r="C108" s="119">
        <v>0</v>
      </c>
      <c r="D108" s="130">
        <v>0</v>
      </c>
      <c r="E108" s="130">
        <v>0</v>
      </c>
      <c r="F108" s="130">
        <v>0</v>
      </c>
      <c r="G108" s="130">
        <v>0</v>
      </c>
      <c r="H108" s="130">
        <v>0</v>
      </c>
      <c r="I108" s="130">
        <v>0</v>
      </c>
      <c r="J108" s="130">
        <v>0</v>
      </c>
      <c r="K108" s="130">
        <v>0</v>
      </c>
      <c r="L108" s="130">
        <v>0</v>
      </c>
      <c r="M108" s="130">
        <v>0</v>
      </c>
      <c r="N108" s="130">
        <v>0</v>
      </c>
      <c r="O108" s="130">
        <v>0</v>
      </c>
      <c r="P108" s="130">
        <v>0</v>
      </c>
      <c r="Q108" s="130">
        <v>0</v>
      </c>
      <c r="R108" s="130">
        <v>0</v>
      </c>
      <c r="S108" s="130">
        <v>0</v>
      </c>
      <c r="T108" s="130">
        <v>0</v>
      </c>
      <c r="U108" s="130">
        <v>0</v>
      </c>
      <c r="V108" s="130">
        <v>0</v>
      </c>
      <c r="W108" s="130">
        <v>0</v>
      </c>
      <c r="X108" s="130">
        <v>0</v>
      </c>
      <c r="Y108" s="130">
        <v>0</v>
      </c>
      <c r="Z108" s="130">
        <v>0</v>
      </c>
      <c r="AA108" s="130">
        <v>0</v>
      </c>
      <c r="AB108" s="130">
        <v>0</v>
      </c>
      <c r="AC108" s="130">
        <v>0</v>
      </c>
      <c r="AD108" s="130">
        <v>0</v>
      </c>
      <c r="AE108" s="130">
        <v>0</v>
      </c>
      <c r="AF108" s="130">
        <v>0</v>
      </c>
      <c r="AG108" s="130">
        <v>0</v>
      </c>
      <c r="AH108" s="130">
        <v>0</v>
      </c>
      <c r="AI108" s="130">
        <v>0</v>
      </c>
      <c r="AJ108" s="130">
        <v>0</v>
      </c>
      <c r="AK108" s="130">
        <v>0</v>
      </c>
      <c r="AL108" s="130">
        <v>0</v>
      </c>
      <c r="AM108" s="130">
        <v>0</v>
      </c>
      <c r="AN108" s="130">
        <v>0</v>
      </c>
      <c r="AO108" s="130">
        <v>0</v>
      </c>
      <c r="AP108" s="130">
        <v>0</v>
      </c>
      <c r="AQ108" s="130">
        <v>0</v>
      </c>
      <c r="AR108" s="130">
        <v>0</v>
      </c>
      <c r="AS108" s="130">
        <v>0</v>
      </c>
      <c r="AT108" s="130">
        <v>0</v>
      </c>
      <c r="AU108" s="130">
        <v>0</v>
      </c>
      <c r="AV108" s="130">
        <v>0</v>
      </c>
      <c r="AW108" s="130">
        <v>0</v>
      </c>
      <c r="AX108" s="130">
        <v>0</v>
      </c>
      <c r="AY108" s="130">
        <v>0</v>
      </c>
      <c r="AZ108" s="112">
        <f>SUM($D108:$AY108)</f>
        <v>0</v>
      </c>
    </row>
    <row r="109" spans="1:52" x14ac:dyDescent="0.2">
      <c r="A109" s="136" t="s">
        <v>134</v>
      </c>
      <c r="B109" s="124">
        <v>1</v>
      </c>
      <c r="C109" s="111">
        <v>282.67666962664475</v>
      </c>
      <c r="D109" s="111">
        <v>282.67666962664475</v>
      </c>
      <c r="E109" s="111">
        <v>0</v>
      </c>
      <c r="F109" s="111">
        <v>0</v>
      </c>
      <c r="G109" s="111">
        <v>0</v>
      </c>
      <c r="H109" s="111">
        <v>0</v>
      </c>
      <c r="I109" s="111">
        <v>216.45877376320729</v>
      </c>
      <c r="J109" s="111">
        <v>216.45877376320729</v>
      </c>
      <c r="K109" s="111">
        <v>233.93654995021964</v>
      </c>
      <c r="L109" s="111">
        <v>233.93654995021964</v>
      </c>
      <c r="M109" s="111">
        <v>233.93654995021964</v>
      </c>
      <c r="N109" s="111">
        <v>216.45877376320729</v>
      </c>
      <c r="O109" s="111">
        <v>251.414326137232</v>
      </c>
      <c r="P109" s="111">
        <v>233.93654995021964</v>
      </c>
      <c r="Q109" s="111">
        <v>233.93654995021964</v>
      </c>
      <c r="R109" s="111">
        <v>233.93654995021964</v>
      </c>
      <c r="S109" s="111">
        <v>233.93654995021964</v>
      </c>
      <c r="T109" s="111">
        <v>233.93654995021964</v>
      </c>
      <c r="U109" s="111">
        <v>233.93654995021964</v>
      </c>
      <c r="V109" s="111">
        <v>240.95547808952662</v>
      </c>
      <c r="W109" s="111">
        <v>240.52489197935421</v>
      </c>
      <c r="X109" s="111">
        <v>233.93654995021964</v>
      </c>
      <c r="Y109" s="111">
        <v>233.93654995021964</v>
      </c>
      <c r="Z109" s="111">
        <v>233.93654995021964</v>
      </c>
      <c r="AA109" s="111">
        <v>249.23856348931042</v>
      </c>
      <c r="AB109" s="111">
        <v>239.01157376916322</v>
      </c>
      <c r="AC109" s="111">
        <v>233.93654995021964</v>
      </c>
      <c r="AD109" s="111">
        <v>248.40821240192361</v>
      </c>
      <c r="AE109" s="111">
        <v>233.93654995021964</v>
      </c>
      <c r="AF109" s="111">
        <v>246.18420300191929</v>
      </c>
      <c r="AG109" s="111">
        <v>216.45877376320729</v>
      </c>
      <c r="AH109" s="111">
        <v>251.414326137232</v>
      </c>
      <c r="AI109" s="111">
        <v>233.93654995021964</v>
      </c>
      <c r="AJ109" s="111">
        <v>233.93654995021964</v>
      </c>
      <c r="AK109" s="111">
        <v>233.93654995021964</v>
      </c>
      <c r="AL109" s="111">
        <v>233.93654995021964</v>
      </c>
      <c r="AM109" s="111">
        <v>246.06630969272379</v>
      </c>
      <c r="AN109" s="111">
        <v>233.93654995021967</v>
      </c>
      <c r="AO109" s="111">
        <v>240.11915082766836</v>
      </c>
      <c r="AP109" s="111">
        <v>233.93654995021964</v>
      </c>
      <c r="AQ109" s="111">
        <v>233.93654995021964</v>
      </c>
      <c r="AR109" s="111">
        <v>233.93654995021964</v>
      </c>
      <c r="AS109" s="111">
        <v>233.93654995021964</v>
      </c>
      <c r="AT109" s="111">
        <v>233.93654995021964</v>
      </c>
      <c r="AU109" s="111">
        <v>243.65674541893534</v>
      </c>
      <c r="AV109" s="111">
        <v>251.414326137232</v>
      </c>
      <c r="AW109" s="111">
        <v>244.77562686956381</v>
      </c>
      <c r="AX109" s="111">
        <v>233.93654995021964</v>
      </c>
      <c r="AY109" s="111">
        <v>233.93654995021964</v>
      </c>
    </row>
    <row r="110" spans="1:52" x14ac:dyDescent="0.2">
      <c r="A110" s="114"/>
      <c r="B110" s="124">
        <v>2</v>
      </c>
      <c r="C110" s="111">
        <v>281.86158840975759</v>
      </c>
      <c r="D110" s="111">
        <v>282.67666962664475</v>
      </c>
      <c r="E110" s="111">
        <v>282.67666962664475</v>
      </c>
      <c r="F110" s="111">
        <v>0</v>
      </c>
      <c r="G110" s="111">
        <v>0</v>
      </c>
      <c r="H110" s="111">
        <v>0</v>
      </c>
      <c r="I110" s="111">
        <v>0</v>
      </c>
      <c r="J110" s="111">
        <v>0</v>
      </c>
      <c r="K110" s="111">
        <v>0</v>
      </c>
      <c r="L110" s="111">
        <v>0</v>
      </c>
      <c r="M110" s="111">
        <v>0</v>
      </c>
      <c r="N110" s="111">
        <v>0</v>
      </c>
      <c r="O110" s="111">
        <v>0</v>
      </c>
      <c r="P110" s="111">
        <v>0</v>
      </c>
      <c r="Q110" s="111">
        <v>0</v>
      </c>
      <c r="R110" s="111">
        <v>0</v>
      </c>
      <c r="S110" s="111">
        <v>0</v>
      </c>
      <c r="T110" s="111">
        <v>0</v>
      </c>
      <c r="U110" s="111">
        <v>0</v>
      </c>
      <c r="V110" s="111">
        <v>0</v>
      </c>
      <c r="W110" s="111">
        <v>0</v>
      </c>
      <c r="X110" s="111">
        <v>0</v>
      </c>
      <c r="Y110" s="111">
        <v>0</v>
      </c>
      <c r="Z110" s="111">
        <v>0</v>
      </c>
      <c r="AA110" s="111">
        <v>0</v>
      </c>
      <c r="AB110" s="111">
        <v>0</v>
      </c>
      <c r="AC110" s="111">
        <v>0</v>
      </c>
      <c r="AD110" s="111">
        <v>0</v>
      </c>
      <c r="AE110" s="111">
        <v>0</v>
      </c>
      <c r="AF110" s="111">
        <v>0</v>
      </c>
      <c r="AG110" s="111">
        <v>0</v>
      </c>
      <c r="AH110" s="111">
        <v>0</v>
      </c>
      <c r="AI110" s="111">
        <v>0</v>
      </c>
      <c r="AJ110" s="111">
        <v>0</v>
      </c>
      <c r="AK110" s="111">
        <v>0</v>
      </c>
      <c r="AL110" s="111">
        <v>0</v>
      </c>
      <c r="AM110" s="111">
        <v>0</v>
      </c>
      <c r="AN110" s="111">
        <v>0</v>
      </c>
      <c r="AO110" s="111">
        <v>0</v>
      </c>
      <c r="AP110" s="111">
        <v>0</v>
      </c>
      <c r="AQ110" s="111">
        <v>0</v>
      </c>
      <c r="AR110" s="111">
        <v>0</v>
      </c>
      <c r="AS110" s="111">
        <v>0</v>
      </c>
      <c r="AT110" s="111">
        <v>0</v>
      </c>
      <c r="AU110" s="111">
        <v>0</v>
      </c>
      <c r="AV110" s="111">
        <v>0</v>
      </c>
      <c r="AW110" s="111">
        <v>0</v>
      </c>
      <c r="AX110" s="111">
        <v>0</v>
      </c>
      <c r="AY110" s="111">
        <v>0</v>
      </c>
    </row>
    <row r="111" spans="1:52" x14ac:dyDescent="0.2">
      <c r="A111" s="114"/>
      <c r="B111" s="124">
        <v>3</v>
      </c>
      <c r="C111" s="111">
        <v>289.49998537804288</v>
      </c>
      <c r="D111" s="111">
        <v>281.86158840975759</v>
      </c>
      <c r="E111" s="111">
        <v>282.67666962664475</v>
      </c>
      <c r="F111" s="111">
        <v>282.67666962664475</v>
      </c>
      <c r="G111" s="111">
        <v>0</v>
      </c>
      <c r="H111" s="111">
        <v>0</v>
      </c>
      <c r="I111" s="111">
        <v>0</v>
      </c>
      <c r="J111" s="111">
        <v>0</v>
      </c>
      <c r="K111" s="111">
        <v>0</v>
      </c>
      <c r="L111" s="111">
        <v>0</v>
      </c>
      <c r="M111" s="111">
        <v>0</v>
      </c>
      <c r="N111" s="111">
        <v>0</v>
      </c>
      <c r="O111" s="111">
        <v>0</v>
      </c>
      <c r="P111" s="111">
        <v>0</v>
      </c>
      <c r="Q111" s="111">
        <v>0</v>
      </c>
      <c r="R111" s="111">
        <v>0</v>
      </c>
      <c r="S111" s="111">
        <v>0</v>
      </c>
      <c r="T111" s="111">
        <v>0</v>
      </c>
      <c r="U111" s="111">
        <v>0</v>
      </c>
      <c r="V111" s="111">
        <v>0</v>
      </c>
      <c r="W111" s="111">
        <v>0</v>
      </c>
      <c r="X111" s="111">
        <v>0</v>
      </c>
      <c r="Y111" s="111">
        <v>0</v>
      </c>
      <c r="Z111" s="111">
        <v>0</v>
      </c>
      <c r="AA111" s="111">
        <v>0</v>
      </c>
      <c r="AB111" s="111">
        <v>0</v>
      </c>
      <c r="AC111" s="111">
        <v>0</v>
      </c>
      <c r="AD111" s="111">
        <v>0</v>
      </c>
      <c r="AE111" s="111">
        <v>0</v>
      </c>
      <c r="AF111" s="111">
        <v>0</v>
      </c>
      <c r="AG111" s="111">
        <v>0</v>
      </c>
      <c r="AH111" s="111">
        <v>0</v>
      </c>
      <c r="AI111" s="111">
        <v>0</v>
      </c>
      <c r="AJ111" s="111">
        <v>0</v>
      </c>
      <c r="AK111" s="111">
        <v>0</v>
      </c>
      <c r="AL111" s="111">
        <v>0</v>
      </c>
      <c r="AM111" s="111">
        <v>0</v>
      </c>
      <c r="AN111" s="111">
        <v>0</v>
      </c>
      <c r="AO111" s="111">
        <v>0</v>
      </c>
      <c r="AP111" s="111">
        <v>0</v>
      </c>
      <c r="AQ111" s="111">
        <v>0</v>
      </c>
      <c r="AR111" s="111">
        <v>0</v>
      </c>
      <c r="AS111" s="111">
        <v>0</v>
      </c>
      <c r="AT111" s="111">
        <v>0</v>
      </c>
      <c r="AU111" s="111">
        <v>0</v>
      </c>
      <c r="AV111" s="111">
        <v>0</v>
      </c>
      <c r="AW111" s="111">
        <v>0</v>
      </c>
      <c r="AX111" s="111">
        <v>0</v>
      </c>
      <c r="AY111" s="111">
        <v>0</v>
      </c>
    </row>
    <row r="112" spans="1:52" x14ac:dyDescent="0.2">
      <c r="A112" s="114"/>
      <c r="B112" s="125">
        <v>4</v>
      </c>
      <c r="C112" s="111">
        <v>236.07150476877359</v>
      </c>
      <c r="D112" s="111">
        <v>201.57149014681647</v>
      </c>
      <c r="E112" s="111">
        <v>263.43307855657406</v>
      </c>
      <c r="F112" s="111">
        <v>282.67666962664475</v>
      </c>
      <c r="G112" s="111">
        <v>282.67666962664475</v>
      </c>
      <c r="H112" s="111">
        <v>0</v>
      </c>
      <c r="I112" s="111">
        <v>0</v>
      </c>
      <c r="J112" s="111">
        <v>0</v>
      </c>
      <c r="K112" s="111">
        <v>0</v>
      </c>
      <c r="L112" s="111">
        <v>0</v>
      </c>
      <c r="M112" s="111">
        <v>0</v>
      </c>
      <c r="N112" s="111">
        <v>0</v>
      </c>
      <c r="O112" s="111">
        <v>0</v>
      </c>
      <c r="P112" s="111">
        <v>0</v>
      </c>
      <c r="Q112" s="111">
        <v>0</v>
      </c>
      <c r="R112" s="111">
        <v>0</v>
      </c>
      <c r="S112" s="111">
        <v>0</v>
      </c>
      <c r="T112" s="111">
        <v>0</v>
      </c>
      <c r="U112" s="111">
        <v>0</v>
      </c>
      <c r="V112" s="111">
        <v>0</v>
      </c>
      <c r="W112" s="111">
        <v>0</v>
      </c>
      <c r="X112" s="111">
        <v>0</v>
      </c>
      <c r="Y112" s="111">
        <v>0</v>
      </c>
      <c r="Z112" s="111">
        <v>0</v>
      </c>
      <c r="AA112" s="111">
        <v>0</v>
      </c>
      <c r="AB112" s="111">
        <v>0</v>
      </c>
      <c r="AC112" s="111">
        <v>0</v>
      </c>
      <c r="AD112" s="111">
        <v>0</v>
      </c>
      <c r="AE112" s="111">
        <v>0</v>
      </c>
      <c r="AF112" s="111">
        <v>0</v>
      </c>
      <c r="AG112" s="111">
        <v>0</v>
      </c>
      <c r="AH112" s="111">
        <v>0</v>
      </c>
      <c r="AI112" s="111">
        <v>0</v>
      </c>
      <c r="AJ112" s="111">
        <v>0</v>
      </c>
      <c r="AK112" s="111">
        <v>0</v>
      </c>
      <c r="AL112" s="111">
        <v>0</v>
      </c>
      <c r="AM112" s="111">
        <v>0</v>
      </c>
      <c r="AN112" s="111">
        <v>0</v>
      </c>
      <c r="AO112" s="111">
        <v>0</v>
      </c>
      <c r="AP112" s="111">
        <v>0</v>
      </c>
      <c r="AQ112" s="111">
        <v>0</v>
      </c>
      <c r="AR112" s="111">
        <v>0</v>
      </c>
      <c r="AS112" s="111">
        <v>0</v>
      </c>
      <c r="AT112" s="111">
        <v>0</v>
      </c>
      <c r="AU112" s="111">
        <v>0</v>
      </c>
      <c r="AV112" s="111">
        <v>0</v>
      </c>
      <c r="AW112" s="111">
        <v>0</v>
      </c>
      <c r="AX112" s="111">
        <v>0</v>
      </c>
      <c r="AY112" s="111">
        <v>0</v>
      </c>
    </row>
    <row r="113" spans="1:52" x14ac:dyDescent="0.2">
      <c r="A113" s="114"/>
      <c r="B113" s="125">
        <v>5</v>
      </c>
      <c r="C113" s="111">
        <v>0</v>
      </c>
      <c r="D113" s="111">
        <v>0</v>
      </c>
      <c r="E113" s="111">
        <v>0</v>
      </c>
      <c r="F113" s="111">
        <v>42.43307855657406</v>
      </c>
      <c r="G113" s="111">
        <v>165.10974818321881</v>
      </c>
      <c r="H113" s="111">
        <v>219.78641780986356</v>
      </c>
      <c r="I113" s="111">
        <v>0</v>
      </c>
      <c r="J113" s="111">
        <v>0</v>
      </c>
      <c r="K113" s="111">
        <v>0</v>
      </c>
      <c r="L113" s="111">
        <v>0</v>
      </c>
      <c r="M113" s="111">
        <v>0</v>
      </c>
      <c r="N113" s="111">
        <v>0</v>
      </c>
      <c r="O113" s="111">
        <v>0</v>
      </c>
      <c r="P113" s="111">
        <v>0</v>
      </c>
      <c r="Q113" s="111">
        <v>0</v>
      </c>
      <c r="R113" s="111">
        <v>0</v>
      </c>
      <c r="S113" s="111">
        <v>0</v>
      </c>
      <c r="T113" s="111">
        <v>0</v>
      </c>
      <c r="U113" s="111">
        <v>0</v>
      </c>
      <c r="V113" s="111">
        <v>0</v>
      </c>
      <c r="W113" s="111">
        <v>0</v>
      </c>
      <c r="X113" s="111">
        <v>0</v>
      </c>
      <c r="Y113" s="111">
        <v>0</v>
      </c>
      <c r="Z113" s="111">
        <v>0</v>
      </c>
      <c r="AA113" s="111">
        <v>0</v>
      </c>
      <c r="AB113" s="111">
        <v>0</v>
      </c>
      <c r="AC113" s="111">
        <v>0</v>
      </c>
      <c r="AD113" s="111">
        <v>0</v>
      </c>
      <c r="AE113" s="111">
        <v>0</v>
      </c>
      <c r="AF113" s="111">
        <v>0</v>
      </c>
      <c r="AG113" s="111">
        <v>0</v>
      </c>
      <c r="AH113" s="111">
        <v>0</v>
      </c>
      <c r="AI113" s="111">
        <v>0</v>
      </c>
      <c r="AJ113" s="111">
        <v>0</v>
      </c>
      <c r="AK113" s="111">
        <v>0</v>
      </c>
      <c r="AL113" s="111">
        <v>0</v>
      </c>
      <c r="AM113" s="111">
        <v>0</v>
      </c>
      <c r="AN113" s="111">
        <v>0</v>
      </c>
      <c r="AO113" s="111">
        <v>0</v>
      </c>
      <c r="AP113" s="111">
        <v>0</v>
      </c>
      <c r="AQ113" s="111">
        <v>0</v>
      </c>
      <c r="AR113" s="111">
        <v>0</v>
      </c>
      <c r="AS113" s="111">
        <v>0</v>
      </c>
      <c r="AT113" s="111">
        <v>0</v>
      </c>
      <c r="AU113" s="111">
        <v>0</v>
      </c>
      <c r="AV113" s="111">
        <v>0</v>
      </c>
      <c r="AW113" s="111">
        <v>0</v>
      </c>
      <c r="AX113" s="111">
        <v>0</v>
      </c>
      <c r="AY113" s="111">
        <v>0</v>
      </c>
    </row>
    <row r="114" spans="1:52" x14ac:dyDescent="0.2">
      <c r="A114" s="114"/>
      <c r="B114" s="125">
        <v>6</v>
      </c>
      <c r="C114" s="111">
        <v>0</v>
      </c>
      <c r="D114" s="111">
        <v>0</v>
      </c>
      <c r="E114" s="111">
        <v>0</v>
      </c>
      <c r="F114" s="111">
        <v>0</v>
      </c>
      <c r="G114" s="111">
        <v>0</v>
      </c>
      <c r="H114" s="111">
        <v>0</v>
      </c>
      <c r="I114" s="111">
        <v>0</v>
      </c>
      <c r="J114" s="111">
        <v>0</v>
      </c>
      <c r="K114" s="111">
        <v>0</v>
      </c>
      <c r="L114" s="111">
        <v>0</v>
      </c>
      <c r="M114" s="111">
        <v>0</v>
      </c>
      <c r="N114" s="111">
        <v>0</v>
      </c>
      <c r="O114" s="111">
        <v>0</v>
      </c>
      <c r="P114" s="111">
        <v>0</v>
      </c>
      <c r="Q114" s="111">
        <v>0</v>
      </c>
      <c r="R114" s="111">
        <v>0</v>
      </c>
      <c r="S114" s="111">
        <v>0</v>
      </c>
      <c r="T114" s="111">
        <v>0</v>
      </c>
      <c r="U114" s="111">
        <v>0</v>
      </c>
      <c r="V114" s="111">
        <v>0</v>
      </c>
      <c r="W114" s="111">
        <v>0</v>
      </c>
      <c r="X114" s="111">
        <v>0</v>
      </c>
      <c r="Y114" s="111">
        <v>0</v>
      </c>
      <c r="Z114" s="111">
        <v>0</v>
      </c>
      <c r="AA114" s="111">
        <v>0</v>
      </c>
      <c r="AB114" s="111">
        <v>0</v>
      </c>
      <c r="AC114" s="111">
        <v>0</v>
      </c>
      <c r="AD114" s="111">
        <v>0</v>
      </c>
      <c r="AE114" s="111">
        <v>0</v>
      </c>
      <c r="AF114" s="111">
        <v>0</v>
      </c>
      <c r="AG114" s="111">
        <v>0</v>
      </c>
      <c r="AH114" s="111">
        <v>0</v>
      </c>
      <c r="AI114" s="111">
        <v>0</v>
      </c>
      <c r="AJ114" s="111">
        <v>0</v>
      </c>
      <c r="AK114" s="111">
        <v>0</v>
      </c>
      <c r="AL114" s="111">
        <v>0</v>
      </c>
      <c r="AM114" s="111">
        <v>0</v>
      </c>
      <c r="AN114" s="111">
        <v>0</v>
      </c>
      <c r="AO114" s="111">
        <v>0</v>
      </c>
      <c r="AP114" s="111">
        <v>0</v>
      </c>
      <c r="AQ114" s="111">
        <v>0</v>
      </c>
      <c r="AR114" s="111">
        <v>0</v>
      </c>
      <c r="AS114" s="111">
        <v>0</v>
      </c>
      <c r="AT114" s="111">
        <v>0</v>
      </c>
      <c r="AU114" s="111">
        <v>0</v>
      </c>
      <c r="AV114" s="111">
        <v>0</v>
      </c>
      <c r="AW114" s="111">
        <v>0</v>
      </c>
      <c r="AX114" s="111">
        <v>0</v>
      </c>
      <c r="AY114" s="111">
        <v>0</v>
      </c>
    </row>
    <row r="115" spans="1:52" x14ac:dyDescent="0.2">
      <c r="A115" s="114"/>
      <c r="B115" s="132">
        <v>7</v>
      </c>
      <c r="C115" s="111">
        <v>0</v>
      </c>
      <c r="D115" s="111">
        <v>0</v>
      </c>
      <c r="E115" s="111">
        <v>0</v>
      </c>
      <c r="F115" s="111">
        <v>0</v>
      </c>
      <c r="G115" s="111">
        <v>0</v>
      </c>
      <c r="H115" s="111">
        <v>0</v>
      </c>
      <c r="I115" s="111">
        <v>0</v>
      </c>
      <c r="J115" s="111">
        <v>0</v>
      </c>
      <c r="K115" s="111">
        <v>0</v>
      </c>
      <c r="L115" s="111">
        <v>0</v>
      </c>
      <c r="M115" s="111">
        <v>0</v>
      </c>
      <c r="N115" s="111">
        <v>0</v>
      </c>
      <c r="O115" s="111">
        <v>0</v>
      </c>
      <c r="P115" s="111">
        <v>0</v>
      </c>
      <c r="Q115" s="111">
        <v>0</v>
      </c>
      <c r="R115" s="111">
        <v>0</v>
      </c>
      <c r="S115" s="111">
        <v>0</v>
      </c>
      <c r="T115" s="111">
        <v>0</v>
      </c>
      <c r="U115" s="111">
        <v>0</v>
      </c>
      <c r="V115" s="111">
        <v>0</v>
      </c>
      <c r="W115" s="111">
        <v>0</v>
      </c>
      <c r="X115" s="111">
        <v>0</v>
      </c>
      <c r="Y115" s="111">
        <v>0</v>
      </c>
      <c r="Z115" s="111">
        <v>0</v>
      </c>
      <c r="AA115" s="111">
        <v>0</v>
      </c>
      <c r="AB115" s="111">
        <v>0</v>
      </c>
      <c r="AC115" s="111">
        <v>0</v>
      </c>
      <c r="AD115" s="111">
        <v>0</v>
      </c>
      <c r="AE115" s="111">
        <v>0</v>
      </c>
      <c r="AF115" s="111">
        <v>0</v>
      </c>
      <c r="AG115" s="111">
        <v>0</v>
      </c>
      <c r="AH115" s="111">
        <v>0</v>
      </c>
      <c r="AI115" s="111">
        <v>0</v>
      </c>
      <c r="AJ115" s="111">
        <v>0</v>
      </c>
      <c r="AK115" s="111">
        <v>0</v>
      </c>
      <c r="AL115" s="111">
        <v>0</v>
      </c>
      <c r="AM115" s="111">
        <v>0</v>
      </c>
      <c r="AN115" s="111">
        <v>0</v>
      </c>
      <c r="AO115" s="111">
        <v>0</v>
      </c>
      <c r="AP115" s="111">
        <v>0</v>
      </c>
      <c r="AQ115" s="111">
        <v>0</v>
      </c>
      <c r="AR115" s="111">
        <v>0</v>
      </c>
      <c r="AS115" s="111">
        <v>0</v>
      </c>
      <c r="AT115" s="111">
        <v>0</v>
      </c>
      <c r="AU115" s="111">
        <v>0</v>
      </c>
      <c r="AV115" s="111">
        <v>0</v>
      </c>
      <c r="AW115" s="111">
        <v>0</v>
      </c>
      <c r="AX115" s="111">
        <v>0</v>
      </c>
      <c r="AY115" s="111">
        <v>0</v>
      </c>
    </row>
    <row r="116" spans="1:52" x14ac:dyDescent="0.2">
      <c r="A116" s="114"/>
      <c r="B116" s="132">
        <v>8</v>
      </c>
      <c r="C116" s="111">
        <v>0</v>
      </c>
      <c r="D116" s="111">
        <v>0</v>
      </c>
      <c r="E116" s="111">
        <v>0</v>
      </c>
      <c r="F116" s="111">
        <v>0</v>
      </c>
      <c r="G116" s="111">
        <v>0</v>
      </c>
      <c r="H116" s="111">
        <v>0</v>
      </c>
      <c r="I116" s="111">
        <v>0</v>
      </c>
      <c r="J116" s="111">
        <v>0</v>
      </c>
      <c r="K116" s="111">
        <v>0</v>
      </c>
      <c r="L116" s="111">
        <v>0</v>
      </c>
      <c r="M116" s="111">
        <v>0</v>
      </c>
      <c r="N116" s="111">
        <v>0</v>
      </c>
      <c r="O116" s="111">
        <v>0</v>
      </c>
      <c r="P116" s="111">
        <v>0</v>
      </c>
      <c r="Q116" s="111">
        <v>0</v>
      </c>
      <c r="R116" s="111">
        <v>0</v>
      </c>
      <c r="S116" s="111">
        <v>0</v>
      </c>
      <c r="T116" s="111">
        <v>0</v>
      </c>
      <c r="U116" s="111">
        <v>0</v>
      </c>
      <c r="V116" s="111">
        <v>0</v>
      </c>
      <c r="W116" s="111">
        <v>0</v>
      </c>
      <c r="X116" s="111">
        <v>0</v>
      </c>
      <c r="Y116" s="111">
        <v>0</v>
      </c>
      <c r="Z116" s="111">
        <v>0</v>
      </c>
      <c r="AA116" s="111">
        <v>0</v>
      </c>
      <c r="AB116" s="111">
        <v>0</v>
      </c>
      <c r="AC116" s="111">
        <v>0</v>
      </c>
      <c r="AD116" s="111">
        <v>0</v>
      </c>
      <c r="AE116" s="111">
        <v>0</v>
      </c>
      <c r="AF116" s="111">
        <v>0</v>
      </c>
      <c r="AG116" s="111">
        <v>0</v>
      </c>
      <c r="AH116" s="111">
        <v>0</v>
      </c>
      <c r="AI116" s="111">
        <v>0</v>
      </c>
      <c r="AJ116" s="111">
        <v>0</v>
      </c>
      <c r="AK116" s="111">
        <v>0</v>
      </c>
      <c r="AL116" s="111">
        <v>0</v>
      </c>
      <c r="AM116" s="111">
        <v>0</v>
      </c>
      <c r="AN116" s="111">
        <v>0</v>
      </c>
      <c r="AO116" s="111">
        <v>0</v>
      </c>
      <c r="AP116" s="111">
        <v>0</v>
      </c>
      <c r="AQ116" s="111">
        <v>0</v>
      </c>
      <c r="AR116" s="111">
        <v>0</v>
      </c>
      <c r="AS116" s="111">
        <v>0</v>
      </c>
      <c r="AT116" s="111">
        <v>0</v>
      </c>
      <c r="AU116" s="111">
        <v>0</v>
      </c>
      <c r="AV116" s="111">
        <v>0</v>
      </c>
      <c r="AW116" s="111">
        <v>0</v>
      </c>
      <c r="AX116" s="111">
        <v>0</v>
      </c>
      <c r="AY116" s="111">
        <v>0</v>
      </c>
    </row>
    <row r="117" spans="1:52" x14ac:dyDescent="0.2">
      <c r="A117" s="114"/>
      <c r="B117" s="132">
        <v>9</v>
      </c>
      <c r="C117" s="111">
        <v>0</v>
      </c>
      <c r="D117" s="111">
        <v>0</v>
      </c>
      <c r="E117" s="111">
        <v>0</v>
      </c>
      <c r="F117" s="111">
        <v>0</v>
      </c>
      <c r="G117" s="111">
        <v>0</v>
      </c>
      <c r="H117" s="111">
        <v>0</v>
      </c>
      <c r="I117" s="111">
        <v>0</v>
      </c>
      <c r="J117" s="111">
        <v>0</v>
      </c>
      <c r="K117" s="111">
        <v>0</v>
      </c>
      <c r="L117" s="111">
        <v>0</v>
      </c>
      <c r="M117" s="111">
        <v>0</v>
      </c>
      <c r="N117" s="111">
        <v>0</v>
      </c>
      <c r="O117" s="111">
        <v>0</v>
      </c>
      <c r="P117" s="111">
        <v>0</v>
      </c>
      <c r="Q117" s="111">
        <v>0</v>
      </c>
      <c r="R117" s="111">
        <v>0</v>
      </c>
      <c r="S117" s="111">
        <v>0</v>
      </c>
      <c r="T117" s="111">
        <v>0</v>
      </c>
      <c r="U117" s="111">
        <v>0</v>
      </c>
      <c r="V117" s="111">
        <v>0</v>
      </c>
      <c r="W117" s="111">
        <v>0</v>
      </c>
      <c r="X117" s="111">
        <v>0</v>
      </c>
      <c r="Y117" s="111">
        <v>0</v>
      </c>
      <c r="Z117" s="111">
        <v>0</v>
      </c>
      <c r="AA117" s="111">
        <v>0</v>
      </c>
      <c r="AB117" s="111">
        <v>0</v>
      </c>
      <c r="AC117" s="111">
        <v>0</v>
      </c>
      <c r="AD117" s="111">
        <v>0</v>
      </c>
      <c r="AE117" s="111">
        <v>0</v>
      </c>
      <c r="AF117" s="111">
        <v>0</v>
      </c>
      <c r="AG117" s="111">
        <v>0</v>
      </c>
      <c r="AH117" s="111">
        <v>0</v>
      </c>
      <c r="AI117" s="111">
        <v>0</v>
      </c>
      <c r="AJ117" s="111">
        <v>0</v>
      </c>
      <c r="AK117" s="111">
        <v>0</v>
      </c>
      <c r="AL117" s="111">
        <v>0</v>
      </c>
      <c r="AM117" s="111">
        <v>0</v>
      </c>
      <c r="AN117" s="111">
        <v>0</v>
      </c>
      <c r="AO117" s="111">
        <v>0</v>
      </c>
      <c r="AP117" s="111">
        <v>0</v>
      </c>
      <c r="AQ117" s="111">
        <v>0</v>
      </c>
      <c r="AR117" s="111">
        <v>0</v>
      </c>
      <c r="AS117" s="111">
        <v>0</v>
      </c>
      <c r="AT117" s="111">
        <v>0</v>
      </c>
      <c r="AU117" s="111">
        <v>0</v>
      </c>
      <c r="AV117" s="111">
        <v>0</v>
      </c>
      <c r="AW117" s="111">
        <v>0</v>
      </c>
      <c r="AX117" s="111">
        <v>0</v>
      </c>
      <c r="AY117" s="111">
        <v>0</v>
      </c>
    </row>
    <row r="118" spans="1:52" x14ac:dyDescent="0.2">
      <c r="A118" s="114"/>
      <c r="B118" s="135">
        <v>10</v>
      </c>
      <c r="C118" s="111">
        <v>0</v>
      </c>
      <c r="D118" s="111">
        <v>0</v>
      </c>
      <c r="E118" s="111">
        <v>0</v>
      </c>
      <c r="F118" s="111">
        <v>0</v>
      </c>
      <c r="G118" s="111">
        <v>0</v>
      </c>
      <c r="H118" s="111">
        <v>0</v>
      </c>
      <c r="I118" s="111">
        <v>0</v>
      </c>
      <c r="J118" s="111">
        <v>0</v>
      </c>
      <c r="K118" s="111">
        <v>0</v>
      </c>
      <c r="L118" s="111">
        <v>0</v>
      </c>
      <c r="M118" s="111">
        <v>0</v>
      </c>
      <c r="N118" s="111">
        <v>0</v>
      </c>
      <c r="O118" s="111">
        <v>0</v>
      </c>
      <c r="P118" s="111">
        <v>0</v>
      </c>
      <c r="Q118" s="111">
        <v>0</v>
      </c>
      <c r="R118" s="111">
        <v>0</v>
      </c>
      <c r="S118" s="111">
        <v>0</v>
      </c>
      <c r="T118" s="111">
        <v>0</v>
      </c>
      <c r="U118" s="111">
        <v>0</v>
      </c>
      <c r="V118" s="111">
        <v>0</v>
      </c>
      <c r="W118" s="111">
        <v>0</v>
      </c>
      <c r="X118" s="111">
        <v>0</v>
      </c>
      <c r="Y118" s="111">
        <v>0</v>
      </c>
      <c r="Z118" s="111">
        <v>0</v>
      </c>
      <c r="AA118" s="111">
        <v>0</v>
      </c>
      <c r="AB118" s="111">
        <v>0</v>
      </c>
      <c r="AC118" s="111">
        <v>0</v>
      </c>
      <c r="AD118" s="111">
        <v>0</v>
      </c>
      <c r="AE118" s="111">
        <v>0</v>
      </c>
      <c r="AF118" s="111">
        <v>0</v>
      </c>
      <c r="AG118" s="111">
        <v>0</v>
      </c>
      <c r="AH118" s="111">
        <v>0</v>
      </c>
      <c r="AI118" s="111">
        <v>0</v>
      </c>
      <c r="AJ118" s="111">
        <v>0</v>
      </c>
      <c r="AK118" s="111">
        <v>0</v>
      </c>
      <c r="AL118" s="111">
        <v>0</v>
      </c>
      <c r="AM118" s="111">
        <v>0</v>
      </c>
      <c r="AN118" s="111">
        <v>0</v>
      </c>
      <c r="AO118" s="111">
        <v>0</v>
      </c>
      <c r="AP118" s="111">
        <v>0</v>
      </c>
      <c r="AQ118" s="111">
        <v>0</v>
      </c>
      <c r="AR118" s="111">
        <v>0</v>
      </c>
      <c r="AS118" s="111">
        <v>0</v>
      </c>
      <c r="AT118" s="111">
        <v>0</v>
      </c>
      <c r="AU118" s="111">
        <v>0</v>
      </c>
      <c r="AV118" s="111">
        <v>0</v>
      </c>
      <c r="AW118" s="111">
        <v>0</v>
      </c>
      <c r="AX118" s="111">
        <v>0</v>
      </c>
      <c r="AY118" s="111">
        <v>0</v>
      </c>
    </row>
    <row r="119" spans="1:52" x14ac:dyDescent="0.2">
      <c r="A119" s="114"/>
      <c r="B119" s="135">
        <v>11</v>
      </c>
      <c r="C119" s="111">
        <v>0</v>
      </c>
      <c r="D119" s="111">
        <v>0</v>
      </c>
      <c r="E119" s="111">
        <v>0</v>
      </c>
      <c r="F119" s="111">
        <v>0</v>
      </c>
      <c r="G119" s="111">
        <v>0</v>
      </c>
      <c r="H119" s="111">
        <v>0</v>
      </c>
      <c r="I119" s="111">
        <v>0</v>
      </c>
      <c r="J119" s="111">
        <v>0</v>
      </c>
      <c r="K119" s="111">
        <v>0</v>
      </c>
      <c r="L119" s="111">
        <v>0</v>
      </c>
      <c r="M119" s="111">
        <v>0</v>
      </c>
      <c r="N119" s="111">
        <v>0</v>
      </c>
      <c r="O119" s="111">
        <v>0</v>
      </c>
      <c r="P119" s="111">
        <v>0</v>
      </c>
      <c r="Q119" s="111">
        <v>0</v>
      </c>
      <c r="R119" s="111">
        <v>0</v>
      </c>
      <c r="S119" s="111">
        <v>0</v>
      </c>
      <c r="T119" s="111">
        <v>0</v>
      </c>
      <c r="U119" s="111">
        <v>0</v>
      </c>
      <c r="V119" s="111">
        <v>0</v>
      </c>
      <c r="W119" s="111">
        <v>0</v>
      </c>
      <c r="X119" s="111">
        <v>0</v>
      </c>
      <c r="Y119" s="111">
        <v>0</v>
      </c>
      <c r="Z119" s="111">
        <v>0</v>
      </c>
      <c r="AA119" s="111">
        <v>0</v>
      </c>
      <c r="AB119" s="111">
        <v>0</v>
      </c>
      <c r="AC119" s="111">
        <v>0</v>
      </c>
      <c r="AD119" s="111">
        <v>0</v>
      </c>
      <c r="AE119" s="111">
        <v>0</v>
      </c>
      <c r="AF119" s="111">
        <v>0</v>
      </c>
      <c r="AG119" s="111">
        <v>0</v>
      </c>
      <c r="AH119" s="111">
        <v>0</v>
      </c>
      <c r="AI119" s="111">
        <v>0</v>
      </c>
      <c r="AJ119" s="111">
        <v>0</v>
      </c>
      <c r="AK119" s="111">
        <v>0</v>
      </c>
      <c r="AL119" s="111">
        <v>0</v>
      </c>
      <c r="AM119" s="111">
        <v>0</v>
      </c>
      <c r="AN119" s="111">
        <v>0</v>
      </c>
      <c r="AO119" s="111">
        <v>0</v>
      </c>
      <c r="AP119" s="111">
        <v>0</v>
      </c>
      <c r="AQ119" s="111">
        <v>0</v>
      </c>
      <c r="AR119" s="111">
        <v>0</v>
      </c>
      <c r="AS119" s="111">
        <v>0</v>
      </c>
      <c r="AT119" s="111">
        <v>0</v>
      </c>
      <c r="AU119" s="111">
        <v>0</v>
      </c>
      <c r="AV119" s="111">
        <v>0</v>
      </c>
      <c r="AW119" s="111">
        <v>0</v>
      </c>
      <c r="AX119" s="111">
        <v>0</v>
      </c>
      <c r="AY119" s="111">
        <v>0</v>
      </c>
    </row>
    <row r="120" spans="1:52" x14ac:dyDescent="0.2">
      <c r="A120" s="114"/>
      <c r="B120" s="135">
        <v>12</v>
      </c>
      <c r="C120" s="111">
        <v>0</v>
      </c>
      <c r="D120" s="111">
        <v>0</v>
      </c>
      <c r="E120" s="111">
        <v>0</v>
      </c>
      <c r="F120" s="111">
        <v>0</v>
      </c>
      <c r="G120" s="111">
        <v>0</v>
      </c>
      <c r="H120" s="111">
        <v>0</v>
      </c>
      <c r="I120" s="111">
        <v>0</v>
      </c>
      <c r="J120" s="111">
        <v>0</v>
      </c>
      <c r="K120" s="111">
        <v>0</v>
      </c>
      <c r="L120" s="111">
        <v>0</v>
      </c>
      <c r="M120" s="111">
        <v>0</v>
      </c>
      <c r="N120" s="111">
        <v>0</v>
      </c>
      <c r="O120" s="111">
        <v>0</v>
      </c>
      <c r="P120" s="111">
        <v>0</v>
      </c>
      <c r="Q120" s="111">
        <v>0</v>
      </c>
      <c r="R120" s="111">
        <v>0</v>
      </c>
      <c r="S120" s="111">
        <v>0</v>
      </c>
      <c r="T120" s="111">
        <v>0</v>
      </c>
      <c r="U120" s="111">
        <v>0</v>
      </c>
      <c r="V120" s="111">
        <v>0</v>
      </c>
      <c r="W120" s="111">
        <v>0</v>
      </c>
      <c r="X120" s="111">
        <v>0</v>
      </c>
      <c r="Y120" s="111">
        <v>0</v>
      </c>
      <c r="Z120" s="111">
        <v>0</v>
      </c>
      <c r="AA120" s="111">
        <v>0</v>
      </c>
      <c r="AB120" s="111">
        <v>0</v>
      </c>
      <c r="AC120" s="111">
        <v>0</v>
      </c>
      <c r="AD120" s="111">
        <v>0</v>
      </c>
      <c r="AE120" s="111">
        <v>0</v>
      </c>
      <c r="AF120" s="111">
        <v>0</v>
      </c>
      <c r="AG120" s="111">
        <v>0</v>
      </c>
      <c r="AH120" s="111">
        <v>0</v>
      </c>
      <c r="AI120" s="111">
        <v>0</v>
      </c>
      <c r="AJ120" s="111">
        <v>0</v>
      </c>
      <c r="AK120" s="111">
        <v>0</v>
      </c>
      <c r="AL120" s="111">
        <v>0</v>
      </c>
      <c r="AM120" s="111">
        <v>0</v>
      </c>
      <c r="AN120" s="111">
        <v>0</v>
      </c>
      <c r="AO120" s="111">
        <v>0</v>
      </c>
      <c r="AP120" s="111">
        <v>0</v>
      </c>
      <c r="AQ120" s="111">
        <v>0</v>
      </c>
      <c r="AR120" s="111">
        <v>0</v>
      </c>
      <c r="AS120" s="111">
        <v>0</v>
      </c>
      <c r="AT120" s="111">
        <v>0</v>
      </c>
      <c r="AU120" s="111">
        <v>0</v>
      </c>
      <c r="AV120" s="111">
        <v>0</v>
      </c>
      <c r="AW120" s="111">
        <v>0</v>
      </c>
      <c r="AX120" s="111">
        <v>0</v>
      </c>
      <c r="AY120" s="111">
        <v>0</v>
      </c>
    </row>
    <row r="121" spans="1:52" x14ac:dyDescent="0.2">
      <c r="A121" s="133"/>
      <c r="B121" s="137" t="s">
        <v>296</v>
      </c>
      <c r="C121" s="119">
        <v>0</v>
      </c>
      <c r="D121" s="130">
        <v>0</v>
      </c>
      <c r="E121" s="130">
        <v>0</v>
      </c>
      <c r="F121" s="130">
        <v>0</v>
      </c>
      <c r="G121" s="130">
        <v>0</v>
      </c>
      <c r="H121" s="130">
        <v>0</v>
      </c>
      <c r="I121" s="130">
        <v>0</v>
      </c>
      <c r="J121" s="130">
        <v>0</v>
      </c>
      <c r="K121" s="130">
        <v>0</v>
      </c>
      <c r="L121" s="130">
        <v>0</v>
      </c>
      <c r="M121" s="130">
        <v>0</v>
      </c>
      <c r="N121" s="130">
        <v>0</v>
      </c>
      <c r="O121" s="130">
        <v>0</v>
      </c>
      <c r="P121" s="130">
        <v>0</v>
      </c>
      <c r="Q121" s="130">
        <v>0</v>
      </c>
      <c r="R121" s="130">
        <v>0</v>
      </c>
      <c r="S121" s="130">
        <v>0</v>
      </c>
      <c r="T121" s="130">
        <v>0</v>
      </c>
      <c r="U121" s="130">
        <v>0</v>
      </c>
      <c r="V121" s="130">
        <v>0</v>
      </c>
      <c r="W121" s="130">
        <v>0</v>
      </c>
      <c r="X121" s="130">
        <v>0</v>
      </c>
      <c r="Y121" s="130">
        <v>0</v>
      </c>
      <c r="Z121" s="130">
        <v>0</v>
      </c>
      <c r="AA121" s="130">
        <v>0</v>
      </c>
      <c r="AB121" s="130">
        <v>0</v>
      </c>
      <c r="AC121" s="130">
        <v>0</v>
      </c>
      <c r="AD121" s="130">
        <v>0</v>
      </c>
      <c r="AE121" s="130">
        <v>0</v>
      </c>
      <c r="AF121" s="130">
        <v>0</v>
      </c>
      <c r="AG121" s="130">
        <v>0</v>
      </c>
      <c r="AH121" s="130">
        <v>0</v>
      </c>
      <c r="AI121" s="130">
        <v>0</v>
      </c>
      <c r="AJ121" s="130">
        <v>0</v>
      </c>
      <c r="AK121" s="130">
        <v>0</v>
      </c>
      <c r="AL121" s="130">
        <v>0</v>
      </c>
      <c r="AM121" s="130">
        <v>0</v>
      </c>
      <c r="AN121" s="130">
        <v>0</v>
      </c>
      <c r="AO121" s="130">
        <v>0</v>
      </c>
      <c r="AP121" s="130">
        <v>0</v>
      </c>
      <c r="AQ121" s="130">
        <v>0</v>
      </c>
      <c r="AR121" s="130">
        <v>0</v>
      </c>
      <c r="AS121" s="130">
        <v>0</v>
      </c>
      <c r="AT121" s="130">
        <v>0</v>
      </c>
      <c r="AU121" s="130">
        <v>0</v>
      </c>
      <c r="AV121" s="130">
        <v>0</v>
      </c>
      <c r="AW121" s="130">
        <v>0</v>
      </c>
      <c r="AX121" s="130">
        <v>0</v>
      </c>
      <c r="AY121" s="130">
        <v>0</v>
      </c>
      <c r="AZ121" s="112">
        <f>SUM($D121:$AY121)</f>
        <v>0</v>
      </c>
    </row>
    <row r="122" spans="1:52" x14ac:dyDescent="0.2">
      <c r="A122" s="136" t="s">
        <v>123</v>
      </c>
      <c r="B122" s="124">
        <v>1</v>
      </c>
      <c r="C122" s="111">
        <v>1570.4259423702488</v>
      </c>
      <c r="D122" s="111">
        <v>278.97645275391636</v>
      </c>
      <c r="E122" s="111">
        <v>294.2821375582011</v>
      </c>
      <c r="F122" s="111">
        <v>0</v>
      </c>
      <c r="G122" s="111">
        <v>0</v>
      </c>
      <c r="H122" s="111">
        <v>1806.8601454545455</v>
      </c>
      <c r="I122" s="111">
        <v>1806.8601454545455</v>
      </c>
      <c r="J122" s="111">
        <v>1952.7535027643935</v>
      </c>
      <c r="K122" s="111">
        <v>1952.7535027643935</v>
      </c>
      <c r="L122" s="111">
        <v>1952.7535027643935</v>
      </c>
      <c r="M122" s="111">
        <v>1806.8601454545455</v>
      </c>
      <c r="N122" s="111">
        <v>2098.6468600742414</v>
      </c>
      <c r="O122" s="111">
        <v>1952.7535027643935</v>
      </c>
      <c r="P122" s="111">
        <v>1952.7535027643935</v>
      </c>
      <c r="Q122" s="111">
        <v>1952.7535027643935</v>
      </c>
      <c r="R122" s="111">
        <v>1952.7535027643935</v>
      </c>
      <c r="S122" s="111">
        <v>1952.7535027643935</v>
      </c>
      <c r="T122" s="111">
        <v>1952.7535027643935</v>
      </c>
      <c r="U122" s="111">
        <v>1952.7535027643935</v>
      </c>
      <c r="V122" s="111">
        <v>1952.7535027643935</v>
      </c>
      <c r="W122" s="111">
        <v>1952.7535027643935</v>
      </c>
      <c r="X122" s="111">
        <v>1952.7535027643935</v>
      </c>
      <c r="Y122" s="111">
        <v>1952.7535027643935</v>
      </c>
      <c r="Z122" s="111">
        <v>1952.7535027643935</v>
      </c>
      <c r="AA122" s="111">
        <v>1952.7535027643935</v>
      </c>
      <c r="AB122" s="111">
        <v>1952.7535027643935</v>
      </c>
      <c r="AC122" s="111">
        <v>1952.7535027643935</v>
      </c>
      <c r="AD122" s="111">
        <v>1952.7535027643935</v>
      </c>
      <c r="AE122" s="111">
        <v>1952.7535027643935</v>
      </c>
      <c r="AF122" s="111">
        <v>1806.8601454545455</v>
      </c>
      <c r="AG122" s="111">
        <v>2098.6468600742414</v>
      </c>
      <c r="AH122" s="111">
        <v>1952.7535027643935</v>
      </c>
      <c r="AI122" s="111">
        <v>1952.7535027643935</v>
      </c>
      <c r="AJ122" s="111">
        <v>1952.7535027643935</v>
      </c>
      <c r="AK122" s="111">
        <v>1952.7535027643935</v>
      </c>
      <c r="AL122" s="111">
        <v>1952.7535027643935</v>
      </c>
      <c r="AM122" s="111">
        <v>1952.7535027643935</v>
      </c>
      <c r="AN122" s="111">
        <v>1952.7535027643935</v>
      </c>
      <c r="AO122" s="111">
        <v>1952.7535027643935</v>
      </c>
      <c r="AP122" s="111">
        <v>1952.7535027643935</v>
      </c>
      <c r="AQ122" s="111">
        <v>1952.7535027643935</v>
      </c>
      <c r="AR122" s="111">
        <v>1952.7535027643935</v>
      </c>
      <c r="AS122" s="111">
        <v>1952.7535027643935</v>
      </c>
      <c r="AT122" s="111">
        <v>1806.8601454545455</v>
      </c>
      <c r="AU122" s="111">
        <v>2098.6468600742414</v>
      </c>
      <c r="AV122" s="111">
        <v>1952.7535027643935</v>
      </c>
      <c r="AW122" s="111">
        <v>1952.7535027643935</v>
      </c>
      <c r="AX122" s="111">
        <v>1952.7535027643935</v>
      </c>
      <c r="AY122" s="111">
        <v>1952.7535027643935</v>
      </c>
    </row>
    <row r="123" spans="1:52" x14ac:dyDescent="0.2">
      <c r="A123" s="114"/>
      <c r="B123" s="124">
        <v>2</v>
      </c>
      <c r="C123" s="111">
        <v>0</v>
      </c>
      <c r="D123" s="111">
        <v>0</v>
      </c>
      <c r="E123" s="111">
        <v>0</v>
      </c>
      <c r="F123" s="111">
        <v>0</v>
      </c>
      <c r="G123" s="111">
        <v>0</v>
      </c>
      <c r="H123" s="111">
        <v>0</v>
      </c>
      <c r="I123" s="111">
        <v>0</v>
      </c>
      <c r="J123" s="111">
        <v>0</v>
      </c>
      <c r="K123" s="111">
        <v>0</v>
      </c>
      <c r="L123" s="111">
        <v>0</v>
      </c>
      <c r="M123" s="111">
        <v>0</v>
      </c>
      <c r="N123" s="111">
        <v>0</v>
      </c>
      <c r="O123" s="111">
        <v>0</v>
      </c>
      <c r="P123" s="111">
        <v>0</v>
      </c>
      <c r="Q123" s="111">
        <v>0</v>
      </c>
      <c r="R123" s="111">
        <v>0</v>
      </c>
      <c r="S123" s="111">
        <v>0</v>
      </c>
      <c r="T123" s="111">
        <v>0</v>
      </c>
      <c r="U123" s="111">
        <v>58.589547091294207</v>
      </c>
      <c r="V123" s="111">
        <v>54.99528815629742</v>
      </c>
      <c r="W123" s="111">
        <v>0</v>
      </c>
      <c r="X123" s="111">
        <v>0</v>
      </c>
      <c r="Y123" s="111">
        <v>0</v>
      </c>
      <c r="Z123" s="111">
        <v>127.73147481300498</v>
      </c>
      <c r="AA123" s="111">
        <v>42.363070418725329</v>
      </c>
      <c r="AB123" s="111">
        <v>0</v>
      </c>
      <c r="AC123" s="111">
        <v>120.80023215441247</v>
      </c>
      <c r="AD123" s="111">
        <v>0</v>
      </c>
      <c r="AE123" s="111">
        <v>102.23561646283497</v>
      </c>
      <c r="AF123" s="111">
        <v>0</v>
      </c>
      <c r="AG123" s="111">
        <v>0</v>
      </c>
      <c r="AH123" s="111">
        <v>0</v>
      </c>
      <c r="AI123" s="111">
        <v>0</v>
      </c>
      <c r="AJ123" s="111">
        <v>0</v>
      </c>
      <c r="AK123" s="111">
        <v>0</v>
      </c>
      <c r="AL123" s="111">
        <v>101.25151811423166</v>
      </c>
      <c r="AM123" s="111">
        <v>2.2737367544323206E-13</v>
      </c>
      <c r="AN123" s="111">
        <v>51.608419129893491</v>
      </c>
      <c r="AO123" s="111">
        <v>0</v>
      </c>
      <c r="AP123" s="111">
        <v>0</v>
      </c>
      <c r="AQ123" s="111">
        <v>0</v>
      </c>
      <c r="AR123" s="111">
        <v>0</v>
      </c>
      <c r="AS123" s="111">
        <v>0</v>
      </c>
      <c r="AT123" s="111">
        <v>227.03136568488935</v>
      </c>
      <c r="AU123" s="111">
        <v>0</v>
      </c>
      <c r="AV123" s="111">
        <v>90.477718960487664</v>
      </c>
      <c r="AW123" s="111">
        <v>0</v>
      </c>
      <c r="AX123" s="111">
        <v>0</v>
      </c>
      <c r="AY123" s="111">
        <v>0</v>
      </c>
    </row>
    <row r="124" spans="1:52" x14ac:dyDescent="0.2">
      <c r="A124" s="114"/>
      <c r="B124" s="124">
        <v>3</v>
      </c>
      <c r="C124" s="111">
        <v>0</v>
      </c>
      <c r="D124" s="111">
        <v>0</v>
      </c>
      <c r="E124" s="111">
        <v>0</v>
      </c>
      <c r="F124" s="111">
        <v>0</v>
      </c>
      <c r="G124" s="111">
        <v>0</v>
      </c>
      <c r="H124" s="111">
        <v>0</v>
      </c>
      <c r="I124" s="111">
        <v>0</v>
      </c>
      <c r="J124" s="111">
        <v>0</v>
      </c>
      <c r="K124" s="111">
        <v>0</v>
      </c>
      <c r="L124" s="111">
        <v>0</v>
      </c>
      <c r="M124" s="111">
        <v>0</v>
      </c>
      <c r="N124" s="111">
        <v>0</v>
      </c>
      <c r="O124" s="111">
        <v>0</v>
      </c>
      <c r="P124" s="111">
        <v>0</v>
      </c>
      <c r="Q124" s="111">
        <v>0</v>
      </c>
      <c r="R124" s="111">
        <v>0</v>
      </c>
      <c r="S124" s="111">
        <v>0</v>
      </c>
      <c r="T124" s="111">
        <v>0</v>
      </c>
      <c r="U124" s="111">
        <v>0</v>
      </c>
      <c r="V124" s="111">
        <v>0</v>
      </c>
      <c r="W124" s="111">
        <v>0</v>
      </c>
      <c r="X124" s="111">
        <v>0</v>
      </c>
      <c r="Y124" s="111">
        <v>0</v>
      </c>
      <c r="Z124" s="111">
        <v>0</v>
      </c>
      <c r="AA124" s="111">
        <v>0</v>
      </c>
      <c r="AB124" s="111">
        <v>0</v>
      </c>
      <c r="AC124" s="111">
        <v>0</v>
      </c>
      <c r="AD124" s="111">
        <v>0</v>
      </c>
      <c r="AE124" s="111">
        <v>0</v>
      </c>
      <c r="AF124" s="111">
        <v>0</v>
      </c>
      <c r="AG124" s="111">
        <v>0</v>
      </c>
      <c r="AH124" s="111">
        <v>0</v>
      </c>
      <c r="AI124" s="111">
        <v>0</v>
      </c>
      <c r="AJ124" s="111">
        <v>0</v>
      </c>
      <c r="AK124" s="111">
        <v>0</v>
      </c>
      <c r="AL124" s="111">
        <v>0</v>
      </c>
      <c r="AM124" s="111">
        <v>0</v>
      </c>
      <c r="AN124" s="111">
        <v>0</v>
      </c>
      <c r="AO124" s="111">
        <v>0</v>
      </c>
      <c r="AP124" s="111">
        <v>0</v>
      </c>
      <c r="AQ124" s="111">
        <v>0</v>
      </c>
      <c r="AR124" s="111">
        <v>0</v>
      </c>
      <c r="AS124" s="111">
        <v>0</v>
      </c>
      <c r="AT124" s="111">
        <v>0</v>
      </c>
      <c r="AU124" s="111">
        <v>0</v>
      </c>
      <c r="AV124" s="111">
        <v>0</v>
      </c>
      <c r="AW124" s="111">
        <v>0</v>
      </c>
      <c r="AX124" s="111">
        <v>0</v>
      </c>
      <c r="AY124" s="111">
        <v>0</v>
      </c>
    </row>
    <row r="125" spans="1:52" x14ac:dyDescent="0.2">
      <c r="A125" s="114"/>
      <c r="B125" s="124">
        <v>4</v>
      </c>
      <c r="C125" s="111">
        <v>0</v>
      </c>
      <c r="D125" s="111">
        <v>0</v>
      </c>
      <c r="E125" s="111">
        <v>0</v>
      </c>
      <c r="F125" s="111">
        <v>0</v>
      </c>
      <c r="G125" s="111">
        <v>0</v>
      </c>
      <c r="H125" s="111">
        <v>0</v>
      </c>
      <c r="I125" s="111">
        <v>0</v>
      </c>
      <c r="J125" s="111">
        <v>0</v>
      </c>
      <c r="K125" s="111">
        <v>0</v>
      </c>
      <c r="L125" s="111">
        <v>0</v>
      </c>
      <c r="M125" s="111">
        <v>0</v>
      </c>
      <c r="N125" s="111">
        <v>0</v>
      </c>
      <c r="O125" s="111">
        <v>0</v>
      </c>
      <c r="P125" s="111">
        <v>0</v>
      </c>
      <c r="Q125" s="111">
        <v>0</v>
      </c>
      <c r="R125" s="111">
        <v>0</v>
      </c>
      <c r="S125" s="111">
        <v>0</v>
      </c>
      <c r="T125" s="111">
        <v>0</v>
      </c>
      <c r="U125" s="111">
        <v>0</v>
      </c>
      <c r="V125" s="111">
        <v>0</v>
      </c>
      <c r="W125" s="111">
        <v>0</v>
      </c>
      <c r="X125" s="111">
        <v>0</v>
      </c>
      <c r="Y125" s="111">
        <v>0</v>
      </c>
      <c r="Z125" s="111">
        <v>0</v>
      </c>
      <c r="AA125" s="111">
        <v>0</v>
      </c>
      <c r="AB125" s="111">
        <v>0</v>
      </c>
      <c r="AC125" s="111">
        <v>0</v>
      </c>
      <c r="AD125" s="111">
        <v>0</v>
      </c>
      <c r="AE125" s="111">
        <v>0</v>
      </c>
      <c r="AF125" s="111">
        <v>0</v>
      </c>
      <c r="AG125" s="111">
        <v>0</v>
      </c>
      <c r="AH125" s="111">
        <v>0</v>
      </c>
      <c r="AI125" s="111">
        <v>0</v>
      </c>
      <c r="AJ125" s="111">
        <v>0</v>
      </c>
      <c r="AK125" s="111">
        <v>0</v>
      </c>
      <c r="AL125" s="111">
        <v>0</v>
      </c>
      <c r="AM125" s="111">
        <v>0</v>
      </c>
      <c r="AN125" s="111">
        <v>0</v>
      </c>
      <c r="AO125" s="111">
        <v>0</v>
      </c>
      <c r="AP125" s="111">
        <v>0</v>
      </c>
      <c r="AQ125" s="111">
        <v>0</v>
      </c>
      <c r="AR125" s="111">
        <v>0</v>
      </c>
      <c r="AS125" s="111">
        <v>0</v>
      </c>
      <c r="AT125" s="111">
        <v>0</v>
      </c>
      <c r="AU125" s="111">
        <v>0</v>
      </c>
      <c r="AV125" s="111">
        <v>0</v>
      </c>
      <c r="AW125" s="111">
        <v>0</v>
      </c>
      <c r="AX125" s="111">
        <v>0</v>
      </c>
      <c r="AY125" s="111">
        <v>0</v>
      </c>
    </row>
    <row r="126" spans="1:52" x14ac:dyDescent="0.2">
      <c r="A126" s="114"/>
      <c r="B126" s="124">
        <v>5</v>
      </c>
      <c r="C126" s="111">
        <v>0</v>
      </c>
      <c r="D126" s="111">
        <v>0</v>
      </c>
      <c r="E126" s="111">
        <v>0</v>
      </c>
      <c r="F126" s="111">
        <v>0</v>
      </c>
      <c r="G126" s="111">
        <v>0</v>
      </c>
      <c r="H126" s="111">
        <v>0</v>
      </c>
      <c r="I126" s="111">
        <v>0</v>
      </c>
      <c r="J126" s="111">
        <v>0</v>
      </c>
      <c r="K126" s="111">
        <v>0</v>
      </c>
      <c r="L126" s="111">
        <v>0</v>
      </c>
      <c r="M126" s="111">
        <v>0</v>
      </c>
      <c r="N126" s="111">
        <v>0</v>
      </c>
      <c r="O126" s="111">
        <v>0</v>
      </c>
      <c r="P126" s="111">
        <v>0</v>
      </c>
      <c r="Q126" s="111">
        <v>0</v>
      </c>
      <c r="R126" s="111">
        <v>0</v>
      </c>
      <c r="S126" s="111">
        <v>0</v>
      </c>
      <c r="T126" s="111">
        <v>0</v>
      </c>
      <c r="U126" s="111">
        <v>0</v>
      </c>
      <c r="V126" s="111">
        <v>0</v>
      </c>
      <c r="W126" s="111">
        <v>0</v>
      </c>
      <c r="X126" s="111">
        <v>0</v>
      </c>
      <c r="Y126" s="111">
        <v>0</v>
      </c>
      <c r="Z126" s="111">
        <v>0</v>
      </c>
      <c r="AA126" s="111">
        <v>0</v>
      </c>
      <c r="AB126" s="111">
        <v>0</v>
      </c>
      <c r="AC126" s="111">
        <v>0</v>
      </c>
      <c r="AD126" s="111">
        <v>0</v>
      </c>
      <c r="AE126" s="111">
        <v>0</v>
      </c>
      <c r="AF126" s="111">
        <v>0</v>
      </c>
      <c r="AG126" s="111">
        <v>0</v>
      </c>
      <c r="AH126" s="111">
        <v>0</v>
      </c>
      <c r="AI126" s="111">
        <v>0</v>
      </c>
      <c r="AJ126" s="111">
        <v>0</v>
      </c>
      <c r="AK126" s="111">
        <v>0</v>
      </c>
      <c r="AL126" s="111">
        <v>0</v>
      </c>
      <c r="AM126" s="111">
        <v>0</v>
      </c>
      <c r="AN126" s="111">
        <v>0</v>
      </c>
      <c r="AO126" s="111">
        <v>0</v>
      </c>
      <c r="AP126" s="111">
        <v>0</v>
      </c>
      <c r="AQ126" s="111">
        <v>0</v>
      </c>
      <c r="AR126" s="111">
        <v>0</v>
      </c>
      <c r="AS126" s="111">
        <v>0</v>
      </c>
      <c r="AT126" s="111">
        <v>0</v>
      </c>
      <c r="AU126" s="111">
        <v>0</v>
      </c>
      <c r="AV126" s="111">
        <v>0</v>
      </c>
      <c r="AW126" s="111">
        <v>0</v>
      </c>
      <c r="AX126" s="111">
        <v>0</v>
      </c>
      <c r="AY126" s="111">
        <v>0</v>
      </c>
    </row>
    <row r="127" spans="1:52" x14ac:dyDescent="0.2">
      <c r="A127" s="114"/>
      <c r="B127" s="124">
        <v>6</v>
      </c>
      <c r="C127" s="111">
        <v>0</v>
      </c>
      <c r="D127" s="111">
        <v>0</v>
      </c>
      <c r="E127" s="111">
        <v>0</v>
      </c>
      <c r="F127" s="111">
        <v>0</v>
      </c>
      <c r="G127" s="111">
        <v>0</v>
      </c>
      <c r="H127" s="111">
        <v>0</v>
      </c>
      <c r="I127" s="111">
        <v>0</v>
      </c>
      <c r="J127" s="111">
        <v>0</v>
      </c>
      <c r="K127" s="111">
        <v>0</v>
      </c>
      <c r="L127" s="111">
        <v>0</v>
      </c>
      <c r="M127" s="111">
        <v>0</v>
      </c>
      <c r="N127" s="111">
        <v>0</v>
      </c>
      <c r="O127" s="111">
        <v>0</v>
      </c>
      <c r="P127" s="111">
        <v>0</v>
      </c>
      <c r="Q127" s="111">
        <v>0</v>
      </c>
      <c r="R127" s="111">
        <v>0</v>
      </c>
      <c r="S127" s="111">
        <v>0</v>
      </c>
      <c r="T127" s="111">
        <v>0</v>
      </c>
      <c r="U127" s="111">
        <v>0</v>
      </c>
      <c r="V127" s="111">
        <v>0</v>
      </c>
      <c r="W127" s="111">
        <v>0</v>
      </c>
      <c r="X127" s="111">
        <v>0</v>
      </c>
      <c r="Y127" s="111">
        <v>0</v>
      </c>
      <c r="Z127" s="111">
        <v>0</v>
      </c>
      <c r="AA127" s="111">
        <v>0</v>
      </c>
      <c r="AB127" s="111">
        <v>0</v>
      </c>
      <c r="AC127" s="111">
        <v>0</v>
      </c>
      <c r="AD127" s="111">
        <v>0</v>
      </c>
      <c r="AE127" s="111">
        <v>0</v>
      </c>
      <c r="AF127" s="111">
        <v>0</v>
      </c>
      <c r="AG127" s="111">
        <v>0</v>
      </c>
      <c r="AH127" s="111">
        <v>0</v>
      </c>
      <c r="AI127" s="111">
        <v>0</v>
      </c>
      <c r="AJ127" s="111">
        <v>0</v>
      </c>
      <c r="AK127" s="111">
        <v>0</v>
      </c>
      <c r="AL127" s="111">
        <v>0</v>
      </c>
      <c r="AM127" s="111">
        <v>0</v>
      </c>
      <c r="AN127" s="111">
        <v>0</v>
      </c>
      <c r="AO127" s="111">
        <v>0</v>
      </c>
      <c r="AP127" s="111">
        <v>0</v>
      </c>
      <c r="AQ127" s="111">
        <v>0</v>
      </c>
      <c r="AR127" s="111">
        <v>0</v>
      </c>
      <c r="AS127" s="111">
        <v>0</v>
      </c>
      <c r="AT127" s="111">
        <v>0</v>
      </c>
      <c r="AU127" s="111">
        <v>0</v>
      </c>
      <c r="AV127" s="111">
        <v>0</v>
      </c>
      <c r="AW127" s="111">
        <v>0</v>
      </c>
      <c r="AX127" s="111">
        <v>0</v>
      </c>
      <c r="AY127" s="111">
        <v>0</v>
      </c>
    </row>
    <row r="128" spans="1:52" x14ac:dyDescent="0.2">
      <c r="A128" s="114"/>
      <c r="B128" s="124">
        <v>7</v>
      </c>
      <c r="C128" s="111">
        <v>0</v>
      </c>
      <c r="D128" s="111">
        <v>0</v>
      </c>
      <c r="E128" s="111">
        <v>0</v>
      </c>
      <c r="F128" s="111">
        <v>0</v>
      </c>
      <c r="G128" s="111">
        <v>0</v>
      </c>
      <c r="H128" s="111">
        <v>0</v>
      </c>
      <c r="I128" s="111">
        <v>0</v>
      </c>
      <c r="J128" s="111">
        <v>0</v>
      </c>
      <c r="K128" s="111">
        <v>0</v>
      </c>
      <c r="L128" s="111">
        <v>0</v>
      </c>
      <c r="M128" s="111">
        <v>0</v>
      </c>
      <c r="N128" s="111">
        <v>0</v>
      </c>
      <c r="O128" s="111">
        <v>0</v>
      </c>
      <c r="P128" s="111">
        <v>0</v>
      </c>
      <c r="Q128" s="111">
        <v>0</v>
      </c>
      <c r="R128" s="111">
        <v>0</v>
      </c>
      <c r="S128" s="111">
        <v>0</v>
      </c>
      <c r="T128" s="111">
        <v>0</v>
      </c>
      <c r="U128" s="111">
        <v>0</v>
      </c>
      <c r="V128" s="111">
        <v>0</v>
      </c>
      <c r="W128" s="111">
        <v>0</v>
      </c>
      <c r="X128" s="111">
        <v>0</v>
      </c>
      <c r="Y128" s="111">
        <v>0</v>
      </c>
      <c r="Z128" s="111">
        <v>0</v>
      </c>
      <c r="AA128" s="111">
        <v>0</v>
      </c>
      <c r="AB128" s="111">
        <v>0</v>
      </c>
      <c r="AC128" s="111">
        <v>0</v>
      </c>
      <c r="AD128" s="111">
        <v>0</v>
      </c>
      <c r="AE128" s="111">
        <v>0</v>
      </c>
      <c r="AF128" s="111">
        <v>0</v>
      </c>
      <c r="AG128" s="111">
        <v>0</v>
      </c>
      <c r="AH128" s="111">
        <v>0</v>
      </c>
      <c r="AI128" s="111">
        <v>0</v>
      </c>
      <c r="AJ128" s="111">
        <v>0</v>
      </c>
      <c r="AK128" s="111">
        <v>0</v>
      </c>
      <c r="AL128" s="111">
        <v>0</v>
      </c>
      <c r="AM128" s="111">
        <v>0</v>
      </c>
      <c r="AN128" s="111">
        <v>0</v>
      </c>
      <c r="AO128" s="111">
        <v>0</v>
      </c>
      <c r="AP128" s="111">
        <v>0</v>
      </c>
      <c r="AQ128" s="111">
        <v>0</v>
      </c>
      <c r="AR128" s="111">
        <v>0</v>
      </c>
      <c r="AS128" s="111">
        <v>0</v>
      </c>
      <c r="AT128" s="111">
        <v>0</v>
      </c>
      <c r="AU128" s="111">
        <v>0</v>
      </c>
      <c r="AV128" s="111">
        <v>0</v>
      </c>
      <c r="AW128" s="111">
        <v>0</v>
      </c>
      <c r="AX128" s="111">
        <v>0</v>
      </c>
      <c r="AY128" s="111">
        <v>0</v>
      </c>
    </row>
    <row r="129" spans="1:51" x14ac:dyDescent="0.2">
      <c r="A129" s="114"/>
      <c r="B129" s="124">
        <v>8</v>
      </c>
      <c r="C129" s="111">
        <v>0</v>
      </c>
      <c r="D129" s="111">
        <v>0</v>
      </c>
      <c r="E129" s="111">
        <v>0</v>
      </c>
      <c r="F129" s="111">
        <v>0</v>
      </c>
      <c r="G129" s="111">
        <v>0</v>
      </c>
      <c r="H129" s="111">
        <v>0</v>
      </c>
      <c r="I129" s="111">
        <v>0</v>
      </c>
      <c r="J129" s="111">
        <v>0</v>
      </c>
      <c r="K129" s="111">
        <v>0</v>
      </c>
      <c r="L129" s="111">
        <v>0</v>
      </c>
      <c r="M129" s="111">
        <v>0</v>
      </c>
      <c r="N129" s="111">
        <v>0</v>
      </c>
      <c r="O129" s="111">
        <v>0</v>
      </c>
      <c r="P129" s="111">
        <v>0</v>
      </c>
      <c r="Q129" s="111">
        <v>0</v>
      </c>
      <c r="R129" s="111">
        <v>0</v>
      </c>
      <c r="S129" s="111">
        <v>0</v>
      </c>
      <c r="T129" s="111">
        <v>0</v>
      </c>
      <c r="U129" s="111">
        <v>0</v>
      </c>
      <c r="V129" s="111">
        <v>0</v>
      </c>
      <c r="W129" s="111">
        <v>0</v>
      </c>
      <c r="X129" s="111">
        <v>0</v>
      </c>
      <c r="Y129" s="111">
        <v>0</v>
      </c>
      <c r="Z129" s="111">
        <v>0</v>
      </c>
      <c r="AA129" s="111">
        <v>0</v>
      </c>
      <c r="AB129" s="111">
        <v>0</v>
      </c>
      <c r="AC129" s="111">
        <v>0</v>
      </c>
      <c r="AD129" s="111">
        <v>0</v>
      </c>
      <c r="AE129" s="111">
        <v>0</v>
      </c>
      <c r="AF129" s="111">
        <v>0</v>
      </c>
      <c r="AG129" s="111">
        <v>0</v>
      </c>
      <c r="AH129" s="111">
        <v>0</v>
      </c>
      <c r="AI129" s="111">
        <v>0</v>
      </c>
      <c r="AJ129" s="111">
        <v>0</v>
      </c>
      <c r="AK129" s="111">
        <v>0</v>
      </c>
      <c r="AL129" s="111">
        <v>0</v>
      </c>
      <c r="AM129" s="111">
        <v>0</v>
      </c>
      <c r="AN129" s="111">
        <v>0</v>
      </c>
      <c r="AO129" s="111">
        <v>0</v>
      </c>
      <c r="AP129" s="111">
        <v>0</v>
      </c>
      <c r="AQ129" s="111">
        <v>0</v>
      </c>
      <c r="AR129" s="111">
        <v>0</v>
      </c>
      <c r="AS129" s="111">
        <v>0</v>
      </c>
      <c r="AT129" s="111">
        <v>0</v>
      </c>
      <c r="AU129" s="111">
        <v>0</v>
      </c>
      <c r="AV129" s="111">
        <v>0</v>
      </c>
      <c r="AW129" s="111">
        <v>0</v>
      </c>
      <c r="AX129" s="111">
        <v>0</v>
      </c>
      <c r="AY129" s="111">
        <v>0</v>
      </c>
    </row>
    <row r="130" spans="1:51" x14ac:dyDescent="0.2">
      <c r="A130" s="114"/>
      <c r="B130" s="124">
        <v>9</v>
      </c>
      <c r="C130" s="111">
        <v>0</v>
      </c>
      <c r="D130" s="111">
        <v>0</v>
      </c>
      <c r="E130" s="111">
        <v>0</v>
      </c>
      <c r="F130" s="111">
        <v>0</v>
      </c>
      <c r="G130" s="111">
        <v>0</v>
      </c>
      <c r="H130" s="111">
        <v>0</v>
      </c>
      <c r="I130" s="111">
        <v>0</v>
      </c>
      <c r="J130" s="111">
        <v>0</v>
      </c>
      <c r="K130" s="111">
        <v>0</v>
      </c>
      <c r="L130" s="111">
        <v>0</v>
      </c>
      <c r="M130" s="111">
        <v>0</v>
      </c>
      <c r="N130" s="111">
        <v>0</v>
      </c>
      <c r="O130" s="111">
        <v>0</v>
      </c>
      <c r="P130" s="111">
        <v>0</v>
      </c>
      <c r="Q130" s="111">
        <v>0</v>
      </c>
      <c r="R130" s="111">
        <v>0</v>
      </c>
      <c r="S130" s="111">
        <v>0</v>
      </c>
      <c r="T130" s="111">
        <v>0</v>
      </c>
      <c r="U130" s="111">
        <v>0</v>
      </c>
      <c r="V130" s="111">
        <v>0</v>
      </c>
      <c r="W130" s="111">
        <v>0</v>
      </c>
      <c r="X130" s="111">
        <v>0</v>
      </c>
      <c r="Y130" s="111">
        <v>0</v>
      </c>
      <c r="Z130" s="111">
        <v>0</v>
      </c>
      <c r="AA130" s="111">
        <v>0</v>
      </c>
      <c r="AB130" s="111">
        <v>0</v>
      </c>
      <c r="AC130" s="111">
        <v>0</v>
      </c>
      <c r="AD130" s="111">
        <v>0</v>
      </c>
      <c r="AE130" s="111">
        <v>0</v>
      </c>
      <c r="AF130" s="111">
        <v>0</v>
      </c>
      <c r="AG130" s="111">
        <v>0</v>
      </c>
      <c r="AH130" s="111">
        <v>0</v>
      </c>
      <c r="AI130" s="111">
        <v>0</v>
      </c>
      <c r="AJ130" s="111">
        <v>0</v>
      </c>
      <c r="AK130" s="111">
        <v>0</v>
      </c>
      <c r="AL130" s="111">
        <v>0</v>
      </c>
      <c r="AM130" s="111">
        <v>0</v>
      </c>
      <c r="AN130" s="111">
        <v>0</v>
      </c>
      <c r="AO130" s="111">
        <v>0</v>
      </c>
      <c r="AP130" s="111">
        <v>0</v>
      </c>
      <c r="AQ130" s="111">
        <v>0</v>
      </c>
      <c r="AR130" s="111">
        <v>0</v>
      </c>
      <c r="AS130" s="111">
        <v>0</v>
      </c>
      <c r="AT130" s="111">
        <v>0</v>
      </c>
      <c r="AU130" s="111">
        <v>0</v>
      </c>
      <c r="AV130" s="111">
        <v>0</v>
      </c>
      <c r="AW130" s="111">
        <v>0</v>
      </c>
      <c r="AX130" s="111">
        <v>0</v>
      </c>
      <c r="AY130" s="111">
        <v>0</v>
      </c>
    </row>
    <row r="131" spans="1:51" x14ac:dyDescent="0.2">
      <c r="A131" s="114"/>
      <c r="B131" s="124">
        <v>10</v>
      </c>
      <c r="C131" s="111">
        <v>0</v>
      </c>
      <c r="D131" s="111">
        <v>0</v>
      </c>
      <c r="E131" s="111">
        <v>0</v>
      </c>
      <c r="F131" s="111">
        <v>0</v>
      </c>
      <c r="G131" s="111">
        <v>0</v>
      </c>
      <c r="H131" s="111">
        <v>0</v>
      </c>
      <c r="I131" s="111">
        <v>0</v>
      </c>
      <c r="J131" s="111">
        <v>0</v>
      </c>
      <c r="K131" s="111">
        <v>0</v>
      </c>
      <c r="L131" s="111">
        <v>0</v>
      </c>
      <c r="M131" s="111">
        <v>0</v>
      </c>
      <c r="N131" s="111">
        <v>0</v>
      </c>
      <c r="O131" s="111">
        <v>0</v>
      </c>
      <c r="P131" s="111">
        <v>0</v>
      </c>
      <c r="Q131" s="111">
        <v>0</v>
      </c>
      <c r="R131" s="111">
        <v>0</v>
      </c>
      <c r="S131" s="111">
        <v>0</v>
      </c>
      <c r="T131" s="111">
        <v>0</v>
      </c>
      <c r="U131" s="111">
        <v>0</v>
      </c>
      <c r="V131" s="111">
        <v>0</v>
      </c>
      <c r="W131" s="111">
        <v>0</v>
      </c>
      <c r="X131" s="111">
        <v>0</v>
      </c>
      <c r="Y131" s="111">
        <v>0</v>
      </c>
      <c r="Z131" s="111">
        <v>0</v>
      </c>
      <c r="AA131" s="111">
        <v>0</v>
      </c>
      <c r="AB131" s="111">
        <v>0</v>
      </c>
      <c r="AC131" s="111">
        <v>0</v>
      </c>
      <c r="AD131" s="111">
        <v>0</v>
      </c>
      <c r="AE131" s="111">
        <v>0</v>
      </c>
      <c r="AF131" s="111">
        <v>0</v>
      </c>
      <c r="AG131" s="111">
        <v>0</v>
      </c>
      <c r="AH131" s="111">
        <v>0</v>
      </c>
      <c r="AI131" s="111">
        <v>0</v>
      </c>
      <c r="AJ131" s="111">
        <v>0</v>
      </c>
      <c r="AK131" s="111">
        <v>0</v>
      </c>
      <c r="AL131" s="111">
        <v>0</v>
      </c>
      <c r="AM131" s="111">
        <v>0</v>
      </c>
      <c r="AN131" s="111">
        <v>0</v>
      </c>
      <c r="AO131" s="111">
        <v>0</v>
      </c>
      <c r="AP131" s="111">
        <v>0</v>
      </c>
      <c r="AQ131" s="111">
        <v>0</v>
      </c>
      <c r="AR131" s="111">
        <v>0</v>
      </c>
      <c r="AS131" s="111">
        <v>0</v>
      </c>
      <c r="AT131" s="111">
        <v>0</v>
      </c>
      <c r="AU131" s="111">
        <v>0</v>
      </c>
      <c r="AV131" s="111">
        <v>0</v>
      </c>
      <c r="AW131" s="111">
        <v>0</v>
      </c>
      <c r="AX131" s="111">
        <v>0</v>
      </c>
      <c r="AY131" s="111">
        <v>0</v>
      </c>
    </row>
    <row r="132" spans="1:51" x14ac:dyDescent="0.2">
      <c r="A132" s="114"/>
      <c r="B132" s="124">
        <v>11</v>
      </c>
      <c r="C132" s="111">
        <v>0</v>
      </c>
      <c r="D132" s="111">
        <v>0</v>
      </c>
      <c r="E132" s="111">
        <v>0</v>
      </c>
      <c r="F132" s="111">
        <v>0</v>
      </c>
      <c r="G132" s="111">
        <v>0</v>
      </c>
      <c r="H132" s="111">
        <v>0</v>
      </c>
      <c r="I132" s="111">
        <v>0</v>
      </c>
      <c r="J132" s="111">
        <v>0</v>
      </c>
      <c r="K132" s="111">
        <v>0</v>
      </c>
      <c r="L132" s="111">
        <v>0</v>
      </c>
      <c r="M132" s="111">
        <v>0</v>
      </c>
      <c r="N132" s="111">
        <v>0</v>
      </c>
      <c r="O132" s="111">
        <v>0</v>
      </c>
      <c r="P132" s="111">
        <v>0</v>
      </c>
      <c r="Q132" s="111">
        <v>0</v>
      </c>
      <c r="R132" s="111">
        <v>0</v>
      </c>
      <c r="S132" s="111">
        <v>0</v>
      </c>
      <c r="T132" s="111">
        <v>0</v>
      </c>
      <c r="U132" s="111">
        <v>0</v>
      </c>
      <c r="V132" s="111">
        <v>0</v>
      </c>
      <c r="W132" s="111">
        <v>0</v>
      </c>
      <c r="X132" s="111">
        <v>0</v>
      </c>
      <c r="Y132" s="111">
        <v>0</v>
      </c>
      <c r="Z132" s="111">
        <v>0</v>
      </c>
      <c r="AA132" s="111">
        <v>0</v>
      </c>
      <c r="AB132" s="111">
        <v>0</v>
      </c>
      <c r="AC132" s="111">
        <v>0</v>
      </c>
      <c r="AD132" s="111">
        <v>0</v>
      </c>
      <c r="AE132" s="111">
        <v>0</v>
      </c>
      <c r="AF132" s="111">
        <v>0</v>
      </c>
      <c r="AG132" s="111">
        <v>0</v>
      </c>
      <c r="AH132" s="111">
        <v>0</v>
      </c>
      <c r="AI132" s="111">
        <v>0</v>
      </c>
      <c r="AJ132" s="111">
        <v>0</v>
      </c>
      <c r="AK132" s="111">
        <v>0</v>
      </c>
      <c r="AL132" s="111">
        <v>0</v>
      </c>
      <c r="AM132" s="111">
        <v>0</v>
      </c>
      <c r="AN132" s="111">
        <v>0</v>
      </c>
      <c r="AO132" s="111">
        <v>0</v>
      </c>
      <c r="AP132" s="111">
        <v>0</v>
      </c>
      <c r="AQ132" s="111">
        <v>0</v>
      </c>
      <c r="AR132" s="111">
        <v>0</v>
      </c>
      <c r="AS132" s="111">
        <v>0</v>
      </c>
      <c r="AT132" s="111">
        <v>0</v>
      </c>
      <c r="AU132" s="111">
        <v>0</v>
      </c>
      <c r="AV132" s="111">
        <v>0</v>
      </c>
      <c r="AW132" s="111">
        <v>0</v>
      </c>
      <c r="AX132" s="111">
        <v>0</v>
      </c>
      <c r="AY132" s="111">
        <v>0</v>
      </c>
    </row>
    <row r="133" spans="1:51" x14ac:dyDescent="0.2">
      <c r="A133" s="114"/>
      <c r="B133" s="124">
        <v>12</v>
      </c>
      <c r="C133" s="111">
        <v>0</v>
      </c>
      <c r="D133" s="111">
        <v>0</v>
      </c>
      <c r="E133" s="111">
        <v>0</v>
      </c>
      <c r="F133" s="111">
        <v>0</v>
      </c>
      <c r="G133" s="111">
        <v>0</v>
      </c>
      <c r="H133" s="111">
        <v>0</v>
      </c>
      <c r="I133" s="111">
        <v>0</v>
      </c>
      <c r="J133" s="111">
        <v>0</v>
      </c>
      <c r="K133" s="111">
        <v>0</v>
      </c>
      <c r="L133" s="111">
        <v>0</v>
      </c>
      <c r="M133" s="111">
        <v>0</v>
      </c>
      <c r="N133" s="111">
        <v>0</v>
      </c>
      <c r="O133" s="111">
        <v>0</v>
      </c>
      <c r="P133" s="111">
        <v>0</v>
      </c>
      <c r="Q133" s="111">
        <v>0</v>
      </c>
      <c r="R133" s="111">
        <v>0</v>
      </c>
      <c r="S133" s="111">
        <v>0</v>
      </c>
      <c r="T133" s="111">
        <v>0</v>
      </c>
      <c r="U133" s="111">
        <v>0</v>
      </c>
      <c r="V133" s="111">
        <v>0</v>
      </c>
      <c r="W133" s="111">
        <v>0</v>
      </c>
      <c r="X133" s="111">
        <v>0</v>
      </c>
      <c r="Y133" s="111">
        <v>0</v>
      </c>
      <c r="Z133" s="111">
        <v>0</v>
      </c>
      <c r="AA133" s="111">
        <v>0</v>
      </c>
      <c r="AB133" s="111">
        <v>0</v>
      </c>
      <c r="AC133" s="111">
        <v>0</v>
      </c>
      <c r="AD133" s="111">
        <v>0</v>
      </c>
      <c r="AE133" s="111">
        <v>0</v>
      </c>
      <c r="AF133" s="111">
        <v>0</v>
      </c>
      <c r="AG133" s="111">
        <v>0</v>
      </c>
      <c r="AH133" s="111">
        <v>0</v>
      </c>
      <c r="AI133" s="111">
        <v>0</v>
      </c>
      <c r="AJ133" s="111">
        <v>0</v>
      </c>
      <c r="AK133" s="111">
        <v>0</v>
      </c>
      <c r="AL133" s="111">
        <v>0</v>
      </c>
      <c r="AM133" s="111">
        <v>0</v>
      </c>
      <c r="AN133" s="111">
        <v>0</v>
      </c>
      <c r="AO133" s="111">
        <v>0</v>
      </c>
      <c r="AP133" s="111">
        <v>0</v>
      </c>
      <c r="AQ133" s="111">
        <v>0</v>
      </c>
      <c r="AR133" s="111">
        <v>0</v>
      </c>
      <c r="AS133" s="111">
        <v>0</v>
      </c>
      <c r="AT133" s="111">
        <v>0</v>
      </c>
      <c r="AU133" s="111">
        <v>0</v>
      </c>
      <c r="AV133" s="111">
        <v>0</v>
      </c>
      <c r="AW133" s="111">
        <v>0</v>
      </c>
      <c r="AX133" s="111">
        <v>0</v>
      </c>
      <c r="AY133" s="111">
        <v>0</v>
      </c>
    </row>
    <row r="134" spans="1:51" x14ac:dyDescent="0.2">
      <c r="A134" s="114"/>
      <c r="B134" s="125">
        <v>13</v>
      </c>
      <c r="C134" s="111">
        <v>0</v>
      </c>
      <c r="D134" s="111">
        <v>0</v>
      </c>
      <c r="E134" s="111">
        <v>0</v>
      </c>
      <c r="F134" s="111">
        <v>0</v>
      </c>
      <c r="G134" s="111">
        <v>0</v>
      </c>
      <c r="H134" s="111">
        <v>0</v>
      </c>
      <c r="I134" s="111">
        <v>0</v>
      </c>
      <c r="J134" s="111">
        <v>0</v>
      </c>
      <c r="K134" s="111">
        <v>0</v>
      </c>
      <c r="L134" s="111">
        <v>0</v>
      </c>
      <c r="M134" s="111">
        <v>0</v>
      </c>
      <c r="N134" s="111">
        <v>0</v>
      </c>
      <c r="O134" s="111">
        <v>0</v>
      </c>
      <c r="P134" s="111">
        <v>0</v>
      </c>
      <c r="Q134" s="111">
        <v>0</v>
      </c>
      <c r="R134" s="111">
        <v>0</v>
      </c>
      <c r="S134" s="111">
        <v>0</v>
      </c>
      <c r="T134" s="111">
        <v>0</v>
      </c>
      <c r="U134" s="111">
        <v>0</v>
      </c>
      <c r="V134" s="111">
        <v>0</v>
      </c>
      <c r="W134" s="111">
        <v>0</v>
      </c>
      <c r="X134" s="111">
        <v>0</v>
      </c>
      <c r="Y134" s="111">
        <v>0</v>
      </c>
      <c r="Z134" s="111">
        <v>0</v>
      </c>
      <c r="AA134" s="111">
        <v>0</v>
      </c>
      <c r="AB134" s="111">
        <v>0</v>
      </c>
      <c r="AC134" s="111">
        <v>0</v>
      </c>
      <c r="AD134" s="111">
        <v>0</v>
      </c>
      <c r="AE134" s="111">
        <v>0</v>
      </c>
      <c r="AF134" s="111">
        <v>0</v>
      </c>
      <c r="AG134" s="111">
        <v>0</v>
      </c>
      <c r="AH134" s="111">
        <v>0</v>
      </c>
      <c r="AI134" s="111">
        <v>0</v>
      </c>
      <c r="AJ134" s="111">
        <v>0</v>
      </c>
      <c r="AK134" s="111">
        <v>0</v>
      </c>
      <c r="AL134" s="111">
        <v>0</v>
      </c>
      <c r="AM134" s="111">
        <v>0</v>
      </c>
      <c r="AN134" s="111">
        <v>0</v>
      </c>
      <c r="AO134" s="111">
        <v>0</v>
      </c>
      <c r="AP134" s="111">
        <v>0</v>
      </c>
      <c r="AQ134" s="111">
        <v>0</v>
      </c>
      <c r="AR134" s="111">
        <v>0</v>
      </c>
      <c r="AS134" s="111">
        <v>0</v>
      </c>
      <c r="AT134" s="111">
        <v>0</v>
      </c>
      <c r="AU134" s="111">
        <v>0</v>
      </c>
      <c r="AV134" s="111">
        <v>0</v>
      </c>
      <c r="AW134" s="111">
        <v>0</v>
      </c>
      <c r="AX134" s="111">
        <v>0</v>
      </c>
      <c r="AY134" s="111">
        <v>0</v>
      </c>
    </row>
    <row r="135" spans="1:51" x14ac:dyDescent="0.2">
      <c r="A135" s="114"/>
      <c r="B135" s="125">
        <v>14</v>
      </c>
      <c r="C135" s="111">
        <v>0</v>
      </c>
      <c r="D135" s="111">
        <v>0</v>
      </c>
      <c r="E135" s="111">
        <v>0</v>
      </c>
      <c r="F135" s="111">
        <v>0</v>
      </c>
      <c r="G135" s="111">
        <v>0</v>
      </c>
      <c r="H135" s="111">
        <v>0</v>
      </c>
      <c r="I135" s="111">
        <v>0</v>
      </c>
      <c r="J135" s="111">
        <v>0</v>
      </c>
      <c r="K135" s="111">
        <v>0</v>
      </c>
      <c r="L135" s="111">
        <v>0</v>
      </c>
      <c r="M135" s="111">
        <v>0</v>
      </c>
      <c r="N135" s="111">
        <v>0</v>
      </c>
      <c r="O135" s="111">
        <v>0</v>
      </c>
      <c r="P135" s="111">
        <v>0</v>
      </c>
      <c r="Q135" s="111">
        <v>0</v>
      </c>
      <c r="R135" s="111">
        <v>0</v>
      </c>
      <c r="S135" s="111">
        <v>0</v>
      </c>
      <c r="T135" s="111">
        <v>0</v>
      </c>
      <c r="U135" s="111">
        <v>0</v>
      </c>
      <c r="V135" s="111">
        <v>0</v>
      </c>
      <c r="W135" s="111">
        <v>0</v>
      </c>
      <c r="X135" s="111">
        <v>0</v>
      </c>
      <c r="Y135" s="111">
        <v>0</v>
      </c>
      <c r="Z135" s="111">
        <v>0</v>
      </c>
      <c r="AA135" s="111">
        <v>0</v>
      </c>
      <c r="AB135" s="111">
        <v>0</v>
      </c>
      <c r="AC135" s="111">
        <v>0</v>
      </c>
      <c r="AD135" s="111">
        <v>0</v>
      </c>
      <c r="AE135" s="111">
        <v>0</v>
      </c>
      <c r="AF135" s="111">
        <v>0</v>
      </c>
      <c r="AG135" s="111">
        <v>0</v>
      </c>
      <c r="AH135" s="111">
        <v>0</v>
      </c>
      <c r="AI135" s="111">
        <v>0</v>
      </c>
      <c r="AJ135" s="111">
        <v>0</v>
      </c>
      <c r="AK135" s="111">
        <v>0</v>
      </c>
      <c r="AL135" s="111">
        <v>0</v>
      </c>
      <c r="AM135" s="111">
        <v>0</v>
      </c>
      <c r="AN135" s="111">
        <v>0</v>
      </c>
      <c r="AO135" s="111">
        <v>0</v>
      </c>
      <c r="AP135" s="111">
        <v>0</v>
      </c>
      <c r="AQ135" s="111">
        <v>0</v>
      </c>
      <c r="AR135" s="111">
        <v>0</v>
      </c>
      <c r="AS135" s="111">
        <v>0</v>
      </c>
      <c r="AT135" s="111">
        <v>0</v>
      </c>
      <c r="AU135" s="111">
        <v>0</v>
      </c>
      <c r="AV135" s="111">
        <v>0</v>
      </c>
      <c r="AW135" s="111">
        <v>0</v>
      </c>
      <c r="AX135" s="111">
        <v>0</v>
      </c>
      <c r="AY135" s="111">
        <v>0</v>
      </c>
    </row>
    <row r="136" spans="1:51" x14ac:dyDescent="0.2">
      <c r="A136" s="114"/>
      <c r="B136" s="125">
        <v>15</v>
      </c>
      <c r="C136" s="111">
        <v>0</v>
      </c>
      <c r="D136" s="111">
        <v>0</v>
      </c>
      <c r="E136" s="111">
        <v>0</v>
      </c>
      <c r="F136" s="111">
        <v>0</v>
      </c>
      <c r="G136" s="111">
        <v>0</v>
      </c>
      <c r="H136" s="111">
        <v>0</v>
      </c>
      <c r="I136" s="111">
        <v>0</v>
      </c>
      <c r="J136" s="111">
        <v>0</v>
      </c>
      <c r="K136" s="111">
        <v>0</v>
      </c>
      <c r="L136" s="111">
        <v>0</v>
      </c>
      <c r="M136" s="111">
        <v>0</v>
      </c>
      <c r="N136" s="111">
        <v>0</v>
      </c>
      <c r="O136" s="111">
        <v>0</v>
      </c>
      <c r="P136" s="111">
        <v>0</v>
      </c>
      <c r="Q136" s="111">
        <v>0</v>
      </c>
      <c r="R136" s="111">
        <v>0</v>
      </c>
      <c r="S136" s="111">
        <v>0</v>
      </c>
      <c r="T136" s="111">
        <v>0</v>
      </c>
      <c r="U136" s="111">
        <v>0</v>
      </c>
      <c r="V136" s="111">
        <v>0</v>
      </c>
      <c r="W136" s="111">
        <v>0</v>
      </c>
      <c r="X136" s="111">
        <v>0</v>
      </c>
      <c r="Y136" s="111">
        <v>0</v>
      </c>
      <c r="Z136" s="111">
        <v>0</v>
      </c>
      <c r="AA136" s="111">
        <v>0</v>
      </c>
      <c r="AB136" s="111">
        <v>0</v>
      </c>
      <c r="AC136" s="111">
        <v>0</v>
      </c>
      <c r="AD136" s="111">
        <v>0</v>
      </c>
      <c r="AE136" s="111">
        <v>0</v>
      </c>
      <c r="AF136" s="111">
        <v>0</v>
      </c>
      <c r="AG136" s="111">
        <v>0</v>
      </c>
      <c r="AH136" s="111">
        <v>0</v>
      </c>
      <c r="AI136" s="111">
        <v>0</v>
      </c>
      <c r="AJ136" s="111">
        <v>0</v>
      </c>
      <c r="AK136" s="111">
        <v>0</v>
      </c>
      <c r="AL136" s="111">
        <v>0</v>
      </c>
      <c r="AM136" s="111">
        <v>0</v>
      </c>
      <c r="AN136" s="111">
        <v>0</v>
      </c>
      <c r="AO136" s="111">
        <v>0</v>
      </c>
      <c r="AP136" s="111">
        <v>0</v>
      </c>
      <c r="AQ136" s="111">
        <v>0</v>
      </c>
      <c r="AR136" s="111">
        <v>0</v>
      </c>
      <c r="AS136" s="111">
        <v>0</v>
      </c>
      <c r="AT136" s="111">
        <v>0</v>
      </c>
      <c r="AU136" s="111">
        <v>0</v>
      </c>
      <c r="AV136" s="111">
        <v>0</v>
      </c>
      <c r="AW136" s="111">
        <v>0</v>
      </c>
      <c r="AX136" s="111">
        <v>0</v>
      </c>
      <c r="AY136" s="111">
        <v>0</v>
      </c>
    </row>
    <row r="137" spans="1:51" x14ac:dyDescent="0.2">
      <c r="A137" s="114"/>
      <c r="B137" s="125">
        <v>16</v>
      </c>
      <c r="C137" s="111">
        <v>0</v>
      </c>
      <c r="D137" s="111">
        <v>0</v>
      </c>
      <c r="E137" s="111">
        <v>0</v>
      </c>
      <c r="F137" s="111">
        <v>0</v>
      </c>
      <c r="G137" s="111">
        <v>0</v>
      </c>
      <c r="H137" s="111">
        <v>0</v>
      </c>
      <c r="I137" s="111">
        <v>0</v>
      </c>
      <c r="J137" s="111">
        <v>0</v>
      </c>
      <c r="K137" s="111">
        <v>0</v>
      </c>
      <c r="L137" s="111">
        <v>0</v>
      </c>
      <c r="M137" s="111">
        <v>0</v>
      </c>
      <c r="N137" s="111">
        <v>0</v>
      </c>
      <c r="O137" s="111">
        <v>0</v>
      </c>
      <c r="P137" s="111">
        <v>0</v>
      </c>
      <c r="Q137" s="111">
        <v>0</v>
      </c>
      <c r="R137" s="111">
        <v>0</v>
      </c>
      <c r="S137" s="111">
        <v>0</v>
      </c>
      <c r="T137" s="111">
        <v>0</v>
      </c>
      <c r="U137" s="111">
        <v>0</v>
      </c>
      <c r="V137" s="111">
        <v>0</v>
      </c>
      <c r="W137" s="111">
        <v>0</v>
      </c>
      <c r="X137" s="111">
        <v>0</v>
      </c>
      <c r="Y137" s="111">
        <v>0</v>
      </c>
      <c r="Z137" s="111">
        <v>0</v>
      </c>
      <c r="AA137" s="111">
        <v>0</v>
      </c>
      <c r="AB137" s="111">
        <v>0</v>
      </c>
      <c r="AC137" s="111">
        <v>0</v>
      </c>
      <c r="AD137" s="111">
        <v>0</v>
      </c>
      <c r="AE137" s="111">
        <v>0</v>
      </c>
      <c r="AF137" s="111">
        <v>0</v>
      </c>
      <c r="AG137" s="111">
        <v>0</v>
      </c>
      <c r="AH137" s="111">
        <v>0</v>
      </c>
      <c r="AI137" s="111">
        <v>0</v>
      </c>
      <c r="AJ137" s="111">
        <v>0</v>
      </c>
      <c r="AK137" s="111">
        <v>0</v>
      </c>
      <c r="AL137" s="111">
        <v>0</v>
      </c>
      <c r="AM137" s="111">
        <v>0</v>
      </c>
      <c r="AN137" s="111">
        <v>0</v>
      </c>
      <c r="AO137" s="111">
        <v>0</v>
      </c>
      <c r="AP137" s="111">
        <v>0</v>
      </c>
      <c r="AQ137" s="111">
        <v>0</v>
      </c>
      <c r="AR137" s="111">
        <v>0</v>
      </c>
      <c r="AS137" s="111">
        <v>0</v>
      </c>
      <c r="AT137" s="111">
        <v>0</v>
      </c>
      <c r="AU137" s="111">
        <v>0</v>
      </c>
      <c r="AV137" s="111">
        <v>0</v>
      </c>
      <c r="AW137" s="111">
        <v>0</v>
      </c>
      <c r="AX137" s="111">
        <v>0</v>
      </c>
      <c r="AY137" s="111">
        <v>0</v>
      </c>
    </row>
    <row r="138" spans="1:51" x14ac:dyDescent="0.2">
      <c r="A138" s="114"/>
      <c r="B138" s="125">
        <v>17</v>
      </c>
      <c r="C138" s="111">
        <v>0</v>
      </c>
      <c r="D138" s="111">
        <v>0</v>
      </c>
      <c r="E138" s="111">
        <v>0</v>
      </c>
      <c r="F138" s="111">
        <v>0</v>
      </c>
      <c r="G138" s="111">
        <v>0</v>
      </c>
      <c r="H138" s="111">
        <v>0</v>
      </c>
      <c r="I138" s="111">
        <v>0</v>
      </c>
      <c r="J138" s="111">
        <v>0</v>
      </c>
      <c r="K138" s="111">
        <v>0</v>
      </c>
      <c r="L138" s="111">
        <v>0</v>
      </c>
      <c r="M138" s="111">
        <v>0</v>
      </c>
      <c r="N138" s="111">
        <v>0</v>
      </c>
      <c r="O138" s="111">
        <v>0</v>
      </c>
      <c r="P138" s="111">
        <v>0</v>
      </c>
      <c r="Q138" s="111">
        <v>0</v>
      </c>
      <c r="R138" s="111">
        <v>0</v>
      </c>
      <c r="S138" s="111">
        <v>0</v>
      </c>
      <c r="T138" s="111">
        <v>0</v>
      </c>
      <c r="U138" s="111">
        <v>0</v>
      </c>
      <c r="V138" s="111">
        <v>0</v>
      </c>
      <c r="W138" s="111">
        <v>0</v>
      </c>
      <c r="X138" s="111">
        <v>0</v>
      </c>
      <c r="Y138" s="111">
        <v>0</v>
      </c>
      <c r="Z138" s="111">
        <v>0</v>
      </c>
      <c r="AA138" s="111">
        <v>0</v>
      </c>
      <c r="AB138" s="111">
        <v>0</v>
      </c>
      <c r="AC138" s="111">
        <v>0</v>
      </c>
      <c r="AD138" s="111">
        <v>0</v>
      </c>
      <c r="AE138" s="111">
        <v>0</v>
      </c>
      <c r="AF138" s="111">
        <v>0</v>
      </c>
      <c r="AG138" s="111">
        <v>0</v>
      </c>
      <c r="AH138" s="111">
        <v>0</v>
      </c>
      <c r="AI138" s="111">
        <v>0</v>
      </c>
      <c r="AJ138" s="111">
        <v>0</v>
      </c>
      <c r="AK138" s="111">
        <v>0</v>
      </c>
      <c r="AL138" s="111">
        <v>0</v>
      </c>
      <c r="AM138" s="111">
        <v>0</v>
      </c>
      <c r="AN138" s="111">
        <v>0</v>
      </c>
      <c r="AO138" s="111">
        <v>0</v>
      </c>
      <c r="AP138" s="111">
        <v>0</v>
      </c>
      <c r="AQ138" s="111">
        <v>0</v>
      </c>
      <c r="AR138" s="111">
        <v>0</v>
      </c>
      <c r="AS138" s="111">
        <v>0</v>
      </c>
      <c r="AT138" s="111">
        <v>0</v>
      </c>
      <c r="AU138" s="111">
        <v>0</v>
      </c>
      <c r="AV138" s="111">
        <v>0</v>
      </c>
      <c r="AW138" s="111">
        <v>0</v>
      </c>
      <c r="AX138" s="111">
        <v>0</v>
      </c>
      <c r="AY138" s="111">
        <v>0</v>
      </c>
    </row>
    <row r="139" spans="1:51" x14ac:dyDescent="0.2">
      <c r="A139" s="114"/>
      <c r="B139" s="125">
        <v>18</v>
      </c>
      <c r="C139" s="111">
        <v>0</v>
      </c>
      <c r="D139" s="111">
        <v>0</v>
      </c>
      <c r="E139" s="111">
        <v>0</v>
      </c>
      <c r="F139" s="111">
        <v>0</v>
      </c>
      <c r="G139" s="111">
        <v>0</v>
      </c>
      <c r="H139" s="111">
        <v>0</v>
      </c>
      <c r="I139" s="111">
        <v>0</v>
      </c>
      <c r="J139" s="111">
        <v>0</v>
      </c>
      <c r="K139" s="111">
        <v>0</v>
      </c>
      <c r="L139" s="111">
        <v>0</v>
      </c>
      <c r="M139" s="111">
        <v>0</v>
      </c>
      <c r="N139" s="111">
        <v>0</v>
      </c>
      <c r="O139" s="111">
        <v>0</v>
      </c>
      <c r="P139" s="111">
        <v>0</v>
      </c>
      <c r="Q139" s="111">
        <v>0</v>
      </c>
      <c r="R139" s="111">
        <v>0</v>
      </c>
      <c r="S139" s="111">
        <v>0</v>
      </c>
      <c r="T139" s="111">
        <v>0</v>
      </c>
      <c r="U139" s="111">
        <v>0</v>
      </c>
      <c r="V139" s="111">
        <v>0</v>
      </c>
      <c r="W139" s="111">
        <v>0</v>
      </c>
      <c r="X139" s="111">
        <v>0</v>
      </c>
      <c r="Y139" s="111">
        <v>0</v>
      </c>
      <c r="Z139" s="111">
        <v>0</v>
      </c>
      <c r="AA139" s="111">
        <v>0</v>
      </c>
      <c r="AB139" s="111">
        <v>0</v>
      </c>
      <c r="AC139" s="111">
        <v>0</v>
      </c>
      <c r="AD139" s="111">
        <v>0</v>
      </c>
      <c r="AE139" s="111">
        <v>0</v>
      </c>
      <c r="AF139" s="111">
        <v>0</v>
      </c>
      <c r="AG139" s="111">
        <v>0</v>
      </c>
      <c r="AH139" s="111">
        <v>0</v>
      </c>
      <c r="AI139" s="111">
        <v>0</v>
      </c>
      <c r="AJ139" s="111">
        <v>0</v>
      </c>
      <c r="AK139" s="111">
        <v>0</v>
      </c>
      <c r="AL139" s="111">
        <v>0</v>
      </c>
      <c r="AM139" s="111">
        <v>0</v>
      </c>
      <c r="AN139" s="111">
        <v>0</v>
      </c>
      <c r="AO139" s="111">
        <v>0</v>
      </c>
      <c r="AP139" s="111">
        <v>0</v>
      </c>
      <c r="AQ139" s="111">
        <v>0</v>
      </c>
      <c r="AR139" s="111">
        <v>0</v>
      </c>
      <c r="AS139" s="111">
        <v>0</v>
      </c>
      <c r="AT139" s="111">
        <v>0</v>
      </c>
      <c r="AU139" s="111">
        <v>0</v>
      </c>
      <c r="AV139" s="111">
        <v>0</v>
      </c>
      <c r="AW139" s="111">
        <v>0</v>
      </c>
      <c r="AX139" s="111">
        <v>0</v>
      </c>
      <c r="AY139" s="111">
        <v>0</v>
      </c>
    </row>
    <row r="140" spans="1:51" x14ac:dyDescent="0.2">
      <c r="A140" s="114"/>
      <c r="B140" s="125">
        <v>19</v>
      </c>
      <c r="C140" s="111">
        <v>0</v>
      </c>
      <c r="D140" s="111">
        <v>0</v>
      </c>
      <c r="E140" s="111">
        <v>0</v>
      </c>
      <c r="F140" s="111">
        <v>0</v>
      </c>
      <c r="G140" s="111">
        <v>0</v>
      </c>
      <c r="H140" s="111">
        <v>0</v>
      </c>
      <c r="I140" s="111">
        <v>0</v>
      </c>
      <c r="J140" s="111">
        <v>0</v>
      </c>
      <c r="K140" s="111">
        <v>0</v>
      </c>
      <c r="L140" s="111">
        <v>0</v>
      </c>
      <c r="M140" s="111">
        <v>0</v>
      </c>
      <c r="N140" s="111">
        <v>0</v>
      </c>
      <c r="O140" s="111">
        <v>0</v>
      </c>
      <c r="P140" s="111">
        <v>0</v>
      </c>
      <c r="Q140" s="111">
        <v>0</v>
      </c>
      <c r="R140" s="111">
        <v>0</v>
      </c>
      <c r="S140" s="111">
        <v>0</v>
      </c>
      <c r="T140" s="111">
        <v>0</v>
      </c>
      <c r="U140" s="111">
        <v>0</v>
      </c>
      <c r="V140" s="111">
        <v>0</v>
      </c>
      <c r="W140" s="111">
        <v>0</v>
      </c>
      <c r="X140" s="111">
        <v>0</v>
      </c>
      <c r="Y140" s="111">
        <v>0</v>
      </c>
      <c r="Z140" s="111">
        <v>0</v>
      </c>
      <c r="AA140" s="111">
        <v>0</v>
      </c>
      <c r="AB140" s="111">
        <v>0</v>
      </c>
      <c r="AC140" s="111">
        <v>0</v>
      </c>
      <c r="AD140" s="111">
        <v>0</v>
      </c>
      <c r="AE140" s="111">
        <v>0</v>
      </c>
      <c r="AF140" s="111">
        <v>0</v>
      </c>
      <c r="AG140" s="111">
        <v>0</v>
      </c>
      <c r="AH140" s="111">
        <v>0</v>
      </c>
      <c r="AI140" s="111">
        <v>0</v>
      </c>
      <c r="AJ140" s="111">
        <v>0</v>
      </c>
      <c r="AK140" s="111">
        <v>0</v>
      </c>
      <c r="AL140" s="111">
        <v>0</v>
      </c>
      <c r="AM140" s="111">
        <v>0</v>
      </c>
      <c r="AN140" s="111">
        <v>0</v>
      </c>
      <c r="AO140" s="111">
        <v>0</v>
      </c>
      <c r="AP140" s="111">
        <v>0</v>
      </c>
      <c r="AQ140" s="111">
        <v>0</v>
      </c>
      <c r="AR140" s="111">
        <v>0</v>
      </c>
      <c r="AS140" s="111">
        <v>0</v>
      </c>
      <c r="AT140" s="111">
        <v>0</v>
      </c>
      <c r="AU140" s="111">
        <v>0</v>
      </c>
      <c r="AV140" s="111">
        <v>0</v>
      </c>
      <c r="AW140" s="111">
        <v>0</v>
      </c>
      <c r="AX140" s="111">
        <v>0</v>
      </c>
      <c r="AY140" s="111">
        <v>0</v>
      </c>
    </row>
    <row r="141" spans="1:51" x14ac:dyDescent="0.2">
      <c r="A141" s="114"/>
      <c r="B141" s="125">
        <v>20</v>
      </c>
      <c r="C141" s="111">
        <v>0</v>
      </c>
      <c r="D141" s="111">
        <v>0</v>
      </c>
      <c r="E141" s="111">
        <v>0</v>
      </c>
      <c r="F141" s="111">
        <v>0</v>
      </c>
      <c r="G141" s="111">
        <v>0</v>
      </c>
      <c r="H141" s="111">
        <v>0</v>
      </c>
      <c r="I141" s="111">
        <v>0</v>
      </c>
      <c r="J141" s="111">
        <v>0</v>
      </c>
      <c r="K141" s="111">
        <v>0</v>
      </c>
      <c r="L141" s="111">
        <v>0</v>
      </c>
      <c r="M141" s="111">
        <v>0</v>
      </c>
      <c r="N141" s="111">
        <v>0</v>
      </c>
      <c r="O141" s="111">
        <v>0</v>
      </c>
      <c r="P141" s="111">
        <v>0</v>
      </c>
      <c r="Q141" s="111">
        <v>0</v>
      </c>
      <c r="R141" s="111">
        <v>0</v>
      </c>
      <c r="S141" s="111">
        <v>0</v>
      </c>
      <c r="T141" s="111">
        <v>0</v>
      </c>
      <c r="U141" s="111">
        <v>0</v>
      </c>
      <c r="V141" s="111">
        <v>0</v>
      </c>
      <c r="W141" s="111">
        <v>0</v>
      </c>
      <c r="X141" s="111">
        <v>0</v>
      </c>
      <c r="Y141" s="111">
        <v>0</v>
      </c>
      <c r="Z141" s="111">
        <v>0</v>
      </c>
      <c r="AA141" s="111">
        <v>0</v>
      </c>
      <c r="AB141" s="111">
        <v>0</v>
      </c>
      <c r="AC141" s="111">
        <v>0</v>
      </c>
      <c r="AD141" s="111">
        <v>0</v>
      </c>
      <c r="AE141" s="111">
        <v>0</v>
      </c>
      <c r="AF141" s="111">
        <v>0</v>
      </c>
      <c r="AG141" s="111">
        <v>0</v>
      </c>
      <c r="AH141" s="111">
        <v>0</v>
      </c>
      <c r="AI141" s="111">
        <v>0</v>
      </c>
      <c r="AJ141" s="111">
        <v>0</v>
      </c>
      <c r="AK141" s="111">
        <v>0</v>
      </c>
      <c r="AL141" s="111">
        <v>0</v>
      </c>
      <c r="AM141" s="111">
        <v>0</v>
      </c>
      <c r="AN141" s="111">
        <v>0</v>
      </c>
      <c r="AO141" s="111">
        <v>0</v>
      </c>
      <c r="AP141" s="111">
        <v>0</v>
      </c>
      <c r="AQ141" s="111">
        <v>0</v>
      </c>
      <c r="AR141" s="111">
        <v>0</v>
      </c>
      <c r="AS141" s="111">
        <v>0</v>
      </c>
      <c r="AT141" s="111">
        <v>0</v>
      </c>
      <c r="AU141" s="111">
        <v>0</v>
      </c>
      <c r="AV141" s="111">
        <v>0</v>
      </c>
      <c r="AW141" s="111">
        <v>0</v>
      </c>
      <c r="AX141" s="111">
        <v>0</v>
      </c>
      <c r="AY141" s="111">
        <v>0</v>
      </c>
    </row>
    <row r="142" spans="1:51" x14ac:dyDescent="0.2">
      <c r="A142" s="114"/>
      <c r="B142" s="125">
        <v>21</v>
      </c>
      <c r="C142" s="111">
        <v>0</v>
      </c>
      <c r="D142" s="111">
        <v>0</v>
      </c>
      <c r="E142" s="111">
        <v>0</v>
      </c>
      <c r="F142" s="111">
        <v>0</v>
      </c>
      <c r="G142" s="111">
        <v>0</v>
      </c>
      <c r="H142" s="111">
        <v>0</v>
      </c>
      <c r="I142" s="111">
        <v>0</v>
      </c>
      <c r="J142" s="111">
        <v>0</v>
      </c>
      <c r="K142" s="111">
        <v>0</v>
      </c>
      <c r="L142" s="111">
        <v>0</v>
      </c>
      <c r="M142" s="111">
        <v>0</v>
      </c>
      <c r="N142" s="111">
        <v>0</v>
      </c>
      <c r="O142" s="111">
        <v>0</v>
      </c>
      <c r="P142" s="111">
        <v>0</v>
      </c>
      <c r="Q142" s="111">
        <v>0</v>
      </c>
      <c r="R142" s="111">
        <v>0</v>
      </c>
      <c r="S142" s="111">
        <v>0</v>
      </c>
      <c r="T142" s="111">
        <v>0</v>
      </c>
      <c r="U142" s="111">
        <v>0</v>
      </c>
      <c r="V142" s="111">
        <v>0</v>
      </c>
      <c r="W142" s="111">
        <v>0</v>
      </c>
      <c r="X142" s="111">
        <v>0</v>
      </c>
      <c r="Y142" s="111">
        <v>0</v>
      </c>
      <c r="Z142" s="111">
        <v>0</v>
      </c>
      <c r="AA142" s="111">
        <v>0</v>
      </c>
      <c r="AB142" s="111">
        <v>0</v>
      </c>
      <c r="AC142" s="111">
        <v>0</v>
      </c>
      <c r="AD142" s="111">
        <v>0</v>
      </c>
      <c r="AE142" s="111">
        <v>0</v>
      </c>
      <c r="AF142" s="111">
        <v>0</v>
      </c>
      <c r="AG142" s="111">
        <v>0</v>
      </c>
      <c r="AH142" s="111">
        <v>0</v>
      </c>
      <c r="AI142" s="111">
        <v>0</v>
      </c>
      <c r="AJ142" s="111">
        <v>0</v>
      </c>
      <c r="AK142" s="111">
        <v>0</v>
      </c>
      <c r="AL142" s="111">
        <v>0</v>
      </c>
      <c r="AM142" s="111">
        <v>0</v>
      </c>
      <c r="AN142" s="111">
        <v>0</v>
      </c>
      <c r="AO142" s="111">
        <v>0</v>
      </c>
      <c r="AP142" s="111">
        <v>0</v>
      </c>
      <c r="AQ142" s="111">
        <v>0</v>
      </c>
      <c r="AR142" s="111">
        <v>0</v>
      </c>
      <c r="AS142" s="111">
        <v>0</v>
      </c>
      <c r="AT142" s="111">
        <v>0</v>
      </c>
      <c r="AU142" s="111">
        <v>0</v>
      </c>
      <c r="AV142" s="111">
        <v>0</v>
      </c>
      <c r="AW142" s="111">
        <v>0</v>
      </c>
      <c r="AX142" s="111">
        <v>0</v>
      </c>
      <c r="AY142" s="111">
        <v>0</v>
      </c>
    </row>
    <row r="143" spans="1:51" x14ac:dyDescent="0.2">
      <c r="A143" s="114"/>
      <c r="B143" s="125">
        <v>22</v>
      </c>
      <c r="C143" s="111">
        <v>0</v>
      </c>
      <c r="D143" s="111">
        <v>0</v>
      </c>
      <c r="E143" s="111">
        <v>0</v>
      </c>
      <c r="F143" s="111">
        <v>0</v>
      </c>
      <c r="G143" s="111">
        <v>0</v>
      </c>
      <c r="H143" s="111">
        <v>0</v>
      </c>
      <c r="I143" s="111">
        <v>0</v>
      </c>
      <c r="J143" s="111">
        <v>0</v>
      </c>
      <c r="K143" s="111">
        <v>0</v>
      </c>
      <c r="L143" s="111">
        <v>0</v>
      </c>
      <c r="M143" s="111">
        <v>0</v>
      </c>
      <c r="N143" s="111">
        <v>0</v>
      </c>
      <c r="O143" s="111">
        <v>0</v>
      </c>
      <c r="P143" s="111">
        <v>0</v>
      </c>
      <c r="Q143" s="111">
        <v>0</v>
      </c>
      <c r="R143" s="111">
        <v>0</v>
      </c>
      <c r="S143" s="111">
        <v>0</v>
      </c>
      <c r="T143" s="111">
        <v>0</v>
      </c>
      <c r="U143" s="111">
        <v>0</v>
      </c>
      <c r="V143" s="111">
        <v>0</v>
      </c>
      <c r="W143" s="111">
        <v>0</v>
      </c>
      <c r="X143" s="111">
        <v>0</v>
      </c>
      <c r="Y143" s="111">
        <v>0</v>
      </c>
      <c r="Z143" s="111">
        <v>0</v>
      </c>
      <c r="AA143" s="111">
        <v>0</v>
      </c>
      <c r="AB143" s="111">
        <v>0</v>
      </c>
      <c r="AC143" s="111">
        <v>0</v>
      </c>
      <c r="AD143" s="111">
        <v>0</v>
      </c>
      <c r="AE143" s="111">
        <v>0</v>
      </c>
      <c r="AF143" s="111">
        <v>0</v>
      </c>
      <c r="AG143" s="111">
        <v>0</v>
      </c>
      <c r="AH143" s="111">
        <v>0</v>
      </c>
      <c r="AI143" s="111">
        <v>0</v>
      </c>
      <c r="AJ143" s="111">
        <v>0</v>
      </c>
      <c r="AK143" s="111">
        <v>0</v>
      </c>
      <c r="AL143" s="111">
        <v>0</v>
      </c>
      <c r="AM143" s="111">
        <v>0</v>
      </c>
      <c r="AN143" s="111">
        <v>0</v>
      </c>
      <c r="AO143" s="111">
        <v>0</v>
      </c>
      <c r="AP143" s="111">
        <v>0</v>
      </c>
      <c r="AQ143" s="111">
        <v>0</v>
      </c>
      <c r="AR143" s="111">
        <v>0</v>
      </c>
      <c r="AS143" s="111">
        <v>0</v>
      </c>
      <c r="AT143" s="111">
        <v>0</v>
      </c>
      <c r="AU143" s="111">
        <v>0</v>
      </c>
      <c r="AV143" s="111">
        <v>0</v>
      </c>
      <c r="AW143" s="111">
        <v>0</v>
      </c>
      <c r="AX143" s="111">
        <v>0</v>
      </c>
      <c r="AY143" s="111">
        <v>0</v>
      </c>
    </row>
    <row r="144" spans="1:51" x14ac:dyDescent="0.2">
      <c r="A144" s="114"/>
      <c r="B144" s="125">
        <v>23</v>
      </c>
      <c r="C144" s="111">
        <v>0</v>
      </c>
      <c r="D144" s="111">
        <v>0</v>
      </c>
      <c r="E144" s="111">
        <v>0</v>
      </c>
      <c r="F144" s="111">
        <v>0</v>
      </c>
      <c r="G144" s="111">
        <v>0</v>
      </c>
      <c r="H144" s="111">
        <v>0</v>
      </c>
      <c r="I144" s="111">
        <v>0</v>
      </c>
      <c r="J144" s="111">
        <v>0</v>
      </c>
      <c r="K144" s="111">
        <v>0</v>
      </c>
      <c r="L144" s="111">
        <v>0</v>
      </c>
      <c r="M144" s="111">
        <v>0</v>
      </c>
      <c r="N144" s="111">
        <v>0</v>
      </c>
      <c r="O144" s="111">
        <v>0</v>
      </c>
      <c r="P144" s="111">
        <v>0</v>
      </c>
      <c r="Q144" s="111">
        <v>0</v>
      </c>
      <c r="R144" s="111">
        <v>0</v>
      </c>
      <c r="S144" s="111">
        <v>0</v>
      </c>
      <c r="T144" s="111">
        <v>0</v>
      </c>
      <c r="U144" s="111">
        <v>0</v>
      </c>
      <c r="V144" s="111">
        <v>0</v>
      </c>
      <c r="W144" s="111">
        <v>0</v>
      </c>
      <c r="X144" s="111">
        <v>0</v>
      </c>
      <c r="Y144" s="111">
        <v>0</v>
      </c>
      <c r="Z144" s="111">
        <v>0</v>
      </c>
      <c r="AA144" s="111">
        <v>0</v>
      </c>
      <c r="AB144" s="111">
        <v>0</v>
      </c>
      <c r="AC144" s="111">
        <v>0</v>
      </c>
      <c r="AD144" s="111">
        <v>0</v>
      </c>
      <c r="AE144" s="111">
        <v>0</v>
      </c>
      <c r="AF144" s="111">
        <v>0</v>
      </c>
      <c r="AG144" s="111">
        <v>0</v>
      </c>
      <c r="AH144" s="111">
        <v>0</v>
      </c>
      <c r="AI144" s="111">
        <v>0</v>
      </c>
      <c r="AJ144" s="111">
        <v>0</v>
      </c>
      <c r="AK144" s="111">
        <v>0</v>
      </c>
      <c r="AL144" s="111">
        <v>0</v>
      </c>
      <c r="AM144" s="111">
        <v>0</v>
      </c>
      <c r="AN144" s="111">
        <v>0</v>
      </c>
      <c r="AO144" s="111">
        <v>0</v>
      </c>
      <c r="AP144" s="111">
        <v>0</v>
      </c>
      <c r="AQ144" s="111">
        <v>0</v>
      </c>
      <c r="AR144" s="111">
        <v>0</v>
      </c>
      <c r="AS144" s="111">
        <v>0</v>
      </c>
      <c r="AT144" s="111">
        <v>0</v>
      </c>
      <c r="AU144" s="111">
        <v>0</v>
      </c>
      <c r="AV144" s="111">
        <v>0</v>
      </c>
      <c r="AW144" s="111">
        <v>0</v>
      </c>
      <c r="AX144" s="111">
        <v>0</v>
      </c>
      <c r="AY144" s="111">
        <v>0</v>
      </c>
    </row>
    <row r="145" spans="1:51" x14ac:dyDescent="0.2">
      <c r="A145" s="114"/>
      <c r="B145" s="125">
        <v>24</v>
      </c>
      <c r="C145" s="111">
        <v>0</v>
      </c>
      <c r="D145" s="111">
        <v>0</v>
      </c>
      <c r="E145" s="111">
        <v>0</v>
      </c>
      <c r="F145" s="111">
        <v>0</v>
      </c>
      <c r="G145" s="111">
        <v>0</v>
      </c>
      <c r="H145" s="111">
        <v>0</v>
      </c>
      <c r="I145" s="111">
        <v>0</v>
      </c>
      <c r="J145" s="111">
        <v>0</v>
      </c>
      <c r="K145" s="111">
        <v>0</v>
      </c>
      <c r="L145" s="111">
        <v>0</v>
      </c>
      <c r="M145" s="111">
        <v>0</v>
      </c>
      <c r="N145" s="111">
        <v>0</v>
      </c>
      <c r="O145" s="111">
        <v>0</v>
      </c>
      <c r="P145" s="111">
        <v>0</v>
      </c>
      <c r="Q145" s="111">
        <v>0</v>
      </c>
      <c r="R145" s="111">
        <v>0</v>
      </c>
      <c r="S145" s="111">
        <v>0</v>
      </c>
      <c r="T145" s="111">
        <v>0</v>
      </c>
      <c r="U145" s="111">
        <v>0</v>
      </c>
      <c r="V145" s="111">
        <v>0</v>
      </c>
      <c r="W145" s="111">
        <v>0</v>
      </c>
      <c r="X145" s="111">
        <v>0</v>
      </c>
      <c r="Y145" s="111">
        <v>0</v>
      </c>
      <c r="Z145" s="111">
        <v>0</v>
      </c>
      <c r="AA145" s="111">
        <v>0</v>
      </c>
      <c r="AB145" s="111">
        <v>0</v>
      </c>
      <c r="AC145" s="111">
        <v>0</v>
      </c>
      <c r="AD145" s="111">
        <v>0</v>
      </c>
      <c r="AE145" s="111">
        <v>0</v>
      </c>
      <c r="AF145" s="111">
        <v>0</v>
      </c>
      <c r="AG145" s="111">
        <v>0</v>
      </c>
      <c r="AH145" s="111">
        <v>0</v>
      </c>
      <c r="AI145" s="111">
        <v>0</v>
      </c>
      <c r="AJ145" s="111">
        <v>0</v>
      </c>
      <c r="AK145" s="111">
        <v>0</v>
      </c>
      <c r="AL145" s="111">
        <v>0</v>
      </c>
      <c r="AM145" s="111">
        <v>0</v>
      </c>
      <c r="AN145" s="111">
        <v>0</v>
      </c>
      <c r="AO145" s="111">
        <v>0</v>
      </c>
      <c r="AP145" s="111">
        <v>0</v>
      </c>
      <c r="AQ145" s="111">
        <v>0</v>
      </c>
      <c r="AR145" s="111">
        <v>0</v>
      </c>
      <c r="AS145" s="111">
        <v>0</v>
      </c>
      <c r="AT145" s="111">
        <v>0</v>
      </c>
      <c r="AU145" s="111">
        <v>0</v>
      </c>
      <c r="AV145" s="111">
        <v>0</v>
      </c>
      <c r="AW145" s="111">
        <v>0</v>
      </c>
      <c r="AX145" s="111">
        <v>0</v>
      </c>
      <c r="AY145" s="111">
        <v>0</v>
      </c>
    </row>
    <row r="146" spans="1:51" x14ac:dyDescent="0.2">
      <c r="A146" s="114"/>
      <c r="B146" s="132">
        <v>25</v>
      </c>
      <c r="C146" s="111">
        <v>0</v>
      </c>
      <c r="D146" s="111">
        <v>0</v>
      </c>
      <c r="E146" s="111">
        <v>0</v>
      </c>
      <c r="F146" s="111">
        <v>0</v>
      </c>
      <c r="G146" s="111">
        <v>0</v>
      </c>
      <c r="H146" s="111">
        <v>0</v>
      </c>
      <c r="I146" s="111">
        <v>0</v>
      </c>
      <c r="J146" s="111">
        <v>0</v>
      </c>
      <c r="K146" s="111">
        <v>0</v>
      </c>
      <c r="L146" s="111">
        <v>0</v>
      </c>
      <c r="M146" s="111">
        <v>0</v>
      </c>
      <c r="N146" s="111">
        <v>0</v>
      </c>
      <c r="O146" s="111">
        <v>0</v>
      </c>
      <c r="P146" s="111">
        <v>0</v>
      </c>
      <c r="Q146" s="111">
        <v>0</v>
      </c>
      <c r="R146" s="111">
        <v>0</v>
      </c>
      <c r="S146" s="111">
        <v>0</v>
      </c>
      <c r="T146" s="111">
        <v>0</v>
      </c>
      <c r="U146" s="111">
        <v>0</v>
      </c>
      <c r="V146" s="111">
        <v>0</v>
      </c>
      <c r="W146" s="111">
        <v>0</v>
      </c>
      <c r="X146" s="111">
        <v>0</v>
      </c>
      <c r="Y146" s="111">
        <v>0</v>
      </c>
      <c r="Z146" s="111">
        <v>0</v>
      </c>
      <c r="AA146" s="111">
        <v>0</v>
      </c>
      <c r="AB146" s="111">
        <v>0</v>
      </c>
      <c r="AC146" s="111">
        <v>0</v>
      </c>
      <c r="AD146" s="111">
        <v>0</v>
      </c>
      <c r="AE146" s="111">
        <v>0</v>
      </c>
      <c r="AF146" s="111">
        <v>0</v>
      </c>
      <c r="AG146" s="111">
        <v>0</v>
      </c>
      <c r="AH146" s="111">
        <v>0</v>
      </c>
      <c r="AI146" s="111">
        <v>0</v>
      </c>
      <c r="AJ146" s="111">
        <v>0</v>
      </c>
      <c r="AK146" s="111">
        <v>0</v>
      </c>
      <c r="AL146" s="111">
        <v>0</v>
      </c>
      <c r="AM146" s="111">
        <v>0</v>
      </c>
      <c r="AN146" s="111">
        <v>0</v>
      </c>
      <c r="AO146" s="111">
        <v>0</v>
      </c>
      <c r="AP146" s="111">
        <v>0</v>
      </c>
      <c r="AQ146" s="111">
        <v>0</v>
      </c>
      <c r="AR146" s="111">
        <v>0</v>
      </c>
      <c r="AS146" s="111">
        <v>0</v>
      </c>
      <c r="AT146" s="111">
        <v>0</v>
      </c>
      <c r="AU146" s="111">
        <v>0</v>
      </c>
      <c r="AV146" s="111">
        <v>0</v>
      </c>
      <c r="AW146" s="111">
        <v>0</v>
      </c>
      <c r="AX146" s="111">
        <v>0</v>
      </c>
      <c r="AY146" s="111">
        <v>0</v>
      </c>
    </row>
    <row r="147" spans="1:51" x14ac:dyDescent="0.2">
      <c r="A147" s="114"/>
      <c r="B147" s="132">
        <v>26</v>
      </c>
      <c r="C147" s="111">
        <v>0</v>
      </c>
      <c r="D147" s="111">
        <v>0</v>
      </c>
      <c r="E147" s="111">
        <v>0</v>
      </c>
      <c r="F147" s="111">
        <v>0</v>
      </c>
      <c r="G147" s="111">
        <v>0</v>
      </c>
      <c r="H147" s="111">
        <v>0</v>
      </c>
      <c r="I147" s="111">
        <v>0</v>
      </c>
      <c r="J147" s="111">
        <v>0</v>
      </c>
      <c r="K147" s="111">
        <v>0</v>
      </c>
      <c r="L147" s="111">
        <v>0</v>
      </c>
      <c r="M147" s="111">
        <v>0</v>
      </c>
      <c r="N147" s="111">
        <v>0</v>
      </c>
      <c r="O147" s="111">
        <v>0</v>
      </c>
      <c r="P147" s="111">
        <v>0</v>
      </c>
      <c r="Q147" s="111">
        <v>0</v>
      </c>
      <c r="R147" s="111">
        <v>0</v>
      </c>
      <c r="S147" s="111">
        <v>0</v>
      </c>
      <c r="T147" s="111">
        <v>0</v>
      </c>
      <c r="U147" s="111">
        <v>0</v>
      </c>
      <c r="V147" s="111">
        <v>0</v>
      </c>
      <c r="W147" s="111">
        <v>0</v>
      </c>
      <c r="X147" s="111">
        <v>0</v>
      </c>
      <c r="Y147" s="111">
        <v>0</v>
      </c>
      <c r="Z147" s="111">
        <v>0</v>
      </c>
      <c r="AA147" s="111">
        <v>0</v>
      </c>
      <c r="AB147" s="111">
        <v>0</v>
      </c>
      <c r="AC147" s="111">
        <v>0</v>
      </c>
      <c r="AD147" s="111">
        <v>0</v>
      </c>
      <c r="AE147" s="111">
        <v>0</v>
      </c>
      <c r="AF147" s="111">
        <v>0</v>
      </c>
      <c r="AG147" s="111">
        <v>0</v>
      </c>
      <c r="AH147" s="111">
        <v>0</v>
      </c>
      <c r="AI147" s="111">
        <v>0</v>
      </c>
      <c r="AJ147" s="111">
        <v>0</v>
      </c>
      <c r="AK147" s="111">
        <v>0</v>
      </c>
      <c r="AL147" s="111">
        <v>0</v>
      </c>
      <c r="AM147" s="111">
        <v>0</v>
      </c>
      <c r="AN147" s="111">
        <v>0</v>
      </c>
      <c r="AO147" s="111">
        <v>0</v>
      </c>
      <c r="AP147" s="111">
        <v>0</v>
      </c>
      <c r="AQ147" s="111">
        <v>0</v>
      </c>
      <c r="AR147" s="111">
        <v>0</v>
      </c>
      <c r="AS147" s="111">
        <v>0</v>
      </c>
      <c r="AT147" s="111">
        <v>0</v>
      </c>
      <c r="AU147" s="111">
        <v>0</v>
      </c>
      <c r="AV147" s="111">
        <v>0</v>
      </c>
      <c r="AW147" s="111">
        <v>0</v>
      </c>
      <c r="AX147" s="111">
        <v>0</v>
      </c>
      <c r="AY147" s="111">
        <v>0</v>
      </c>
    </row>
    <row r="148" spans="1:51" x14ac:dyDescent="0.2">
      <c r="A148" s="114"/>
      <c r="B148" s="132">
        <v>27</v>
      </c>
      <c r="C148" s="111">
        <v>0</v>
      </c>
      <c r="D148" s="111">
        <v>0</v>
      </c>
      <c r="E148" s="111">
        <v>0</v>
      </c>
      <c r="F148" s="111">
        <v>0</v>
      </c>
      <c r="G148" s="111">
        <v>0</v>
      </c>
      <c r="H148" s="111">
        <v>0</v>
      </c>
      <c r="I148" s="111">
        <v>0</v>
      </c>
      <c r="J148" s="111">
        <v>0</v>
      </c>
      <c r="K148" s="111">
        <v>0</v>
      </c>
      <c r="L148" s="111">
        <v>0</v>
      </c>
      <c r="M148" s="111">
        <v>0</v>
      </c>
      <c r="N148" s="111">
        <v>0</v>
      </c>
      <c r="O148" s="111">
        <v>0</v>
      </c>
      <c r="P148" s="111">
        <v>0</v>
      </c>
      <c r="Q148" s="111">
        <v>0</v>
      </c>
      <c r="R148" s="111">
        <v>0</v>
      </c>
      <c r="S148" s="111">
        <v>0</v>
      </c>
      <c r="T148" s="111">
        <v>0</v>
      </c>
      <c r="U148" s="111">
        <v>0</v>
      </c>
      <c r="V148" s="111">
        <v>0</v>
      </c>
      <c r="W148" s="111">
        <v>0</v>
      </c>
      <c r="X148" s="111">
        <v>0</v>
      </c>
      <c r="Y148" s="111">
        <v>0</v>
      </c>
      <c r="Z148" s="111">
        <v>0</v>
      </c>
      <c r="AA148" s="111">
        <v>0</v>
      </c>
      <c r="AB148" s="111">
        <v>0</v>
      </c>
      <c r="AC148" s="111">
        <v>0</v>
      </c>
      <c r="AD148" s="111">
        <v>0</v>
      </c>
      <c r="AE148" s="111">
        <v>0</v>
      </c>
      <c r="AF148" s="111">
        <v>0</v>
      </c>
      <c r="AG148" s="111">
        <v>0</v>
      </c>
      <c r="AH148" s="111">
        <v>0</v>
      </c>
      <c r="AI148" s="111">
        <v>0</v>
      </c>
      <c r="AJ148" s="111">
        <v>0</v>
      </c>
      <c r="AK148" s="111">
        <v>0</v>
      </c>
      <c r="AL148" s="111">
        <v>0</v>
      </c>
      <c r="AM148" s="111">
        <v>0</v>
      </c>
      <c r="AN148" s="111">
        <v>0</v>
      </c>
      <c r="AO148" s="111">
        <v>0</v>
      </c>
      <c r="AP148" s="111">
        <v>0</v>
      </c>
      <c r="AQ148" s="111">
        <v>0</v>
      </c>
      <c r="AR148" s="111">
        <v>0</v>
      </c>
      <c r="AS148" s="111">
        <v>0</v>
      </c>
      <c r="AT148" s="111">
        <v>0</v>
      </c>
      <c r="AU148" s="111">
        <v>0</v>
      </c>
      <c r="AV148" s="111">
        <v>0</v>
      </c>
      <c r="AW148" s="111">
        <v>0</v>
      </c>
      <c r="AX148" s="111">
        <v>0</v>
      </c>
      <c r="AY148" s="111">
        <v>0</v>
      </c>
    </row>
    <row r="149" spans="1:51" x14ac:dyDescent="0.2">
      <c r="A149" s="114"/>
      <c r="B149" s="132">
        <v>28</v>
      </c>
      <c r="C149" s="111">
        <v>0</v>
      </c>
      <c r="D149" s="111">
        <v>0</v>
      </c>
      <c r="E149" s="111">
        <v>0</v>
      </c>
      <c r="F149" s="111">
        <v>0</v>
      </c>
      <c r="G149" s="111">
        <v>0</v>
      </c>
      <c r="H149" s="111">
        <v>0</v>
      </c>
      <c r="I149" s="111">
        <v>0</v>
      </c>
      <c r="J149" s="111">
        <v>0</v>
      </c>
      <c r="K149" s="111">
        <v>0</v>
      </c>
      <c r="L149" s="111">
        <v>0</v>
      </c>
      <c r="M149" s="111">
        <v>0</v>
      </c>
      <c r="N149" s="111">
        <v>0</v>
      </c>
      <c r="O149" s="111">
        <v>0</v>
      </c>
      <c r="P149" s="111">
        <v>0</v>
      </c>
      <c r="Q149" s="111">
        <v>0</v>
      </c>
      <c r="R149" s="111">
        <v>0</v>
      </c>
      <c r="S149" s="111">
        <v>0</v>
      </c>
      <c r="T149" s="111">
        <v>0</v>
      </c>
      <c r="U149" s="111">
        <v>0</v>
      </c>
      <c r="V149" s="111">
        <v>0</v>
      </c>
      <c r="W149" s="111">
        <v>0</v>
      </c>
      <c r="X149" s="111">
        <v>0</v>
      </c>
      <c r="Y149" s="111">
        <v>0</v>
      </c>
      <c r="Z149" s="111">
        <v>0</v>
      </c>
      <c r="AA149" s="111">
        <v>0</v>
      </c>
      <c r="AB149" s="111">
        <v>0</v>
      </c>
      <c r="AC149" s="111">
        <v>0</v>
      </c>
      <c r="AD149" s="111">
        <v>0</v>
      </c>
      <c r="AE149" s="111">
        <v>0</v>
      </c>
      <c r="AF149" s="111">
        <v>0</v>
      </c>
      <c r="AG149" s="111">
        <v>0</v>
      </c>
      <c r="AH149" s="111">
        <v>0</v>
      </c>
      <c r="AI149" s="111">
        <v>0</v>
      </c>
      <c r="AJ149" s="111">
        <v>0</v>
      </c>
      <c r="AK149" s="111">
        <v>0</v>
      </c>
      <c r="AL149" s="111">
        <v>0</v>
      </c>
      <c r="AM149" s="111">
        <v>0</v>
      </c>
      <c r="AN149" s="111">
        <v>0</v>
      </c>
      <c r="AO149" s="111">
        <v>0</v>
      </c>
      <c r="AP149" s="111">
        <v>0</v>
      </c>
      <c r="AQ149" s="111">
        <v>0</v>
      </c>
      <c r="AR149" s="111">
        <v>0</v>
      </c>
      <c r="AS149" s="111">
        <v>0</v>
      </c>
      <c r="AT149" s="111">
        <v>0</v>
      </c>
      <c r="AU149" s="111">
        <v>0</v>
      </c>
      <c r="AV149" s="111">
        <v>0</v>
      </c>
      <c r="AW149" s="111">
        <v>0</v>
      </c>
      <c r="AX149" s="111">
        <v>0</v>
      </c>
      <c r="AY149" s="111">
        <v>0</v>
      </c>
    </row>
    <row r="150" spans="1:51" x14ac:dyDescent="0.2">
      <c r="A150" s="114"/>
      <c r="B150" s="132">
        <v>29</v>
      </c>
      <c r="C150" s="111">
        <v>0</v>
      </c>
      <c r="D150" s="111">
        <v>0</v>
      </c>
      <c r="E150" s="111">
        <v>0</v>
      </c>
      <c r="F150" s="111">
        <v>0</v>
      </c>
      <c r="G150" s="111">
        <v>0</v>
      </c>
      <c r="H150" s="111">
        <v>0</v>
      </c>
      <c r="I150" s="111">
        <v>0</v>
      </c>
      <c r="J150" s="111">
        <v>0</v>
      </c>
      <c r="K150" s="111">
        <v>0</v>
      </c>
      <c r="L150" s="111">
        <v>0</v>
      </c>
      <c r="M150" s="111">
        <v>0</v>
      </c>
      <c r="N150" s="111">
        <v>0</v>
      </c>
      <c r="O150" s="111">
        <v>0</v>
      </c>
      <c r="P150" s="111">
        <v>0</v>
      </c>
      <c r="Q150" s="111">
        <v>0</v>
      </c>
      <c r="R150" s="111">
        <v>0</v>
      </c>
      <c r="S150" s="111">
        <v>0</v>
      </c>
      <c r="T150" s="111">
        <v>0</v>
      </c>
      <c r="U150" s="111">
        <v>0</v>
      </c>
      <c r="V150" s="111">
        <v>0</v>
      </c>
      <c r="W150" s="111">
        <v>0</v>
      </c>
      <c r="X150" s="111">
        <v>0</v>
      </c>
      <c r="Y150" s="111">
        <v>0</v>
      </c>
      <c r="Z150" s="111">
        <v>0</v>
      </c>
      <c r="AA150" s="111">
        <v>0</v>
      </c>
      <c r="AB150" s="111">
        <v>0</v>
      </c>
      <c r="AC150" s="111">
        <v>0</v>
      </c>
      <c r="AD150" s="111">
        <v>0</v>
      </c>
      <c r="AE150" s="111">
        <v>0</v>
      </c>
      <c r="AF150" s="111">
        <v>0</v>
      </c>
      <c r="AG150" s="111">
        <v>0</v>
      </c>
      <c r="AH150" s="111">
        <v>0</v>
      </c>
      <c r="AI150" s="111">
        <v>0</v>
      </c>
      <c r="AJ150" s="111">
        <v>0</v>
      </c>
      <c r="AK150" s="111">
        <v>0</v>
      </c>
      <c r="AL150" s="111">
        <v>0</v>
      </c>
      <c r="AM150" s="111">
        <v>0</v>
      </c>
      <c r="AN150" s="111">
        <v>0</v>
      </c>
      <c r="AO150" s="111">
        <v>0</v>
      </c>
      <c r="AP150" s="111">
        <v>0</v>
      </c>
      <c r="AQ150" s="111">
        <v>0</v>
      </c>
      <c r="AR150" s="111">
        <v>0</v>
      </c>
      <c r="AS150" s="111">
        <v>0</v>
      </c>
      <c r="AT150" s="111">
        <v>0</v>
      </c>
      <c r="AU150" s="111">
        <v>0</v>
      </c>
      <c r="AV150" s="111">
        <v>0</v>
      </c>
      <c r="AW150" s="111">
        <v>0</v>
      </c>
      <c r="AX150" s="111">
        <v>0</v>
      </c>
      <c r="AY150" s="111">
        <v>0</v>
      </c>
    </row>
    <row r="151" spans="1:51" x14ac:dyDescent="0.2">
      <c r="A151" s="114"/>
      <c r="B151" s="132">
        <v>30</v>
      </c>
      <c r="C151" s="111">
        <v>0</v>
      </c>
      <c r="D151" s="111">
        <v>0</v>
      </c>
      <c r="E151" s="111">
        <v>0</v>
      </c>
      <c r="F151" s="111">
        <v>0</v>
      </c>
      <c r="G151" s="111">
        <v>0</v>
      </c>
      <c r="H151" s="111">
        <v>0</v>
      </c>
      <c r="I151" s="111">
        <v>0</v>
      </c>
      <c r="J151" s="111">
        <v>0</v>
      </c>
      <c r="K151" s="111">
        <v>0</v>
      </c>
      <c r="L151" s="111">
        <v>0</v>
      </c>
      <c r="M151" s="111">
        <v>0</v>
      </c>
      <c r="N151" s="111">
        <v>0</v>
      </c>
      <c r="O151" s="111">
        <v>0</v>
      </c>
      <c r="P151" s="111">
        <v>0</v>
      </c>
      <c r="Q151" s="111">
        <v>0</v>
      </c>
      <c r="R151" s="111">
        <v>0</v>
      </c>
      <c r="S151" s="111">
        <v>0</v>
      </c>
      <c r="T151" s="111">
        <v>0</v>
      </c>
      <c r="U151" s="111">
        <v>0</v>
      </c>
      <c r="V151" s="111">
        <v>0</v>
      </c>
      <c r="W151" s="111">
        <v>0</v>
      </c>
      <c r="X151" s="111">
        <v>0</v>
      </c>
      <c r="Y151" s="111">
        <v>0</v>
      </c>
      <c r="Z151" s="111">
        <v>0</v>
      </c>
      <c r="AA151" s="111">
        <v>0</v>
      </c>
      <c r="AB151" s="111">
        <v>0</v>
      </c>
      <c r="AC151" s="111">
        <v>0</v>
      </c>
      <c r="AD151" s="111">
        <v>0</v>
      </c>
      <c r="AE151" s="111">
        <v>0</v>
      </c>
      <c r="AF151" s="111">
        <v>0</v>
      </c>
      <c r="AG151" s="111">
        <v>0</v>
      </c>
      <c r="AH151" s="111">
        <v>0</v>
      </c>
      <c r="AI151" s="111">
        <v>0</v>
      </c>
      <c r="AJ151" s="111">
        <v>0</v>
      </c>
      <c r="AK151" s="111">
        <v>0</v>
      </c>
      <c r="AL151" s="111">
        <v>0</v>
      </c>
      <c r="AM151" s="111">
        <v>0</v>
      </c>
      <c r="AN151" s="111">
        <v>0</v>
      </c>
      <c r="AO151" s="111">
        <v>0</v>
      </c>
      <c r="AP151" s="111">
        <v>0</v>
      </c>
      <c r="AQ151" s="111">
        <v>0</v>
      </c>
      <c r="AR151" s="111">
        <v>0</v>
      </c>
      <c r="AS151" s="111">
        <v>0</v>
      </c>
      <c r="AT151" s="111">
        <v>0</v>
      </c>
      <c r="AU151" s="111">
        <v>0</v>
      </c>
      <c r="AV151" s="111">
        <v>0</v>
      </c>
      <c r="AW151" s="111">
        <v>0</v>
      </c>
      <c r="AX151" s="111">
        <v>0</v>
      </c>
      <c r="AY151" s="111">
        <v>0</v>
      </c>
    </row>
    <row r="152" spans="1:51" x14ac:dyDescent="0.2">
      <c r="A152" s="114"/>
      <c r="B152" s="132">
        <v>31</v>
      </c>
      <c r="C152" s="111">
        <v>0</v>
      </c>
      <c r="D152" s="111">
        <v>0</v>
      </c>
      <c r="E152" s="111">
        <v>0</v>
      </c>
      <c r="F152" s="111">
        <v>0</v>
      </c>
      <c r="G152" s="111">
        <v>0</v>
      </c>
      <c r="H152" s="111">
        <v>0</v>
      </c>
      <c r="I152" s="111">
        <v>0</v>
      </c>
      <c r="J152" s="111">
        <v>0</v>
      </c>
      <c r="K152" s="111">
        <v>0</v>
      </c>
      <c r="L152" s="111">
        <v>0</v>
      </c>
      <c r="M152" s="111">
        <v>0</v>
      </c>
      <c r="N152" s="111">
        <v>0</v>
      </c>
      <c r="O152" s="111">
        <v>0</v>
      </c>
      <c r="P152" s="111">
        <v>0</v>
      </c>
      <c r="Q152" s="111">
        <v>0</v>
      </c>
      <c r="R152" s="111">
        <v>0</v>
      </c>
      <c r="S152" s="111">
        <v>0</v>
      </c>
      <c r="T152" s="111">
        <v>0</v>
      </c>
      <c r="U152" s="111">
        <v>0</v>
      </c>
      <c r="V152" s="111">
        <v>0</v>
      </c>
      <c r="W152" s="111">
        <v>0</v>
      </c>
      <c r="X152" s="111">
        <v>0</v>
      </c>
      <c r="Y152" s="111">
        <v>0</v>
      </c>
      <c r="Z152" s="111">
        <v>0</v>
      </c>
      <c r="AA152" s="111">
        <v>0</v>
      </c>
      <c r="AB152" s="111">
        <v>0</v>
      </c>
      <c r="AC152" s="111">
        <v>0</v>
      </c>
      <c r="AD152" s="111">
        <v>0</v>
      </c>
      <c r="AE152" s="111">
        <v>0</v>
      </c>
      <c r="AF152" s="111">
        <v>0</v>
      </c>
      <c r="AG152" s="111">
        <v>0</v>
      </c>
      <c r="AH152" s="111">
        <v>0</v>
      </c>
      <c r="AI152" s="111">
        <v>0</v>
      </c>
      <c r="AJ152" s="111">
        <v>0</v>
      </c>
      <c r="AK152" s="111">
        <v>0</v>
      </c>
      <c r="AL152" s="111">
        <v>0</v>
      </c>
      <c r="AM152" s="111">
        <v>0</v>
      </c>
      <c r="AN152" s="111">
        <v>0</v>
      </c>
      <c r="AO152" s="111">
        <v>0</v>
      </c>
      <c r="AP152" s="111">
        <v>0</v>
      </c>
      <c r="AQ152" s="111">
        <v>0</v>
      </c>
      <c r="AR152" s="111">
        <v>0</v>
      </c>
      <c r="AS152" s="111">
        <v>0</v>
      </c>
      <c r="AT152" s="111">
        <v>0</v>
      </c>
      <c r="AU152" s="111">
        <v>0</v>
      </c>
      <c r="AV152" s="111">
        <v>0</v>
      </c>
      <c r="AW152" s="111">
        <v>0</v>
      </c>
      <c r="AX152" s="111">
        <v>0</v>
      </c>
      <c r="AY152" s="111">
        <v>0</v>
      </c>
    </row>
    <row r="153" spans="1:51" x14ac:dyDescent="0.2">
      <c r="A153" s="114"/>
      <c r="B153" s="132">
        <v>32</v>
      </c>
      <c r="C153" s="111">
        <v>0</v>
      </c>
      <c r="D153" s="111">
        <v>0</v>
      </c>
      <c r="E153" s="111">
        <v>0</v>
      </c>
      <c r="F153" s="111">
        <v>0</v>
      </c>
      <c r="G153" s="111">
        <v>0</v>
      </c>
      <c r="H153" s="111">
        <v>0</v>
      </c>
      <c r="I153" s="111">
        <v>0</v>
      </c>
      <c r="J153" s="111">
        <v>0</v>
      </c>
      <c r="K153" s="111">
        <v>0</v>
      </c>
      <c r="L153" s="111">
        <v>0</v>
      </c>
      <c r="M153" s="111">
        <v>0</v>
      </c>
      <c r="N153" s="111">
        <v>0</v>
      </c>
      <c r="O153" s="111">
        <v>0</v>
      </c>
      <c r="P153" s="111">
        <v>0</v>
      </c>
      <c r="Q153" s="111">
        <v>0</v>
      </c>
      <c r="R153" s="111">
        <v>0</v>
      </c>
      <c r="S153" s="111">
        <v>0</v>
      </c>
      <c r="T153" s="111">
        <v>0</v>
      </c>
      <c r="U153" s="111">
        <v>0</v>
      </c>
      <c r="V153" s="111">
        <v>0</v>
      </c>
      <c r="W153" s="111">
        <v>0</v>
      </c>
      <c r="X153" s="111">
        <v>0</v>
      </c>
      <c r="Y153" s="111">
        <v>0</v>
      </c>
      <c r="Z153" s="111">
        <v>0</v>
      </c>
      <c r="AA153" s="111">
        <v>0</v>
      </c>
      <c r="AB153" s="111">
        <v>0</v>
      </c>
      <c r="AC153" s="111">
        <v>0</v>
      </c>
      <c r="AD153" s="111">
        <v>0</v>
      </c>
      <c r="AE153" s="111">
        <v>0</v>
      </c>
      <c r="AF153" s="111">
        <v>0</v>
      </c>
      <c r="AG153" s="111">
        <v>0</v>
      </c>
      <c r="AH153" s="111">
        <v>0</v>
      </c>
      <c r="AI153" s="111">
        <v>0</v>
      </c>
      <c r="AJ153" s="111">
        <v>0</v>
      </c>
      <c r="AK153" s="111">
        <v>0</v>
      </c>
      <c r="AL153" s="111">
        <v>0</v>
      </c>
      <c r="AM153" s="111">
        <v>0</v>
      </c>
      <c r="AN153" s="111">
        <v>0</v>
      </c>
      <c r="AO153" s="111">
        <v>0</v>
      </c>
      <c r="AP153" s="111">
        <v>0</v>
      </c>
      <c r="AQ153" s="111">
        <v>0</v>
      </c>
      <c r="AR153" s="111">
        <v>0</v>
      </c>
      <c r="AS153" s="111">
        <v>0</v>
      </c>
      <c r="AT153" s="111">
        <v>0</v>
      </c>
      <c r="AU153" s="111">
        <v>0</v>
      </c>
      <c r="AV153" s="111">
        <v>0</v>
      </c>
      <c r="AW153" s="111">
        <v>0</v>
      </c>
      <c r="AX153" s="111">
        <v>0</v>
      </c>
      <c r="AY153" s="111">
        <v>0</v>
      </c>
    </row>
    <row r="154" spans="1:51" x14ac:dyDescent="0.2">
      <c r="A154" s="114"/>
      <c r="B154" s="132">
        <v>33</v>
      </c>
      <c r="C154" s="111">
        <v>0</v>
      </c>
      <c r="D154" s="111">
        <v>0</v>
      </c>
      <c r="E154" s="111">
        <v>0</v>
      </c>
      <c r="F154" s="111">
        <v>0</v>
      </c>
      <c r="G154" s="111">
        <v>0</v>
      </c>
      <c r="H154" s="111">
        <v>0</v>
      </c>
      <c r="I154" s="111">
        <v>0</v>
      </c>
      <c r="J154" s="111">
        <v>0</v>
      </c>
      <c r="K154" s="111">
        <v>0</v>
      </c>
      <c r="L154" s="111">
        <v>0</v>
      </c>
      <c r="M154" s="111">
        <v>0</v>
      </c>
      <c r="N154" s="111">
        <v>0</v>
      </c>
      <c r="O154" s="111">
        <v>0</v>
      </c>
      <c r="P154" s="111">
        <v>0</v>
      </c>
      <c r="Q154" s="111">
        <v>0</v>
      </c>
      <c r="R154" s="111">
        <v>0</v>
      </c>
      <c r="S154" s="111">
        <v>0</v>
      </c>
      <c r="T154" s="111">
        <v>0</v>
      </c>
      <c r="U154" s="111">
        <v>0</v>
      </c>
      <c r="V154" s="111">
        <v>0</v>
      </c>
      <c r="W154" s="111">
        <v>0</v>
      </c>
      <c r="X154" s="111">
        <v>0</v>
      </c>
      <c r="Y154" s="111">
        <v>0</v>
      </c>
      <c r="Z154" s="111">
        <v>0</v>
      </c>
      <c r="AA154" s="111">
        <v>0</v>
      </c>
      <c r="AB154" s="111">
        <v>0</v>
      </c>
      <c r="AC154" s="111">
        <v>0</v>
      </c>
      <c r="AD154" s="111">
        <v>0</v>
      </c>
      <c r="AE154" s="111">
        <v>0</v>
      </c>
      <c r="AF154" s="111">
        <v>0</v>
      </c>
      <c r="AG154" s="111">
        <v>0</v>
      </c>
      <c r="AH154" s="111">
        <v>0</v>
      </c>
      <c r="AI154" s="111">
        <v>0</v>
      </c>
      <c r="AJ154" s="111">
        <v>0</v>
      </c>
      <c r="AK154" s="111">
        <v>0</v>
      </c>
      <c r="AL154" s="111">
        <v>0</v>
      </c>
      <c r="AM154" s="111">
        <v>0</v>
      </c>
      <c r="AN154" s="111">
        <v>0</v>
      </c>
      <c r="AO154" s="111">
        <v>0</v>
      </c>
      <c r="AP154" s="111">
        <v>0</v>
      </c>
      <c r="AQ154" s="111">
        <v>0</v>
      </c>
      <c r="AR154" s="111">
        <v>0</v>
      </c>
      <c r="AS154" s="111">
        <v>0</v>
      </c>
      <c r="AT154" s="111">
        <v>0</v>
      </c>
      <c r="AU154" s="111">
        <v>0</v>
      </c>
      <c r="AV154" s="111">
        <v>0</v>
      </c>
      <c r="AW154" s="111">
        <v>0</v>
      </c>
      <c r="AX154" s="111">
        <v>0</v>
      </c>
      <c r="AY154" s="111">
        <v>0</v>
      </c>
    </row>
    <row r="155" spans="1:51" x14ac:dyDescent="0.2">
      <c r="A155" s="114"/>
      <c r="B155" s="132">
        <v>34</v>
      </c>
      <c r="C155" s="111">
        <v>0</v>
      </c>
      <c r="D155" s="111">
        <v>0</v>
      </c>
      <c r="E155" s="111">
        <v>0</v>
      </c>
      <c r="F155" s="111">
        <v>0</v>
      </c>
      <c r="G155" s="111">
        <v>0</v>
      </c>
      <c r="H155" s="111">
        <v>0</v>
      </c>
      <c r="I155" s="111">
        <v>0</v>
      </c>
      <c r="J155" s="111">
        <v>0</v>
      </c>
      <c r="K155" s="111">
        <v>0</v>
      </c>
      <c r="L155" s="111">
        <v>0</v>
      </c>
      <c r="M155" s="111">
        <v>0</v>
      </c>
      <c r="N155" s="111">
        <v>0</v>
      </c>
      <c r="O155" s="111">
        <v>0</v>
      </c>
      <c r="P155" s="111">
        <v>0</v>
      </c>
      <c r="Q155" s="111">
        <v>0</v>
      </c>
      <c r="R155" s="111">
        <v>0</v>
      </c>
      <c r="S155" s="111">
        <v>0</v>
      </c>
      <c r="T155" s="111">
        <v>0</v>
      </c>
      <c r="U155" s="111">
        <v>0</v>
      </c>
      <c r="V155" s="111">
        <v>0</v>
      </c>
      <c r="W155" s="111">
        <v>0</v>
      </c>
      <c r="X155" s="111">
        <v>0</v>
      </c>
      <c r="Y155" s="111">
        <v>0</v>
      </c>
      <c r="Z155" s="111">
        <v>0</v>
      </c>
      <c r="AA155" s="111">
        <v>0</v>
      </c>
      <c r="AB155" s="111">
        <v>0</v>
      </c>
      <c r="AC155" s="111">
        <v>0</v>
      </c>
      <c r="AD155" s="111">
        <v>0</v>
      </c>
      <c r="AE155" s="111">
        <v>0</v>
      </c>
      <c r="AF155" s="111">
        <v>0</v>
      </c>
      <c r="AG155" s="111">
        <v>0</v>
      </c>
      <c r="AH155" s="111">
        <v>0</v>
      </c>
      <c r="AI155" s="111">
        <v>0</v>
      </c>
      <c r="AJ155" s="111">
        <v>0</v>
      </c>
      <c r="AK155" s="111">
        <v>0</v>
      </c>
      <c r="AL155" s="111">
        <v>0</v>
      </c>
      <c r="AM155" s="111">
        <v>0</v>
      </c>
      <c r="AN155" s="111">
        <v>0</v>
      </c>
      <c r="AO155" s="111">
        <v>0</v>
      </c>
      <c r="AP155" s="111">
        <v>0</v>
      </c>
      <c r="AQ155" s="111">
        <v>0</v>
      </c>
      <c r="AR155" s="111">
        <v>0</v>
      </c>
      <c r="AS155" s="111">
        <v>0</v>
      </c>
      <c r="AT155" s="111">
        <v>0</v>
      </c>
      <c r="AU155" s="111">
        <v>0</v>
      </c>
      <c r="AV155" s="111">
        <v>0</v>
      </c>
      <c r="AW155" s="111">
        <v>0</v>
      </c>
      <c r="AX155" s="111">
        <v>0</v>
      </c>
      <c r="AY155" s="111">
        <v>0</v>
      </c>
    </row>
    <row r="156" spans="1:51" x14ac:dyDescent="0.2">
      <c r="A156" s="114"/>
      <c r="B156" s="132">
        <v>35</v>
      </c>
      <c r="C156" s="111">
        <v>0</v>
      </c>
      <c r="D156" s="111">
        <v>0</v>
      </c>
      <c r="E156" s="111">
        <v>0</v>
      </c>
      <c r="F156" s="111">
        <v>0</v>
      </c>
      <c r="G156" s="111">
        <v>0</v>
      </c>
      <c r="H156" s="111">
        <v>0</v>
      </c>
      <c r="I156" s="111">
        <v>0</v>
      </c>
      <c r="J156" s="111">
        <v>0</v>
      </c>
      <c r="K156" s="111">
        <v>0</v>
      </c>
      <c r="L156" s="111">
        <v>0</v>
      </c>
      <c r="M156" s="111">
        <v>0</v>
      </c>
      <c r="N156" s="111">
        <v>0</v>
      </c>
      <c r="O156" s="111">
        <v>0</v>
      </c>
      <c r="P156" s="111">
        <v>0</v>
      </c>
      <c r="Q156" s="111">
        <v>0</v>
      </c>
      <c r="R156" s="111">
        <v>0</v>
      </c>
      <c r="S156" s="111">
        <v>0</v>
      </c>
      <c r="T156" s="111">
        <v>0</v>
      </c>
      <c r="U156" s="111">
        <v>0</v>
      </c>
      <c r="V156" s="111">
        <v>0</v>
      </c>
      <c r="W156" s="111">
        <v>0</v>
      </c>
      <c r="X156" s="111">
        <v>0</v>
      </c>
      <c r="Y156" s="111">
        <v>0</v>
      </c>
      <c r="Z156" s="111">
        <v>0</v>
      </c>
      <c r="AA156" s="111">
        <v>0</v>
      </c>
      <c r="AB156" s="111">
        <v>0</v>
      </c>
      <c r="AC156" s="111">
        <v>0</v>
      </c>
      <c r="AD156" s="111">
        <v>0</v>
      </c>
      <c r="AE156" s="111">
        <v>0</v>
      </c>
      <c r="AF156" s="111">
        <v>0</v>
      </c>
      <c r="AG156" s="111">
        <v>0</v>
      </c>
      <c r="AH156" s="111">
        <v>0</v>
      </c>
      <c r="AI156" s="111">
        <v>0</v>
      </c>
      <c r="AJ156" s="111">
        <v>0</v>
      </c>
      <c r="AK156" s="111">
        <v>0</v>
      </c>
      <c r="AL156" s="111">
        <v>0</v>
      </c>
      <c r="AM156" s="111">
        <v>0</v>
      </c>
      <c r="AN156" s="111">
        <v>0</v>
      </c>
      <c r="AO156" s="111">
        <v>0</v>
      </c>
      <c r="AP156" s="111">
        <v>0</v>
      </c>
      <c r="AQ156" s="111">
        <v>0</v>
      </c>
      <c r="AR156" s="111">
        <v>0</v>
      </c>
      <c r="AS156" s="111">
        <v>0</v>
      </c>
      <c r="AT156" s="111">
        <v>0</v>
      </c>
      <c r="AU156" s="111">
        <v>0</v>
      </c>
      <c r="AV156" s="111">
        <v>0</v>
      </c>
      <c r="AW156" s="111">
        <v>0</v>
      </c>
      <c r="AX156" s="111">
        <v>0</v>
      </c>
      <c r="AY156" s="111">
        <v>0</v>
      </c>
    </row>
    <row r="157" spans="1:51" x14ac:dyDescent="0.2">
      <c r="A157" s="114"/>
      <c r="B157" s="132">
        <v>36</v>
      </c>
      <c r="C157" s="111">
        <v>0</v>
      </c>
      <c r="D157" s="111">
        <v>0</v>
      </c>
      <c r="E157" s="111">
        <v>0</v>
      </c>
      <c r="F157" s="111">
        <v>0</v>
      </c>
      <c r="G157" s="111">
        <v>0</v>
      </c>
      <c r="H157" s="111">
        <v>0</v>
      </c>
      <c r="I157" s="111">
        <v>0</v>
      </c>
      <c r="J157" s="111">
        <v>0</v>
      </c>
      <c r="K157" s="111">
        <v>0</v>
      </c>
      <c r="L157" s="111">
        <v>0</v>
      </c>
      <c r="M157" s="111">
        <v>0</v>
      </c>
      <c r="N157" s="111">
        <v>0</v>
      </c>
      <c r="O157" s="111">
        <v>0</v>
      </c>
      <c r="P157" s="111">
        <v>0</v>
      </c>
      <c r="Q157" s="111">
        <v>0</v>
      </c>
      <c r="R157" s="111">
        <v>0</v>
      </c>
      <c r="S157" s="111">
        <v>0</v>
      </c>
      <c r="T157" s="111">
        <v>0</v>
      </c>
      <c r="U157" s="111">
        <v>0</v>
      </c>
      <c r="V157" s="111">
        <v>0</v>
      </c>
      <c r="W157" s="111">
        <v>0</v>
      </c>
      <c r="X157" s="111">
        <v>0</v>
      </c>
      <c r="Y157" s="111">
        <v>0</v>
      </c>
      <c r="Z157" s="111">
        <v>0</v>
      </c>
      <c r="AA157" s="111">
        <v>0</v>
      </c>
      <c r="AB157" s="111">
        <v>0</v>
      </c>
      <c r="AC157" s="111">
        <v>0</v>
      </c>
      <c r="AD157" s="111">
        <v>0</v>
      </c>
      <c r="AE157" s="111">
        <v>0</v>
      </c>
      <c r="AF157" s="111">
        <v>0</v>
      </c>
      <c r="AG157" s="111">
        <v>0</v>
      </c>
      <c r="AH157" s="111">
        <v>0</v>
      </c>
      <c r="AI157" s="111">
        <v>0</v>
      </c>
      <c r="AJ157" s="111">
        <v>0</v>
      </c>
      <c r="AK157" s="111">
        <v>0</v>
      </c>
      <c r="AL157" s="111">
        <v>0</v>
      </c>
      <c r="AM157" s="111">
        <v>0</v>
      </c>
      <c r="AN157" s="111">
        <v>0</v>
      </c>
      <c r="AO157" s="111">
        <v>0</v>
      </c>
      <c r="AP157" s="111">
        <v>0</v>
      </c>
      <c r="AQ157" s="111">
        <v>0</v>
      </c>
      <c r="AR157" s="111">
        <v>0</v>
      </c>
      <c r="AS157" s="111">
        <v>0</v>
      </c>
      <c r="AT157" s="111">
        <v>0</v>
      </c>
      <c r="AU157" s="111">
        <v>0</v>
      </c>
      <c r="AV157" s="111">
        <v>0</v>
      </c>
      <c r="AW157" s="111">
        <v>0</v>
      </c>
      <c r="AX157" s="111">
        <v>0</v>
      </c>
      <c r="AY157" s="111">
        <v>0</v>
      </c>
    </row>
    <row r="158" spans="1:51" x14ac:dyDescent="0.2">
      <c r="A158" s="114"/>
      <c r="B158" s="135">
        <v>37</v>
      </c>
      <c r="C158" s="111">
        <v>0</v>
      </c>
      <c r="D158" s="111">
        <v>0</v>
      </c>
      <c r="E158" s="111">
        <v>0</v>
      </c>
      <c r="F158" s="111">
        <v>0</v>
      </c>
      <c r="G158" s="111">
        <v>0</v>
      </c>
      <c r="H158" s="111">
        <v>0</v>
      </c>
      <c r="I158" s="111">
        <v>0</v>
      </c>
      <c r="J158" s="111">
        <v>0</v>
      </c>
      <c r="K158" s="111">
        <v>0</v>
      </c>
      <c r="L158" s="111">
        <v>0</v>
      </c>
      <c r="M158" s="111">
        <v>0</v>
      </c>
      <c r="N158" s="111">
        <v>0</v>
      </c>
      <c r="O158" s="111">
        <v>0</v>
      </c>
      <c r="P158" s="111">
        <v>0</v>
      </c>
      <c r="Q158" s="111">
        <v>0</v>
      </c>
      <c r="R158" s="111">
        <v>0</v>
      </c>
      <c r="S158" s="111">
        <v>0</v>
      </c>
      <c r="T158" s="111">
        <v>0</v>
      </c>
      <c r="U158" s="111">
        <v>0</v>
      </c>
      <c r="V158" s="111">
        <v>0</v>
      </c>
      <c r="W158" s="111">
        <v>0</v>
      </c>
      <c r="X158" s="111">
        <v>0</v>
      </c>
      <c r="Y158" s="111">
        <v>0</v>
      </c>
      <c r="Z158" s="111">
        <v>0</v>
      </c>
      <c r="AA158" s="111">
        <v>0</v>
      </c>
      <c r="AB158" s="111">
        <v>0</v>
      </c>
      <c r="AC158" s="111">
        <v>0</v>
      </c>
      <c r="AD158" s="111">
        <v>0</v>
      </c>
      <c r="AE158" s="111">
        <v>0</v>
      </c>
      <c r="AF158" s="111">
        <v>0</v>
      </c>
      <c r="AG158" s="111">
        <v>0</v>
      </c>
      <c r="AH158" s="111">
        <v>0</v>
      </c>
      <c r="AI158" s="111">
        <v>0</v>
      </c>
      <c r="AJ158" s="111">
        <v>0</v>
      </c>
      <c r="AK158" s="111">
        <v>0</v>
      </c>
      <c r="AL158" s="111">
        <v>0</v>
      </c>
      <c r="AM158" s="111">
        <v>0</v>
      </c>
      <c r="AN158" s="111">
        <v>0</v>
      </c>
      <c r="AO158" s="111">
        <v>0</v>
      </c>
      <c r="AP158" s="111">
        <v>0</v>
      </c>
      <c r="AQ158" s="111">
        <v>0</v>
      </c>
      <c r="AR158" s="111">
        <v>0</v>
      </c>
      <c r="AS158" s="111">
        <v>0</v>
      </c>
      <c r="AT158" s="111">
        <v>0</v>
      </c>
      <c r="AU158" s="111">
        <v>0</v>
      </c>
      <c r="AV158" s="111">
        <v>0</v>
      </c>
      <c r="AW158" s="111">
        <v>0</v>
      </c>
      <c r="AX158" s="111">
        <v>0</v>
      </c>
      <c r="AY158" s="111">
        <v>0</v>
      </c>
    </row>
    <row r="159" spans="1:51" x14ac:dyDescent="0.2">
      <c r="A159" s="114"/>
      <c r="B159" s="135">
        <v>38</v>
      </c>
      <c r="C159" s="111">
        <v>0</v>
      </c>
      <c r="D159" s="111">
        <v>0</v>
      </c>
      <c r="E159" s="111">
        <v>0</v>
      </c>
      <c r="F159" s="111">
        <v>0</v>
      </c>
      <c r="G159" s="111">
        <v>0</v>
      </c>
      <c r="H159" s="111">
        <v>0</v>
      </c>
      <c r="I159" s="111">
        <v>0</v>
      </c>
      <c r="J159" s="111">
        <v>0</v>
      </c>
      <c r="K159" s="111">
        <v>0</v>
      </c>
      <c r="L159" s="111">
        <v>0</v>
      </c>
      <c r="M159" s="111">
        <v>0</v>
      </c>
      <c r="N159" s="111">
        <v>0</v>
      </c>
      <c r="O159" s="111">
        <v>0</v>
      </c>
      <c r="P159" s="111">
        <v>0</v>
      </c>
      <c r="Q159" s="111">
        <v>0</v>
      </c>
      <c r="R159" s="111">
        <v>0</v>
      </c>
      <c r="S159" s="111">
        <v>0</v>
      </c>
      <c r="T159" s="111">
        <v>0</v>
      </c>
      <c r="U159" s="111">
        <v>0</v>
      </c>
      <c r="V159" s="111">
        <v>0</v>
      </c>
      <c r="W159" s="111">
        <v>0</v>
      </c>
      <c r="X159" s="111">
        <v>0</v>
      </c>
      <c r="Y159" s="111">
        <v>0</v>
      </c>
      <c r="Z159" s="111">
        <v>0</v>
      </c>
      <c r="AA159" s="111">
        <v>0</v>
      </c>
      <c r="AB159" s="111">
        <v>0</v>
      </c>
      <c r="AC159" s="111">
        <v>0</v>
      </c>
      <c r="AD159" s="111">
        <v>0</v>
      </c>
      <c r="AE159" s="111">
        <v>0</v>
      </c>
      <c r="AF159" s="111">
        <v>0</v>
      </c>
      <c r="AG159" s="111">
        <v>0</v>
      </c>
      <c r="AH159" s="111">
        <v>0</v>
      </c>
      <c r="AI159" s="111">
        <v>0</v>
      </c>
      <c r="AJ159" s="111">
        <v>0</v>
      </c>
      <c r="AK159" s="111">
        <v>0</v>
      </c>
      <c r="AL159" s="111">
        <v>0</v>
      </c>
      <c r="AM159" s="111">
        <v>0</v>
      </c>
      <c r="AN159" s="111">
        <v>0</v>
      </c>
      <c r="AO159" s="111">
        <v>0</v>
      </c>
      <c r="AP159" s="111">
        <v>0</v>
      </c>
      <c r="AQ159" s="111">
        <v>0</v>
      </c>
      <c r="AR159" s="111">
        <v>0</v>
      </c>
      <c r="AS159" s="111">
        <v>0</v>
      </c>
      <c r="AT159" s="111">
        <v>0</v>
      </c>
      <c r="AU159" s="111">
        <v>0</v>
      </c>
      <c r="AV159" s="111">
        <v>0</v>
      </c>
      <c r="AW159" s="111">
        <v>0</v>
      </c>
      <c r="AX159" s="111">
        <v>0</v>
      </c>
      <c r="AY159" s="111">
        <v>0</v>
      </c>
    </row>
    <row r="160" spans="1:51" x14ac:dyDescent="0.2">
      <c r="A160" s="114"/>
      <c r="B160" s="135">
        <v>39</v>
      </c>
      <c r="C160" s="111">
        <v>0</v>
      </c>
      <c r="D160" s="111">
        <v>0</v>
      </c>
      <c r="E160" s="111">
        <v>0</v>
      </c>
      <c r="F160" s="111">
        <v>0</v>
      </c>
      <c r="G160" s="111">
        <v>0</v>
      </c>
      <c r="H160" s="111">
        <v>0</v>
      </c>
      <c r="I160" s="111">
        <v>0</v>
      </c>
      <c r="J160" s="111">
        <v>0</v>
      </c>
      <c r="K160" s="111">
        <v>0</v>
      </c>
      <c r="L160" s="111">
        <v>0</v>
      </c>
      <c r="M160" s="111">
        <v>0</v>
      </c>
      <c r="N160" s="111">
        <v>0</v>
      </c>
      <c r="O160" s="111">
        <v>0</v>
      </c>
      <c r="P160" s="111">
        <v>0</v>
      </c>
      <c r="Q160" s="111">
        <v>0</v>
      </c>
      <c r="R160" s="111">
        <v>0</v>
      </c>
      <c r="S160" s="111">
        <v>0</v>
      </c>
      <c r="T160" s="111">
        <v>0</v>
      </c>
      <c r="U160" s="111">
        <v>0</v>
      </c>
      <c r="V160" s="111">
        <v>0</v>
      </c>
      <c r="W160" s="111">
        <v>0</v>
      </c>
      <c r="X160" s="111">
        <v>0</v>
      </c>
      <c r="Y160" s="111">
        <v>0</v>
      </c>
      <c r="Z160" s="111">
        <v>0</v>
      </c>
      <c r="AA160" s="111">
        <v>0</v>
      </c>
      <c r="AB160" s="111">
        <v>0</v>
      </c>
      <c r="AC160" s="111">
        <v>0</v>
      </c>
      <c r="AD160" s="111">
        <v>0</v>
      </c>
      <c r="AE160" s="111">
        <v>0</v>
      </c>
      <c r="AF160" s="111">
        <v>0</v>
      </c>
      <c r="AG160" s="111">
        <v>0</v>
      </c>
      <c r="AH160" s="111">
        <v>0</v>
      </c>
      <c r="AI160" s="111">
        <v>0</v>
      </c>
      <c r="AJ160" s="111">
        <v>0</v>
      </c>
      <c r="AK160" s="111">
        <v>0</v>
      </c>
      <c r="AL160" s="111">
        <v>0</v>
      </c>
      <c r="AM160" s="111">
        <v>0</v>
      </c>
      <c r="AN160" s="111">
        <v>0</v>
      </c>
      <c r="AO160" s="111">
        <v>0</v>
      </c>
      <c r="AP160" s="111">
        <v>0</v>
      </c>
      <c r="AQ160" s="111">
        <v>0</v>
      </c>
      <c r="AR160" s="111">
        <v>0</v>
      </c>
      <c r="AS160" s="111">
        <v>0</v>
      </c>
      <c r="AT160" s="111">
        <v>0</v>
      </c>
      <c r="AU160" s="111">
        <v>0</v>
      </c>
      <c r="AV160" s="111">
        <v>0</v>
      </c>
      <c r="AW160" s="111">
        <v>0</v>
      </c>
      <c r="AX160" s="111">
        <v>0</v>
      </c>
      <c r="AY160" s="111">
        <v>0</v>
      </c>
    </row>
    <row r="161" spans="1:52" x14ac:dyDescent="0.2">
      <c r="A161" s="114"/>
      <c r="B161" s="135">
        <v>40</v>
      </c>
      <c r="C161" s="111">
        <v>0</v>
      </c>
      <c r="D161" s="111">
        <v>0</v>
      </c>
      <c r="E161" s="111">
        <v>0</v>
      </c>
      <c r="F161" s="111">
        <v>0</v>
      </c>
      <c r="G161" s="111">
        <v>0</v>
      </c>
      <c r="H161" s="111">
        <v>0</v>
      </c>
      <c r="I161" s="111">
        <v>0</v>
      </c>
      <c r="J161" s="111">
        <v>0</v>
      </c>
      <c r="K161" s="111">
        <v>0</v>
      </c>
      <c r="L161" s="111">
        <v>0</v>
      </c>
      <c r="M161" s="111">
        <v>0</v>
      </c>
      <c r="N161" s="111">
        <v>0</v>
      </c>
      <c r="O161" s="111">
        <v>0</v>
      </c>
      <c r="P161" s="111">
        <v>0</v>
      </c>
      <c r="Q161" s="111">
        <v>0</v>
      </c>
      <c r="R161" s="111">
        <v>0</v>
      </c>
      <c r="S161" s="111">
        <v>0</v>
      </c>
      <c r="T161" s="111">
        <v>0</v>
      </c>
      <c r="U161" s="111">
        <v>0</v>
      </c>
      <c r="V161" s="111">
        <v>0</v>
      </c>
      <c r="W161" s="111">
        <v>0</v>
      </c>
      <c r="X161" s="111">
        <v>0</v>
      </c>
      <c r="Y161" s="111">
        <v>0</v>
      </c>
      <c r="Z161" s="111">
        <v>0</v>
      </c>
      <c r="AA161" s="111">
        <v>0</v>
      </c>
      <c r="AB161" s="111">
        <v>0</v>
      </c>
      <c r="AC161" s="111">
        <v>0</v>
      </c>
      <c r="AD161" s="111">
        <v>0</v>
      </c>
      <c r="AE161" s="111">
        <v>0</v>
      </c>
      <c r="AF161" s="111">
        <v>0</v>
      </c>
      <c r="AG161" s="111">
        <v>0</v>
      </c>
      <c r="AH161" s="111">
        <v>0</v>
      </c>
      <c r="AI161" s="111">
        <v>0</v>
      </c>
      <c r="AJ161" s="111">
        <v>0</v>
      </c>
      <c r="AK161" s="111">
        <v>0</v>
      </c>
      <c r="AL161" s="111">
        <v>0</v>
      </c>
      <c r="AM161" s="111">
        <v>0</v>
      </c>
      <c r="AN161" s="111">
        <v>0</v>
      </c>
      <c r="AO161" s="111">
        <v>0</v>
      </c>
      <c r="AP161" s="111">
        <v>0</v>
      </c>
      <c r="AQ161" s="111">
        <v>0</v>
      </c>
      <c r="AR161" s="111">
        <v>0</v>
      </c>
      <c r="AS161" s="111">
        <v>0</v>
      </c>
      <c r="AT161" s="111">
        <v>0</v>
      </c>
      <c r="AU161" s="111">
        <v>0</v>
      </c>
      <c r="AV161" s="111">
        <v>0</v>
      </c>
      <c r="AW161" s="111">
        <v>0</v>
      </c>
      <c r="AX161" s="111">
        <v>0</v>
      </c>
      <c r="AY161" s="111">
        <v>0</v>
      </c>
    </row>
    <row r="162" spans="1:52" x14ac:dyDescent="0.2">
      <c r="A162" s="114"/>
      <c r="B162" s="135">
        <v>41</v>
      </c>
      <c r="C162" s="111">
        <v>0</v>
      </c>
      <c r="D162" s="111">
        <v>0</v>
      </c>
      <c r="E162" s="111">
        <v>0</v>
      </c>
      <c r="F162" s="111">
        <v>0</v>
      </c>
      <c r="G162" s="111">
        <v>0</v>
      </c>
      <c r="H162" s="111">
        <v>0</v>
      </c>
      <c r="I162" s="111">
        <v>0</v>
      </c>
      <c r="J162" s="111">
        <v>0</v>
      </c>
      <c r="K162" s="111">
        <v>0</v>
      </c>
      <c r="L162" s="111">
        <v>0</v>
      </c>
      <c r="M162" s="111">
        <v>0</v>
      </c>
      <c r="N162" s="111">
        <v>0</v>
      </c>
      <c r="O162" s="111">
        <v>0</v>
      </c>
      <c r="P162" s="111">
        <v>0</v>
      </c>
      <c r="Q162" s="111">
        <v>0</v>
      </c>
      <c r="R162" s="111">
        <v>0</v>
      </c>
      <c r="S162" s="111">
        <v>0</v>
      </c>
      <c r="T162" s="111">
        <v>0</v>
      </c>
      <c r="U162" s="111">
        <v>0</v>
      </c>
      <c r="V162" s="111">
        <v>0</v>
      </c>
      <c r="W162" s="111">
        <v>0</v>
      </c>
      <c r="X162" s="111">
        <v>0</v>
      </c>
      <c r="Y162" s="111">
        <v>0</v>
      </c>
      <c r="Z162" s="111">
        <v>0</v>
      </c>
      <c r="AA162" s="111">
        <v>0</v>
      </c>
      <c r="AB162" s="111">
        <v>0</v>
      </c>
      <c r="AC162" s="111">
        <v>0</v>
      </c>
      <c r="AD162" s="111">
        <v>0</v>
      </c>
      <c r="AE162" s="111">
        <v>0</v>
      </c>
      <c r="AF162" s="111">
        <v>0</v>
      </c>
      <c r="AG162" s="111">
        <v>0</v>
      </c>
      <c r="AH162" s="111">
        <v>0</v>
      </c>
      <c r="AI162" s="111">
        <v>0</v>
      </c>
      <c r="AJ162" s="111">
        <v>0</v>
      </c>
      <c r="AK162" s="111">
        <v>0</v>
      </c>
      <c r="AL162" s="111">
        <v>0</v>
      </c>
      <c r="AM162" s="111">
        <v>0</v>
      </c>
      <c r="AN162" s="111">
        <v>0</v>
      </c>
      <c r="AO162" s="111">
        <v>0</v>
      </c>
      <c r="AP162" s="111">
        <v>0</v>
      </c>
      <c r="AQ162" s="111">
        <v>0</v>
      </c>
      <c r="AR162" s="111">
        <v>0</v>
      </c>
      <c r="AS162" s="111">
        <v>0</v>
      </c>
      <c r="AT162" s="111">
        <v>0</v>
      </c>
      <c r="AU162" s="111">
        <v>0</v>
      </c>
      <c r="AV162" s="111">
        <v>0</v>
      </c>
      <c r="AW162" s="111">
        <v>0</v>
      </c>
      <c r="AX162" s="111">
        <v>0</v>
      </c>
      <c r="AY162" s="111">
        <v>0</v>
      </c>
    </row>
    <row r="163" spans="1:52" x14ac:dyDescent="0.2">
      <c r="A163" s="114"/>
      <c r="B163" s="135">
        <v>42</v>
      </c>
      <c r="C163" s="111">
        <v>0</v>
      </c>
      <c r="D163" s="111">
        <v>0</v>
      </c>
      <c r="E163" s="111">
        <v>0</v>
      </c>
      <c r="F163" s="111">
        <v>0</v>
      </c>
      <c r="G163" s="111">
        <v>0</v>
      </c>
      <c r="H163" s="111">
        <v>0</v>
      </c>
      <c r="I163" s="111">
        <v>0</v>
      </c>
      <c r="J163" s="111">
        <v>0</v>
      </c>
      <c r="K163" s="111">
        <v>0</v>
      </c>
      <c r="L163" s="111">
        <v>0</v>
      </c>
      <c r="M163" s="111">
        <v>0</v>
      </c>
      <c r="N163" s="111">
        <v>0</v>
      </c>
      <c r="O163" s="111">
        <v>0</v>
      </c>
      <c r="P163" s="111">
        <v>0</v>
      </c>
      <c r="Q163" s="111">
        <v>0</v>
      </c>
      <c r="R163" s="111">
        <v>0</v>
      </c>
      <c r="S163" s="111">
        <v>0</v>
      </c>
      <c r="T163" s="111">
        <v>0</v>
      </c>
      <c r="U163" s="111">
        <v>0</v>
      </c>
      <c r="V163" s="111">
        <v>0</v>
      </c>
      <c r="W163" s="111">
        <v>0</v>
      </c>
      <c r="X163" s="111">
        <v>0</v>
      </c>
      <c r="Y163" s="111">
        <v>0</v>
      </c>
      <c r="Z163" s="111">
        <v>0</v>
      </c>
      <c r="AA163" s="111">
        <v>0</v>
      </c>
      <c r="AB163" s="111">
        <v>0</v>
      </c>
      <c r="AC163" s="111">
        <v>0</v>
      </c>
      <c r="AD163" s="111">
        <v>0</v>
      </c>
      <c r="AE163" s="111">
        <v>0</v>
      </c>
      <c r="AF163" s="111">
        <v>0</v>
      </c>
      <c r="AG163" s="111">
        <v>0</v>
      </c>
      <c r="AH163" s="111">
        <v>0</v>
      </c>
      <c r="AI163" s="111">
        <v>0</v>
      </c>
      <c r="AJ163" s="111">
        <v>0</v>
      </c>
      <c r="AK163" s="111">
        <v>0</v>
      </c>
      <c r="AL163" s="111">
        <v>0</v>
      </c>
      <c r="AM163" s="111">
        <v>0</v>
      </c>
      <c r="AN163" s="111">
        <v>0</v>
      </c>
      <c r="AO163" s="111">
        <v>0</v>
      </c>
      <c r="AP163" s="111">
        <v>0</v>
      </c>
      <c r="AQ163" s="111">
        <v>0</v>
      </c>
      <c r="AR163" s="111">
        <v>0</v>
      </c>
      <c r="AS163" s="111">
        <v>0</v>
      </c>
      <c r="AT163" s="111">
        <v>0</v>
      </c>
      <c r="AU163" s="111">
        <v>0</v>
      </c>
      <c r="AV163" s="111">
        <v>0</v>
      </c>
      <c r="AW163" s="111">
        <v>0</v>
      </c>
      <c r="AX163" s="111">
        <v>0</v>
      </c>
      <c r="AY163" s="111">
        <v>0</v>
      </c>
    </row>
    <row r="164" spans="1:52" x14ac:dyDescent="0.2">
      <c r="A164" s="114"/>
      <c r="B164" s="135">
        <v>43</v>
      </c>
      <c r="C164" s="111">
        <v>0</v>
      </c>
      <c r="D164" s="111">
        <v>0</v>
      </c>
      <c r="E164" s="111">
        <v>0</v>
      </c>
      <c r="F164" s="111">
        <v>0</v>
      </c>
      <c r="G164" s="111">
        <v>0</v>
      </c>
      <c r="H164" s="111">
        <v>0</v>
      </c>
      <c r="I164" s="111">
        <v>0</v>
      </c>
      <c r="J164" s="111">
        <v>0</v>
      </c>
      <c r="K164" s="111">
        <v>0</v>
      </c>
      <c r="L164" s="111">
        <v>0</v>
      </c>
      <c r="M164" s="111">
        <v>0</v>
      </c>
      <c r="N164" s="111">
        <v>0</v>
      </c>
      <c r="O164" s="111">
        <v>0</v>
      </c>
      <c r="P164" s="111">
        <v>0</v>
      </c>
      <c r="Q164" s="111">
        <v>0</v>
      </c>
      <c r="R164" s="111">
        <v>0</v>
      </c>
      <c r="S164" s="111">
        <v>0</v>
      </c>
      <c r="T164" s="111">
        <v>0</v>
      </c>
      <c r="U164" s="111">
        <v>0</v>
      </c>
      <c r="V164" s="111">
        <v>0</v>
      </c>
      <c r="W164" s="111">
        <v>0</v>
      </c>
      <c r="X164" s="111">
        <v>0</v>
      </c>
      <c r="Y164" s="111">
        <v>0</v>
      </c>
      <c r="Z164" s="111">
        <v>0</v>
      </c>
      <c r="AA164" s="111">
        <v>0</v>
      </c>
      <c r="AB164" s="111">
        <v>0</v>
      </c>
      <c r="AC164" s="111">
        <v>0</v>
      </c>
      <c r="AD164" s="111">
        <v>0</v>
      </c>
      <c r="AE164" s="111">
        <v>0</v>
      </c>
      <c r="AF164" s="111">
        <v>0</v>
      </c>
      <c r="AG164" s="111">
        <v>0</v>
      </c>
      <c r="AH164" s="111">
        <v>0</v>
      </c>
      <c r="AI164" s="111">
        <v>0</v>
      </c>
      <c r="AJ164" s="111">
        <v>0</v>
      </c>
      <c r="AK164" s="111">
        <v>0</v>
      </c>
      <c r="AL164" s="111">
        <v>0</v>
      </c>
      <c r="AM164" s="111">
        <v>0</v>
      </c>
      <c r="AN164" s="111">
        <v>0</v>
      </c>
      <c r="AO164" s="111">
        <v>0</v>
      </c>
      <c r="AP164" s="111">
        <v>0</v>
      </c>
      <c r="AQ164" s="111">
        <v>0</v>
      </c>
      <c r="AR164" s="111">
        <v>0</v>
      </c>
      <c r="AS164" s="111">
        <v>0</v>
      </c>
      <c r="AT164" s="111">
        <v>0</v>
      </c>
      <c r="AU164" s="111">
        <v>0</v>
      </c>
      <c r="AV164" s="111">
        <v>0</v>
      </c>
      <c r="AW164" s="111">
        <v>0</v>
      </c>
      <c r="AX164" s="111">
        <v>0</v>
      </c>
      <c r="AY164" s="111">
        <v>0</v>
      </c>
    </row>
    <row r="165" spans="1:52" x14ac:dyDescent="0.2">
      <c r="A165" s="114"/>
      <c r="B165" s="135">
        <v>44</v>
      </c>
      <c r="C165" s="111">
        <v>0</v>
      </c>
      <c r="D165" s="111">
        <v>0</v>
      </c>
      <c r="E165" s="111">
        <v>0</v>
      </c>
      <c r="F165" s="111">
        <v>0</v>
      </c>
      <c r="G165" s="111">
        <v>0</v>
      </c>
      <c r="H165" s="111">
        <v>0</v>
      </c>
      <c r="I165" s="111">
        <v>0</v>
      </c>
      <c r="J165" s="111">
        <v>0</v>
      </c>
      <c r="K165" s="111">
        <v>0</v>
      </c>
      <c r="L165" s="111">
        <v>0</v>
      </c>
      <c r="M165" s="111">
        <v>0</v>
      </c>
      <c r="N165" s="111">
        <v>0</v>
      </c>
      <c r="O165" s="111">
        <v>0</v>
      </c>
      <c r="P165" s="111">
        <v>0</v>
      </c>
      <c r="Q165" s="111">
        <v>0</v>
      </c>
      <c r="R165" s="111">
        <v>0</v>
      </c>
      <c r="S165" s="111">
        <v>0</v>
      </c>
      <c r="T165" s="111">
        <v>0</v>
      </c>
      <c r="U165" s="111">
        <v>0</v>
      </c>
      <c r="V165" s="111">
        <v>0</v>
      </c>
      <c r="W165" s="111">
        <v>0</v>
      </c>
      <c r="X165" s="111">
        <v>0</v>
      </c>
      <c r="Y165" s="111">
        <v>0</v>
      </c>
      <c r="Z165" s="111">
        <v>0</v>
      </c>
      <c r="AA165" s="111">
        <v>0</v>
      </c>
      <c r="AB165" s="111">
        <v>0</v>
      </c>
      <c r="AC165" s="111">
        <v>0</v>
      </c>
      <c r="AD165" s="111">
        <v>0</v>
      </c>
      <c r="AE165" s="111">
        <v>0</v>
      </c>
      <c r="AF165" s="111">
        <v>0</v>
      </c>
      <c r="AG165" s="111">
        <v>0</v>
      </c>
      <c r="AH165" s="111">
        <v>0</v>
      </c>
      <c r="AI165" s="111">
        <v>0</v>
      </c>
      <c r="AJ165" s="111">
        <v>0</v>
      </c>
      <c r="AK165" s="111">
        <v>0</v>
      </c>
      <c r="AL165" s="111">
        <v>0</v>
      </c>
      <c r="AM165" s="111">
        <v>0</v>
      </c>
      <c r="AN165" s="111">
        <v>0</v>
      </c>
      <c r="AO165" s="111">
        <v>0</v>
      </c>
      <c r="AP165" s="111">
        <v>0</v>
      </c>
      <c r="AQ165" s="111">
        <v>0</v>
      </c>
      <c r="AR165" s="111">
        <v>0</v>
      </c>
      <c r="AS165" s="111">
        <v>0</v>
      </c>
      <c r="AT165" s="111">
        <v>0</v>
      </c>
      <c r="AU165" s="111">
        <v>0</v>
      </c>
      <c r="AV165" s="111">
        <v>0</v>
      </c>
      <c r="AW165" s="111">
        <v>0</v>
      </c>
      <c r="AX165" s="111">
        <v>0</v>
      </c>
      <c r="AY165" s="111">
        <v>0</v>
      </c>
    </row>
    <row r="166" spans="1:52" x14ac:dyDescent="0.2">
      <c r="A166" s="114"/>
      <c r="B166" s="135">
        <v>45</v>
      </c>
      <c r="C166" s="111">
        <v>0</v>
      </c>
      <c r="D166" s="111">
        <v>0</v>
      </c>
      <c r="E166" s="111">
        <v>0</v>
      </c>
      <c r="F166" s="111">
        <v>0</v>
      </c>
      <c r="G166" s="111">
        <v>0</v>
      </c>
      <c r="H166" s="111">
        <v>0</v>
      </c>
      <c r="I166" s="111">
        <v>0</v>
      </c>
      <c r="J166" s="111">
        <v>0</v>
      </c>
      <c r="K166" s="111">
        <v>0</v>
      </c>
      <c r="L166" s="111">
        <v>0</v>
      </c>
      <c r="M166" s="111">
        <v>0</v>
      </c>
      <c r="N166" s="111">
        <v>0</v>
      </c>
      <c r="O166" s="111">
        <v>0</v>
      </c>
      <c r="P166" s="111">
        <v>0</v>
      </c>
      <c r="Q166" s="111">
        <v>0</v>
      </c>
      <c r="R166" s="111">
        <v>0</v>
      </c>
      <c r="S166" s="111">
        <v>0</v>
      </c>
      <c r="T166" s="111">
        <v>0</v>
      </c>
      <c r="U166" s="111">
        <v>0</v>
      </c>
      <c r="V166" s="111">
        <v>0</v>
      </c>
      <c r="W166" s="111">
        <v>0</v>
      </c>
      <c r="X166" s="111">
        <v>0</v>
      </c>
      <c r="Y166" s="111">
        <v>0</v>
      </c>
      <c r="Z166" s="111">
        <v>0</v>
      </c>
      <c r="AA166" s="111">
        <v>0</v>
      </c>
      <c r="AB166" s="111">
        <v>0</v>
      </c>
      <c r="AC166" s="111">
        <v>0</v>
      </c>
      <c r="AD166" s="111">
        <v>0</v>
      </c>
      <c r="AE166" s="111">
        <v>0</v>
      </c>
      <c r="AF166" s="111">
        <v>0</v>
      </c>
      <c r="AG166" s="111">
        <v>0</v>
      </c>
      <c r="AH166" s="111">
        <v>0</v>
      </c>
      <c r="AI166" s="111">
        <v>0</v>
      </c>
      <c r="AJ166" s="111">
        <v>0</v>
      </c>
      <c r="AK166" s="111">
        <v>0</v>
      </c>
      <c r="AL166" s="111">
        <v>0</v>
      </c>
      <c r="AM166" s="111">
        <v>0</v>
      </c>
      <c r="AN166" s="111">
        <v>0</v>
      </c>
      <c r="AO166" s="111">
        <v>0</v>
      </c>
      <c r="AP166" s="111">
        <v>0</v>
      </c>
      <c r="AQ166" s="111">
        <v>0</v>
      </c>
      <c r="AR166" s="111">
        <v>0</v>
      </c>
      <c r="AS166" s="111">
        <v>0</v>
      </c>
      <c r="AT166" s="111">
        <v>0</v>
      </c>
      <c r="AU166" s="111">
        <v>0</v>
      </c>
      <c r="AV166" s="111">
        <v>0</v>
      </c>
      <c r="AW166" s="111">
        <v>0</v>
      </c>
      <c r="AX166" s="111">
        <v>0</v>
      </c>
      <c r="AY166" s="111">
        <v>0</v>
      </c>
    </row>
    <row r="167" spans="1:52" x14ac:dyDescent="0.2">
      <c r="A167" s="114"/>
      <c r="B167" s="135">
        <v>46</v>
      </c>
      <c r="C167" s="111">
        <v>0</v>
      </c>
      <c r="D167" s="111">
        <v>0</v>
      </c>
      <c r="E167" s="111">
        <v>0</v>
      </c>
      <c r="F167" s="111">
        <v>0</v>
      </c>
      <c r="G167" s="111">
        <v>0</v>
      </c>
      <c r="H167" s="111">
        <v>0</v>
      </c>
      <c r="I167" s="111">
        <v>0</v>
      </c>
      <c r="J167" s="111">
        <v>0</v>
      </c>
      <c r="K167" s="111">
        <v>0</v>
      </c>
      <c r="L167" s="111">
        <v>0</v>
      </c>
      <c r="M167" s="111">
        <v>0</v>
      </c>
      <c r="N167" s="111">
        <v>0</v>
      </c>
      <c r="O167" s="111">
        <v>0</v>
      </c>
      <c r="P167" s="111">
        <v>0</v>
      </c>
      <c r="Q167" s="111">
        <v>0</v>
      </c>
      <c r="R167" s="111">
        <v>0</v>
      </c>
      <c r="S167" s="111">
        <v>0</v>
      </c>
      <c r="T167" s="111">
        <v>0</v>
      </c>
      <c r="U167" s="111">
        <v>0</v>
      </c>
      <c r="V167" s="111">
        <v>0</v>
      </c>
      <c r="W167" s="111">
        <v>0</v>
      </c>
      <c r="X167" s="111">
        <v>0</v>
      </c>
      <c r="Y167" s="111">
        <v>0</v>
      </c>
      <c r="Z167" s="111">
        <v>0</v>
      </c>
      <c r="AA167" s="111">
        <v>0</v>
      </c>
      <c r="AB167" s="111">
        <v>0</v>
      </c>
      <c r="AC167" s="111">
        <v>0</v>
      </c>
      <c r="AD167" s="111">
        <v>0</v>
      </c>
      <c r="AE167" s="111">
        <v>0</v>
      </c>
      <c r="AF167" s="111">
        <v>0</v>
      </c>
      <c r="AG167" s="111">
        <v>0</v>
      </c>
      <c r="AH167" s="111">
        <v>0</v>
      </c>
      <c r="AI167" s="111">
        <v>0</v>
      </c>
      <c r="AJ167" s="111">
        <v>0</v>
      </c>
      <c r="AK167" s="111">
        <v>0</v>
      </c>
      <c r="AL167" s="111">
        <v>0</v>
      </c>
      <c r="AM167" s="111">
        <v>0</v>
      </c>
      <c r="AN167" s="111">
        <v>0</v>
      </c>
      <c r="AO167" s="111">
        <v>0</v>
      </c>
      <c r="AP167" s="111">
        <v>0</v>
      </c>
      <c r="AQ167" s="111">
        <v>0</v>
      </c>
      <c r="AR167" s="111">
        <v>0</v>
      </c>
      <c r="AS167" s="111">
        <v>0</v>
      </c>
      <c r="AT167" s="111">
        <v>0</v>
      </c>
      <c r="AU167" s="111">
        <v>0</v>
      </c>
      <c r="AV167" s="111">
        <v>0</v>
      </c>
      <c r="AW167" s="111">
        <v>0</v>
      </c>
      <c r="AX167" s="111">
        <v>0</v>
      </c>
      <c r="AY167" s="111">
        <v>0</v>
      </c>
    </row>
    <row r="168" spans="1:52" x14ac:dyDescent="0.2">
      <c r="A168" s="114"/>
      <c r="B168" s="135">
        <v>47</v>
      </c>
      <c r="C168" s="111">
        <v>0</v>
      </c>
      <c r="D168" s="111">
        <v>0</v>
      </c>
      <c r="E168" s="111">
        <v>0</v>
      </c>
      <c r="F168" s="111">
        <v>0</v>
      </c>
      <c r="G168" s="111">
        <v>0</v>
      </c>
      <c r="H168" s="111">
        <v>0</v>
      </c>
      <c r="I168" s="111">
        <v>0</v>
      </c>
      <c r="J168" s="111">
        <v>0</v>
      </c>
      <c r="K168" s="111">
        <v>0</v>
      </c>
      <c r="L168" s="111">
        <v>0</v>
      </c>
      <c r="M168" s="111">
        <v>0</v>
      </c>
      <c r="N168" s="111">
        <v>0</v>
      </c>
      <c r="O168" s="111">
        <v>0</v>
      </c>
      <c r="P168" s="111">
        <v>0</v>
      </c>
      <c r="Q168" s="111">
        <v>0</v>
      </c>
      <c r="R168" s="111">
        <v>0</v>
      </c>
      <c r="S168" s="111">
        <v>0</v>
      </c>
      <c r="T168" s="111">
        <v>0</v>
      </c>
      <c r="U168" s="111">
        <v>0</v>
      </c>
      <c r="V168" s="111">
        <v>0</v>
      </c>
      <c r="W168" s="111">
        <v>0</v>
      </c>
      <c r="X168" s="111">
        <v>0</v>
      </c>
      <c r="Y168" s="111">
        <v>0</v>
      </c>
      <c r="Z168" s="111">
        <v>0</v>
      </c>
      <c r="AA168" s="111">
        <v>0</v>
      </c>
      <c r="AB168" s="111">
        <v>0</v>
      </c>
      <c r="AC168" s="111">
        <v>0</v>
      </c>
      <c r="AD168" s="111">
        <v>0</v>
      </c>
      <c r="AE168" s="111">
        <v>0</v>
      </c>
      <c r="AF168" s="111">
        <v>0</v>
      </c>
      <c r="AG168" s="111">
        <v>0</v>
      </c>
      <c r="AH168" s="111">
        <v>0</v>
      </c>
      <c r="AI168" s="111">
        <v>0</v>
      </c>
      <c r="AJ168" s="111">
        <v>0</v>
      </c>
      <c r="AK168" s="111">
        <v>0</v>
      </c>
      <c r="AL168" s="111">
        <v>0</v>
      </c>
      <c r="AM168" s="111">
        <v>0</v>
      </c>
      <c r="AN168" s="111">
        <v>0</v>
      </c>
      <c r="AO168" s="111">
        <v>0</v>
      </c>
      <c r="AP168" s="111">
        <v>0</v>
      </c>
      <c r="AQ168" s="111">
        <v>0</v>
      </c>
      <c r="AR168" s="111">
        <v>0</v>
      </c>
      <c r="AS168" s="111">
        <v>0</v>
      </c>
      <c r="AT168" s="111">
        <v>0</v>
      </c>
      <c r="AU168" s="111">
        <v>0</v>
      </c>
      <c r="AV168" s="111">
        <v>0</v>
      </c>
      <c r="AW168" s="111">
        <v>0</v>
      </c>
      <c r="AX168" s="111">
        <v>0</v>
      </c>
      <c r="AY168" s="111">
        <v>0</v>
      </c>
    </row>
    <row r="169" spans="1:52" x14ac:dyDescent="0.2">
      <c r="A169" s="114"/>
      <c r="B169" s="135">
        <v>48</v>
      </c>
      <c r="C169" s="111">
        <v>0</v>
      </c>
      <c r="D169" s="111">
        <v>0</v>
      </c>
      <c r="E169" s="111">
        <v>0</v>
      </c>
      <c r="F169" s="111">
        <v>0</v>
      </c>
      <c r="G169" s="111">
        <v>0</v>
      </c>
      <c r="H169" s="111">
        <v>0</v>
      </c>
      <c r="I169" s="111">
        <v>0</v>
      </c>
      <c r="J169" s="111">
        <v>0</v>
      </c>
      <c r="K169" s="111">
        <v>0</v>
      </c>
      <c r="L169" s="111">
        <v>0</v>
      </c>
      <c r="M169" s="111">
        <v>0</v>
      </c>
      <c r="N169" s="111">
        <v>0</v>
      </c>
      <c r="O169" s="111">
        <v>0</v>
      </c>
      <c r="P169" s="111">
        <v>0</v>
      </c>
      <c r="Q169" s="111">
        <v>0</v>
      </c>
      <c r="R169" s="111">
        <v>0</v>
      </c>
      <c r="S169" s="111">
        <v>0</v>
      </c>
      <c r="T169" s="111">
        <v>0</v>
      </c>
      <c r="U169" s="111">
        <v>0</v>
      </c>
      <c r="V169" s="111">
        <v>0</v>
      </c>
      <c r="W169" s="111">
        <v>0</v>
      </c>
      <c r="X169" s="111">
        <v>0</v>
      </c>
      <c r="Y169" s="111">
        <v>0</v>
      </c>
      <c r="Z169" s="111">
        <v>0</v>
      </c>
      <c r="AA169" s="111">
        <v>0</v>
      </c>
      <c r="AB169" s="111">
        <v>0</v>
      </c>
      <c r="AC169" s="111">
        <v>0</v>
      </c>
      <c r="AD169" s="111">
        <v>0</v>
      </c>
      <c r="AE169" s="111">
        <v>0</v>
      </c>
      <c r="AF169" s="111">
        <v>0</v>
      </c>
      <c r="AG169" s="111">
        <v>0</v>
      </c>
      <c r="AH169" s="111">
        <v>0</v>
      </c>
      <c r="AI169" s="111">
        <v>0</v>
      </c>
      <c r="AJ169" s="111">
        <v>0</v>
      </c>
      <c r="AK169" s="111">
        <v>0</v>
      </c>
      <c r="AL169" s="111">
        <v>0</v>
      </c>
      <c r="AM169" s="111">
        <v>0</v>
      </c>
      <c r="AN169" s="111">
        <v>0</v>
      </c>
      <c r="AO169" s="111">
        <v>0</v>
      </c>
      <c r="AP169" s="111">
        <v>0</v>
      </c>
      <c r="AQ169" s="111">
        <v>0</v>
      </c>
      <c r="AR169" s="111">
        <v>0</v>
      </c>
      <c r="AS169" s="111">
        <v>0</v>
      </c>
      <c r="AT169" s="111">
        <v>0</v>
      </c>
      <c r="AU169" s="111">
        <v>0</v>
      </c>
      <c r="AV169" s="111">
        <v>0</v>
      </c>
      <c r="AW169" s="111">
        <v>0</v>
      </c>
      <c r="AX169" s="111">
        <v>0</v>
      </c>
      <c r="AY169" s="111">
        <v>0</v>
      </c>
    </row>
    <row r="170" spans="1:52" x14ac:dyDescent="0.2">
      <c r="A170" s="133"/>
      <c r="B170" s="137" t="s">
        <v>296</v>
      </c>
      <c r="C170" s="119">
        <v>0</v>
      </c>
      <c r="D170" s="130">
        <v>0</v>
      </c>
      <c r="E170" s="130">
        <v>0</v>
      </c>
      <c r="F170" s="130">
        <v>0</v>
      </c>
      <c r="G170" s="130">
        <v>0</v>
      </c>
      <c r="H170" s="130">
        <v>0</v>
      </c>
      <c r="I170" s="130">
        <v>0</v>
      </c>
      <c r="J170" s="130">
        <v>0</v>
      </c>
      <c r="K170" s="130">
        <v>0</v>
      </c>
      <c r="L170" s="130">
        <v>0</v>
      </c>
      <c r="M170" s="130">
        <v>0</v>
      </c>
      <c r="N170" s="130">
        <v>0</v>
      </c>
      <c r="O170" s="130">
        <v>0</v>
      </c>
      <c r="P170" s="130">
        <v>0</v>
      </c>
      <c r="Q170" s="130">
        <v>0</v>
      </c>
      <c r="R170" s="130">
        <v>0</v>
      </c>
      <c r="S170" s="130">
        <v>0</v>
      </c>
      <c r="T170" s="130">
        <v>0</v>
      </c>
      <c r="U170" s="130">
        <v>0</v>
      </c>
      <c r="V170" s="130">
        <v>0</v>
      </c>
      <c r="W170" s="130">
        <v>0</v>
      </c>
      <c r="X170" s="130">
        <v>0</v>
      </c>
      <c r="Y170" s="130">
        <v>0</v>
      </c>
      <c r="Z170" s="130">
        <v>0</v>
      </c>
      <c r="AA170" s="130">
        <v>0</v>
      </c>
      <c r="AB170" s="130">
        <v>0</v>
      </c>
      <c r="AC170" s="130">
        <v>0</v>
      </c>
      <c r="AD170" s="130">
        <v>0</v>
      </c>
      <c r="AE170" s="130">
        <v>0</v>
      </c>
      <c r="AF170" s="130">
        <v>0</v>
      </c>
      <c r="AG170" s="130">
        <v>0</v>
      </c>
      <c r="AH170" s="130">
        <v>0</v>
      </c>
      <c r="AI170" s="130">
        <v>0</v>
      </c>
      <c r="AJ170" s="130">
        <v>0</v>
      </c>
      <c r="AK170" s="130">
        <v>0</v>
      </c>
      <c r="AL170" s="130">
        <v>0</v>
      </c>
      <c r="AM170" s="130">
        <v>0</v>
      </c>
      <c r="AN170" s="130">
        <v>0</v>
      </c>
      <c r="AO170" s="130">
        <v>0</v>
      </c>
      <c r="AP170" s="130">
        <v>0</v>
      </c>
      <c r="AQ170" s="130">
        <v>0</v>
      </c>
      <c r="AR170" s="130">
        <v>0</v>
      </c>
      <c r="AS170" s="130">
        <v>0</v>
      </c>
      <c r="AT170" s="130">
        <v>0</v>
      </c>
      <c r="AU170" s="130">
        <v>0</v>
      </c>
      <c r="AV170" s="130">
        <v>0</v>
      </c>
      <c r="AW170" s="130">
        <v>0</v>
      </c>
      <c r="AX170" s="130">
        <v>0</v>
      </c>
      <c r="AY170" s="130">
        <v>0</v>
      </c>
      <c r="AZ170" s="112">
        <f>SUM($D170:$AY170)</f>
        <v>0</v>
      </c>
    </row>
    <row r="172" spans="1:52" x14ac:dyDescent="0.2">
      <c r="A172" s="107" t="s">
        <v>124</v>
      </c>
      <c r="B172" s="138" t="s">
        <v>297</v>
      </c>
      <c r="C172" s="139">
        <v>0.18</v>
      </c>
      <c r="D172" s="139">
        <v>0</v>
      </c>
      <c r="E172" s="139">
        <v>0</v>
      </c>
      <c r="F172" s="139">
        <v>0</v>
      </c>
      <c r="G172" s="139">
        <v>0</v>
      </c>
      <c r="H172" s="139">
        <v>0.1197983</v>
      </c>
      <c r="I172" s="139">
        <v>0.1197983</v>
      </c>
      <c r="J172" s="139">
        <v>0.1197983</v>
      </c>
      <c r="K172" s="139">
        <v>0.1197983</v>
      </c>
      <c r="L172" s="139">
        <v>0.1197983</v>
      </c>
      <c r="M172" s="139">
        <v>0.1197983</v>
      </c>
      <c r="N172" s="139">
        <v>0.1197983</v>
      </c>
      <c r="O172" s="139">
        <v>0.1197983</v>
      </c>
      <c r="P172" s="139">
        <v>0.1197983</v>
      </c>
      <c r="Q172" s="139">
        <v>0.1197983</v>
      </c>
      <c r="R172" s="139">
        <v>0.1197983</v>
      </c>
      <c r="S172" s="139">
        <v>0.1197983</v>
      </c>
      <c r="T172" s="139">
        <v>0.1197983</v>
      </c>
      <c r="U172" s="139">
        <v>0.1197983</v>
      </c>
      <c r="V172" s="139">
        <v>0.1197983</v>
      </c>
      <c r="W172" s="139">
        <v>0.1197983</v>
      </c>
      <c r="X172" s="139">
        <v>0.1197983</v>
      </c>
      <c r="Y172" s="139">
        <v>0.1197983</v>
      </c>
      <c r="Z172" s="139">
        <v>0.1197983</v>
      </c>
      <c r="AA172" s="139">
        <v>0.1197983</v>
      </c>
      <c r="AB172" s="139">
        <v>0.1197983</v>
      </c>
      <c r="AC172" s="139">
        <v>0.1197983</v>
      </c>
      <c r="AD172" s="139">
        <v>0.1197983</v>
      </c>
      <c r="AE172" s="139">
        <v>0.1197983</v>
      </c>
      <c r="AF172" s="139">
        <v>0.1197983</v>
      </c>
      <c r="AG172" s="139">
        <v>0.1197983</v>
      </c>
      <c r="AH172" s="139">
        <v>0.1197983</v>
      </c>
      <c r="AI172" s="139">
        <v>0.1197983</v>
      </c>
      <c r="AJ172" s="139">
        <v>0.1197983</v>
      </c>
      <c r="AK172" s="139">
        <v>0.1197983</v>
      </c>
      <c r="AL172" s="139">
        <v>0.1197983</v>
      </c>
      <c r="AM172" s="139">
        <v>0.1197983</v>
      </c>
      <c r="AN172" s="139">
        <v>0.1197983</v>
      </c>
      <c r="AO172" s="139">
        <v>0.1197983</v>
      </c>
      <c r="AP172" s="139">
        <v>0.1197983</v>
      </c>
      <c r="AQ172" s="139">
        <v>0.1197983</v>
      </c>
      <c r="AR172" s="139">
        <v>0.1197983</v>
      </c>
      <c r="AS172" s="139">
        <v>0.1197983</v>
      </c>
      <c r="AT172" s="139">
        <v>0.1197983</v>
      </c>
      <c r="AU172" s="139">
        <v>0.1197983</v>
      </c>
      <c r="AV172" s="139">
        <v>0.1197983</v>
      </c>
      <c r="AW172" s="139">
        <v>0.1197983</v>
      </c>
      <c r="AX172" s="139">
        <v>0.1197983</v>
      </c>
      <c r="AY172" s="139">
        <v>0.1197983</v>
      </c>
    </row>
    <row r="174" spans="1:52" x14ac:dyDescent="0.2">
      <c r="A174" s="107" t="s">
        <v>272</v>
      </c>
    </row>
    <row r="175" spans="1:52" x14ac:dyDescent="0.2">
      <c r="A175" s="140" t="s">
        <v>125</v>
      </c>
      <c r="B175" s="140" t="s">
        <v>298</v>
      </c>
      <c r="C175" s="129" t="s">
        <v>293</v>
      </c>
      <c r="D175" s="129">
        <f t="shared" ref="D175:AY175" si="1">SUM(D95:D98)</f>
        <v>0</v>
      </c>
      <c r="E175" s="129">
        <f t="shared" si="1"/>
        <v>0</v>
      </c>
      <c r="F175" s="129">
        <f t="shared" si="1"/>
        <v>0</v>
      </c>
      <c r="G175" s="129">
        <f t="shared" si="1"/>
        <v>0</v>
      </c>
      <c r="H175" s="129">
        <f t="shared" si="1"/>
        <v>594.00921297477203</v>
      </c>
      <c r="I175" s="129">
        <f t="shared" si="1"/>
        <v>594.00921297477203</v>
      </c>
      <c r="J175" s="129">
        <f t="shared" si="1"/>
        <v>594.00921297477203</v>
      </c>
      <c r="K175" s="129">
        <f t="shared" si="1"/>
        <v>594.00921297477203</v>
      </c>
      <c r="L175" s="129">
        <f t="shared" si="1"/>
        <v>594.00921297477203</v>
      </c>
      <c r="M175" s="129">
        <f t="shared" si="1"/>
        <v>594.00921297477203</v>
      </c>
      <c r="N175" s="129">
        <f t="shared" si="1"/>
        <v>280.79796151061623</v>
      </c>
      <c r="O175" s="129">
        <f t="shared" si="1"/>
        <v>587.68756412047173</v>
      </c>
      <c r="P175" s="129">
        <f t="shared" si="1"/>
        <v>594.00921297477203</v>
      </c>
      <c r="Q175" s="129">
        <f t="shared" si="1"/>
        <v>594.00921297477203</v>
      </c>
      <c r="R175" s="129">
        <f t="shared" si="1"/>
        <v>594.00921297477203</v>
      </c>
      <c r="S175" s="129">
        <f t="shared" si="1"/>
        <v>594.00921297477203</v>
      </c>
      <c r="T175" s="129">
        <f t="shared" si="1"/>
        <v>594.00921297477203</v>
      </c>
      <c r="U175" s="129">
        <f t="shared" si="1"/>
        <v>552.67219786812507</v>
      </c>
      <c r="V175" s="129">
        <f t="shared" si="1"/>
        <v>549.24752866381482</v>
      </c>
      <c r="W175" s="129">
        <f t="shared" si="1"/>
        <v>594.00921297477203</v>
      </c>
      <c r="X175" s="129">
        <f t="shared" si="1"/>
        <v>594.00921297477203</v>
      </c>
      <c r="Y175" s="129">
        <f t="shared" si="1"/>
        <v>594.00921297477203</v>
      </c>
      <c r="Z175" s="129">
        <f t="shared" si="1"/>
        <v>483.53027014641452</v>
      </c>
      <c r="AA175" s="129">
        <f t="shared" si="1"/>
        <v>553.59666100160325</v>
      </c>
      <c r="AB175" s="129">
        <f t="shared" si="1"/>
        <v>594.00921297477203</v>
      </c>
      <c r="AC175" s="129">
        <f t="shared" si="1"/>
        <v>490.46151280500658</v>
      </c>
      <c r="AD175" s="129">
        <f t="shared" si="1"/>
        <v>594.00921297477203</v>
      </c>
      <c r="AE175" s="129">
        <f t="shared" si="1"/>
        <v>509.02612849658431</v>
      </c>
      <c r="AF175" s="129">
        <f t="shared" si="1"/>
        <v>594.00921297477203</v>
      </c>
      <c r="AG175" s="129">
        <f t="shared" si="1"/>
        <v>280.79796151061623</v>
      </c>
      <c r="AH175" s="129">
        <f t="shared" si="1"/>
        <v>593.78396877240698</v>
      </c>
      <c r="AI175" s="129">
        <f t="shared" si="1"/>
        <v>602.79318174717901</v>
      </c>
      <c r="AJ175" s="129">
        <f t="shared" si="1"/>
        <v>594.00921297477203</v>
      </c>
      <c r="AK175" s="129">
        <f t="shared" si="1"/>
        <v>594.00921297477203</v>
      </c>
      <c r="AL175" s="129">
        <f t="shared" si="1"/>
        <v>510.01022684518762</v>
      </c>
      <c r="AM175" s="129">
        <f t="shared" si="1"/>
        <v>594.00921297477203</v>
      </c>
      <c r="AN175" s="129">
        <f t="shared" si="1"/>
        <v>559.65332582952556</v>
      </c>
      <c r="AO175" s="129">
        <f t="shared" si="1"/>
        <v>605.07914408197075</v>
      </c>
      <c r="AP175" s="129">
        <f t="shared" si="1"/>
        <v>594.00921297477203</v>
      </c>
      <c r="AQ175" s="129">
        <f t="shared" si="1"/>
        <v>594.00921297477203</v>
      </c>
      <c r="AR175" s="129">
        <f t="shared" si="1"/>
        <v>594.00921297477203</v>
      </c>
      <c r="AS175" s="129">
        <f t="shared" si="1"/>
        <v>594.00921297477203</v>
      </c>
      <c r="AT175" s="129">
        <f t="shared" si="1"/>
        <v>656.01842594954405</v>
      </c>
      <c r="AU175" s="129">
        <f t="shared" si="1"/>
        <v>253.59998985488824</v>
      </c>
      <c r="AV175" s="129">
        <f t="shared" si="1"/>
        <v>503.30624981191909</v>
      </c>
      <c r="AW175" s="129">
        <f t="shared" si="1"/>
        <v>594.00921297477203</v>
      </c>
      <c r="AX175" s="129">
        <f t="shared" si="1"/>
        <v>594.00921297477203</v>
      </c>
      <c r="AY175" s="129">
        <f t="shared" si="1"/>
        <v>594.00921297477203</v>
      </c>
    </row>
    <row r="176" spans="1:52" x14ac:dyDescent="0.2">
      <c r="A176" s="130"/>
      <c r="B176" s="141" t="s">
        <v>299</v>
      </c>
      <c r="C176" s="130" t="s">
        <v>293</v>
      </c>
      <c r="D176" s="130">
        <v>0</v>
      </c>
      <c r="E176" s="130">
        <v>0</v>
      </c>
      <c r="F176" s="130">
        <v>0</v>
      </c>
      <c r="G176" s="130">
        <v>0</v>
      </c>
      <c r="H176" s="130">
        <v>594.00921297477203</v>
      </c>
      <c r="I176" s="130">
        <v>594.00921297477203</v>
      </c>
      <c r="J176" s="130">
        <v>594.00921297477203</v>
      </c>
      <c r="K176" s="130">
        <v>594.00921297477203</v>
      </c>
      <c r="L176" s="130">
        <v>594.00921297477203</v>
      </c>
      <c r="M176" s="130">
        <v>594.00921297477203</v>
      </c>
      <c r="N176" s="130">
        <v>280.79796151061623</v>
      </c>
      <c r="O176" s="130">
        <v>587.68756412047173</v>
      </c>
      <c r="P176" s="130">
        <v>594.00921297477203</v>
      </c>
      <c r="Q176" s="130">
        <v>594.00921297477203</v>
      </c>
      <c r="R176" s="130">
        <v>594.00921297477203</v>
      </c>
      <c r="S176" s="130">
        <v>594.00921297477203</v>
      </c>
      <c r="T176" s="130">
        <v>594.00921297477203</v>
      </c>
      <c r="U176" s="130">
        <v>552.67219786812507</v>
      </c>
      <c r="V176" s="130">
        <v>549.24752866381482</v>
      </c>
      <c r="W176" s="130">
        <v>594.00921297477203</v>
      </c>
      <c r="X176" s="130">
        <v>594.00921297477203</v>
      </c>
      <c r="Y176" s="130">
        <v>594.00921297477203</v>
      </c>
      <c r="Z176" s="130">
        <v>483.53027014641452</v>
      </c>
      <c r="AA176" s="130">
        <v>553.59666100160325</v>
      </c>
      <c r="AB176" s="130">
        <v>594.00921297477203</v>
      </c>
      <c r="AC176" s="130">
        <v>490.46151280500658</v>
      </c>
      <c r="AD176" s="130">
        <v>594.00921297477203</v>
      </c>
      <c r="AE176" s="130">
        <v>509.02612849658431</v>
      </c>
      <c r="AF176" s="130">
        <v>594.00921297477203</v>
      </c>
      <c r="AG176" s="130">
        <v>280.79796151061623</v>
      </c>
      <c r="AH176" s="130">
        <v>585</v>
      </c>
      <c r="AI176" s="130">
        <v>602.79318174717901</v>
      </c>
      <c r="AJ176" s="130">
        <v>594.00921297477203</v>
      </c>
      <c r="AK176" s="130">
        <v>594.00921297477203</v>
      </c>
      <c r="AL176" s="130">
        <v>510.01022684518762</v>
      </c>
      <c r="AM176" s="130">
        <v>594.00921297477203</v>
      </c>
      <c r="AN176" s="130">
        <v>520</v>
      </c>
      <c r="AO176" s="130">
        <v>605.07914408197075</v>
      </c>
      <c r="AP176" s="130">
        <v>594.00921297477203</v>
      </c>
      <c r="AQ176" s="130">
        <v>594.00921297477203</v>
      </c>
      <c r="AR176" s="130">
        <v>594.00921297477203</v>
      </c>
      <c r="AS176" s="130">
        <v>532</v>
      </c>
      <c r="AT176" s="130">
        <v>656.01842594954405</v>
      </c>
      <c r="AU176" s="130">
        <v>253.59998985488824</v>
      </c>
      <c r="AV176" s="130">
        <v>503.30624981191909</v>
      </c>
      <c r="AW176" s="130">
        <v>594.00921297477203</v>
      </c>
      <c r="AX176" s="130">
        <v>594.00921297477203</v>
      </c>
      <c r="AY176" s="130">
        <v>594.00921297477203</v>
      </c>
    </row>
    <row r="177" spans="1:51" x14ac:dyDescent="0.2">
      <c r="A177" s="140" t="s">
        <v>133</v>
      </c>
      <c r="B177" s="140" t="s">
        <v>298</v>
      </c>
      <c r="C177" s="129" t="s">
        <v>293</v>
      </c>
      <c r="D177" s="129">
        <f t="shared" ref="D177:AY177" si="2">SUM(D100:D107)</f>
        <v>422.85800909550284</v>
      </c>
      <c r="E177" s="129">
        <f t="shared" si="2"/>
        <v>521.41033338672037</v>
      </c>
      <c r="F177" s="129">
        <f t="shared" si="2"/>
        <v>215.41033338672037</v>
      </c>
      <c r="G177" s="129">
        <f t="shared" si="2"/>
        <v>0</v>
      </c>
      <c r="H177" s="129">
        <f t="shared" si="2"/>
        <v>0</v>
      </c>
      <c r="I177" s="129">
        <f t="shared" si="2"/>
        <v>0</v>
      </c>
      <c r="J177" s="129">
        <f t="shared" si="2"/>
        <v>202.04820232596759</v>
      </c>
      <c r="K177" s="129">
        <f t="shared" si="2"/>
        <v>202.04820232596759</v>
      </c>
      <c r="L177" s="129">
        <f t="shared" si="2"/>
        <v>202.04820232596759</v>
      </c>
      <c r="M177" s="129">
        <f t="shared" si="2"/>
        <v>0</v>
      </c>
      <c r="N177" s="129">
        <f t="shared" si="2"/>
        <v>404.09640465193496</v>
      </c>
      <c r="O177" s="129">
        <f t="shared" si="2"/>
        <v>208.14460697790255</v>
      </c>
      <c r="P177" s="129">
        <f t="shared" si="2"/>
        <v>202.04820232596759</v>
      </c>
      <c r="Q177" s="129">
        <f t="shared" si="2"/>
        <v>202.04820232596759</v>
      </c>
      <c r="R177" s="129">
        <f t="shared" si="2"/>
        <v>202.04820232596759</v>
      </c>
      <c r="S177" s="129">
        <f t="shared" si="2"/>
        <v>202.04820232596759</v>
      </c>
      <c r="T177" s="129">
        <f t="shared" si="2"/>
        <v>202.04820232596759</v>
      </c>
      <c r="U177" s="129">
        <f t="shared" si="2"/>
        <v>202.04820232596759</v>
      </c>
      <c r="V177" s="129">
        <f t="shared" si="2"/>
        <v>202.04820232596759</v>
      </c>
      <c r="W177" s="129">
        <f t="shared" si="2"/>
        <v>202.04820232596759</v>
      </c>
      <c r="X177" s="129">
        <f t="shared" si="2"/>
        <v>202.04820232596759</v>
      </c>
      <c r="Y177" s="129">
        <f t="shared" si="2"/>
        <v>202.04820232596759</v>
      </c>
      <c r="Z177" s="129">
        <f t="shared" si="2"/>
        <v>202.04820232596759</v>
      </c>
      <c r="AA177" s="129">
        <f t="shared" si="2"/>
        <v>202.04820232596759</v>
      </c>
      <c r="AB177" s="129">
        <f t="shared" si="2"/>
        <v>202.04820232596759</v>
      </c>
      <c r="AC177" s="129">
        <f t="shared" si="2"/>
        <v>202.04820232596759</v>
      </c>
      <c r="AD177" s="129">
        <f t="shared" si="2"/>
        <v>202.04820232596759</v>
      </c>
      <c r="AE177" s="129">
        <f t="shared" si="2"/>
        <v>202.04820232596759</v>
      </c>
      <c r="AF177" s="129">
        <f t="shared" si="2"/>
        <v>0</v>
      </c>
      <c r="AG177" s="129">
        <f t="shared" si="2"/>
        <v>404.09640465193496</v>
      </c>
      <c r="AH177" s="129">
        <f t="shared" si="2"/>
        <v>202.04820232596759</v>
      </c>
      <c r="AI177" s="129">
        <f t="shared" si="2"/>
        <v>202.04820232596759</v>
      </c>
      <c r="AJ177" s="129">
        <f t="shared" si="2"/>
        <v>202.04820232596759</v>
      </c>
      <c r="AK177" s="129">
        <f t="shared" si="2"/>
        <v>202.04820232596759</v>
      </c>
      <c r="AL177" s="129">
        <f t="shared" si="2"/>
        <v>202.04820232596759</v>
      </c>
      <c r="AM177" s="129">
        <f t="shared" si="2"/>
        <v>202.04820232596759</v>
      </c>
      <c r="AN177" s="129">
        <f t="shared" si="2"/>
        <v>202.04820232596759</v>
      </c>
      <c r="AO177" s="129">
        <f t="shared" si="2"/>
        <v>202.04820232596759</v>
      </c>
      <c r="AP177" s="129">
        <f t="shared" si="2"/>
        <v>202.04820232596759</v>
      </c>
      <c r="AQ177" s="129">
        <f t="shared" si="2"/>
        <v>202.04820232596759</v>
      </c>
      <c r="AR177" s="129">
        <f t="shared" si="2"/>
        <v>202.04820232596759</v>
      </c>
      <c r="AS177" s="129">
        <f t="shared" si="2"/>
        <v>202.04820232596759</v>
      </c>
      <c r="AT177" s="129">
        <f t="shared" si="2"/>
        <v>0</v>
      </c>
      <c r="AU177" s="129">
        <f t="shared" si="2"/>
        <v>404.09640465193496</v>
      </c>
      <c r="AV177" s="129">
        <f t="shared" si="2"/>
        <v>202.04820232596759</v>
      </c>
      <c r="AW177" s="129">
        <f t="shared" si="2"/>
        <v>202.04820232596759</v>
      </c>
      <c r="AX177" s="129">
        <f t="shared" si="2"/>
        <v>202.04820232596759</v>
      </c>
      <c r="AY177" s="129">
        <f t="shared" si="2"/>
        <v>202.04820232596759</v>
      </c>
    </row>
    <row r="178" spans="1:51" x14ac:dyDescent="0.2">
      <c r="A178" s="130"/>
      <c r="B178" s="141" t="s">
        <v>299</v>
      </c>
      <c r="C178" s="130" t="s">
        <v>293</v>
      </c>
      <c r="D178" s="130">
        <v>309</v>
      </c>
      <c r="E178" s="130">
        <v>306</v>
      </c>
      <c r="F178" s="130">
        <v>215.41033338672037</v>
      </c>
      <c r="G178" s="130">
        <v>0</v>
      </c>
      <c r="H178" s="130">
        <v>0</v>
      </c>
      <c r="I178" s="130">
        <v>0</v>
      </c>
      <c r="J178" s="130">
        <v>202.04820232596759</v>
      </c>
      <c r="K178" s="130">
        <v>202.04820232596759</v>
      </c>
      <c r="L178" s="130">
        <v>202.04820232596759</v>
      </c>
      <c r="M178" s="130">
        <v>0</v>
      </c>
      <c r="N178" s="130">
        <v>398</v>
      </c>
      <c r="O178" s="130">
        <v>208.14460697790255</v>
      </c>
      <c r="P178" s="130">
        <v>202.04820232596759</v>
      </c>
      <c r="Q178" s="130">
        <v>202.04820232596759</v>
      </c>
      <c r="R178" s="130">
        <v>202.04820232596759</v>
      </c>
      <c r="S178" s="130">
        <v>202.04820232596759</v>
      </c>
      <c r="T178" s="130">
        <v>202.04820232596759</v>
      </c>
      <c r="U178" s="130">
        <v>202.04820232596759</v>
      </c>
      <c r="V178" s="130">
        <v>202.04820232596759</v>
      </c>
      <c r="W178" s="130">
        <v>202.04820232596759</v>
      </c>
      <c r="X178" s="130">
        <v>202.04820232596759</v>
      </c>
      <c r="Y178" s="130">
        <v>202.04820232596759</v>
      </c>
      <c r="Z178" s="130">
        <v>202.04820232596759</v>
      </c>
      <c r="AA178" s="130">
        <v>202.04820232596759</v>
      </c>
      <c r="AB178" s="130">
        <v>202.04820232596759</v>
      </c>
      <c r="AC178" s="130">
        <v>202.04820232596759</v>
      </c>
      <c r="AD178" s="130">
        <v>202.04820232596759</v>
      </c>
      <c r="AE178" s="130">
        <v>202.04820232596759</v>
      </c>
      <c r="AF178" s="130">
        <v>0</v>
      </c>
      <c r="AG178" s="130">
        <v>404.09640465193496</v>
      </c>
      <c r="AH178" s="130">
        <v>202.04820232596759</v>
      </c>
      <c r="AI178" s="130">
        <v>202.04820232596759</v>
      </c>
      <c r="AJ178" s="130">
        <v>202.04820232596759</v>
      </c>
      <c r="AK178" s="130">
        <v>202.04820232596759</v>
      </c>
      <c r="AL178" s="130">
        <v>202.04820232596759</v>
      </c>
      <c r="AM178" s="130">
        <v>202.04820232596759</v>
      </c>
      <c r="AN178" s="130">
        <v>202.04820232596759</v>
      </c>
      <c r="AO178" s="130">
        <v>202.04820232596759</v>
      </c>
      <c r="AP178" s="130">
        <v>202.04820232596759</v>
      </c>
      <c r="AQ178" s="130">
        <v>202.04820232596759</v>
      </c>
      <c r="AR178" s="130">
        <v>202.04820232596759</v>
      </c>
      <c r="AS178" s="130">
        <v>202.04820232596759</v>
      </c>
      <c r="AT178" s="130">
        <v>0</v>
      </c>
      <c r="AU178" s="130">
        <v>404.09640465193496</v>
      </c>
      <c r="AV178" s="130">
        <v>202.04820232596759</v>
      </c>
      <c r="AW178" s="130">
        <v>202.04820232596759</v>
      </c>
      <c r="AX178" s="130">
        <v>202.04820232596759</v>
      </c>
      <c r="AY178" s="130">
        <v>202.04820232596759</v>
      </c>
    </row>
    <row r="179" spans="1:51" x14ac:dyDescent="0.2">
      <c r="A179" s="140" t="s">
        <v>134</v>
      </c>
      <c r="B179" s="140" t="s">
        <v>298</v>
      </c>
      <c r="C179" s="129" t="s">
        <v>293</v>
      </c>
      <c r="D179" s="129">
        <f t="shared" ref="D179:AY179" si="3">SUM(D109:D120)</f>
        <v>1048.7864178098635</v>
      </c>
      <c r="E179" s="129">
        <f t="shared" si="3"/>
        <v>828.78641780986356</v>
      </c>
      <c r="F179" s="129">
        <f t="shared" si="3"/>
        <v>607.78641780986356</v>
      </c>
      <c r="G179" s="129">
        <f t="shared" si="3"/>
        <v>447.78641780986356</v>
      </c>
      <c r="H179" s="129">
        <f t="shared" si="3"/>
        <v>219.78641780986356</v>
      </c>
      <c r="I179" s="129">
        <f t="shared" si="3"/>
        <v>216.45877376320729</v>
      </c>
      <c r="J179" s="129">
        <f t="shared" si="3"/>
        <v>216.45877376320729</v>
      </c>
      <c r="K179" s="129">
        <f t="shared" si="3"/>
        <v>233.93654995021964</v>
      </c>
      <c r="L179" s="129">
        <f t="shared" si="3"/>
        <v>233.93654995021964</v>
      </c>
      <c r="M179" s="129">
        <f t="shared" si="3"/>
        <v>233.93654995021964</v>
      </c>
      <c r="N179" s="129">
        <f t="shared" si="3"/>
        <v>216.45877376320729</v>
      </c>
      <c r="O179" s="129">
        <f t="shared" si="3"/>
        <v>251.414326137232</v>
      </c>
      <c r="P179" s="129">
        <f t="shared" si="3"/>
        <v>233.93654995021964</v>
      </c>
      <c r="Q179" s="129">
        <f t="shared" si="3"/>
        <v>233.93654995021964</v>
      </c>
      <c r="R179" s="129">
        <f t="shared" si="3"/>
        <v>233.93654995021964</v>
      </c>
      <c r="S179" s="129">
        <f t="shared" si="3"/>
        <v>233.93654995021964</v>
      </c>
      <c r="T179" s="129">
        <f t="shared" si="3"/>
        <v>233.93654995021964</v>
      </c>
      <c r="U179" s="129">
        <f t="shared" si="3"/>
        <v>233.93654995021964</v>
      </c>
      <c r="V179" s="129">
        <f t="shared" si="3"/>
        <v>240.95547808952662</v>
      </c>
      <c r="W179" s="129">
        <f t="shared" si="3"/>
        <v>240.52489197935421</v>
      </c>
      <c r="X179" s="129">
        <f t="shared" si="3"/>
        <v>233.93654995021964</v>
      </c>
      <c r="Y179" s="129">
        <f t="shared" si="3"/>
        <v>233.93654995021964</v>
      </c>
      <c r="Z179" s="129">
        <f t="shared" si="3"/>
        <v>233.93654995021964</v>
      </c>
      <c r="AA179" s="129">
        <f t="shared" si="3"/>
        <v>249.23856348931042</v>
      </c>
      <c r="AB179" s="129">
        <f t="shared" si="3"/>
        <v>239.01157376916322</v>
      </c>
      <c r="AC179" s="129">
        <f t="shared" si="3"/>
        <v>233.93654995021964</v>
      </c>
      <c r="AD179" s="129">
        <f t="shared" si="3"/>
        <v>248.40821240192361</v>
      </c>
      <c r="AE179" s="129">
        <f t="shared" si="3"/>
        <v>233.93654995021964</v>
      </c>
      <c r="AF179" s="129">
        <f t="shared" si="3"/>
        <v>246.18420300191929</v>
      </c>
      <c r="AG179" s="129">
        <f t="shared" si="3"/>
        <v>216.45877376320729</v>
      </c>
      <c r="AH179" s="129">
        <f t="shared" si="3"/>
        <v>251.414326137232</v>
      </c>
      <c r="AI179" s="129">
        <f t="shared" si="3"/>
        <v>233.93654995021964</v>
      </c>
      <c r="AJ179" s="129">
        <f t="shared" si="3"/>
        <v>233.93654995021964</v>
      </c>
      <c r="AK179" s="129">
        <f t="shared" si="3"/>
        <v>233.93654995021964</v>
      </c>
      <c r="AL179" s="129">
        <f t="shared" si="3"/>
        <v>233.93654995021964</v>
      </c>
      <c r="AM179" s="129">
        <f t="shared" si="3"/>
        <v>246.06630969272379</v>
      </c>
      <c r="AN179" s="129">
        <f t="shared" si="3"/>
        <v>233.93654995021967</v>
      </c>
      <c r="AO179" s="129">
        <f t="shared" si="3"/>
        <v>240.11915082766836</v>
      </c>
      <c r="AP179" s="129">
        <f t="shared" si="3"/>
        <v>233.93654995021964</v>
      </c>
      <c r="AQ179" s="129">
        <f t="shared" si="3"/>
        <v>233.93654995021964</v>
      </c>
      <c r="AR179" s="129">
        <f t="shared" si="3"/>
        <v>233.93654995021964</v>
      </c>
      <c r="AS179" s="129">
        <f t="shared" si="3"/>
        <v>233.93654995021964</v>
      </c>
      <c r="AT179" s="129">
        <f t="shared" si="3"/>
        <v>233.93654995021964</v>
      </c>
      <c r="AU179" s="129">
        <f t="shared" si="3"/>
        <v>243.65674541893534</v>
      </c>
      <c r="AV179" s="129">
        <f t="shared" si="3"/>
        <v>251.414326137232</v>
      </c>
      <c r="AW179" s="129">
        <f t="shared" si="3"/>
        <v>244.77562686956381</v>
      </c>
      <c r="AX179" s="129">
        <f t="shared" si="3"/>
        <v>233.93654995021964</v>
      </c>
      <c r="AY179" s="129">
        <f t="shared" si="3"/>
        <v>233.93654995021964</v>
      </c>
    </row>
    <row r="180" spans="1:51" x14ac:dyDescent="0.2">
      <c r="A180" s="130"/>
      <c r="B180" s="141" t="s">
        <v>299</v>
      </c>
      <c r="C180" s="130" t="s">
        <v>293</v>
      </c>
      <c r="D180" s="130">
        <v>220</v>
      </c>
      <c r="E180" s="130">
        <v>221</v>
      </c>
      <c r="F180" s="130">
        <v>160</v>
      </c>
      <c r="G180" s="130">
        <v>228</v>
      </c>
      <c r="H180" s="130">
        <v>219.78641780986356</v>
      </c>
      <c r="I180" s="130">
        <v>216.45877376320729</v>
      </c>
      <c r="J180" s="130">
        <v>216.45877376320729</v>
      </c>
      <c r="K180" s="130">
        <v>233.93654995021964</v>
      </c>
      <c r="L180" s="130">
        <v>233.93654995021964</v>
      </c>
      <c r="M180" s="130">
        <v>233.93654995021964</v>
      </c>
      <c r="N180" s="130">
        <v>216.45877376320729</v>
      </c>
      <c r="O180" s="130">
        <v>251.414326137232</v>
      </c>
      <c r="P180" s="130">
        <v>233.93654995021964</v>
      </c>
      <c r="Q180" s="130">
        <v>233.93654995021964</v>
      </c>
      <c r="R180" s="130">
        <v>233.93654995021964</v>
      </c>
      <c r="S180" s="130">
        <v>233.93654995021964</v>
      </c>
      <c r="T180" s="130">
        <v>233.93654995021964</v>
      </c>
      <c r="U180" s="130">
        <v>233.93654995021964</v>
      </c>
      <c r="V180" s="130">
        <v>240.95547808952662</v>
      </c>
      <c r="W180" s="130">
        <v>240.52489197935421</v>
      </c>
      <c r="X180" s="130">
        <v>233.93654995021964</v>
      </c>
      <c r="Y180" s="130">
        <v>233.93654995021964</v>
      </c>
      <c r="Z180" s="130">
        <v>233.93654995021964</v>
      </c>
      <c r="AA180" s="130">
        <v>249.23856348931042</v>
      </c>
      <c r="AB180" s="130">
        <v>239.01157376916322</v>
      </c>
      <c r="AC180" s="130">
        <v>233.93654995021964</v>
      </c>
      <c r="AD180" s="130">
        <v>248.40821240192361</v>
      </c>
      <c r="AE180" s="130">
        <v>233.93654995021964</v>
      </c>
      <c r="AF180" s="130">
        <v>246.18420300191929</v>
      </c>
      <c r="AG180" s="130">
        <v>216.45877376320729</v>
      </c>
      <c r="AH180" s="130">
        <v>251.414326137232</v>
      </c>
      <c r="AI180" s="130">
        <v>233.93654995021964</v>
      </c>
      <c r="AJ180" s="130">
        <v>233.93654995021964</v>
      </c>
      <c r="AK180" s="130">
        <v>233.93654995021964</v>
      </c>
      <c r="AL180" s="130">
        <v>233.93654995021964</v>
      </c>
      <c r="AM180" s="130">
        <v>246.06630969272379</v>
      </c>
      <c r="AN180" s="130">
        <v>233.93654995021967</v>
      </c>
      <c r="AO180" s="130">
        <v>240.11915082766836</v>
      </c>
      <c r="AP180" s="130">
        <v>233.93654995021964</v>
      </c>
      <c r="AQ180" s="130">
        <v>233.93654995021964</v>
      </c>
      <c r="AR180" s="130">
        <v>233.93654995021964</v>
      </c>
      <c r="AS180" s="130">
        <v>233.93654995021964</v>
      </c>
      <c r="AT180" s="130">
        <v>233.93654995021964</v>
      </c>
      <c r="AU180" s="130">
        <v>243.65674541893534</v>
      </c>
      <c r="AV180" s="130">
        <v>251.414326137232</v>
      </c>
      <c r="AW180" s="130">
        <v>244.77562686956381</v>
      </c>
      <c r="AX180" s="130">
        <v>233.93654995021964</v>
      </c>
      <c r="AY180" s="130">
        <v>233.93654995021964</v>
      </c>
    </row>
    <row r="181" spans="1:51" x14ac:dyDescent="0.2">
      <c r="A181" s="140" t="s">
        <v>123</v>
      </c>
      <c r="B181" s="140" t="s">
        <v>298</v>
      </c>
      <c r="C181" s="129" t="s">
        <v>293</v>
      </c>
      <c r="D181" s="129">
        <f t="shared" ref="D181:AY181" si="4">(1-D172)*SUM(D122:D169)</f>
        <v>278.97645275391636</v>
      </c>
      <c r="E181" s="129">
        <f t="shared" si="4"/>
        <v>294.2821375582011</v>
      </c>
      <c r="F181" s="129">
        <f t="shared" si="4"/>
        <v>0</v>
      </c>
      <c r="G181" s="129">
        <f t="shared" si="4"/>
        <v>0</v>
      </c>
      <c r="H181" s="129">
        <f t="shared" si="4"/>
        <v>1590.4013716913382</v>
      </c>
      <c r="I181" s="129">
        <f t="shared" si="4"/>
        <v>1590.4013716913382</v>
      </c>
      <c r="J181" s="129">
        <f t="shared" si="4"/>
        <v>1718.8169528141739</v>
      </c>
      <c r="K181" s="129">
        <f t="shared" si="4"/>
        <v>1718.8169528141739</v>
      </c>
      <c r="L181" s="129">
        <f t="shared" si="4"/>
        <v>1718.8169528141739</v>
      </c>
      <c r="M181" s="129">
        <f t="shared" si="4"/>
        <v>1590.4013716913382</v>
      </c>
      <c r="N181" s="129">
        <f t="shared" si="4"/>
        <v>1847.2325339370093</v>
      </c>
      <c r="O181" s="129">
        <f t="shared" si="4"/>
        <v>1718.8169528141739</v>
      </c>
      <c r="P181" s="129">
        <f t="shared" si="4"/>
        <v>1718.8169528141739</v>
      </c>
      <c r="Q181" s="129">
        <f t="shared" si="4"/>
        <v>1718.8169528141739</v>
      </c>
      <c r="R181" s="129">
        <f t="shared" si="4"/>
        <v>1718.8169528141739</v>
      </c>
      <c r="S181" s="129">
        <f t="shared" si="4"/>
        <v>1718.8169528141739</v>
      </c>
      <c r="T181" s="129">
        <f t="shared" si="4"/>
        <v>1718.8169528141739</v>
      </c>
      <c r="U181" s="129">
        <f t="shared" si="4"/>
        <v>1770.387571766161</v>
      </c>
      <c r="V181" s="129">
        <f t="shared" si="4"/>
        <v>1767.2238989413368</v>
      </c>
      <c r="W181" s="129">
        <f t="shared" si="4"/>
        <v>1718.8169528141739</v>
      </c>
      <c r="X181" s="129">
        <f t="shared" si="4"/>
        <v>1718.8169528141739</v>
      </c>
      <c r="Y181" s="129">
        <f t="shared" si="4"/>
        <v>1718.8169528141739</v>
      </c>
      <c r="Z181" s="129">
        <f t="shared" si="4"/>
        <v>1831.2464140880877</v>
      </c>
      <c r="AA181" s="129">
        <f t="shared" si="4"/>
        <v>1756.1049994139555</v>
      </c>
      <c r="AB181" s="129">
        <f t="shared" si="4"/>
        <v>1718.8169528141739</v>
      </c>
      <c r="AC181" s="129">
        <f t="shared" si="4"/>
        <v>1825.1455225168825</v>
      </c>
      <c r="AD181" s="129">
        <f t="shared" si="4"/>
        <v>1718.8169528141739</v>
      </c>
      <c r="AE181" s="129">
        <f t="shared" si="4"/>
        <v>1808.8049162253092</v>
      </c>
      <c r="AF181" s="129">
        <f t="shared" si="4"/>
        <v>1590.4013716913382</v>
      </c>
      <c r="AG181" s="129">
        <f t="shared" si="4"/>
        <v>1847.2325339370093</v>
      </c>
      <c r="AH181" s="129">
        <f t="shared" si="4"/>
        <v>1718.8169528141739</v>
      </c>
      <c r="AI181" s="129">
        <f t="shared" si="4"/>
        <v>1718.8169528141739</v>
      </c>
      <c r="AJ181" s="129">
        <f t="shared" si="4"/>
        <v>1718.8169528141739</v>
      </c>
      <c r="AK181" s="129">
        <f t="shared" si="4"/>
        <v>1718.8169528141739</v>
      </c>
      <c r="AL181" s="129">
        <f t="shared" si="4"/>
        <v>1807.9387111859012</v>
      </c>
      <c r="AM181" s="129">
        <f t="shared" si="4"/>
        <v>1718.8169528141741</v>
      </c>
      <c r="AN181" s="129">
        <f t="shared" si="4"/>
        <v>1764.2427710666186</v>
      </c>
      <c r="AO181" s="129">
        <f t="shared" si="4"/>
        <v>1718.8169528141739</v>
      </c>
      <c r="AP181" s="129">
        <f t="shared" si="4"/>
        <v>1718.8169528141739</v>
      </c>
      <c r="AQ181" s="129">
        <f t="shared" si="4"/>
        <v>1718.8169528141739</v>
      </c>
      <c r="AR181" s="129">
        <f t="shared" si="4"/>
        <v>1718.8169528141739</v>
      </c>
      <c r="AS181" s="129">
        <f t="shared" si="4"/>
        <v>1718.8169528141739</v>
      </c>
      <c r="AT181" s="129">
        <f t="shared" si="4"/>
        <v>1790.2347657204996</v>
      </c>
      <c r="AU181" s="129">
        <f t="shared" si="4"/>
        <v>1847.2325339370093</v>
      </c>
      <c r="AV181" s="129">
        <f t="shared" si="4"/>
        <v>1798.4555948553173</v>
      </c>
      <c r="AW181" s="129">
        <f t="shared" si="4"/>
        <v>1718.8169528141739</v>
      </c>
      <c r="AX181" s="129">
        <f t="shared" si="4"/>
        <v>1718.8169528141739</v>
      </c>
      <c r="AY181" s="129">
        <f t="shared" si="4"/>
        <v>1718.8169528141739</v>
      </c>
    </row>
    <row r="182" spans="1:51" x14ac:dyDescent="0.2">
      <c r="A182" s="130"/>
      <c r="B182" s="141" t="s">
        <v>299</v>
      </c>
      <c r="C182" s="130" t="s">
        <v>293</v>
      </c>
      <c r="D182" s="130">
        <v>278.97645275391636</v>
      </c>
      <c r="E182" s="130">
        <v>294.2821375582011</v>
      </c>
      <c r="F182" s="130">
        <v>0</v>
      </c>
      <c r="G182" s="130">
        <v>0</v>
      </c>
      <c r="H182" s="130">
        <v>1590.4013716913382</v>
      </c>
      <c r="I182" s="130">
        <v>1590.4013716913382</v>
      </c>
      <c r="J182" s="130">
        <v>1718.8169528141739</v>
      </c>
      <c r="K182" s="130">
        <v>1718.8169528141739</v>
      </c>
      <c r="L182" s="130">
        <v>1718.8169528141739</v>
      </c>
      <c r="M182" s="130">
        <v>1590.4013716913382</v>
      </c>
      <c r="N182" s="130">
        <v>1847.2325339370093</v>
      </c>
      <c r="O182" s="130">
        <v>1718.8169528141739</v>
      </c>
      <c r="P182" s="130">
        <v>1718.8169528141739</v>
      </c>
      <c r="Q182" s="130">
        <v>1718.8169528141739</v>
      </c>
      <c r="R182" s="130">
        <v>1718.8169528141739</v>
      </c>
      <c r="S182" s="130">
        <v>1718.8169528141739</v>
      </c>
      <c r="T182" s="130">
        <v>1660.2274057228797</v>
      </c>
      <c r="U182" s="130">
        <v>1715.3922836098636</v>
      </c>
      <c r="V182" s="130">
        <v>1767.2238989413368</v>
      </c>
      <c r="W182" s="130">
        <v>1718.8169528141739</v>
      </c>
      <c r="X182" s="130">
        <v>1718.8169528141739</v>
      </c>
      <c r="Y182" s="130">
        <v>1591.0854780011689</v>
      </c>
      <c r="Z182" s="130">
        <v>1788.8833436693626</v>
      </c>
      <c r="AA182" s="130">
        <v>1756.1049994139555</v>
      </c>
      <c r="AB182" s="130">
        <v>1598.0167206597614</v>
      </c>
      <c r="AC182" s="130">
        <v>1825.1455225168825</v>
      </c>
      <c r="AD182" s="130">
        <v>1616.5813363513389</v>
      </c>
      <c r="AE182" s="130">
        <v>1808.8049162253092</v>
      </c>
      <c r="AF182" s="130">
        <v>1590.4013716913382</v>
      </c>
      <c r="AG182" s="130">
        <v>1847.2325339370093</v>
      </c>
      <c r="AH182" s="130">
        <v>1718.8169528141739</v>
      </c>
      <c r="AI182" s="130">
        <v>1718.8169528141739</v>
      </c>
      <c r="AJ182" s="130">
        <v>1718.8169528141739</v>
      </c>
      <c r="AK182" s="130">
        <v>1617.5654346999422</v>
      </c>
      <c r="AL182" s="130">
        <v>1807.9387111859012</v>
      </c>
      <c r="AM182" s="130">
        <v>1667.2085336842806</v>
      </c>
      <c r="AN182" s="130">
        <v>1764.2427710666186</v>
      </c>
      <c r="AO182" s="130">
        <v>1718.8169528141739</v>
      </c>
      <c r="AP182" s="130">
        <v>1718.8169528141739</v>
      </c>
      <c r="AQ182" s="130">
        <v>1718.8169528141739</v>
      </c>
      <c r="AR182" s="130">
        <v>1718.8169528141739</v>
      </c>
      <c r="AS182" s="130">
        <v>1491.7855871292845</v>
      </c>
      <c r="AT182" s="130">
        <v>1790.2347657204996</v>
      </c>
      <c r="AU182" s="130">
        <v>1756.7548149765216</v>
      </c>
      <c r="AV182" s="130">
        <v>1798.4555948553173</v>
      </c>
      <c r="AW182" s="130">
        <v>1718.8169528141739</v>
      </c>
      <c r="AX182" s="130">
        <v>1718.8169528141739</v>
      </c>
      <c r="AY182" s="130">
        <v>1718.8169528141739</v>
      </c>
    </row>
    <row r="184" spans="1:51" x14ac:dyDescent="0.2">
      <c r="A184" s="107" t="s">
        <v>300</v>
      </c>
    </row>
    <row r="185" spans="1:51" x14ac:dyDescent="0.2">
      <c r="A185" s="131" t="s">
        <v>125</v>
      </c>
      <c r="B185" s="128">
        <v>1</v>
      </c>
      <c r="C185" s="129">
        <v>0</v>
      </c>
      <c r="D185" s="129">
        <v>0</v>
      </c>
      <c r="E185" s="129">
        <v>0</v>
      </c>
      <c r="F185" s="129">
        <v>0</v>
      </c>
      <c r="G185" s="129">
        <v>0</v>
      </c>
      <c r="H185" s="129">
        <v>594.00921297477203</v>
      </c>
      <c r="I185" s="129">
        <v>594.00921297477203</v>
      </c>
      <c r="J185" s="129">
        <v>594.00921297477203</v>
      </c>
      <c r="K185" s="129">
        <v>594.00921297477203</v>
      </c>
      <c r="L185" s="129">
        <v>594.00921297477203</v>
      </c>
      <c r="M185" s="129">
        <v>594.00921297477203</v>
      </c>
      <c r="N185" s="129">
        <v>280.79796151061623</v>
      </c>
      <c r="O185" s="129">
        <v>587.68756412047173</v>
      </c>
      <c r="P185" s="129">
        <v>594.00921297477203</v>
      </c>
      <c r="Q185" s="129">
        <v>594.00921297477203</v>
      </c>
      <c r="R185" s="129">
        <v>594.00921297477203</v>
      </c>
      <c r="S185" s="129">
        <v>594.00921297477203</v>
      </c>
      <c r="T185" s="129">
        <v>594.00921297477203</v>
      </c>
      <c r="U185" s="129">
        <v>552.67219786812507</v>
      </c>
      <c r="V185" s="129">
        <v>549.24752866381482</v>
      </c>
      <c r="W185" s="129">
        <v>594.00921297477203</v>
      </c>
      <c r="X185" s="129">
        <v>594.00921297477203</v>
      </c>
      <c r="Y185" s="129">
        <v>594.00921297477203</v>
      </c>
      <c r="Z185" s="129">
        <v>483.53027014641452</v>
      </c>
      <c r="AA185" s="129">
        <v>553.59666100160325</v>
      </c>
      <c r="AB185" s="129">
        <v>594.00921297477203</v>
      </c>
      <c r="AC185" s="129">
        <v>490.46151280500658</v>
      </c>
      <c r="AD185" s="129">
        <v>594.00921297477203</v>
      </c>
      <c r="AE185" s="129">
        <v>509.02612849658431</v>
      </c>
      <c r="AF185" s="129">
        <v>594.00921297477203</v>
      </c>
      <c r="AG185" s="129">
        <v>280.79796151061623</v>
      </c>
      <c r="AH185" s="129">
        <v>585</v>
      </c>
      <c r="AI185" s="129">
        <v>594.00921297477203</v>
      </c>
      <c r="AJ185" s="129">
        <v>594.00921297477203</v>
      </c>
      <c r="AK185" s="129">
        <v>594.00921297477203</v>
      </c>
      <c r="AL185" s="129">
        <v>510.01022684518762</v>
      </c>
      <c r="AM185" s="129">
        <v>594.00921297477203</v>
      </c>
      <c r="AN185" s="129">
        <v>520</v>
      </c>
      <c r="AO185" s="129">
        <v>594.00921297477203</v>
      </c>
      <c r="AP185" s="129">
        <v>594.00921297477203</v>
      </c>
      <c r="AQ185" s="129">
        <v>594.00921297477203</v>
      </c>
      <c r="AR185" s="129">
        <v>594.00921297477203</v>
      </c>
      <c r="AS185" s="129">
        <v>532</v>
      </c>
      <c r="AT185" s="129">
        <v>594.00921297477203</v>
      </c>
      <c r="AU185" s="129">
        <v>253.59998985488824</v>
      </c>
      <c r="AV185" s="129">
        <v>503.30624981191909</v>
      </c>
      <c r="AW185" s="129">
        <v>594.00921297477203</v>
      </c>
      <c r="AX185" s="129">
        <v>594.00921297477203</v>
      </c>
      <c r="AY185" s="129">
        <v>594.00921297477203</v>
      </c>
    </row>
    <row r="186" spans="1:51" x14ac:dyDescent="0.2">
      <c r="A186" s="114"/>
      <c r="B186" s="125">
        <v>2</v>
      </c>
      <c r="C186" s="111">
        <v>0</v>
      </c>
      <c r="D186" s="111">
        <v>0</v>
      </c>
      <c r="E186" s="111">
        <v>0</v>
      </c>
      <c r="F186" s="111">
        <v>0</v>
      </c>
      <c r="G186" s="111">
        <v>0</v>
      </c>
      <c r="H186" s="111">
        <v>0</v>
      </c>
      <c r="I186" s="111">
        <v>0</v>
      </c>
      <c r="J186" s="111">
        <v>0</v>
      </c>
      <c r="K186" s="111">
        <v>0</v>
      </c>
      <c r="L186" s="111">
        <v>0</v>
      </c>
      <c r="M186" s="111">
        <v>0</v>
      </c>
      <c r="N186" s="111">
        <v>0</v>
      </c>
      <c r="O186" s="111">
        <v>0</v>
      </c>
      <c r="P186" s="111">
        <v>0</v>
      </c>
      <c r="Q186" s="111">
        <v>0</v>
      </c>
      <c r="R186" s="111">
        <v>0</v>
      </c>
      <c r="S186" s="111">
        <v>0</v>
      </c>
      <c r="T186" s="111">
        <v>0</v>
      </c>
      <c r="U186" s="111">
        <v>0</v>
      </c>
      <c r="V186" s="111">
        <v>0</v>
      </c>
      <c r="W186" s="111">
        <v>0</v>
      </c>
      <c r="X186" s="111">
        <v>0</v>
      </c>
      <c r="Y186" s="111">
        <v>0</v>
      </c>
      <c r="Z186" s="111">
        <v>0</v>
      </c>
      <c r="AA186" s="111">
        <v>0</v>
      </c>
      <c r="AB186" s="111">
        <v>0</v>
      </c>
      <c r="AC186" s="111">
        <v>0</v>
      </c>
      <c r="AD186" s="111">
        <v>0</v>
      </c>
      <c r="AE186" s="111">
        <v>0</v>
      </c>
      <c r="AF186" s="111">
        <v>0</v>
      </c>
      <c r="AG186" s="111">
        <v>0</v>
      </c>
      <c r="AH186" s="111">
        <v>0</v>
      </c>
      <c r="AI186" s="111">
        <v>8.783968772406979</v>
      </c>
      <c r="AJ186" s="111">
        <v>0</v>
      </c>
      <c r="AK186" s="111">
        <v>0</v>
      </c>
      <c r="AL186" s="111">
        <v>0</v>
      </c>
      <c r="AM186" s="111">
        <v>0</v>
      </c>
      <c r="AN186" s="111">
        <v>0</v>
      </c>
      <c r="AO186" s="111">
        <v>11.069931107198727</v>
      </c>
      <c r="AP186" s="111">
        <v>0</v>
      </c>
      <c r="AQ186" s="111">
        <v>0</v>
      </c>
      <c r="AR186" s="111">
        <v>0</v>
      </c>
      <c r="AS186" s="111">
        <v>0</v>
      </c>
      <c r="AT186" s="111">
        <v>62.009212974772026</v>
      </c>
      <c r="AU186" s="111">
        <v>0</v>
      </c>
      <c r="AV186" s="111">
        <v>0</v>
      </c>
      <c r="AW186" s="111">
        <v>0</v>
      </c>
      <c r="AX186" s="111">
        <v>0</v>
      </c>
      <c r="AY186" s="111">
        <v>0</v>
      </c>
    </row>
    <row r="187" spans="1:51" x14ac:dyDescent="0.2">
      <c r="A187" s="114"/>
      <c r="B187" s="132">
        <v>3</v>
      </c>
      <c r="C187" s="111">
        <v>0</v>
      </c>
      <c r="D187" s="111">
        <v>0</v>
      </c>
      <c r="E187" s="111">
        <v>0</v>
      </c>
      <c r="F187" s="111">
        <v>0</v>
      </c>
      <c r="G187" s="111">
        <v>0</v>
      </c>
      <c r="H187" s="111">
        <v>0</v>
      </c>
      <c r="I187" s="111">
        <v>0</v>
      </c>
      <c r="J187" s="111">
        <v>0</v>
      </c>
      <c r="K187" s="111">
        <v>0</v>
      </c>
      <c r="L187" s="111">
        <v>0</v>
      </c>
      <c r="M187" s="111">
        <v>0</v>
      </c>
      <c r="N187" s="111">
        <v>0</v>
      </c>
      <c r="O187" s="111">
        <v>0</v>
      </c>
      <c r="P187" s="111">
        <v>0</v>
      </c>
      <c r="Q187" s="111">
        <v>0</v>
      </c>
      <c r="R187" s="111">
        <v>0</v>
      </c>
      <c r="S187" s="111">
        <v>0</v>
      </c>
      <c r="T187" s="111">
        <v>0</v>
      </c>
      <c r="U187" s="111">
        <v>0</v>
      </c>
      <c r="V187" s="111">
        <v>0</v>
      </c>
      <c r="W187" s="111">
        <v>0</v>
      </c>
      <c r="X187" s="111">
        <v>0</v>
      </c>
      <c r="Y187" s="111">
        <v>0</v>
      </c>
      <c r="Z187" s="111">
        <v>0</v>
      </c>
      <c r="AA187" s="111">
        <v>0</v>
      </c>
      <c r="AB187" s="111">
        <v>0</v>
      </c>
      <c r="AC187" s="111">
        <v>0</v>
      </c>
      <c r="AD187" s="111">
        <v>0</v>
      </c>
      <c r="AE187" s="111">
        <v>0</v>
      </c>
      <c r="AF187" s="111">
        <v>0</v>
      </c>
      <c r="AG187" s="111">
        <v>0</v>
      </c>
      <c r="AH187" s="111">
        <v>0</v>
      </c>
      <c r="AI187" s="111">
        <v>0</v>
      </c>
      <c r="AJ187" s="111">
        <v>0</v>
      </c>
      <c r="AK187" s="111">
        <v>0</v>
      </c>
      <c r="AL187" s="111">
        <v>0</v>
      </c>
      <c r="AM187" s="111">
        <v>0</v>
      </c>
      <c r="AN187" s="111">
        <v>0</v>
      </c>
      <c r="AO187" s="111">
        <v>0</v>
      </c>
      <c r="AP187" s="111">
        <v>0</v>
      </c>
      <c r="AQ187" s="111">
        <v>0</v>
      </c>
      <c r="AR187" s="111">
        <v>0</v>
      </c>
      <c r="AS187" s="111">
        <v>0</v>
      </c>
      <c r="AT187" s="111">
        <v>0</v>
      </c>
      <c r="AU187" s="111">
        <v>0</v>
      </c>
      <c r="AV187" s="111">
        <v>0</v>
      </c>
      <c r="AW187" s="111">
        <v>0</v>
      </c>
      <c r="AX187" s="111">
        <v>0</v>
      </c>
      <c r="AY187" s="111">
        <v>0</v>
      </c>
    </row>
    <row r="188" spans="1:51" x14ac:dyDescent="0.2">
      <c r="A188" s="133"/>
      <c r="B188" s="134">
        <v>4</v>
      </c>
      <c r="C188" s="111">
        <v>0</v>
      </c>
      <c r="D188" s="111">
        <v>0</v>
      </c>
      <c r="E188" s="111">
        <v>0</v>
      </c>
      <c r="F188" s="111">
        <v>0</v>
      </c>
      <c r="G188" s="111">
        <v>0</v>
      </c>
      <c r="H188" s="111">
        <v>0</v>
      </c>
      <c r="I188" s="111">
        <v>0</v>
      </c>
      <c r="J188" s="111">
        <v>0</v>
      </c>
      <c r="K188" s="111">
        <v>0</v>
      </c>
      <c r="L188" s="111">
        <v>0</v>
      </c>
      <c r="M188" s="111">
        <v>0</v>
      </c>
      <c r="N188" s="111">
        <v>0</v>
      </c>
      <c r="O188" s="111">
        <v>0</v>
      </c>
      <c r="P188" s="111">
        <v>0</v>
      </c>
      <c r="Q188" s="111">
        <v>0</v>
      </c>
      <c r="R188" s="111">
        <v>0</v>
      </c>
      <c r="S188" s="111">
        <v>0</v>
      </c>
      <c r="T188" s="111">
        <v>0</v>
      </c>
      <c r="U188" s="111">
        <v>0</v>
      </c>
      <c r="V188" s="111">
        <v>0</v>
      </c>
      <c r="W188" s="111">
        <v>0</v>
      </c>
      <c r="X188" s="111">
        <v>0</v>
      </c>
      <c r="Y188" s="111">
        <v>0</v>
      </c>
      <c r="Z188" s="111">
        <v>0</v>
      </c>
      <c r="AA188" s="111">
        <v>0</v>
      </c>
      <c r="AB188" s="111">
        <v>0</v>
      </c>
      <c r="AC188" s="111">
        <v>0</v>
      </c>
      <c r="AD188" s="111">
        <v>0</v>
      </c>
      <c r="AE188" s="111">
        <v>0</v>
      </c>
      <c r="AF188" s="111">
        <v>0</v>
      </c>
      <c r="AG188" s="111">
        <v>0</v>
      </c>
      <c r="AH188" s="111">
        <v>0</v>
      </c>
      <c r="AI188" s="111">
        <v>0</v>
      </c>
      <c r="AJ188" s="111">
        <v>0</v>
      </c>
      <c r="AK188" s="111">
        <v>0</v>
      </c>
      <c r="AL188" s="111">
        <v>0</v>
      </c>
      <c r="AM188" s="111">
        <v>0</v>
      </c>
      <c r="AN188" s="111">
        <v>0</v>
      </c>
      <c r="AO188" s="111">
        <v>0</v>
      </c>
      <c r="AP188" s="111">
        <v>0</v>
      </c>
      <c r="AQ188" s="111">
        <v>0</v>
      </c>
      <c r="AR188" s="111">
        <v>0</v>
      </c>
      <c r="AS188" s="111">
        <v>0</v>
      </c>
      <c r="AT188" s="111">
        <v>0</v>
      </c>
      <c r="AU188" s="111">
        <v>0</v>
      </c>
      <c r="AV188" s="111">
        <v>0</v>
      </c>
      <c r="AW188" s="111">
        <v>0</v>
      </c>
      <c r="AX188" s="111">
        <v>0</v>
      </c>
      <c r="AY188" s="111">
        <v>0</v>
      </c>
    </row>
    <row r="189" spans="1:51" x14ac:dyDescent="0.2">
      <c r="A189" s="131" t="s">
        <v>133</v>
      </c>
      <c r="B189" s="128">
        <v>1</v>
      </c>
      <c r="C189" s="129">
        <v>339.46430944653235</v>
      </c>
      <c r="D189" s="129">
        <v>309</v>
      </c>
      <c r="E189" s="129">
        <v>192.14199090449716</v>
      </c>
      <c r="F189" s="129">
        <v>0</v>
      </c>
      <c r="G189" s="129">
        <v>0</v>
      </c>
      <c r="H189" s="129">
        <v>0</v>
      </c>
      <c r="I189" s="129">
        <v>0</v>
      </c>
      <c r="J189" s="129">
        <v>202.04820232596759</v>
      </c>
      <c r="K189" s="129">
        <v>202.04820232596759</v>
      </c>
      <c r="L189" s="129">
        <v>202.04820232596759</v>
      </c>
      <c r="M189" s="129">
        <v>0</v>
      </c>
      <c r="N189" s="129">
        <v>398</v>
      </c>
      <c r="O189" s="129">
        <v>202.04820232596759</v>
      </c>
      <c r="P189" s="129">
        <v>202.04820232596759</v>
      </c>
      <c r="Q189" s="129">
        <v>202.04820232596759</v>
      </c>
      <c r="R189" s="129">
        <v>202.04820232596759</v>
      </c>
      <c r="S189" s="129">
        <v>202.04820232596759</v>
      </c>
      <c r="T189" s="129">
        <v>202.04820232596759</v>
      </c>
      <c r="U189" s="129">
        <v>202.04820232596759</v>
      </c>
      <c r="V189" s="129">
        <v>202.04820232596759</v>
      </c>
      <c r="W189" s="129">
        <v>202.04820232596759</v>
      </c>
      <c r="X189" s="129">
        <v>202.04820232596759</v>
      </c>
      <c r="Y189" s="129">
        <v>202.04820232596759</v>
      </c>
      <c r="Z189" s="129">
        <v>202.04820232596759</v>
      </c>
      <c r="AA189" s="129">
        <v>202.04820232596759</v>
      </c>
      <c r="AB189" s="129">
        <v>202.04820232596759</v>
      </c>
      <c r="AC189" s="129">
        <v>202.04820232596759</v>
      </c>
      <c r="AD189" s="129">
        <v>202.04820232596759</v>
      </c>
      <c r="AE189" s="129">
        <v>202.04820232596759</v>
      </c>
      <c r="AF189" s="129">
        <v>0</v>
      </c>
      <c r="AG189" s="129">
        <v>404.09640465193496</v>
      </c>
      <c r="AH189" s="129">
        <v>202.04820232596759</v>
      </c>
      <c r="AI189" s="129">
        <v>202.04820232596759</v>
      </c>
      <c r="AJ189" s="129">
        <v>202.04820232596759</v>
      </c>
      <c r="AK189" s="129">
        <v>202.04820232596759</v>
      </c>
      <c r="AL189" s="129">
        <v>202.04820232596759</v>
      </c>
      <c r="AM189" s="129">
        <v>202.04820232596759</v>
      </c>
      <c r="AN189" s="129">
        <v>202.04820232596759</v>
      </c>
      <c r="AO189" s="129">
        <v>202.04820232596759</v>
      </c>
      <c r="AP189" s="129">
        <v>202.04820232596759</v>
      </c>
      <c r="AQ189" s="129">
        <v>202.04820232596759</v>
      </c>
      <c r="AR189" s="129">
        <v>202.04820232596759</v>
      </c>
      <c r="AS189" s="129">
        <v>202.04820232596759</v>
      </c>
      <c r="AT189" s="129">
        <v>0</v>
      </c>
      <c r="AU189" s="129">
        <v>404.09640465193496</v>
      </c>
      <c r="AV189" s="129">
        <v>202.04820232596759</v>
      </c>
      <c r="AW189" s="129">
        <v>202.04820232596759</v>
      </c>
      <c r="AX189" s="129">
        <v>202.04820232596759</v>
      </c>
      <c r="AY189" s="129">
        <v>202.04820232596759</v>
      </c>
    </row>
    <row r="190" spans="1:51" x14ac:dyDescent="0.2">
      <c r="A190" s="114"/>
      <c r="B190" s="124">
        <v>2</v>
      </c>
      <c r="C190" s="111">
        <v>0</v>
      </c>
      <c r="D190" s="111">
        <v>0</v>
      </c>
      <c r="E190" s="111">
        <v>113.85800909550284</v>
      </c>
      <c r="F190" s="111">
        <v>215.41033338672037</v>
      </c>
      <c r="G190" s="111">
        <v>0</v>
      </c>
      <c r="H190" s="111">
        <v>0</v>
      </c>
      <c r="I190" s="111">
        <v>0</v>
      </c>
      <c r="J190" s="111">
        <v>0</v>
      </c>
      <c r="K190" s="111">
        <v>0</v>
      </c>
      <c r="L190" s="111">
        <v>0</v>
      </c>
      <c r="M190" s="111">
        <v>0</v>
      </c>
      <c r="N190" s="111">
        <v>0</v>
      </c>
      <c r="O190" s="111">
        <v>6.0964046519349608</v>
      </c>
      <c r="P190" s="111">
        <v>0</v>
      </c>
      <c r="Q190" s="111">
        <v>0</v>
      </c>
      <c r="R190" s="111">
        <v>0</v>
      </c>
      <c r="S190" s="111">
        <v>0</v>
      </c>
      <c r="T190" s="111">
        <v>0</v>
      </c>
      <c r="U190" s="111">
        <v>0</v>
      </c>
      <c r="V190" s="111">
        <v>0</v>
      </c>
      <c r="W190" s="111">
        <v>0</v>
      </c>
      <c r="X190" s="111">
        <v>0</v>
      </c>
      <c r="Y190" s="111">
        <v>0</v>
      </c>
      <c r="Z190" s="111">
        <v>0</v>
      </c>
      <c r="AA190" s="111">
        <v>0</v>
      </c>
      <c r="AB190" s="111">
        <v>0</v>
      </c>
      <c r="AC190" s="111">
        <v>0</v>
      </c>
      <c r="AD190" s="111">
        <v>0</v>
      </c>
      <c r="AE190" s="111">
        <v>0</v>
      </c>
      <c r="AF190" s="111">
        <v>0</v>
      </c>
      <c r="AG190" s="111">
        <v>0</v>
      </c>
      <c r="AH190" s="111">
        <v>0</v>
      </c>
      <c r="AI190" s="111">
        <v>0</v>
      </c>
      <c r="AJ190" s="111">
        <v>0</v>
      </c>
      <c r="AK190" s="111">
        <v>0</v>
      </c>
      <c r="AL190" s="111">
        <v>0</v>
      </c>
      <c r="AM190" s="111">
        <v>0</v>
      </c>
      <c r="AN190" s="111">
        <v>0</v>
      </c>
      <c r="AO190" s="111">
        <v>0</v>
      </c>
      <c r="AP190" s="111">
        <v>0</v>
      </c>
      <c r="AQ190" s="111">
        <v>0</v>
      </c>
      <c r="AR190" s="111">
        <v>0</v>
      </c>
      <c r="AS190" s="111">
        <v>0</v>
      </c>
      <c r="AT190" s="111">
        <v>0</v>
      </c>
      <c r="AU190" s="111">
        <v>0</v>
      </c>
      <c r="AV190" s="111">
        <v>0</v>
      </c>
      <c r="AW190" s="111">
        <v>0</v>
      </c>
      <c r="AX190" s="111">
        <v>0</v>
      </c>
      <c r="AY190" s="111">
        <v>0</v>
      </c>
    </row>
    <row r="191" spans="1:51" x14ac:dyDescent="0.2">
      <c r="A191" s="114"/>
      <c r="B191" s="125">
        <v>3</v>
      </c>
      <c r="C191" s="111">
        <v>0</v>
      </c>
      <c r="D191" s="111">
        <v>0</v>
      </c>
      <c r="E191" s="111">
        <v>0</v>
      </c>
      <c r="F191" s="111">
        <v>0</v>
      </c>
      <c r="G191" s="111">
        <v>0</v>
      </c>
      <c r="H191" s="111">
        <v>0</v>
      </c>
      <c r="I191" s="111">
        <v>0</v>
      </c>
      <c r="J191" s="111">
        <v>0</v>
      </c>
      <c r="K191" s="111">
        <v>0</v>
      </c>
      <c r="L191" s="111">
        <v>0</v>
      </c>
      <c r="M191" s="111">
        <v>0</v>
      </c>
      <c r="N191" s="111">
        <v>0</v>
      </c>
      <c r="O191" s="111">
        <v>0</v>
      </c>
      <c r="P191" s="111">
        <v>0</v>
      </c>
      <c r="Q191" s="111">
        <v>0</v>
      </c>
      <c r="R191" s="111">
        <v>0</v>
      </c>
      <c r="S191" s="111">
        <v>0</v>
      </c>
      <c r="T191" s="111">
        <v>0</v>
      </c>
      <c r="U191" s="111">
        <v>0</v>
      </c>
      <c r="V191" s="111">
        <v>0</v>
      </c>
      <c r="W191" s="111">
        <v>0</v>
      </c>
      <c r="X191" s="111">
        <v>0</v>
      </c>
      <c r="Y191" s="111">
        <v>0</v>
      </c>
      <c r="Z191" s="111">
        <v>0</v>
      </c>
      <c r="AA191" s="111">
        <v>0</v>
      </c>
      <c r="AB191" s="111">
        <v>0</v>
      </c>
      <c r="AC191" s="111">
        <v>0</v>
      </c>
      <c r="AD191" s="111">
        <v>0</v>
      </c>
      <c r="AE191" s="111">
        <v>0</v>
      </c>
      <c r="AF191" s="111">
        <v>0</v>
      </c>
      <c r="AG191" s="111">
        <v>0</v>
      </c>
      <c r="AH191" s="111">
        <v>0</v>
      </c>
      <c r="AI191" s="111">
        <v>0</v>
      </c>
      <c r="AJ191" s="111">
        <v>0</v>
      </c>
      <c r="AK191" s="111">
        <v>0</v>
      </c>
      <c r="AL191" s="111">
        <v>0</v>
      </c>
      <c r="AM191" s="111">
        <v>0</v>
      </c>
      <c r="AN191" s="111">
        <v>0</v>
      </c>
      <c r="AO191" s="111">
        <v>0</v>
      </c>
      <c r="AP191" s="111">
        <v>0</v>
      </c>
      <c r="AQ191" s="111">
        <v>0</v>
      </c>
      <c r="AR191" s="111">
        <v>0</v>
      </c>
      <c r="AS191" s="111">
        <v>0</v>
      </c>
      <c r="AT191" s="111">
        <v>0</v>
      </c>
      <c r="AU191" s="111">
        <v>0</v>
      </c>
      <c r="AV191" s="111">
        <v>0</v>
      </c>
      <c r="AW191" s="111">
        <v>0</v>
      </c>
      <c r="AX191" s="111">
        <v>0</v>
      </c>
      <c r="AY191" s="111">
        <v>0</v>
      </c>
    </row>
    <row r="192" spans="1:51" x14ac:dyDescent="0.2">
      <c r="A192" s="114"/>
      <c r="B192" s="125">
        <v>4</v>
      </c>
      <c r="C192" s="111">
        <v>0</v>
      </c>
      <c r="D192" s="111">
        <v>0</v>
      </c>
      <c r="E192" s="111">
        <v>0</v>
      </c>
      <c r="F192" s="111">
        <v>0</v>
      </c>
      <c r="G192" s="111">
        <v>0</v>
      </c>
      <c r="H192" s="111">
        <v>0</v>
      </c>
      <c r="I192" s="111">
        <v>0</v>
      </c>
      <c r="J192" s="111">
        <v>0</v>
      </c>
      <c r="K192" s="111">
        <v>0</v>
      </c>
      <c r="L192" s="111">
        <v>0</v>
      </c>
      <c r="M192" s="111">
        <v>0</v>
      </c>
      <c r="N192" s="111">
        <v>0</v>
      </c>
      <c r="O192" s="111">
        <v>0</v>
      </c>
      <c r="P192" s="111">
        <v>0</v>
      </c>
      <c r="Q192" s="111">
        <v>0</v>
      </c>
      <c r="R192" s="111">
        <v>0</v>
      </c>
      <c r="S192" s="111">
        <v>0</v>
      </c>
      <c r="T192" s="111">
        <v>0</v>
      </c>
      <c r="U192" s="111">
        <v>0</v>
      </c>
      <c r="V192" s="111">
        <v>0</v>
      </c>
      <c r="W192" s="111">
        <v>0</v>
      </c>
      <c r="X192" s="111">
        <v>0</v>
      </c>
      <c r="Y192" s="111">
        <v>0</v>
      </c>
      <c r="Z192" s="111">
        <v>0</v>
      </c>
      <c r="AA192" s="111">
        <v>0</v>
      </c>
      <c r="AB192" s="111">
        <v>0</v>
      </c>
      <c r="AC192" s="111">
        <v>0</v>
      </c>
      <c r="AD192" s="111">
        <v>0</v>
      </c>
      <c r="AE192" s="111">
        <v>0</v>
      </c>
      <c r="AF192" s="111">
        <v>0</v>
      </c>
      <c r="AG192" s="111">
        <v>0</v>
      </c>
      <c r="AH192" s="111">
        <v>0</v>
      </c>
      <c r="AI192" s="111">
        <v>0</v>
      </c>
      <c r="AJ192" s="111">
        <v>0</v>
      </c>
      <c r="AK192" s="111">
        <v>0</v>
      </c>
      <c r="AL192" s="111">
        <v>0</v>
      </c>
      <c r="AM192" s="111">
        <v>0</v>
      </c>
      <c r="AN192" s="111">
        <v>0</v>
      </c>
      <c r="AO192" s="111">
        <v>0</v>
      </c>
      <c r="AP192" s="111">
        <v>0</v>
      </c>
      <c r="AQ192" s="111">
        <v>0</v>
      </c>
      <c r="AR192" s="111">
        <v>0</v>
      </c>
      <c r="AS192" s="111">
        <v>0</v>
      </c>
      <c r="AT192" s="111">
        <v>0</v>
      </c>
      <c r="AU192" s="111">
        <v>0</v>
      </c>
      <c r="AV192" s="111">
        <v>0</v>
      </c>
      <c r="AW192" s="111">
        <v>0</v>
      </c>
      <c r="AX192" s="111">
        <v>0</v>
      </c>
      <c r="AY192" s="111">
        <v>0</v>
      </c>
    </row>
    <row r="193" spans="1:51" x14ac:dyDescent="0.2">
      <c r="A193" s="114"/>
      <c r="B193" s="132">
        <v>5</v>
      </c>
      <c r="C193" s="111">
        <v>0</v>
      </c>
      <c r="D193" s="111">
        <v>0</v>
      </c>
      <c r="E193" s="111">
        <v>0</v>
      </c>
      <c r="F193" s="111">
        <v>0</v>
      </c>
      <c r="G193" s="111">
        <v>0</v>
      </c>
      <c r="H193" s="111">
        <v>0</v>
      </c>
      <c r="I193" s="111">
        <v>0</v>
      </c>
      <c r="J193" s="111">
        <v>0</v>
      </c>
      <c r="K193" s="111">
        <v>0</v>
      </c>
      <c r="L193" s="111">
        <v>0</v>
      </c>
      <c r="M193" s="111">
        <v>0</v>
      </c>
      <c r="N193" s="111">
        <v>0</v>
      </c>
      <c r="O193" s="111">
        <v>0</v>
      </c>
      <c r="P193" s="111">
        <v>0</v>
      </c>
      <c r="Q193" s="111">
        <v>0</v>
      </c>
      <c r="R193" s="111">
        <v>0</v>
      </c>
      <c r="S193" s="111">
        <v>0</v>
      </c>
      <c r="T193" s="111">
        <v>0</v>
      </c>
      <c r="U193" s="111">
        <v>0</v>
      </c>
      <c r="V193" s="111">
        <v>0</v>
      </c>
      <c r="W193" s="111">
        <v>0</v>
      </c>
      <c r="X193" s="111">
        <v>0</v>
      </c>
      <c r="Y193" s="111">
        <v>0</v>
      </c>
      <c r="Z193" s="111">
        <v>0</v>
      </c>
      <c r="AA193" s="111">
        <v>0</v>
      </c>
      <c r="AB193" s="111">
        <v>0</v>
      </c>
      <c r="AC193" s="111">
        <v>0</v>
      </c>
      <c r="AD193" s="111">
        <v>0</v>
      </c>
      <c r="AE193" s="111">
        <v>0</v>
      </c>
      <c r="AF193" s="111">
        <v>0</v>
      </c>
      <c r="AG193" s="111">
        <v>0</v>
      </c>
      <c r="AH193" s="111">
        <v>0</v>
      </c>
      <c r="AI193" s="111">
        <v>0</v>
      </c>
      <c r="AJ193" s="111">
        <v>0</v>
      </c>
      <c r="AK193" s="111">
        <v>0</v>
      </c>
      <c r="AL193" s="111">
        <v>0</v>
      </c>
      <c r="AM193" s="111">
        <v>0</v>
      </c>
      <c r="AN193" s="111">
        <v>0</v>
      </c>
      <c r="AO193" s="111">
        <v>0</v>
      </c>
      <c r="AP193" s="111">
        <v>0</v>
      </c>
      <c r="AQ193" s="111">
        <v>0</v>
      </c>
      <c r="AR193" s="111">
        <v>0</v>
      </c>
      <c r="AS193" s="111">
        <v>0</v>
      </c>
      <c r="AT193" s="111">
        <v>0</v>
      </c>
      <c r="AU193" s="111">
        <v>0</v>
      </c>
      <c r="AV193" s="111">
        <v>0</v>
      </c>
      <c r="AW193" s="111">
        <v>0</v>
      </c>
      <c r="AX193" s="111">
        <v>0</v>
      </c>
      <c r="AY193" s="111">
        <v>0</v>
      </c>
    </row>
    <row r="194" spans="1:51" x14ac:dyDescent="0.2">
      <c r="A194" s="114"/>
      <c r="B194" s="132">
        <v>6</v>
      </c>
      <c r="C194" s="111">
        <v>0</v>
      </c>
      <c r="D194" s="111">
        <v>0</v>
      </c>
      <c r="E194" s="111">
        <v>0</v>
      </c>
      <c r="F194" s="111">
        <v>0</v>
      </c>
      <c r="G194" s="111">
        <v>0</v>
      </c>
      <c r="H194" s="111">
        <v>0</v>
      </c>
      <c r="I194" s="111">
        <v>0</v>
      </c>
      <c r="J194" s="111">
        <v>0</v>
      </c>
      <c r="K194" s="111">
        <v>0</v>
      </c>
      <c r="L194" s="111">
        <v>0</v>
      </c>
      <c r="M194" s="111">
        <v>0</v>
      </c>
      <c r="N194" s="111">
        <v>0</v>
      </c>
      <c r="O194" s="111">
        <v>0</v>
      </c>
      <c r="P194" s="111">
        <v>0</v>
      </c>
      <c r="Q194" s="111">
        <v>0</v>
      </c>
      <c r="R194" s="111">
        <v>0</v>
      </c>
      <c r="S194" s="111">
        <v>0</v>
      </c>
      <c r="T194" s="111">
        <v>0</v>
      </c>
      <c r="U194" s="111">
        <v>0</v>
      </c>
      <c r="V194" s="111">
        <v>0</v>
      </c>
      <c r="W194" s="111">
        <v>0</v>
      </c>
      <c r="X194" s="111">
        <v>0</v>
      </c>
      <c r="Y194" s="111">
        <v>0</v>
      </c>
      <c r="Z194" s="111">
        <v>0</v>
      </c>
      <c r="AA194" s="111">
        <v>0</v>
      </c>
      <c r="AB194" s="111">
        <v>0</v>
      </c>
      <c r="AC194" s="111">
        <v>0</v>
      </c>
      <c r="AD194" s="111">
        <v>0</v>
      </c>
      <c r="AE194" s="111">
        <v>0</v>
      </c>
      <c r="AF194" s="111">
        <v>0</v>
      </c>
      <c r="AG194" s="111">
        <v>0</v>
      </c>
      <c r="AH194" s="111">
        <v>0</v>
      </c>
      <c r="AI194" s="111">
        <v>0</v>
      </c>
      <c r="AJ194" s="111">
        <v>0</v>
      </c>
      <c r="AK194" s="111">
        <v>0</v>
      </c>
      <c r="AL194" s="111">
        <v>0</v>
      </c>
      <c r="AM194" s="111">
        <v>0</v>
      </c>
      <c r="AN194" s="111">
        <v>0</v>
      </c>
      <c r="AO194" s="111">
        <v>0</v>
      </c>
      <c r="AP194" s="111">
        <v>0</v>
      </c>
      <c r="AQ194" s="111">
        <v>0</v>
      </c>
      <c r="AR194" s="111">
        <v>0</v>
      </c>
      <c r="AS194" s="111">
        <v>0</v>
      </c>
      <c r="AT194" s="111">
        <v>0</v>
      </c>
      <c r="AU194" s="111">
        <v>0</v>
      </c>
      <c r="AV194" s="111">
        <v>0</v>
      </c>
      <c r="AW194" s="111">
        <v>0</v>
      </c>
      <c r="AX194" s="111">
        <v>0</v>
      </c>
      <c r="AY194" s="111">
        <v>0</v>
      </c>
    </row>
    <row r="195" spans="1:51" x14ac:dyDescent="0.2">
      <c r="A195" s="114"/>
      <c r="B195" s="135">
        <v>7</v>
      </c>
      <c r="C195" s="111">
        <v>0</v>
      </c>
      <c r="D195" s="111">
        <v>0</v>
      </c>
      <c r="E195" s="111">
        <v>0</v>
      </c>
      <c r="F195" s="111">
        <v>0</v>
      </c>
      <c r="G195" s="111">
        <v>0</v>
      </c>
      <c r="H195" s="111">
        <v>0</v>
      </c>
      <c r="I195" s="111">
        <v>0</v>
      </c>
      <c r="J195" s="111">
        <v>0</v>
      </c>
      <c r="K195" s="111">
        <v>0</v>
      </c>
      <c r="L195" s="111">
        <v>0</v>
      </c>
      <c r="M195" s="111">
        <v>0</v>
      </c>
      <c r="N195" s="111">
        <v>0</v>
      </c>
      <c r="O195" s="111">
        <v>0</v>
      </c>
      <c r="P195" s="111">
        <v>0</v>
      </c>
      <c r="Q195" s="111">
        <v>0</v>
      </c>
      <c r="R195" s="111">
        <v>0</v>
      </c>
      <c r="S195" s="111">
        <v>0</v>
      </c>
      <c r="T195" s="111">
        <v>0</v>
      </c>
      <c r="U195" s="111">
        <v>0</v>
      </c>
      <c r="V195" s="111">
        <v>0</v>
      </c>
      <c r="W195" s="111">
        <v>0</v>
      </c>
      <c r="X195" s="111">
        <v>0</v>
      </c>
      <c r="Y195" s="111">
        <v>0</v>
      </c>
      <c r="Z195" s="111">
        <v>0</v>
      </c>
      <c r="AA195" s="111">
        <v>0</v>
      </c>
      <c r="AB195" s="111">
        <v>0</v>
      </c>
      <c r="AC195" s="111">
        <v>0</v>
      </c>
      <c r="AD195" s="111">
        <v>0</v>
      </c>
      <c r="AE195" s="111">
        <v>0</v>
      </c>
      <c r="AF195" s="111">
        <v>0</v>
      </c>
      <c r="AG195" s="111">
        <v>0</v>
      </c>
      <c r="AH195" s="111">
        <v>0</v>
      </c>
      <c r="AI195" s="111">
        <v>0</v>
      </c>
      <c r="AJ195" s="111">
        <v>0</v>
      </c>
      <c r="AK195" s="111">
        <v>0</v>
      </c>
      <c r="AL195" s="111">
        <v>0</v>
      </c>
      <c r="AM195" s="111">
        <v>0</v>
      </c>
      <c r="AN195" s="111">
        <v>0</v>
      </c>
      <c r="AO195" s="111">
        <v>0</v>
      </c>
      <c r="AP195" s="111">
        <v>0</v>
      </c>
      <c r="AQ195" s="111">
        <v>0</v>
      </c>
      <c r="AR195" s="111">
        <v>0</v>
      </c>
      <c r="AS195" s="111">
        <v>0</v>
      </c>
      <c r="AT195" s="111">
        <v>0</v>
      </c>
      <c r="AU195" s="111">
        <v>0</v>
      </c>
      <c r="AV195" s="111">
        <v>0</v>
      </c>
      <c r="AW195" s="111">
        <v>0</v>
      </c>
      <c r="AX195" s="111">
        <v>0</v>
      </c>
      <c r="AY195" s="111">
        <v>0</v>
      </c>
    </row>
    <row r="196" spans="1:51" x14ac:dyDescent="0.2">
      <c r="A196" s="133"/>
      <c r="B196" s="134">
        <v>8</v>
      </c>
      <c r="C196" s="119">
        <v>0</v>
      </c>
      <c r="D196" s="119">
        <v>0</v>
      </c>
      <c r="E196" s="119">
        <v>0</v>
      </c>
      <c r="F196" s="119">
        <v>0</v>
      </c>
      <c r="G196" s="119">
        <v>0</v>
      </c>
      <c r="H196" s="119">
        <v>0</v>
      </c>
      <c r="I196" s="119">
        <v>0</v>
      </c>
      <c r="J196" s="119">
        <v>0</v>
      </c>
      <c r="K196" s="119">
        <v>0</v>
      </c>
      <c r="L196" s="119">
        <v>0</v>
      </c>
      <c r="M196" s="119">
        <v>0</v>
      </c>
      <c r="N196" s="119">
        <v>0</v>
      </c>
      <c r="O196" s="119">
        <v>0</v>
      </c>
      <c r="P196" s="119">
        <v>0</v>
      </c>
      <c r="Q196" s="119">
        <v>0</v>
      </c>
      <c r="R196" s="119">
        <v>0</v>
      </c>
      <c r="S196" s="119">
        <v>0</v>
      </c>
      <c r="T196" s="119">
        <v>0</v>
      </c>
      <c r="U196" s="119">
        <v>0</v>
      </c>
      <c r="V196" s="119">
        <v>0</v>
      </c>
      <c r="W196" s="119">
        <v>0</v>
      </c>
      <c r="X196" s="119">
        <v>0</v>
      </c>
      <c r="Y196" s="119">
        <v>0</v>
      </c>
      <c r="Z196" s="119">
        <v>0</v>
      </c>
      <c r="AA196" s="119">
        <v>0</v>
      </c>
      <c r="AB196" s="119">
        <v>0</v>
      </c>
      <c r="AC196" s="119">
        <v>0</v>
      </c>
      <c r="AD196" s="119">
        <v>0</v>
      </c>
      <c r="AE196" s="119">
        <v>0</v>
      </c>
      <c r="AF196" s="119">
        <v>0</v>
      </c>
      <c r="AG196" s="119">
        <v>0</v>
      </c>
      <c r="AH196" s="119">
        <v>0</v>
      </c>
      <c r="AI196" s="119">
        <v>0</v>
      </c>
      <c r="AJ196" s="119">
        <v>0</v>
      </c>
      <c r="AK196" s="119">
        <v>0</v>
      </c>
      <c r="AL196" s="119">
        <v>0</v>
      </c>
      <c r="AM196" s="119">
        <v>0</v>
      </c>
      <c r="AN196" s="119">
        <v>0</v>
      </c>
      <c r="AO196" s="119">
        <v>0</v>
      </c>
      <c r="AP196" s="119">
        <v>0</v>
      </c>
      <c r="AQ196" s="119">
        <v>0</v>
      </c>
      <c r="AR196" s="119">
        <v>0</v>
      </c>
      <c r="AS196" s="119">
        <v>0</v>
      </c>
      <c r="AT196" s="119">
        <v>0</v>
      </c>
      <c r="AU196" s="119">
        <v>0</v>
      </c>
      <c r="AV196" s="119">
        <v>0</v>
      </c>
      <c r="AW196" s="119">
        <v>0</v>
      </c>
      <c r="AX196" s="119">
        <v>0</v>
      </c>
      <c r="AY196" s="119">
        <v>0</v>
      </c>
    </row>
    <row r="197" spans="1:51" x14ac:dyDescent="0.2">
      <c r="A197" s="136" t="s">
        <v>134</v>
      </c>
      <c r="B197" s="124">
        <v>1</v>
      </c>
      <c r="C197" s="111">
        <v>0</v>
      </c>
      <c r="D197" s="111">
        <v>0</v>
      </c>
      <c r="E197" s="111">
        <v>0</v>
      </c>
      <c r="F197" s="111">
        <v>0</v>
      </c>
      <c r="G197" s="111">
        <v>0</v>
      </c>
      <c r="H197" s="111">
        <v>0</v>
      </c>
      <c r="I197" s="111">
        <v>216.45877376320729</v>
      </c>
      <c r="J197" s="111">
        <v>216.45877376320729</v>
      </c>
      <c r="K197" s="111">
        <v>233.93654995021964</v>
      </c>
      <c r="L197" s="111">
        <v>233.93654995021964</v>
      </c>
      <c r="M197" s="111">
        <v>233.93654995021964</v>
      </c>
      <c r="N197" s="111">
        <v>216.45877376320729</v>
      </c>
      <c r="O197" s="111">
        <v>251.414326137232</v>
      </c>
      <c r="P197" s="111">
        <v>233.93654995021964</v>
      </c>
      <c r="Q197" s="111">
        <v>233.93654995021964</v>
      </c>
      <c r="R197" s="111">
        <v>233.93654995021964</v>
      </c>
      <c r="S197" s="111">
        <v>233.93654995021964</v>
      </c>
      <c r="T197" s="111">
        <v>233.93654995021964</v>
      </c>
      <c r="U197" s="111">
        <v>233.93654995021964</v>
      </c>
      <c r="V197" s="111">
        <v>240.95547808952662</v>
      </c>
      <c r="W197" s="111">
        <v>240.52489197935421</v>
      </c>
      <c r="X197" s="111">
        <v>233.93654995021964</v>
      </c>
      <c r="Y197" s="111">
        <v>233.93654995021964</v>
      </c>
      <c r="Z197" s="111">
        <v>233.93654995021964</v>
      </c>
      <c r="AA197" s="111">
        <v>249.23856348931042</v>
      </c>
      <c r="AB197" s="111">
        <v>239.01157376916322</v>
      </c>
      <c r="AC197" s="111">
        <v>233.93654995021964</v>
      </c>
      <c r="AD197" s="111">
        <v>248.40821240192361</v>
      </c>
      <c r="AE197" s="111">
        <v>233.93654995021964</v>
      </c>
      <c r="AF197" s="111">
        <v>246.18420300191929</v>
      </c>
      <c r="AG197" s="111">
        <v>216.45877376320729</v>
      </c>
      <c r="AH197" s="111">
        <v>251.414326137232</v>
      </c>
      <c r="AI197" s="111">
        <v>233.93654995021964</v>
      </c>
      <c r="AJ197" s="111">
        <v>233.93654995021964</v>
      </c>
      <c r="AK197" s="111">
        <v>233.93654995021964</v>
      </c>
      <c r="AL197" s="111">
        <v>233.93654995021964</v>
      </c>
      <c r="AM197" s="111">
        <v>246.06630969272379</v>
      </c>
      <c r="AN197" s="111">
        <v>233.93654995021967</v>
      </c>
      <c r="AO197" s="111">
        <v>240.11915082766836</v>
      </c>
      <c r="AP197" s="111">
        <v>233.93654995021964</v>
      </c>
      <c r="AQ197" s="111">
        <v>233.93654995021964</v>
      </c>
      <c r="AR197" s="111">
        <v>233.93654995021964</v>
      </c>
      <c r="AS197" s="111">
        <v>233.93654995021964</v>
      </c>
      <c r="AT197" s="111">
        <v>233.93654995021964</v>
      </c>
      <c r="AU197" s="111">
        <v>243.65674541893534</v>
      </c>
      <c r="AV197" s="111">
        <v>251.414326137232</v>
      </c>
      <c r="AW197" s="111">
        <v>244.77562686956381</v>
      </c>
      <c r="AX197" s="111">
        <v>233.93654995021964</v>
      </c>
      <c r="AY197" s="111">
        <v>233.93654995021964</v>
      </c>
    </row>
    <row r="198" spans="1:51" x14ac:dyDescent="0.2">
      <c r="A198" s="114"/>
      <c r="B198" s="124">
        <v>2</v>
      </c>
      <c r="C198" s="111">
        <v>0</v>
      </c>
      <c r="D198" s="111">
        <v>0</v>
      </c>
      <c r="E198" s="111">
        <v>0</v>
      </c>
      <c r="F198" s="111">
        <v>0</v>
      </c>
      <c r="G198" s="111">
        <v>0</v>
      </c>
      <c r="H198" s="111">
        <v>0</v>
      </c>
      <c r="I198" s="111">
        <v>0</v>
      </c>
      <c r="J198" s="111">
        <v>0</v>
      </c>
      <c r="K198" s="111">
        <v>0</v>
      </c>
      <c r="L198" s="111">
        <v>0</v>
      </c>
      <c r="M198" s="111">
        <v>0</v>
      </c>
      <c r="N198" s="111">
        <v>0</v>
      </c>
      <c r="O198" s="111">
        <v>0</v>
      </c>
      <c r="P198" s="111">
        <v>0</v>
      </c>
      <c r="Q198" s="111">
        <v>0</v>
      </c>
      <c r="R198" s="111">
        <v>0</v>
      </c>
      <c r="S198" s="111">
        <v>0</v>
      </c>
      <c r="T198" s="111">
        <v>0</v>
      </c>
      <c r="U198" s="111">
        <v>0</v>
      </c>
      <c r="V198" s="111">
        <v>0</v>
      </c>
      <c r="W198" s="111">
        <v>0</v>
      </c>
      <c r="X198" s="111">
        <v>0</v>
      </c>
      <c r="Y198" s="111">
        <v>0</v>
      </c>
      <c r="Z198" s="111">
        <v>0</v>
      </c>
      <c r="AA198" s="111">
        <v>0</v>
      </c>
      <c r="AB198" s="111">
        <v>0</v>
      </c>
      <c r="AC198" s="111">
        <v>0</v>
      </c>
      <c r="AD198" s="111">
        <v>0</v>
      </c>
      <c r="AE198" s="111">
        <v>0</v>
      </c>
      <c r="AF198" s="111">
        <v>0</v>
      </c>
      <c r="AG198" s="111">
        <v>0</v>
      </c>
      <c r="AH198" s="111">
        <v>0</v>
      </c>
      <c r="AI198" s="111">
        <v>0</v>
      </c>
      <c r="AJ198" s="111">
        <v>0</v>
      </c>
      <c r="AK198" s="111">
        <v>0</v>
      </c>
      <c r="AL198" s="111">
        <v>0</v>
      </c>
      <c r="AM198" s="111">
        <v>0</v>
      </c>
      <c r="AN198" s="111">
        <v>0</v>
      </c>
      <c r="AO198" s="111">
        <v>0</v>
      </c>
      <c r="AP198" s="111">
        <v>0</v>
      </c>
      <c r="AQ198" s="111">
        <v>0</v>
      </c>
      <c r="AR198" s="111">
        <v>0</v>
      </c>
      <c r="AS198" s="111">
        <v>0</v>
      </c>
      <c r="AT198" s="111">
        <v>0</v>
      </c>
      <c r="AU198" s="111">
        <v>0</v>
      </c>
      <c r="AV198" s="111">
        <v>0</v>
      </c>
      <c r="AW198" s="111">
        <v>0</v>
      </c>
      <c r="AX198" s="111">
        <v>0</v>
      </c>
      <c r="AY198" s="111">
        <v>0</v>
      </c>
    </row>
    <row r="199" spans="1:51" x14ac:dyDescent="0.2">
      <c r="A199" s="114"/>
      <c r="B199" s="124">
        <v>3</v>
      </c>
      <c r="C199" s="111">
        <v>87.928495231226407</v>
      </c>
      <c r="D199" s="111">
        <v>18.428509853183527</v>
      </c>
      <c r="E199" s="111">
        <v>0</v>
      </c>
      <c r="F199" s="111">
        <v>0</v>
      </c>
      <c r="G199" s="111">
        <v>0</v>
      </c>
      <c r="H199" s="111">
        <v>0</v>
      </c>
      <c r="I199" s="111">
        <v>0</v>
      </c>
      <c r="J199" s="111">
        <v>0</v>
      </c>
      <c r="K199" s="111">
        <v>0</v>
      </c>
      <c r="L199" s="111">
        <v>0</v>
      </c>
      <c r="M199" s="111">
        <v>0</v>
      </c>
      <c r="N199" s="111">
        <v>0</v>
      </c>
      <c r="O199" s="111">
        <v>0</v>
      </c>
      <c r="P199" s="111">
        <v>0</v>
      </c>
      <c r="Q199" s="111">
        <v>0</v>
      </c>
      <c r="R199" s="111">
        <v>0</v>
      </c>
      <c r="S199" s="111">
        <v>0</v>
      </c>
      <c r="T199" s="111">
        <v>0</v>
      </c>
      <c r="U199" s="111">
        <v>0</v>
      </c>
      <c r="V199" s="111">
        <v>0</v>
      </c>
      <c r="W199" s="111">
        <v>0</v>
      </c>
      <c r="X199" s="111">
        <v>0</v>
      </c>
      <c r="Y199" s="111">
        <v>0</v>
      </c>
      <c r="Z199" s="111">
        <v>0</v>
      </c>
      <c r="AA199" s="111">
        <v>0</v>
      </c>
      <c r="AB199" s="111">
        <v>0</v>
      </c>
      <c r="AC199" s="111">
        <v>0</v>
      </c>
      <c r="AD199" s="111">
        <v>0</v>
      </c>
      <c r="AE199" s="111">
        <v>0</v>
      </c>
      <c r="AF199" s="111">
        <v>0</v>
      </c>
      <c r="AG199" s="111">
        <v>0</v>
      </c>
      <c r="AH199" s="111">
        <v>0</v>
      </c>
      <c r="AI199" s="111">
        <v>0</v>
      </c>
      <c r="AJ199" s="111">
        <v>0</v>
      </c>
      <c r="AK199" s="111">
        <v>0</v>
      </c>
      <c r="AL199" s="111">
        <v>0</v>
      </c>
      <c r="AM199" s="111">
        <v>0</v>
      </c>
      <c r="AN199" s="111">
        <v>0</v>
      </c>
      <c r="AO199" s="111">
        <v>0</v>
      </c>
      <c r="AP199" s="111">
        <v>0</v>
      </c>
      <c r="AQ199" s="111">
        <v>0</v>
      </c>
      <c r="AR199" s="111">
        <v>0</v>
      </c>
      <c r="AS199" s="111">
        <v>0</v>
      </c>
      <c r="AT199" s="111">
        <v>0</v>
      </c>
      <c r="AU199" s="111">
        <v>0</v>
      </c>
      <c r="AV199" s="111">
        <v>0</v>
      </c>
      <c r="AW199" s="111">
        <v>0</v>
      </c>
      <c r="AX199" s="111">
        <v>0</v>
      </c>
      <c r="AY199" s="111">
        <v>0</v>
      </c>
    </row>
    <row r="200" spans="1:51" x14ac:dyDescent="0.2">
      <c r="A200" s="114"/>
      <c r="B200" s="125">
        <v>4</v>
      </c>
      <c r="C200" s="111">
        <v>236.07150476877359</v>
      </c>
      <c r="D200" s="111">
        <v>201.57149014681647</v>
      </c>
      <c r="E200" s="111">
        <v>221</v>
      </c>
      <c r="F200" s="111">
        <v>117.56692144342594</v>
      </c>
      <c r="G200" s="111">
        <v>62.890251816781188</v>
      </c>
      <c r="H200" s="111">
        <v>0</v>
      </c>
      <c r="I200" s="111">
        <v>0</v>
      </c>
      <c r="J200" s="111">
        <v>0</v>
      </c>
      <c r="K200" s="111">
        <v>0</v>
      </c>
      <c r="L200" s="111">
        <v>0</v>
      </c>
      <c r="M200" s="111">
        <v>0</v>
      </c>
      <c r="N200" s="111">
        <v>0</v>
      </c>
      <c r="O200" s="111">
        <v>0</v>
      </c>
      <c r="P200" s="111">
        <v>0</v>
      </c>
      <c r="Q200" s="111">
        <v>0</v>
      </c>
      <c r="R200" s="111">
        <v>0</v>
      </c>
      <c r="S200" s="111">
        <v>0</v>
      </c>
      <c r="T200" s="111">
        <v>0</v>
      </c>
      <c r="U200" s="111">
        <v>0</v>
      </c>
      <c r="V200" s="111">
        <v>0</v>
      </c>
      <c r="W200" s="111">
        <v>0</v>
      </c>
      <c r="X200" s="111">
        <v>0</v>
      </c>
      <c r="Y200" s="111">
        <v>0</v>
      </c>
      <c r="Z200" s="111">
        <v>0</v>
      </c>
      <c r="AA200" s="111">
        <v>0</v>
      </c>
      <c r="AB200" s="111">
        <v>0</v>
      </c>
      <c r="AC200" s="111">
        <v>0</v>
      </c>
      <c r="AD200" s="111">
        <v>0</v>
      </c>
      <c r="AE200" s="111">
        <v>0</v>
      </c>
      <c r="AF200" s="111">
        <v>0</v>
      </c>
      <c r="AG200" s="111">
        <v>0</v>
      </c>
      <c r="AH200" s="111">
        <v>0</v>
      </c>
      <c r="AI200" s="111">
        <v>0</v>
      </c>
      <c r="AJ200" s="111">
        <v>0</v>
      </c>
      <c r="AK200" s="111">
        <v>0</v>
      </c>
      <c r="AL200" s="111">
        <v>0</v>
      </c>
      <c r="AM200" s="111">
        <v>0</v>
      </c>
      <c r="AN200" s="111">
        <v>0</v>
      </c>
      <c r="AO200" s="111">
        <v>0</v>
      </c>
      <c r="AP200" s="111">
        <v>0</v>
      </c>
      <c r="AQ200" s="111">
        <v>0</v>
      </c>
      <c r="AR200" s="111">
        <v>0</v>
      </c>
      <c r="AS200" s="111">
        <v>0</v>
      </c>
      <c r="AT200" s="111">
        <v>0</v>
      </c>
      <c r="AU200" s="111">
        <v>0</v>
      </c>
      <c r="AV200" s="111">
        <v>0</v>
      </c>
      <c r="AW200" s="111">
        <v>0</v>
      </c>
      <c r="AX200" s="111">
        <v>0</v>
      </c>
      <c r="AY200" s="111">
        <v>0</v>
      </c>
    </row>
    <row r="201" spans="1:51" x14ac:dyDescent="0.2">
      <c r="A201" s="114"/>
      <c r="B201" s="125">
        <v>5</v>
      </c>
      <c r="C201" s="111">
        <v>0</v>
      </c>
      <c r="D201" s="111">
        <v>0</v>
      </c>
      <c r="E201" s="111">
        <v>0</v>
      </c>
      <c r="F201" s="111">
        <v>42.43307855657406</v>
      </c>
      <c r="G201" s="111">
        <v>165.10974818321881</v>
      </c>
      <c r="H201" s="111">
        <v>219.78641780986356</v>
      </c>
      <c r="I201" s="111">
        <v>0</v>
      </c>
      <c r="J201" s="111">
        <v>0</v>
      </c>
      <c r="K201" s="111">
        <v>0</v>
      </c>
      <c r="L201" s="111">
        <v>0</v>
      </c>
      <c r="M201" s="111">
        <v>0</v>
      </c>
      <c r="N201" s="111">
        <v>0</v>
      </c>
      <c r="O201" s="111">
        <v>0</v>
      </c>
      <c r="P201" s="111">
        <v>0</v>
      </c>
      <c r="Q201" s="111">
        <v>0</v>
      </c>
      <c r="R201" s="111">
        <v>0</v>
      </c>
      <c r="S201" s="111">
        <v>0</v>
      </c>
      <c r="T201" s="111">
        <v>0</v>
      </c>
      <c r="U201" s="111">
        <v>0</v>
      </c>
      <c r="V201" s="111">
        <v>0</v>
      </c>
      <c r="W201" s="111">
        <v>0</v>
      </c>
      <c r="X201" s="111">
        <v>0</v>
      </c>
      <c r="Y201" s="111">
        <v>0</v>
      </c>
      <c r="Z201" s="111">
        <v>0</v>
      </c>
      <c r="AA201" s="111">
        <v>0</v>
      </c>
      <c r="AB201" s="111">
        <v>0</v>
      </c>
      <c r="AC201" s="111">
        <v>0</v>
      </c>
      <c r="AD201" s="111">
        <v>0</v>
      </c>
      <c r="AE201" s="111">
        <v>0</v>
      </c>
      <c r="AF201" s="111">
        <v>0</v>
      </c>
      <c r="AG201" s="111">
        <v>0</v>
      </c>
      <c r="AH201" s="111">
        <v>0</v>
      </c>
      <c r="AI201" s="111">
        <v>0</v>
      </c>
      <c r="AJ201" s="111">
        <v>0</v>
      </c>
      <c r="AK201" s="111">
        <v>0</v>
      </c>
      <c r="AL201" s="111">
        <v>0</v>
      </c>
      <c r="AM201" s="111">
        <v>0</v>
      </c>
      <c r="AN201" s="111">
        <v>0</v>
      </c>
      <c r="AO201" s="111">
        <v>0</v>
      </c>
      <c r="AP201" s="111">
        <v>0</v>
      </c>
      <c r="AQ201" s="111">
        <v>0</v>
      </c>
      <c r="AR201" s="111">
        <v>0</v>
      </c>
      <c r="AS201" s="111">
        <v>0</v>
      </c>
      <c r="AT201" s="111">
        <v>0</v>
      </c>
      <c r="AU201" s="111">
        <v>0</v>
      </c>
      <c r="AV201" s="111">
        <v>0</v>
      </c>
      <c r="AW201" s="111">
        <v>0</v>
      </c>
      <c r="AX201" s="111">
        <v>0</v>
      </c>
      <c r="AY201" s="111">
        <v>0</v>
      </c>
    </row>
    <row r="202" spans="1:51" x14ac:dyDescent="0.2">
      <c r="A202" s="114"/>
      <c r="B202" s="125">
        <v>6</v>
      </c>
      <c r="C202" s="111">
        <v>0</v>
      </c>
      <c r="D202" s="111">
        <v>0</v>
      </c>
      <c r="E202" s="111">
        <v>0</v>
      </c>
      <c r="F202" s="111">
        <v>0</v>
      </c>
      <c r="G202" s="111">
        <v>0</v>
      </c>
      <c r="H202" s="111">
        <v>0</v>
      </c>
      <c r="I202" s="111">
        <v>0</v>
      </c>
      <c r="J202" s="111">
        <v>0</v>
      </c>
      <c r="K202" s="111">
        <v>0</v>
      </c>
      <c r="L202" s="111">
        <v>0</v>
      </c>
      <c r="M202" s="111">
        <v>0</v>
      </c>
      <c r="N202" s="111">
        <v>0</v>
      </c>
      <c r="O202" s="111">
        <v>0</v>
      </c>
      <c r="P202" s="111">
        <v>0</v>
      </c>
      <c r="Q202" s="111">
        <v>0</v>
      </c>
      <c r="R202" s="111">
        <v>0</v>
      </c>
      <c r="S202" s="111">
        <v>0</v>
      </c>
      <c r="T202" s="111">
        <v>0</v>
      </c>
      <c r="U202" s="111">
        <v>0</v>
      </c>
      <c r="V202" s="111">
        <v>0</v>
      </c>
      <c r="W202" s="111">
        <v>0</v>
      </c>
      <c r="X202" s="111">
        <v>0</v>
      </c>
      <c r="Y202" s="111">
        <v>0</v>
      </c>
      <c r="Z202" s="111">
        <v>0</v>
      </c>
      <c r="AA202" s="111">
        <v>0</v>
      </c>
      <c r="AB202" s="111">
        <v>0</v>
      </c>
      <c r="AC202" s="111">
        <v>0</v>
      </c>
      <c r="AD202" s="111">
        <v>0</v>
      </c>
      <c r="AE202" s="111">
        <v>0</v>
      </c>
      <c r="AF202" s="111">
        <v>0</v>
      </c>
      <c r="AG202" s="111">
        <v>0</v>
      </c>
      <c r="AH202" s="111">
        <v>0</v>
      </c>
      <c r="AI202" s="111">
        <v>0</v>
      </c>
      <c r="AJ202" s="111">
        <v>0</v>
      </c>
      <c r="AK202" s="111">
        <v>0</v>
      </c>
      <c r="AL202" s="111">
        <v>0</v>
      </c>
      <c r="AM202" s="111">
        <v>0</v>
      </c>
      <c r="AN202" s="111">
        <v>0</v>
      </c>
      <c r="AO202" s="111">
        <v>0</v>
      </c>
      <c r="AP202" s="111">
        <v>0</v>
      </c>
      <c r="AQ202" s="111">
        <v>0</v>
      </c>
      <c r="AR202" s="111">
        <v>0</v>
      </c>
      <c r="AS202" s="111">
        <v>0</v>
      </c>
      <c r="AT202" s="111">
        <v>0</v>
      </c>
      <c r="AU202" s="111">
        <v>0</v>
      </c>
      <c r="AV202" s="111">
        <v>0</v>
      </c>
      <c r="AW202" s="111">
        <v>0</v>
      </c>
      <c r="AX202" s="111">
        <v>0</v>
      </c>
      <c r="AY202" s="111">
        <v>0</v>
      </c>
    </row>
    <row r="203" spans="1:51" x14ac:dyDescent="0.2">
      <c r="A203" s="114"/>
      <c r="B203" s="132">
        <v>7</v>
      </c>
      <c r="C203" s="111">
        <v>0</v>
      </c>
      <c r="D203" s="111">
        <v>0</v>
      </c>
      <c r="E203" s="111">
        <v>0</v>
      </c>
      <c r="F203" s="111">
        <v>0</v>
      </c>
      <c r="G203" s="111">
        <v>0</v>
      </c>
      <c r="H203" s="111">
        <v>0</v>
      </c>
      <c r="I203" s="111">
        <v>0</v>
      </c>
      <c r="J203" s="111">
        <v>0</v>
      </c>
      <c r="K203" s="111">
        <v>0</v>
      </c>
      <c r="L203" s="111">
        <v>0</v>
      </c>
      <c r="M203" s="111">
        <v>0</v>
      </c>
      <c r="N203" s="111">
        <v>0</v>
      </c>
      <c r="O203" s="111">
        <v>0</v>
      </c>
      <c r="P203" s="111">
        <v>0</v>
      </c>
      <c r="Q203" s="111">
        <v>0</v>
      </c>
      <c r="R203" s="111">
        <v>0</v>
      </c>
      <c r="S203" s="111">
        <v>0</v>
      </c>
      <c r="T203" s="111">
        <v>0</v>
      </c>
      <c r="U203" s="111">
        <v>0</v>
      </c>
      <c r="V203" s="111">
        <v>0</v>
      </c>
      <c r="W203" s="111">
        <v>0</v>
      </c>
      <c r="X203" s="111">
        <v>0</v>
      </c>
      <c r="Y203" s="111">
        <v>0</v>
      </c>
      <c r="Z203" s="111">
        <v>0</v>
      </c>
      <c r="AA203" s="111">
        <v>0</v>
      </c>
      <c r="AB203" s="111">
        <v>0</v>
      </c>
      <c r="AC203" s="111">
        <v>0</v>
      </c>
      <c r="AD203" s="111">
        <v>0</v>
      </c>
      <c r="AE203" s="111">
        <v>0</v>
      </c>
      <c r="AF203" s="111">
        <v>0</v>
      </c>
      <c r="AG203" s="111">
        <v>0</v>
      </c>
      <c r="AH203" s="111">
        <v>0</v>
      </c>
      <c r="AI203" s="111">
        <v>0</v>
      </c>
      <c r="AJ203" s="111">
        <v>0</v>
      </c>
      <c r="AK203" s="111">
        <v>0</v>
      </c>
      <c r="AL203" s="111">
        <v>0</v>
      </c>
      <c r="AM203" s="111">
        <v>0</v>
      </c>
      <c r="AN203" s="111">
        <v>0</v>
      </c>
      <c r="AO203" s="111">
        <v>0</v>
      </c>
      <c r="AP203" s="111">
        <v>0</v>
      </c>
      <c r="AQ203" s="111">
        <v>0</v>
      </c>
      <c r="AR203" s="111">
        <v>0</v>
      </c>
      <c r="AS203" s="111">
        <v>0</v>
      </c>
      <c r="AT203" s="111">
        <v>0</v>
      </c>
      <c r="AU203" s="111">
        <v>0</v>
      </c>
      <c r="AV203" s="111">
        <v>0</v>
      </c>
      <c r="AW203" s="111">
        <v>0</v>
      </c>
      <c r="AX203" s="111">
        <v>0</v>
      </c>
      <c r="AY203" s="111">
        <v>0</v>
      </c>
    </row>
    <row r="204" spans="1:51" x14ac:dyDescent="0.2">
      <c r="A204" s="114"/>
      <c r="B204" s="132">
        <v>8</v>
      </c>
      <c r="C204" s="111">
        <v>0</v>
      </c>
      <c r="D204" s="111">
        <v>0</v>
      </c>
      <c r="E204" s="111">
        <v>0</v>
      </c>
      <c r="F204" s="111">
        <v>0</v>
      </c>
      <c r="G204" s="111">
        <v>0</v>
      </c>
      <c r="H204" s="111">
        <v>0</v>
      </c>
      <c r="I204" s="111">
        <v>0</v>
      </c>
      <c r="J204" s="111">
        <v>0</v>
      </c>
      <c r="K204" s="111">
        <v>0</v>
      </c>
      <c r="L204" s="111">
        <v>0</v>
      </c>
      <c r="M204" s="111">
        <v>0</v>
      </c>
      <c r="N204" s="111">
        <v>0</v>
      </c>
      <c r="O204" s="111">
        <v>0</v>
      </c>
      <c r="P204" s="111">
        <v>0</v>
      </c>
      <c r="Q204" s="111">
        <v>0</v>
      </c>
      <c r="R204" s="111">
        <v>0</v>
      </c>
      <c r="S204" s="111">
        <v>0</v>
      </c>
      <c r="T204" s="111">
        <v>0</v>
      </c>
      <c r="U204" s="111">
        <v>0</v>
      </c>
      <c r="V204" s="111">
        <v>0</v>
      </c>
      <c r="W204" s="111">
        <v>0</v>
      </c>
      <c r="X204" s="111">
        <v>0</v>
      </c>
      <c r="Y204" s="111">
        <v>0</v>
      </c>
      <c r="Z204" s="111">
        <v>0</v>
      </c>
      <c r="AA204" s="111">
        <v>0</v>
      </c>
      <c r="AB204" s="111">
        <v>0</v>
      </c>
      <c r="AC204" s="111">
        <v>0</v>
      </c>
      <c r="AD204" s="111">
        <v>0</v>
      </c>
      <c r="AE204" s="111">
        <v>0</v>
      </c>
      <c r="AF204" s="111">
        <v>0</v>
      </c>
      <c r="AG204" s="111">
        <v>0</v>
      </c>
      <c r="AH204" s="111">
        <v>0</v>
      </c>
      <c r="AI204" s="111">
        <v>0</v>
      </c>
      <c r="AJ204" s="111">
        <v>0</v>
      </c>
      <c r="AK204" s="111">
        <v>0</v>
      </c>
      <c r="AL204" s="111">
        <v>0</v>
      </c>
      <c r="AM204" s="111">
        <v>0</v>
      </c>
      <c r="AN204" s="111">
        <v>0</v>
      </c>
      <c r="AO204" s="111">
        <v>0</v>
      </c>
      <c r="AP204" s="111">
        <v>0</v>
      </c>
      <c r="AQ204" s="111">
        <v>0</v>
      </c>
      <c r="AR204" s="111">
        <v>0</v>
      </c>
      <c r="AS204" s="111">
        <v>0</v>
      </c>
      <c r="AT204" s="111">
        <v>0</v>
      </c>
      <c r="AU204" s="111">
        <v>0</v>
      </c>
      <c r="AV204" s="111">
        <v>0</v>
      </c>
      <c r="AW204" s="111">
        <v>0</v>
      </c>
      <c r="AX204" s="111">
        <v>0</v>
      </c>
      <c r="AY204" s="111">
        <v>0</v>
      </c>
    </row>
    <row r="205" spans="1:51" x14ac:dyDescent="0.2">
      <c r="A205" s="114"/>
      <c r="B205" s="132">
        <v>9</v>
      </c>
      <c r="C205" s="111">
        <v>0</v>
      </c>
      <c r="D205" s="111">
        <v>0</v>
      </c>
      <c r="E205" s="111">
        <v>0</v>
      </c>
      <c r="F205" s="111">
        <v>0</v>
      </c>
      <c r="G205" s="111">
        <v>0</v>
      </c>
      <c r="H205" s="111">
        <v>0</v>
      </c>
      <c r="I205" s="111">
        <v>0</v>
      </c>
      <c r="J205" s="111">
        <v>0</v>
      </c>
      <c r="K205" s="111">
        <v>0</v>
      </c>
      <c r="L205" s="111">
        <v>0</v>
      </c>
      <c r="M205" s="111">
        <v>0</v>
      </c>
      <c r="N205" s="111">
        <v>0</v>
      </c>
      <c r="O205" s="111">
        <v>0</v>
      </c>
      <c r="P205" s="111">
        <v>0</v>
      </c>
      <c r="Q205" s="111">
        <v>0</v>
      </c>
      <c r="R205" s="111">
        <v>0</v>
      </c>
      <c r="S205" s="111">
        <v>0</v>
      </c>
      <c r="T205" s="111">
        <v>0</v>
      </c>
      <c r="U205" s="111">
        <v>0</v>
      </c>
      <c r="V205" s="111">
        <v>0</v>
      </c>
      <c r="W205" s="111">
        <v>0</v>
      </c>
      <c r="X205" s="111">
        <v>0</v>
      </c>
      <c r="Y205" s="111">
        <v>0</v>
      </c>
      <c r="Z205" s="111">
        <v>0</v>
      </c>
      <c r="AA205" s="111">
        <v>0</v>
      </c>
      <c r="AB205" s="111">
        <v>0</v>
      </c>
      <c r="AC205" s="111">
        <v>0</v>
      </c>
      <c r="AD205" s="111">
        <v>0</v>
      </c>
      <c r="AE205" s="111">
        <v>0</v>
      </c>
      <c r="AF205" s="111">
        <v>0</v>
      </c>
      <c r="AG205" s="111">
        <v>0</v>
      </c>
      <c r="AH205" s="111">
        <v>0</v>
      </c>
      <c r="AI205" s="111">
        <v>0</v>
      </c>
      <c r="AJ205" s="111">
        <v>0</v>
      </c>
      <c r="AK205" s="111">
        <v>0</v>
      </c>
      <c r="AL205" s="111">
        <v>0</v>
      </c>
      <c r="AM205" s="111">
        <v>0</v>
      </c>
      <c r="AN205" s="111">
        <v>0</v>
      </c>
      <c r="AO205" s="111">
        <v>0</v>
      </c>
      <c r="AP205" s="111">
        <v>0</v>
      </c>
      <c r="AQ205" s="111">
        <v>0</v>
      </c>
      <c r="AR205" s="111">
        <v>0</v>
      </c>
      <c r="AS205" s="111">
        <v>0</v>
      </c>
      <c r="AT205" s="111">
        <v>0</v>
      </c>
      <c r="AU205" s="111">
        <v>0</v>
      </c>
      <c r="AV205" s="111">
        <v>0</v>
      </c>
      <c r="AW205" s="111">
        <v>0</v>
      </c>
      <c r="AX205" s="111">
        <v>0</v>
      </c>
      <c r="AY205" s="111">
        <v>0</v>
      </c>
    </row>
    <row r="206" spans="1:51" x14ac:dyDescent="0.2">
      <c r="A206" s="114"/>
      <c r="B206" s="135">
        <v>10</v>
      </c>
      <c r="C206" s="111">
        <v>0</v>
      </c>
      <c r="D206" s="111">
        <v>0</v>
      </c>
      <c r="E206" s="111">
        <v>0</v>
      </c>
      <c r="F206" s="111">
        <v>0</v>
      </c>
      <c r="G206" s="111">
        <v>0</v>
      </c>
      <c r="H206" s="111">
        <v>0</v>
      </c>
      <c r="I206" s="111">
        <v>0</v>
      </c>
      <c r="J206" s="111">
        <v>0</v>
      </c>
      <c r="K206" s="111">
        <v>0</v>
      </c>
      <c r="L206" s="111">
        <v>0</v>
      </c>
      <c r="M206" s="111">
        <v>0</v>
      </c>
      <c r="N206" s="111">
        <v>0</v>
      </c>
      <c r="O206" s="111">
        <v>0</v>
      </c>
      <c r="P206" s="111">
        <v>0</v>
      </c>
      <c r="Q206" s="111">
        <v>0</v>
      </c>
      <c r="R206" s="111">
        <v>0</v>
      </c>
      <c r="S206" s="111">
        <v>0</v>
      </c>
      <c r="T206" s="111">
        <v>0</v>
      </c>
      <c r="U206" s="111">
        <v>0</v>
      </c>
      <c r="V206" s="111">
        <v>0</v>
      </c>
      <c r="W206" s="111">
        <v>0</v>
      </c>
      <c r="X206" s="111">
        <v>0</v>
      </c>
      <c r="Y206" s="111">
        <v>0</v>
      </c>
      <c r="Z206" s="111">
        <v>0</v>
      </c>
      <c r="AA206" s="111">
        <v>0</v>
      </c>
      <c r="AB206" s="111">
        <v>0</v>
      </c>
      <c r="AC206" s="111">
        <v>0</v>
      </c>
      <c r="AD206" s="111">
        <v>0</v>
      </c>
      <c r="AE206" s="111">
        <v>0</v>
      </c>
      <c r="AF206" s="111">
        <v>0</v>
      </c>
      <c r="AG206" s="111">
        <v>0</v>
      </c>
      <c r="AH206" s="111">
        <v>0</v>
      </c>
      <c r="AI206" s="111">
        <v>0</v>
      </c>
      <c r="AJ206" s="111">
        <v>0</v>
      </c>
      <c r="AK206" s="111">
        <v>0</v>
      </c>
      <c r="AL206" s="111">
        <v>0</v>
      </c>
      <c r="AM206" s="111">
        <v>0</v>
      </c>
      <c r="AN206" s="111">
        <v>0</v>
      </c>
      <c r="AO206" s="111">
        <v>0</v>
      </c>
      <c r="AP206" s="111">
        <v>0</v>
      </c>
      <c r="AQ206" s="111">
        <v>0</v>
      </c>
      <c r="AR206" s="111">
        <v>0</v>
      </c>
      <c r="AS206" s="111">
        <v>0</v>
      </c>
      <c r="AT206" s="111">
        <v>0</v>
      </c>
      <c r="AU206" s="111">
        <v>0</v>
      </c>
      <c r="AV206" s="111">
        <v>0</v>
      </c>
      <c r="AW206" s="111">
        <v>0</v>
      </c>
      <c r="AX206" s="111">
        <v>0</v>
      </c>
      <c r="AY206" s="111">
        <v>0</v>
      </c>
    </row>
    <row r="207" spans="1:51" x14ac:dyDescent="0.2">
      <c r="A207" s="114"/>
      <c r="B207" s="135">
        <v>11</v>
      </c>
      <c r="C207" s="111">
        <v>0</v>
      </c>
      <c r="D207" s="111">
        <v>0</v>
      </c>
      <c r="E207" s="111">
        <v>0</v>
      </c>
      <c r="F207" s="111">
        <v>0</v>
      </c>
      <c r="G207" s="111">
        <v>0</v>
      </c>
      <c r="H207" s="111">
        <v>0</v>
      </c>
      <c r="I207" s="111">
        <v>0</v>
      </c>
      <c r="J207" s="111">
        <v>0</v>
      </c>
      <c r="K207" s="111">
        <v>0</v>
      </c>
      <c r="L207" s="111">
        <v>0</v>
      </c>
      <c r="M207" s="111">
        <v>0</v>
      </c>
      <c r="N207" s="111">
        <v>0</v>
      </c>
      <c r="O207" s="111">
        <v>0</v>
      </c>
      <c r="P207" s="111">
        <v>0</v>
      </c>
      <c r="Q207" s="111">
        <v>0</v>
      </c>
      <c r="R207" s="111">
        <v>0</v>
      </c>
      <c r="S207" s="111">
        <v>0</v>
      </c>
      <c r="T207" s="111">
        <v>0</v>
      </c>
      <c r="U207" s="111">
        <v>0</v>
      </c>
      <c r="V207" s="111">
        <v>0</v>
      </c>
      <c r="W207" s="111">
        <v>0</v>
      </c>
      <c r="X207" s="111">
        <v>0</v>
      </c>
      <c r="Y207" s="111">
        <v>0</v>
      </c>
      <c r="Z207" s="111">
        <v>0</v>
      </c>
      <c r="AA207" s="111">
        <v>0</v>
      </c>
      <c r="AB207" s="111">
        <v>0</v>
      </c>
      <c r="AC207" s="111">
        <v>0</v>
      </c>
      <c r="AD207" s="111">
        <v>0</v>
      </c>
      <c r="AE207" s="111">
        <v>0</v>
      </c>
      <c r="AF207" s="111">
        <v>0</v>
      </c>
      <c r="AG207" s="111">
        <v>0</v>
      </c>
      <c r="AH207" s="111">
        <v>0</v>
      </c>
      <c r="AI207" s="111">
        <v>0</v>
      </c>
      <c r="AJ207" s="111">
        <v>0</v>
      </c>
      <c r="AK207" s="111">
        <v>0</v>
      </c>
      <c r="AL207" s="111">
        <v>0</v>
      </c>
      <c r="AM207" s="111">
        <v>0</v>
      </c>
      <c r="AN207" s="111">
        <v>0</v>
      </c>
      <c r="AO207" s="111">
        <v>0</v>
      </c>
      <c r="AP207" s="111">
        <v>0</v>
      </c>
      <c r="AQ207" s="111">
        <v>0</v>
      </c>
      <c r="AR207" s="111">
        <v>0</v>
      </c>
      <c r="AS207" s="111">
        <v>0</v>
      </c>
      <c r="AT207" s="111">
        <v>0</v>
      </c>
      <c r="AU207" s="111">
        <v>0</v>
      </c>
      <c r="AV207" s="111">
        <v>0</v>
      </c>
      <c r="AW207" s="111">
        <v>0</v>
      </c>
      <c r="AX207" s="111">
        <v>0</v>
      </c>
      <c r="AY207" s="111">
        <v>0</v>
      </c>
    </row>
    <row r="208" spans="1:51" x14ac:dyDescent="0.2">
      <c r="A208" s="114"/>
      <c r="B208" s="135">
        <v>12</v>
      </c>
      <c r="C208" s="111">
        <v>0</v>
      </c>
      <c r="D208" s="111">
        <v>0</v>
      </c>
      <c r="E208" s="111">
        <v>0</v>
      </c>
      <c r="F208" s="111">
        <v>0</v>
      </c>
      <c r="G208" s="111">
        <v>0</v>
      </c>
      <c r="H208" s="111">
        <v>0</v>
      </c>
      <c r="I208" s="111">
        <v>0</v>
      </c>
      <c r="J208" s="111">
        <v>0</v>
      </c>
      <c r="K208" s="111">
        <v>0</v>
      </c>
      <c r="L208" s="111">
        <v>0</v>
      </c>
      <c r="M208" s="111">
        <v>0</v>
      </c>
      <c r="N208" s="111">
        <v>0</v>
      </c>
      <c r="O208" s="111">
        <v>0</v>
      </c>
      <c r="P208" s="111">
        <v>0</v>
      </c>
      <c r="Q208" s="111">
        <v>0</v>
      </c>
      <c r="R208" s="111">
        <v>0</v>
      </c>
      <c r="S208" s="111">
        <v>0</v>
      </c>
      <c r="T208" s="111">
        <v>0</v>
      </c>
      <c r="U208" s="111">
        <v>0</v>
      </c>
      <c r="V208" s="111">
        <v>0</v>
      </c>
      <c r="W208" s="111">
        <v>0</v>
      </c>
      <c r="X208" s="111">
        <v>0</v>
      </c>
      <c r="Y208" s="111">
        <v>0</v>
      </c>
      <c r="Z208" s="111">
        <v>0</v>
      </c>
      <c r="AA208" s="111">
        <v>0</v>
      </c>
      <c r="AB208" s="111">
        <v>0</v>
      </c>
      <c r="AC208" s="111">
        <v>0</v>
      </c>
      <c r="AD208" s="111">
        <v>0</v>
      </c>
      <c r="AE208" s="111">
        <v>0</v>
      </c>
      <c r="AF208" s="111">
        <v>0</v>
      </c>
      <c r="AG208" s="111">
        <v>0</v>
      </c>
      <c r="AH208" s="111">
        <v>0</v>
      </c>
      <c r="AI208" s="111">
        <v>0</v>
      </c>
      <c r="AJ208" s="111">
        <v>0</v>
      </c>
      <c r="AK208" s="111">
        <v>0</v>
      </c>
      <c r="AL208" s="111">
        <v>0</v>
      </c>
      <c r="AM208" s="111">
        <v>0</v>
      </c>
      <c r="AN208" s="111">
        <v>0</v>
      </c>
      <c r="AO208" s="111">
        <v>0</v>
      </c>
      <c r="AP208" s="111">
        <v>0</v>
      </c>
      <c r="AQ208" s="111">
        <v>0</v>
      </c>
      <c r="AR208" s="111">
        <v>0</v>
      </c>
      <c r="AS208" s="111">
        <v>0</v>
      </c>
      <c r="AT208" s="111">
        <v>0</v>
      </c>
      <c r="AU208" s="111">
        <v>0</v>
      </c>
      <c r="AV208" s="111">
        <v>0</v>
      </c>
      <c r="AW208" s="111">
        <v>0</v>
      </c>
      <c r="AX208" s="111">
        <v>0</v>
      </c>
      <c r="AY208" s="111">
        <v>0</v>
      </c>
    </row>
    <row r="209" spans="1:51" x14ac:dyDescent="0.2">
      <c r="A209" s="131" t="s">
        <v>123</v>
      </c>
      <c r="B209" s="128">
        <v>1</v>
      </c>
      <c r="C209" s="129">
        <v>1287.749272743604</v>
      </c>
      <c r="D209" s="129">
        <v>278.97645275391636</v>
      </c>
      <c r="E209" s="129">
        <v>294.2821375582011</v>
      </c>
      <c r="F209" s="129">
        <v>0</v>
      </c>
      <c r="G209" s="129">
        <v>0</v>
      </c>
      <c r="H209" s="129">
        <v>1590.4013716913382</v>
      </c>
      <c r="I209" s="129">
        <v>1590.4013716913382</v>
      </c>
      <c r="J209" s="129">
        <v>1718.8169528141739</v>
      </c>
      <c r="K209" s="129">
        <v>1718.8169528141739</v>
      </c>
      <c r="L209" s="129">
        <v>1718.8169528141739</v>
      </c>
      <c r="M209" s="129">
        <v>1590.4013716913382</v>
      </c>
      <c r="N209" s="129">
        <v>1847.2325339370093</v>
      </c>
      <c r="O209" s="129">
        <v>1718.8169528141739</v>
      </c>
      <c r="P209" s="129">
        <v>1718.8169528141739</v>
      </c>
      <c r="Q209" s="129">
        <v>1718.8169528141739</v>
      </c>
      <c r="R209" s="129">
        <v>1718.8169528141739</v>
      </c>
      <c r="S209" s="129">
        <v>1718.8169528141739</v>
      </c>
      <c r="T209" s="129">
        <v>1660.2274057228797</v>
      </c>
      <c r="U209" s="129">
        <v>1663.8216646578765</v>
      </c>
      <c r="V209" s="129">
        <v>1718.8169528141739</v>
      </c>
      <c r="W209" s="129">
        <v>1718.8169528141739</v>
      </c>
      <c r="X209" s="129">
        <v>1718.8169528141739</v>
      </c>
      <c r="Y209" s="129">
        <v>1591.0854780011689</v>
      </c>
      <c r="Z209" s="129">
        <v>1676.4538823954485</v>
      </c>
      <c r="AA209" s="129">
        <v>1718.8169528141739</v>
      </c>
      <c r="AB209" s="129">
        <v>1598.0167206597614</v>
      </c>
      <c r="AC209" s="129">
        <v>1718.8169528141739</v>
      </c>
      <c r="AD209" s="129">
        <v>1616.5813363513389</v>
      </c>
      <c r="AE209" s="129">
        <v>1718.8169528141739</v>
      </c>
      <c r="AF209" s="129">
        <v>1590.4013716913382</v>
      </c>
      <c r="AG209" s="129">
        <v>1847.2325339370093</v>
      </c>
      <c r="AH209" s="129">
        <v>1718.8169528141739</v>
      </c>
      <c r="AI209" s="129">
        <v>1718.8169528141739</v>
      </c>
      <c r="AJ209" s="129">
        <v>1718.8169528141739</v>
      </c>
      <c r="AK209" s="129">
        <v>1617.5654346999422</v>
      </c>
      <c r="AL209" s="129">
        <v>1718.8169528141736</v>
      </c>
      <c r="AM209" s="129">
        <v>1667.2085336842804</v>
      </c>
      <c r="AN209" s="129">
        <v>1718.8169528141739</v>
      </c>
      <c r="AO209" s="129">
        <v>1718.8169528141739</v>
      </c>
      <c r="AP209" s="129">
        <v>1718.8169528141739</v>
      </c>
      <c r="AQ209" s="129">
        <v>1718.8169528141739</v>
      </c>
      <c r="AR209" s="129">
        <v>1718.8169528141739</v>
      </c>
      <c r="AS209" s="129">
        <v>1491.7855871292845</v>
      </c>
      <c r="AT209" s="129">
        <v>1590.4013716913382</v>
      </c>
      <c r="AU209" s="129">
        <v>1756.7548149765216</v>
      </c>
      <c r="AV209" s="129">
        <v>1718.8169528141739</v>
      </c>
      <c r="AW209" s="129">
        <v>1718.8169528141739</v>
      </c>
      <c r="AX209" s="129">
        <v>1718.8169528141739</v>
      </c>
      <c r="AY209" s="129">
        <v>1718.8169528141739</v>
      </c>
    </row>
    <row r="210" spans="1:51" x14ac:dyDescent="0.2">
      <c r="A210" s="114"/>
      <c r="B210" s="124">
        <v>2</v>
      </c>
      <c r="C210" s="111">
        <v>0</v>
      </c>
      <c r="D210" s="115">
        <v>0</v>
      </c>
      <c r="E210" s="115">
        <v>0</v>
      </c>
      <c r="F210" s="115">
        <v>0</v>
      </c>
      <c r="G210" s="115">
        <v>0</v>
      </c>
      <c r="H210" s="115">
        <v>0</v>
      </c>
      <c r="I210" s="115">
        <v>0</v>
      </c>
      <c r="J210" s="115">
        <v>0</v>
      </c>
      <c r="K210" s="115">
        <v>0</v>
      </c>
      <c r="L210" s="115">
        <v>0</v>
      </c>
      <c r="M210" s="115">
        <v>0</v>
      </c>
      <c r="N210" s="115">
        <v>0</v>
      </c>
      <c r="O210" s="115">
        <v>0</v>
      </c>
      <c r="P210" s="115">
        <v>0</v>
      </c>
      <c r="Q210" s="115">
        <v>0</v>
      </c>
      <c r="R210" s="115">
        <v>0</v>
      </c>
      <c r="S210" s="115">
        <v>0</v>
      </c>
      <c r="T210" s="115">
        <v>0</v>
      </c>
      <c r="U210" s="115">
        <v>51.570618951987214</v>
      </c>
      <c r="V210" s="115">
        <v>48.406946127162854</v>
      </c>
      <c r="W210" s="115">
        <v>0</v>
      </c>
      <c r="X210" s="115">
        <v>0</v>
      </c>
      <c r="Y210" s="115">
        <v>0</v>
      </c>
      <c r="Z210" s="115">
        <v>112.42946127391416</v>
      </c>
      <c r="AA210" s="115">
        <v>37.288046599781744</v>
      </c>
      <c r="AB210" s="115">
        <v>0</v>
      </c>
      <c r="AC210" s="115">
        <v>106.32856970270852</v>
      </c>
      <c r="AD210" s="115">
        <v>0</v>
      </c>
      <c r="AE210" s="115">
        <v>89.987963411135325</v>
      </c>
      <c r="AF210" s="115">
        <v>0</v>
      </c>
      <c r="AG210" s="115">
        <v>0</v>
      </c>
      <c r="AH210" s="115">
        <v>0</v>
      </c>
      <c r="AI210" s="115">
        <v>0</v>
      </c>
      <c r="AJ210" s="115">
        <v>0</v>
      </c>
      <c r="AK210" s="115">
        <v>0</v>
      </c>
      <c r="AL210" s="115">
        <v>89.121758371727495</v>
      </c>
      <c r="AM210" s="115">
        <v>2.0013469566038111E-13</v>
      </c>
      <c r="AN210" s="115">
        <v>45.42581825244477</v>
      </c>
      <c r="AO210" s="115">
        <v>0</v>
      </c>
      <c r="AP210" s="115">
        <v>0</v>
      </c>
      <c r="AQ210" s="115">
        <v>0</v>
      </c>
      <c r="AR210" s="115">
        <v>0</v>
      </c>
      <c r="AS210" s="115">
        <v>0</v>
      </c>
      <c r="AT210" s="115">
        <v>199.83339402916127</v>
      </c>
      <c r="AU210" s="115">
        <v>0</v>
      </c>
      <c r="AV210" s="115">
        <v>79.63864204114347</v>
      </c>
      <c r="AW210" s="115">
        <v>0</v>
      </c>
      <c r="AX210" s="115">
        <v>0</v>
      </c>
      <c r="AY210" s="115">
        <v>0</v>
      </c>
    </row>
    <row r="211" spans="1:51" x14ac:dyDescent="0.2">
      <c r="A211" s="114"/>
      <c r="B211" s="124">
        <v>3</v>
      </c>
      <c r="C211" s="111">
        <v>0</v>
      </c>
      <c r="D211" s="115">
        <v>0</v>
      </c>
      <c r="E211" s="115">
        <v>0</v>
      </c>
      <c r="F211" s="115">
        <v>0</v>
      </c>
      <c r="G211" s="115">
        <v>0</v>
      </c>
      <c r="H211" s="115">
        <v>0</v>
      </c>
      <c r="I211" s="115">
        <v>0</v>
      </c>
      <c r="J211" s="115">
        <v>0</v>
      </c>
      <c r="K211" s="115">
        <v>0</v>
      </c>
      <c r="L211" s="115">
        <v>0</v>
      </c>
      <c r="M211" s="115">
        <v>0</v>
      </c>
      <c r="N211" s="115">
        <v>0</v>
      </c>
      <c r="O211" s="115">
        <v>0</v>
      </c>
      <c r="P211" s="115">
        <v>0</v>
      </c>
      <c r="Q211" s="115">
        <v>0</v>
      </c>
      <c r="R211" s="115">
        <v>0</v>
      </c>
      <c r="S211" s="115">
        <v>0</v>
      </c>
      <c r="T211" s="115">
        <v>0</v>
      </c>
      <c r="U211" s="115">
        <v>0</v>
      </c>
      <c r="V211" s="115">
        <v>0</v>
      </c>
      <c r="W211" s="115">
        <v>0</v>
      </c>
      <c r="X211" s="115">
        <v>0</v>
      </c>
      <c r="Y211" s="115">
        <v>0</v>
      </c>
      <c r="Z211" s="115">
        <v>0</v>
      </c>
      <c r="AA211" s="115">
        <v>0</v>
      </c>
      <c r="AB211" s="115">
        <v>0</v>
      </c>
      <c r="AC211" s="115">
        <v>0</v>
      </c>
      <c r="AD211" s="115">
        <v>0</v>
      </c>
      <c r="AE211" s="115">
        <v>0</v>
      </c>
      <c r="AF211" s="115">
        <v>0</v>
      </c>
      <c r="AG211" s="115">
        <v>0</v>
      </c>
      <c r="AH211" s="115">
        <v>0</v>
      </c>
      <c r="AI211" s="115">
        <v>0</v>
      </c>
      <c r="AJ211" s="115">
        <v>0</v>
      </c>
      <c r="AK211" s="115">
        <v>0</v>
      </c>
      <c r="AL211" s="115">
        <v>0</v>
      </c>
      <c r="AM211" s="115">
        <v>0</v>
      </c>
      <c r="AN211" s="115">
        <v>0</v>
      </c>
      <c r="AO211" s="115">
        <v>0</v>
      </c>
      <c r="AP211" s="115">
        <v>0</v>
      </c>
      <c r="AQ211" s="115">
        <v>0</v>
      </c>
      <c r="AR211" s="115">
        <v>0</v>
      </c>
      <c r="AS211" s="115">
        <v>0</v>
      </c>
      <c r="AT211" s="115">
        <v>0</v>
      </c>
      <c r="AU211" s="115">
        <v>0</v>
      </c>
      <c r="AV211" s="115">
        <v>0</v>
      </c>
      <c r="AW211" s="115">
        <v>0</v>
      </c>
      <c r="AX211" s="115">
        <v>0</v>
      </c>
      <c r="AY211" s="115">
        <v>0</v>
      </c>
    </row>
    <row r="212" spans="1:51" x14ac:dyDescent="0.2">
      <c r="A212" s="114"/>
      <c r="B212" s="124">
        <v>4</v>
      </c>
      <c r="C212" s="111">
        <v>0</v>
      </c>
      <c r="D212" s="115">
        <v>0</v>
      </c>
      <c r="E212" s="115">
        <v>0</v>
      </c>
      <c r="F212" s="115">
        <v>0</v>
      </c>
      <c r="G212" s="115">
        <v>0</v>
      </c>
      <c r="H212" s="115">
        <v>0</v>
      </c>
      <c r="I212" s="115">
        <v>0</v>
      </c>
      <c r="J212" s="115">
        <v>0</v>
      </c>
      <c r="K212" s="115">
        <v>0</v>
      </c>
      <c r="L212" s="115">
        <v>0</v>
      </c>
      <c r="M212" s="115">
        <v>0</v>
      </c>
      <c r="N212" s="115">
        <v>0</v>
      </c>
      <c r="O212" s="115">
        <v>0</v>
      </c>
      <c r="P212" s="115">
        <v>0</v>
      </c>
      <c r="Q212" s="115">
        <v>0</v>
      </c>
      <c r="R212" s="115">
        <v>0</v>
      </c>
      <c r="S212" s="115">
        <v>0</v>
      </c>
      <c r="T212" s="115">
        <v>0</v>
      </c>
      <c r="U212" s="115">
        <v>0</v>
      </c>
      <c r="V212" s="115">
        <v>0</v>
      </c>
      <c r="W212" s="115">
        <v>0</v>
      </c>
      <c r="X212" s="115">
        <v>0</v>
      </c>
      <c r="Y212" s="115">
        <v>0</v>
      </c>
      <c r="Z212" s="115">
        <v>0</v>
      </c>
      <c r="AA212" s="115">
        <v>0</v>
      </c>
      <c r="AB212" s="115">
        <v>0</v>
      </c>
      <c r="AC212" s="115">
        <v>0</v>
      </c>
      <c r="AD212" s="115">
        <v>0</v>
      </c>
      <c r="AE212" s="115">
        <v>0</v>
      </c>
      <c r="AF212" s="115">
        <v>0</v>
      </c>
      <c r="AG212" s="115">
        <v>0</v>
      </c>
      <c r="AH212" s="115">
        <v>0</v>
      </c>
      <c r="AI212" s="115">
        <v>0</v>
      </c>
      <c r="AJ212" s="115">
        <v>0</v>
      </c>
      <c r="AK212" s="115">
        <v>0</v>
      </c>
      <c r="AL212" s="115">
        <v>0</v>
      </c>
      <c r="AM212" s="115">
        <v>0</v>
      </c>
      <c r="AN212" s="115">
        <v>0</v>
      </c>
      <c r="AO212" s="115">
        <v>0</v>
      </c>
      <c r="AP212" s="115">
        <v>0</v>
      </c>
      <c r="AQ212" s="115">
        <v>0</v>
      </c>
      <c r="AR212" s="115">
        <v>0</v>
      </c>
      <c r="AS212" s="115">
        <v>0</v>
      </c>
      <c r="AT212" s="115">
        <v>0</v>
      </c>
      <c r="AU212" s="115">
        <v>0</v>
      </c>
      <c r="AV212" s="115">
        <v>0</v>
      </c>
      <c r="AW212" s="115">
        <v>0</v>
      </c>
      <c r="AX212" s="115">
        <v>0</v>
      </c>
      <c r="AY212" s="115">
        <v>0</v>
      </c>
    </row>
    <row r="213" spans="1:51" x14ac:dyDescent="0.2">
      <c r="A213" s="114"/>
      <c r="B213" s="124">
        <v>5</v>
      </c>
      <c r="C213" s="111">
        <v>0</v>
      </c>
      <c r="D213" s="115">
        <v>0</v>
      </c>
      <c r="E213" s="115">
        <v>0</v>
      </c>
      <c r="F213" s="115">
        <v>0</v>
      </c>
      <c r="G213" s="115">
        <v>0</v>
      </c>
      <c r="H213" s="115">
        <v>0</v>
      </c>
      <c r="I213" s="115">
        <v>0</v>
      </c>
      <c r="J213" s="115">
        <v>0</v>
      </c>
      <c r="K213" s="115">
        <v>0</v>
      </c>
      <c r="L213" s="115">
        <v>0</v>
      </c>
      <c r="M213" s="115">
        <v>0</v>
      </c>
      <c r="N213" s="115">
        <v>0</v>
      </c>
      <c r="O213" s="115">
        <v>0</v>
      </c>
      <c r="P213" s="115">
        <v>0</v>
      </c>
      <c r="Q213" s="115">
        <v>0</v>
      </c>
      <c r="R213" s="115">
        <v>0</v>
      </c>
      <c r="S213" s="115">
        <v>0</v>
      </c>
      <c r="T213" s="115">
        <v>0</v>
      </c>
      <c r="U213" s="115">
        <v>0</v>
      </c>
      <c r="V213" s="115">
        <v>0</v>
      </c>
      <c r="W213" s="115">
        <v>0</v>
      </c>
      <c r="X213" s="115">
        <v>0</v>
      </c>
      <c r="Y213" s="115">
        <v>0</v>
      </c>
      <c r="Z213" s="115">
        <v>0</v>
      </c>
      <c r="AA213" s="115">
        <v>0</v>
      </c>
      <c r="AB213" s="115">
        <v>0</v>
      </c>
      <c r="AC213" s="115">
        <v>0</v>
      </c>
      <c r="AD213" s="115">
        <v>0</v>
      </c>
      <c r="AE213" s="115">
        <v>0</v>
      </c>
      <c r="AF213" s="115">
        <v>0</v>
      </c>
      <c r="AG213" s="115">
        <v>0</v>
      </c>
      <c r="AH213" s="115">
        <v>0</v>
      </c>
      <c r="AI213" s="115">
        <v>0</v>
      </c>
      <c r="AJ213" s="115">
        <v>0</v>
      </c>
      <c r="AK213" s="115">
        <v>0</v>
      </c>
      <c r="AL213" s="115">
        <v>0</v>
      </c>
      <c r="AM213" s="115">
        <v>0</v>
      </c>
      <c r="AN213" s="115">
        <v>0</v>
      </c>
      <c r="AO213" s="115">
        <v>0</v>
      </c>
      <c r="AP213" s="115">
        <v>0</v>
      </c>
      <c r="AQ213" s="115">
        <v>0</v>
      </c>
      <c r="AR213" s="115">
        <v>0</v>
      </c>
      <c r="AS213" s="115">
        <v>0</v>
      </c>
      <c r="AT213" s="115">
        <v>0</v>
      </c>
      <c r="AU213" s="115">
        <v>0</v>
      </c>
      <c r="AV213" s="115">
        <v>0</v>
      </c>
      <c r="AW213" s="115">
        <v>0</v>
      </c>
      <c r="AX213" s="115">
        <v>0</v>
      </c>
      <c r="AY213" s="115">
        <v>0</v>
      </c>
    </row>
    <row r="214" spans="1:51" x14ac:dyDescent="0.2">
      <c r="A214" s="114"/>
      <c r="B214" s="124">
        <v>6</v>
      </c>
      <c r="C214" s="111">
        <v>0</v>
      </c>
      <c r="D214" s="115">
        <v>0</v>
      </c>
      <c r="E214" s="115">
        <v>0</v>
      </c>
      <c r="F214" s="115">
        <v>0</v>
      </c>
      <c r="G214" s="115">
        <v>0</v>
      </c>
      <c r="H214" s="115">
        <v>0</v>
      </c>
      <c r="I214" s="115">
        <v>0</v>
      </c>
      <c r="J214" s="115">
        <v>0</v>
      </c>
      <c r="K214" s="115">
        <v>0</v>
      </c>
      <c r="L214" s="115">
        <v>0</v>
      </c>
      <c r="M214" s="115">
        <v>0</v>
      </c>
      <c r="N214" s="115">
        <v>0</v>
      </c>
      <c r="O214" s="115">
        <v>0</v>
      </c>
      <c r="P214" s="115">
        <v>0</v>
      </c>
      <c r="Q214" s="115">
        <v>0</v>
      </c>
      <c r="R214" s="115">
        <v>0</v>
      </c>
      <c r="S214" s="115">
        <v>0</v>
      </c>
      <c r="T214" s="115">
        <v>0</v>
      </c>
      <c r="U214" s="115">
        <v>0</v>
      </c>
      <c r="V214" s="115">
        <v>0</v>
      </c>
      <c r="W214" s="115">
        <v>0</v>
      </c>
      <c r="X214" s="115">
        <v>0</v>
      </c>
      <c r="Y214" s="115">
        <v>0</v>
      </c>
      <c r="Z214" s="115">
        <v>0</v>
      </c>
      <c r="AA214" s="115">
        <v>0</v>
      </c>
      <c r="AB214" s="115">
        <v>0</v>
      </c>
      <c r="AC214" s="115">
        <v>0</v>
      </c>
      <c r="AD214" s="115">
        <v>0</v>
      </c>
      <c r="AE214" s="115">
        <v>0</v>
      </c>
      <c r="AF214" s="115">
        <v>0</v>
      </c>
      <c r="AG214" s="115">
        <v>0</v>
      </c>
      <c r="AH214" s="115">
        <v>0</v>
      </c>
      <c r="AI214" s="115">
        <v>0</v>
      </c>
      <c r="AJ214" s="115">
        <v>0</v>
      </c>
      <c r="AK214" s="115">
        <v>0</v>
      </c>
      <c r="AL214" s="115">
        <v>0</v>
      </c>
      <c r="AM214" s="115">
        <v>0</v>
      </c>
      <c r="AN214" s="115">
        <v>0</v>
      </c>
      <c r="AO214" s="115">
        <v>0</v>
      </c>
      <c r="AP214" s="115">
        <v>0</v>
      </c>
      <c r="AQ214" s="115">
        <v>0</v>
      </c>
      <c r="AR214" s="115">
        <v>0</v>
      </c>
      <c r="AS214" s="115">
        <v>0</v>
      </c>
      <c r="AT214" s="115">
        <v>0</v>
      </c>
      <c r="AU214" s="115">
        <v>0</v>
      </c>
      <c r="AV214" s="115">
        <v>0</v>
      </c>
      <c r="AW214" s="115">
        <v>0</v>
      </c>
      <c r="AX214" s="115">
        <v>0</v>
      </c>
      <c r="AY214" s="115">
        <v>0</v>
      </c>
    </row>
    <row r="215" spans="1:51" x14ac:dyDescent="0.2">
      <c r="A215" s="114"/>
      <c r="B215" s="124">
        <v>7</v>
      </c>
      <c r="C215" s="111">
        <v>0</v>
      </c>
      <c r="D215" s="115">
        <v>0</v>
      </c>
      <c r="E215" s="115">
        <v>0</v>
      </c>
      <c r="F215" s="115">
        <v>0</v>
      </c>
      <c r="G215" s="115">
        <v>0</v>
      </c>
      <c r="H215" s="115">
        <v>0</v>
      </c>
      <c r="I215" s="115">
        <v>0</v>
      </c>
      <c r="J215" s="115">
        <v>0</v>
      </c>
      <c r="K215" s="115">
        <v>0</v>
      </c>
      <c r="L215" s="115">
        <v>0</v>
      </c>
      <c r="M215" s="115">
        <v>0</v>
      </c>
      <c r="N215" s="115">
        <v>0</v>
      </c>
      <c r="O215" s="115">
        <v>0</v>
      </c>
      <c r="P215" s="115">
        <v>0</v>
      </c>
      <c r="Q215" s="115">
        <v>0</v>
      </c>
      <c r="R215" s="115">
        <v>0</v>
      </c>
      <c r="S215" s="115">
        <v>0</v>
      </c>
      <c r="T215" s="115">
        <v>0</v>
      </c>
      <c r="U215" s="115">
        <v>0</v>
      </c>
      <c r="V215" s="115">
        <v>0</v>
      </c>
      <c r="W215" s="115">
        <v>0</v>
      </c>
      <c r="X215" s="115">
        <v>0</v>
      </c>
      <c r="Y215" s="115">
        <v>0</v>
      </c>
      <c r="Z215" s="115">
        <v>0</v>
      </c>
      <c r="AA215" s="115">
        <v>0</v>
      </c>
      <c r="AB215" s="115">
        <v>0</v>
      </c>
      <c r="AC215" s="115">
        <v>0</v>
      </c>
      <c r="AD215" s="115">
        <v>0</v>
      </c>
      <c r="AE215" s="115">
        <v>0</v>
      </c>
      <c r="AF215" s="115">
        <v>0</v>
      </c>
      <c r="AG215" s="115">
        <v>0</v>
      </c>
      <c r="AH215" s="115">
        <v>0</v>
      </c>
      <c r="AI215" s="115">
        <v>0</v>
      </c>
      <c r="AJ215" s="115">
        <v>0</v>
      </c>
      <c r="AK215" s="115">
        <v>0</v>
      </c>
      <c r="AL215" s="115">
        <v>0</v>
      </c>
      <c r="AM215" s="115">
        <v>0</v>
      </c>
      <c r="AN215" s="115">
        <v>0</v>
      </c>
      <c r="AO215" s="115">
        <v>0</v>
      </c>
      <c r="AP215" s="115">
        <v>0</v>
      </c>
      <c r="AQ215" s="115">
        <v>0</v>
      </c>
      <c r="AR215" s="115">
        <v>0</v>
      </c>
      <c r="AS215" s="115">
        <v>0</v>
      </c>
      <c r="AT215" s="115">
        <v>0</v>
      </c>
      <c r="AU215" s="115">
        <v>0</v>
      </c>
      <c r="AV215" s="115">
        <v>0</v>
      </c>
      <c r="AW215" s="115">
        <v>0</v>
      </c>
      <c r="AX215" s="115">
        <v>0</v>
      </c>
      <c r="AY215" s="115">
        <v>0</v>
      </c>
    </row>
    <row r="216" spans="1:51" x14ac:dyDescent="0.2">
      <c r="A216" s="114"/>
      <c r="B216" s="124">
        <v>8</v>
      </c>
      <c r="C216" s="111">
        <v>0</v>
      </c>
      <c r="D216" s="115">
        <v>0</v>
      </c>
      <c r="E216" s="115">
        <v>0</v>
      </c>
      <c r="F216" s="115">
        <v>0</v>
      </c>
      <c r="G216" s="115">
        <v>0</v>
      </c>
      <c r="H216" s="115">
        <v>0</v>
      </c>
      <c r="I216" s="115">
        <v>0</v>
      </c>
      <c r="J216" s="115">
        <v>0</v>
      </c>
      <c r="K216" s="115">
        <v>0</v>
      </c>
      <c r="L216" s="115">
        <v>0</v>
      </c>
      <c r="M216" s="115">
        <v>0</v>
      </c>
      <c r="N216" s="115">
        <v>0</v>
      </c>
      <c r="O216" s="115">
        <v>0</v>
      </c>
      <c r="P216" s="115">
        <v>0</v>
      </c>
      <c r="Q216" s="115">
        <v>0</v>
      </c>
      <c r="R216" s="115">
        <v>0</v>
      </c>
      <c r="S216" s="115">
        <v>0</v>
      </c>
      <c r="T216" s="115">
        <v>0</v>
      </c>
      <c r="U216" s="115">
        <v>0</v>
      </c>
      <c r="V216" s="115">
        <v>0</v>
      </c>
      <c r="W216" s="115">
        <v>0</v>
      </c>
      <c r="X216" s="115">
        <v>0</v>
      </c>
      <c r="Y216" s="115">
        <v>0</v>
      </c>
      <c r="Z216" s="115">
        <v>0</v>
      </c>
      <c r="AA216" s="115">
        <v>0</v>
      </c>
      <c r="AB216" s="115">
        <v>0</v>
      </c>
      <c r="AC216" s="115">
        <v>0</v>
      </c>
      <c r="AD216" s="115">
        <v>0</v>
      </c>
      <c r="AE216" s="115">
        <v>0</v>
      </c>
      <c r="AF216" s="115">
        <v>0</v>
      </c>
      <c r="AG216" s="115">
        <v>0</v>
      </c>
      <c r="AH216" s="115">
        <v>0</v>
      </c>
      <c r="AI216" s="115">
        <v>0</v>
      </c>
      <c r="AJ216" s="115">
        <v>0</v>
      </c>
      <c r="AK216" s="115">
        <v>0</v>
      </c>
      <c r="AL216" s="115">
        <v>0</v>
      </c>
      <c r="AM216" s="115">
        <v>0</v>
      </c>
      <c r="AN216" s="115">
        <v>0</v>
      </c>
      <c r="AO216" s="115">
        <v>0</v>
      </c>
      <c r="AP216" s="115">
        <v>0</v>
      </c>
      <c r="AQ216" s="115">
        <v>0</v>
      </c>
      <c r="AR216" s="115">
        <v>0</v>
      </c>
      <c r="AS216" s="115">
        <v>0</v>
      </c>
      <c r="AT216" s="115">
        <v>0</v>
      </c>
      <c r="AU216" s="115">
        <v>0</v>
      </c>
      <c r="AV216" s="115">
        <v>0</v>
      </c>
      <c r="AW216" s="115">
        <v>0</v>
      </c>
      <c r="AX216" s="115">
        <v>0</v>
      </c>
      <c r="AY216" s="115">
        <v>0</v>
      </c>
    </row>
    <row r="217" spans="1:51" x14ac:dyDescent="0.2">
      <c r="A217" s="114"/>
      <c r="B217" s="124">
        <v>9</v>
      </c>
      <c r="C217" s="111">
        <v>0</v>
      </c>
      <c r="D217" s="115">
        <v>0</v>
      </c>
      <c r="E217" s="115">
        <v>0</v>
      </c>
      <c r="F217" s="115">
        <v>0</v>
      </c>
      <c r="G217" s="115">
        <v>0</v>
      </c>
      <c r="H217" s="115">
        <v>0</v>
      </c>
      <c r="I217" s="115">
        <v>0</v>
      </c>
      <c r="J217" s="115">
        <v>0</v>
      </c>
      <c r="K217" s="115">
        <v>0</v>
      </c>
      <c r="L217" s="115">
        <v>0</v>
      </c>
      <c r="M217" s="115">
        <v>0</v>
      </c>
      <c r="N217" s="115">
        <v>0</v>
      </c>
      <c r="O217" s="115">
        <v>0</v>
      </c>
      <c r="P217" s="115">
        <v>0</v>
      </c>
      <c r="Q217" s="115">
        <v>0</v>
      </c>
      <c r="R217" s="115">
        <v>0</v>
      </c>
      <c r="S217" s="115">
        <v>0</v>
      </c>
      <c r="T217" s="115">
        <v>0</v>
      </c>
      <c r="U217" s="115">
        <v>0</v>
      </c>
      <c r="V217" s="115">
        <v>0</v>
      </c>
      <c r="W217" s="115">
        <v>0</v>
      </c>
      <c r="X217" s="115">
        <v>0</v>
      </c>
      <c r="Y217" s="115">
        <v>0</v>
      </c>
      <c r="Z217" s="115">
        <v>0</v>
      </c>
      <c r="AA217" s="115">
        <v>0</v>
      </c>
      <c r="AB217" s="115">
        <v>0</v>
      </c>
      <c r="AC217" s="115">
        <v>0</v>
      </c>
      <c r="AD217" s="115">
        <v>0</v>
      </c>
      <c r="AE217" s="115">
        <v>0</v>
      </c>
      <c r="AF217" s="115">
        <v>0</v>
      </c>
      <c r="AG217" s="115">
        <v>0</v>
      </c>
      <c r="AH217" s="115">
        <v>0</v>
      </c>
      <c r="AI217" s="115">
        <v>0</v>
      </c>
      <c r="AJ217" s="115">
        <v>0</v>
      </c>
      <c r="AK217" s="115">
        <v>0</v>
      </c>
      <c r="AL217" s="115">
        <v>0</v>
      </c>
      <c r="AM217" s="115">
        <v>0</v>
      </c>
      <c r="AN217" s="115">
        <v>0</v>
      </c>
      <c r="AO217" s="115">
        <v>0</v>
      </c>
      <c r="AP217" s="115">
        <v>0</v>
      </c>
      <c r="AQ217" s="115">
        <v>0</v>
      </c>
      <c r="AR217" s="115">
        <v>0</v>
      </c>
      <c r="AS217" s="115">
        <v>0</v>
      </c>
      <c r="AT217" s="115">
        <v>0</v>
      </c>
      <c r="AU217" s="115">
        <v>0</v>
      </c>
      <c r="AV217" s="115">
        <v>0</v>
      </c>
      <c r="AW217" s="115">
        <v>0</v>
      </c>
      <c r="AX217" s="115">
        <v>0</v>
      </c>
      <c r="AY217" s="115">
        <v>0</v>
      </c>
    </row>
    <row r="218" spans="1:51" x14ac:dyDescent="0.2">
      <c r="A218" s="114"/>
      <c r="B218" s="124">
        <v>10</v>
      </c>
      <c r="C218" s="111">
        <v>0</v>
      </c>
      <c r="D218" s="115">
        <v>0</v>
      </c>
      <c r="E218" s="115">
        <v>0</v>
      </c>
      <c r="F218" s="115">
        <v>0</v>
      </c>
      <c r="G218" s="115">
        <v>0</v>
      </c>
      <c r="H218" s="115">
        <v>0</v>
      </c>
      <c r="I218" s="115">
        <v>0</v>
      </c>
      <c r="J218" s="115">
        <v>0</v>
      </c>
      <c r="K218" s="115">
        <v>0</v>
      </c>
      <c r="L218" s="115">
        <v>0</v>
      </c>
      <c r="M218" s="115">
        <v>0</v>
      </c>
      <c r="N218" s="115">
        <v>0</v>
      </c>
      <c r="O218" s="115">
        <v>0</v>
      </c>
      <c r="P218" s="115">
        <v>0</v>
      </c>
      <c r="Q218" s="115">
        <v>0</v>
      </c>
      <c r="R218" s="115">
        <v>0</v>
      </c>
      <c r="S218" s="115">
        <v>0</v>
      </c>
      <c r="T218" s="115">
        <v>0</v>
      </c>
      <c r="U218" s="115">
        <v>0</v>
      </c>
      <c r="V218" s="115">
        <v>0</v>
      </c>
      <c r="W218" s="115">
        <v>0</v>
      </c>
      <c r="X218" s="115">
        <v>0</v>
      </c>
      <c r="Y218" s="115">
        <v>0</v>
      </c>
      <c r="Z218" s="115">
        <v>0</v>
      </c>
      <c r="AA218" s="115">
        <v>0</v>
      </c>
      <c r="AB218" s="115">
        <v>0</v>
      </c>
      <c r="AC218" s="115">
        <v>0</v>
      </c>
      <c r="AD218" s="115">
        <v>0</v>
      </c>
      <c r="AE218" s="115">
        <v>0</v>
      </c>
      <c r="AF218" s="115">
        <v>0</v>
      </c>
      <c r="AG218" s="115">
        <v>0</v>
      </c>
      <c r="AH218" s="115">
        <v>0</v>
      </c>
      <c r="AI218" s="115">
        <v>0</v>
      </c>
      <c r="AJ218" s="115">
        <v>0</v>
      </c>
      <c r="AK218" s="115">
        <v>0</v>
      </c>
      <c r="AL218" s="115">
        <v>0</v>
      </c>
      <c r="AM218" s="115">
        <v>0</v>
      </c>
      <c r="AN218" s="115">
        <v>0</v>
      </c>
      <c r="AO218" s="115">
        <v>0</v>
      </c>
      <c r="AP218" s="115">
        <v>0</v>
      </c>
      <c r="AQ218" s="115">
        <v>0</v>
      </c>
      <c r="AR218" s="115">
        <v>0</v>
      </c>
      <c r="AS218" s="115">
        <v>0</v>
      </c>
      <c r="AT218" s="115">
        <v>0</v>
      </c>
      <c r="AU218" s="115">
        <v>0</v>
      </c>
      <c r="AV218" s="115">
        <v>0</v>
      </c>
      <c r="AW218" s="115">
        <v>0</v>
      </c>
      <c r="AX218" s="115">
        <v>0</v>
      </c>
      <c r="AY218" s="115">
        <v>0</v>
      </c>
    </row>
    <row r="219" spans="1:51" x14ac:dyDescent="0.2">
      <c r="A219" s="114"/>
      <c r="B219" s="124">
        <v>11</v>
      </c>
      <c r="C219" s="111">
        <v>0</v>
      </c>
      <c r="D219" s="115">
        <v>0</v>
      </c>
      <c r="E219" s="115">
        <v>0</v>
      </c>
      <c r="F219" s="115">
        <v>0</v>
      </c>
      <c r="G219" s="115">
        <v>0</v>
      </c>
      <c r="H219" s="115">
        <v>0</v>
      </c>
      <c r="I219" s="115">
        <v>0</v>
      </c>
      <c r="J219" s="115">
        <v>0</v>
      </c>
      <c r="K219" s="115">
        <v>0</v>
      </c>
      <c r="L219" s="115">
        <v>0</v>
      </c>
      <c r="M219" s="115">
        <v>0</v>
      </c>
      <c r="N219" s="115">
        <v>0</v>
      </c>
      <c r="O219" s="115">
        <v>0</v>
      </c>
      <c r="P219" s="115">
        <v>0</v>
      </c>
      <c r="Q219" s="115">
        <v>0</v>
      </c>
      <c r="R219" s="115">
        <v>0</v>
      </c>
      <c r="S219" s="115">
        <v>0</v>
      </c>
      <c r="T219" s="115">
        <v>0</v>
      </c>
      <c r="U219" s="115">
        <v>0</v>
      </c>
      <c r="V219" s="115">
        <v>0</v>
      </c>
      <c r="W219" s="115">
        <v>0</v>
      </c>
      <c r="X219" s="115">
        <v>0</v>
      </c>
      <c r="Y219" s="115">
        <v>0</v>
      </c>
      <c r="Z219" s="115">
        <v>0</v>
      </c>
      <c r="AA219" s="115">
        <v>0</v>
      </c>
      <c r="AB219" s="115">
        <v>0</v>
      </c>
      <c r="AC219" s="115">
        <v>0</v>
      </c>
      <c r="AD219" s="115">
        <v>0</v>
      </c>
      <c r="AE219" s="115">
        <v>0</v>
      </c>
      <c r="AF219" s="115">
        <v>0</v>
      </c>
      <c r="AG219" s="115">
        <v>0</v>
      </c>
      <c r="AH219" s="115">
        <v>0</v>
      </c>
      <c r="AI219" s="115">
        <v>0</v>
      </c>
      <c r="AJ219" s="115">
        <v>0</v>
      </c>
      <c r="AK219" s="115">
        <v>0</v>
      </c>
      <c r="AL219" s="115">
        <v>0</v>
      </c>
      <c r="AM219" s="115">
        <v>0</v>
      </c>
      <c r="AN219" s="115">
        <v>0</v>
      </c>
      <c r="AO219" s="115">
        <v>0</v>
      </c>
      <c r="AP219" s="115">
        <v>0</v>
      </c>
      <c r="AQ219" s="115">
        <v>0</v>
      </c>
      <c r="AR219" s="115">
        <v>0</v>
      </c>
      <c r="AS219" s="115">
        <v>0</v>
      </c>
      <c r="AT219" s="115">
        <v>0</v>
      </c>
      <c r="AU219" s="115">
        <v>0</v>
      </c>
      <c r="AV219" s="115">
        <v>0</v>
      </c>
      <c r="AW219" s="115">
        <v>0</v>
      </c>
      <c r="AX219" s="115">
        <v>0</v>
      </c>
      <c r="AY219" s="115">
        <v>0</v>
      </c>
    </row>
    <row r="220" spans="1:51" x14ac:dyDescent="0.2">
      <c r="A220" s="114"/>
      <c r="B220" s="124">
        <v>12</v>
      </c>
      <c r="C220" s="111">
        <v>0</v>
      </c>
      <c r="D220" s="115">
        <v>0</v>
      </c>
      <c r="E220" s="115">
        <v>0</v>
      </c>
      <c r="F220" s="115">
        <v>0</v>
      </c>
      <c r="G220" s="115">
        <v>0</v>
      </c>
      <c r="H220" s="115">
        <v>0</v>
      </c>
      <c r="I220" s="115">
        <v>0</v>
      </c>
      <c r="J220" s="115">
        <v>0</v>
      </c>
      <c r="K220" s="115">
        <v>0</v>
      </c>
      <c r="L220" s="115">
        <v>0</v>
      </c>
      <c r="M220" s="115">
        <v>0</v>
      </c>
      <c r="N220" s="115">
        <v>0</v>
      </c>
      <c r="O220" s="115">
        <v>0</v>
      </c>
      <c r="P220" s="115">
        <v>0</v>
      </c>
      <c r="Q220" s="115">
        <v>0</v>
      </c>
      <c r="R220" s="115">
        <v>0</v>
      </c>
      <c r="S220" s="115">
        <v>0</v>
      </c>
      <c r="T220" s="115">
        <v>0</v>
      </c>
      <c r="U220" s="115">
        <v>0</v>
      </c>
      <c r="V220" s="115">
        <v>0</v>
      </c>
      <c r="W220" s="115">
        <v>0</v>
      </c>
      <c r="X220" s="115">
        <v>0</v>
      </c>
      <c r="Y220" s="115">
        <v>0</v>
      </c>
      <c r="Z220" s="115">
        <v>0</v>
      </c>
      <c r="AA220" s="115">
        <v>0</v>
      </c>
      <c r="AB220" s="115">
        <v>0</v>
      </c>
      <c r="AC220" s="115">
        <v>0</v>
      </c>
      <c r="AD220" s="115">
        <v>0</v>
      </c>
      <c r="AE220" s="115">
        <v>0</v>
      </c>
      <c r="AF220" s="115">
        <v>0</v>
      </c>
      <c r="AG220" s="115">
        <v>0</v>
      </c>
      <c r="AH220" s="115">
        <v>0</v>
      </c>
      <c r="AI220" s="115">
        <v>0</v>
      </c>
      <c r="AJ220" s="115">
        <v>0</v>
      </c>
      <c r="AK220" s="115">
        <v>0</v>
      </c>
      <c r="AL220" s="115">
        <v>0</v>
      </c>
      <c r="AM220" s="115">
        <v>0</v>
      </c>
      <c r="AN220" s="115">
        <v>0</v>
      </c>
      <c r="AO220" s="115">
        <v>0</v>
      </c>
      <c r="AP220" s="115">
        <v>0</v>
      </c>
      <c r="AQ220" s="115">
        <v>0</v>
      </c>
      <c r="AR220" s="115">
        <v>0</v>
      </c>
      <c r="AS220" s="115">
        <v>0</v>
      </c>
      <c r="AT220" s="115">
        <v>0</v>
      </c>
      <c r="AU220" s="115">
        <v>0</v>
      </c>
      <c r="AV220" s="115">
        <v>0</v>
      </c>
      <c r="AW220" s="115">
        <v>0</v>
      </c>
      <c r="AX220" s="115">
        <v>0</v>
      </c>
      <c r="AY220" s="115">
        <v>0</v>
      </c>
    </row>
    <row r="221" spans="1:51" x14ac:dyDescent="0.2">
      <c r="A221" s="114"/>
      <c r="B221" s="125">
        <v>13</v>
      </c>
      <c r="C221" s="111">
        <v>0</v>
      </c>
      <c r="D221" s="115">
        <v>0</v>
      </c>
      <c r="E221" s="115">
        <v>0</v>
      </c>
      <c r="F221" s="115">
        <v>0</v>
      </c>
      <c r="G221" s="115">
        <v>0</v>
      </c>
      <c r="H221" s="115">
        <v>0</v>
      </c>
      <c r="I221" s="115">
        <v>0</v>
      </c>
      <c r="J221" s="115">
        <v>0</v>
      </c>
      <c r="K221" s="115">
        <v>0</v>
      </c>
      <c r="L221" s="115">
        <v>0</v>
      </c>
      <c r="M221" s="115">
        <v>0</v>
      </c>
      <c r="N221" s="115">
        <v>0</v>
      </c>
      <c r="O221" s="115">
        <v>0</v>
      </c>
      <c r="P221" s="115">
        <v>0</v>
      </c>
      <c r="Q221" s="115">
        <v>0</v>
      </c>
      <c r="R221" s="115">
        <v>0</v>
      </c>
      <c r="S221" s="115">
        <v>0</v>
      </c>
      <c r="T221" s="115">
        <v>0</v>
      </c>
      <c r="U221" s="115">
        <v>0</v>
      </c>
      <c r="V221" s="115">
        <v>0</v>
      </c>
      <c r="W221" s="115">
        <v>0</v>
      </c>
      <c r="X221" s="115">
        <v>0</v>
      </c>
      <c r="Y221" s="115">
        <v>0</v>
      </c>
      <c r="Z221" s="115">
        <v>0</v>
      </c>
      <c r="AA221" s="115">
        <v>0</v>
      </c>
      <c r="AB221" s="115">
        <v>0</v>
      </c>
      <c r="AC221" s="115">
        <v>0</v>
      </c>
      <c r="AD221" s="115">
        <v>0</v>
      </c>
      <c r="AE221" s="115">
        <v>0</v>
      </c>
      <c r="AF221" s="115">
        <v>0</v>
      </c>
      <c r="AG221" s="115">
        <v>0</v>
      </c>
      <c r="AH221" s="115">
        <v>0</v>
      </c>
      <c r="AI221" s="115">
        <v>0</v>
      </c>
      <c r="AJ221" s="115">
        <v>0</v>
      </c>
      <c r="AK221" s="115">
        <v>0</v>
      </c>
      <c r="AL221" s="115">
        <v>0</v>
      </c>
      <c r="AM221" s="115">
        <v>0</v>
      </c>
      <c r="AN221" s="115">
        <v>0</v>
      </c>
      <c r="AO221" s="115">
        <v>0</v>
      </c>
      <c r="AP221" s="115">
        <v>0</v>
      </c>
      <c r="AQ221" s="115">
        <v>0</v>
      </c>
      <c r="AR221" s="115">
        <v>0</v>
      </c>
      <c r="AS221" s="115">
        <v>0</v>
      </c>
      <c r="AT221" s="115">
        <v>0</v>
      </c>
      <c r="AU221" s="115">
        <v>0</v>
      </c>
      <c r="AV221" s="115">
        <v>0</v>
      </c>
      <c r="AW221" s="115">
        <v>0</v>
      </c>
      <c r="AX221" s="115">
        <v>0</v>
      </c>
      <c r="AY221" s="115">
        <v>0</v>
      </c>
    </row>
    <row r="222" spans="1:51" x14ac:dyDescent="0.2">
      <c r="A222" s="114"/>
      <c r="B222" s="125">
        <v>14</v>
      </c>
      <c r="C222" s="111">
        <v>0</v>
      </c>
      <c r="D222" s="115">
        <v>0</v>
      </c>
      <c r="E222" s="115">
        <v>0</v>
      </c>
      <c r="F222" s="115">
        <v>0</v>
      </c>
      <c r="G222" s="115">
        <v>0</v>
      </c>
      <c r="H222" s="115">
        <v>0</v>
      </c>
      <c r="I222" s="115">
        <v>0</v>
      </c>
      <c r="J222" s="115">
        <v>0</v>
      </c>
      <c r="K222" s="115">
        <v>0</v>
      </c>
      <c r="L222" s="115">
        <v>0</v>
      </c>
      <c r="M222" s="115">
        <v>0</v>
      </c>
      <c r="N222" s="115">
        <v>0</v>
      </c>
      <c r="O222" s="115">
        <v>0</v>
      </c>
      <c r="P222" s="115">
        <v>0</v>
      </c>
      <c r="Q222" s="115">
        <v>0</v>
      </c>
      <c r="R222" s="115">
        <v>0</v>
      </c>
      <c r="S222" s="115">
        <v>0</v>
      </c>
      <c r="T222" s="115">
        <v>0</v>
      </c>
      <c r="U222" s="115">
        <v>0</v>
      </c>
      <c r="V222" s="115">
        <v>0</v>
      </c>
      <c r="W222" s="115">
        <v>0</v>
      </c>
      <c r="X222" s="115">
        <v>0</v>
      </c>
      <c r="Y222" s="115">
        <v>0</v>
      </c>
      <c r="Z222" s="115">
        <v>0</v>
      </c>
      <c r="AA222" s="115">
        <v>0</v>
      </c>
      <c r="AB222" s="115">
        <v>0</v>
      </c>
      <c r="AC222" s="115">
        <v>0</v>
      </c>
      <c r="AD222" s="115">
        <v>0</v>
      </c>
      <c r="AE222" s="115">
        <v>0</v>
      </c>
      <c r="AF222" s="115">
        <v>0</v>
      </c>
      <c r="AG222" s="115">
        <v>0</v>
      </c>
      <c r="AH222" s="115">
        <v>0</v>
      </c>
      <c r="AI222" s="115">
        <v>0</v>
      </c>
      <c r="AJ222" s="115">
        <v>0</v>
      </c>
      <c r="AK222" s="115">
        <v>0</v>
      </c>
      <c r="AL222" s="115">
        <v>0</v>
      </c>
      <c r="AM222" s="115">
        <v>0</v>
      </c>
      <c r="AN222" s="115">
        <v>0</v>
      </c>
      <c r="AO222" s="115">
        <v>0</v>
      </c>
      <c r="AP222" s="115">
        <v>0</v>
      </c>
      <c r="AQ222" s="115">
        <v>0</v>
      </c>
      <c r="AR222" s="115">
        <v>0</v>
      </c>
      <c r="AS222" s="115">
        <v>0</v>
      </c>
      <c r="AT222" s="115">
        <v>0</v>
      </c>
      <c r="AU222" s="115">
        <v>0</v>
      </c>
      <c r="AV222" s="115">
        <v>0</v>
      </c>
      <c r="AW222" s="115">
        <v>0</v>
      </c>
      <c r="AX222" s="115">
        <v>0</v>
      </c>
      <c r="AY222" s="115">
        <v>0</v>
      </c>
    </row>
    <row r="223" spans="1:51" x14ac:dyDescent="0.2">
      <c r="A223" s="114"/>
      <c r="B223" s="125">
        <v>15</v>
      </c>
      <c r="C223" s="111">
        <v>0</v>
      </c>
      <c r="D223" s="115">
        <v>0</v>
      </c>
      <c r="E223" s="115">
        <v>0</v>
      </c>
      <c r="F223" s="115">
        <v>0</v>
      </c>
      <c r="G223" s="115">
        <v>0</v>
      </c>
      <c r="H223" s="115">
        <v>0</v>
      </c>
      <c r="I223" s="115">
        <v>0</v>
      </c>
      <c r="J223" s="115">
        <v>0</v>
      </c>
      <c r="K223" s="115">
        <v>0</v>
      </c>
      <c r="L223" s="115">
        <v>0</v>
      </c>
      <c r="M223" s="115">
        <v>0</v>
      </c>
      <c r="N223" s="115">
        <v>0</v>
      </c>
      <c r="O223" s="115">
        <v>0</v>
      </c>
      <c r="P223" s="115">
        <v>0</v>
      </c>
      <c r="Q223" s="115">
        <v>0</v>
      </c>
      <c r="R223" s="115">
        <v>0</v>
      </c>
      <c r="S223" s="115">
        <v>0</v>
      </c>
      <c r="T223" s="115">
        <v>0</v>
      </c>
      <c r="U223" s="115">
        <v>0</v>
      </c>
      <c r="V223" s="115">
        <v>0</v>
      </c>
      <c r="W223" s="115">
        <v>0</v>
      </c>
      <c r="X223" s="115">
        <v>0</v>
      </c>
      <c r="Y223" s="115">
        <v>0</v>
      </c>
      <c r="Z223" s="115">
        <v>0</v>
      </c>
      <c r="AA223" s="115">
        <v>0</v>
      </c>
      <c r="AB223" s="115">
        <v>0</v>
      </c>
      <c r="AC223" s="115">
        <v>0</v>
      </c>
      <c r="AD223" s="115">
        <v>0</v>
      </c>
      <c r="AE223" s="115">
        <v>0</v>
      </c>
      <c r="AF223" s="115">
        <v>0</v>
      </c>
      <c r="AG223" s="115">
        <v>0</v>
      </c>
      <c r="AH223" s="115">
        <v>0</v>
      </c>
      <c r="AI223" s="115">
        <v>0</v>
      </c>
      <c r="AJ223" s="115">
        <v>0</v>
      </c>
      <c r="AK223" s="115">
        <v>0</v>
      </c>
      <c r="AL223" s="115">
        <v>0</v>
      </c>
      <c r="AM223" s="115">
        <v>0</v>
      </c>
      <c r="AN223" s="115">
        <v>0</v>
      </c>
      <c r="AO223" s="115">
        <v>0</v>
      </c>
      <c r="AP223" s="115">
        <v>0</v>
      </c>
      <c r="AQ223" s="115">
        <v>0</v>
      </c>
      <c r="AR223" s="115">
        <v>0</v>
      </c>
      <c r="AS223" s="115">
        <v>0</v>
      </c>
      <c r="AT223" s="115">
        <v>0</v>
      </c>
      <c r="AU223" s="115">
        <v>0</v>
      </c>
      <c r="AV223" s="115">
        <v>0</v>
      </c>
      <c r="AW223" s="115">
        <v>0</v>
      </c>
      <c r="AX223" s="115">
        <v>0</v>
      </c>
      <c r="AY223" s="115">
        <v>0</v>
      </c>
    </row>
    <row r="224" spans="1:51" x14ac:dyDescent="0.2">
      <c r="A224" s="114"/>
      <c r="B224" s="125">
        <v>16</v>
      </c>
      <c r="C224" s="111">
        <v>0</v>
      </c>
      <c r="D224" s="115">
        <v>0</v>
      </c>
      <c r="E224" s="115">
        <v>0</v>
      </c>
      <c r="F224" s="115">
        <v>0</v>
      </c>
      <c r="G224" s="115">
        <v>0</v>
      </c>
      <c r="H224" s="115">
        <v>0</v>
      </c>
      <c r="I224" s="115">
        <v>0</v>
      </c>
      <c r="J224" s="115">
        <v>0</v>
      </c>
      <c r="K224" s="115">
        <v>0</v>
      </c>
      <c r="L224" s="115">
        <v>0</v>
      </c>
      <c r="M224" s="115">
        <v>0</v>
      </c>
      <c r="N224" s="115">
        <v>0</v>
      </c>
      <c r="O224" s="115">
        <v>0</v>
      </c>
      <c r="P224" s="115">
        <v>0</v>
      </c>
      <c r="Q224" s="115">
        <v>0</v>
      </c>
      <c r="R224" s="115">
        <v>0</v>
      </c>
      <c r="S224" s="115">
        <v>0</v>
      </c>
      <c r="T224" s="115">
        <v>0</v>
      </c>
      <c r="U224" s="115">
        <v>0</v>
      </c>
      <c r="V224" s="115">
        <v>0</v>
      </c>
      <c r="W224" s="115">
        <v>0</v>
      </c>
      <c r="X224" s="115">
        <v>0</v>
      </c>
      <c r="Y224" s="115">
        <v>0</v>
      </c>
      <c r="Z224" s="115">
        <v>0</v>
      </c>
      <c r="AA224" s="115">
        <v>0</v>
      </c>
      <c r="AB224" s="115">
        <v>0</v>
      </c>
      <c r="AC224" s="115">
        <v>0</v>
      </c>
      <c r="AD224" s="115">
        <v>0</v>
      </c>
      <c r="AE224" s="115">
        <v>0</v>
      </c>
      <c r="AF224" s="115">
        <v>0</v>
      </c>
      <c r="AG224" s="115">
        <v>0</v>
      </c>
      <c r="AH224" s="115">
        <v>0</v>
      </c>
      <c r="AI224" s="115">
        <v>0</v>
      </c>
      <c r="AJ224" s="115">
        <v>0</v>
      </c>
      <c r="AK224" s="115">
        <v>0</v>
      </c>
      <c r="AL224" s="115">
        <v>0</v>
      </c>
      <c r="AM224" s="115">
        <v>0</v>
      </c>
      <c r="AN224" s="115">
        <v>0</v>
      </c>
      <c r="AO224" s="115">
        <v>0</v>
      </c>
      <c r="AP224" s="115">
        <v>0</v>
      </c>
      <c r="AQ224" s="115">
        <v>0</v>
      </c>
      <c r="AR224" s="115">
        <v>0</v>
      </c>
      <c r="AS224" s="115">
        <v>0</v>
      </c>
      <c r="AT224" s="115">
        <v>0</v>
      </c>
      <c r="AU224" s="115">
        <v>0</v>
      </c>
      <c r="AV224" s="115">
        <v>0</v>
      </c>
      <c r="AW224" s="115">
        <v>0</v>
      </c>
      <c r="AX224" s="115">
        <v>0</v>
      </c>
      <c r="AY224" s="115">
        <v>0</v>
      </c>
    </row>
    <row r="225" spans="1:51" x14ac:dyDescent="0.2">
      <c r="A225" s="114"/>
      <c r="B225" s="125">
        <v>17</v>
      </c>
      <c r="C225" s="111">
        <v>0</v>
      </c>
      <c r="D225" s="115">
        <v>0</v>
      </c>
      <c r="E225" s="115">
        <v>0</v>
      </c>
      <c r="F225" s="115">
        <v>0</v>
      </c>
      <c r="G225" s="115">
        <v>0</v>
      </c>
      <c r="H225" s="115">
        <v>0</v>
      </c>
      <c r="I225" s="115">
        <v>0</v>
      </c>
      <c r="J225" s="115">
        <v>0</v>
      </c>
      <c r="K225" s="115">
        <v>0</v>
      </c>
      <c r="L225" s="115">
        <v>0</v>
      </c>
      <c r="M225" s="115">
        <v>0</v>
      </c>
      <c r="N225" s="115">
        <v>0</v>
      </c>
      <c r="O225" s="115">
        <v>0</v>
      </c>
      <c r="P225" s="115">
        <v>0</v>
      </c>
      <c r="Q225" s="115">
        <v>0</v>
      </c>
      <c r="R225" s="115">
        <v>0</v>
      </c>
      <c r="S225" s="115">
        <v>0</v>
      </c>
      <c r="T225" s="115">
        <v>0</v>
      </c>
      <c r="U225" s="115">
        <v>0</v>
      </c>
      <c r="V225" s="115">
        <v>0</v>
      </c>
      <c r="W225" s="115">
        <v>0</v>
      </c>
      <c r="X225" s="115">
        <v>0</v>
      </c>
      <c r="Y225" s="115">
        <v>0</v>
      </c>
      <c r="Z225" s="115">
        <v>0</v>
      </c>
      <c r="AA225" s="115">
        <v>0</v>
      </c>
      <c r="AB225" s="115">
        <v>0</v>
      </c>
      <c r="AC225" s="115">
        <v>0</v>
      </c>
      <c r="AD225" s="115">
        <v>0</v>
      </c>
      <c r="AE225" s="115">
        <v>0</v>
      </c>
      <c r="AF225" s="115">
        <v>0</v>
      </c>
      <c r="AG225" s="115">
        <v>0</v>
      </c>
      <c r="AH225" s="115">
        <v>0</v>
      </c>
      <c r="AI225" s="115">
        <v>0</v>
      </c>
      <c r="AJ225" s="115">
        <v>0</v>
      </c>
      <c r="AK225" s="115">
        <v>0</v>
      </c>
      <c r="AL225" s="115">
        <v>0</v>
      </c>
      <c r="AM225" s="115">
        <v>0</v>
      </c>
      <c r="AN225" s="115">
        <v>0</v>
      </c>
      <c r="AO225" s="115">
        <v>0</v>
      </c>
      <c r="AP225" s="115">
        <v>0</v>
      </c>
      <c r="AQ225" s="115">
        <v>0</v>
      </c>
      <c r="AR225" s="115">
        <v>0</v>
      </c>
      <c r="AS225" s="115">
        <v>0</v>
      </c>
      <c r="AT225" s="115">
        <v>0</v>
      </c>
      <c r="AU225" s="115">
        <v>0</v>
      </c>
      <c r="AV225" s="115">
        <v>0</v>
      </c>
      <c r="AW225" s="115">
        <v>0</v>
      </c>
      <c r="AX225" s="115">
        <v>0</v>
      </c>
      <c r="AY225" s="115">
        <v>0</v>
      </c>
    </row>
    <row r="226" spans="1:51" x14ac:dyDescent="0.2">
      <c r="A226" s="114"/>
      <c r="B226" s="125">
        <v>18</v>
      </c>
      <c r="C226" s="111">
        <v>0</v>
      </c>
      <c r="D226" s="115">
        <v>0</v>
      </c>
      <c r="E226" s="115">
        <v>0</v>
      </c>
      <c r="F226" s="115">
        <v>0</v>
      </c>
      <c r="G226" s="115">
        <v>0</v>
      </c>
      <c r="H226" s="115">
        <v>0</v>
      </c>
      <c r="I226" s="115">
        <v>0</v>
      </c>
      <c r="J226" s="115">
        <v>0</v>
      </c>
      <c r="K226" s="115">
        <v>0</v>
      </c>
      <c r="L226" s="115">
        <v>0</v>
      </c>
      <c r="M226" s="115">
        <v>0</v>
      </c>
      <c r="N226" s="115">
        <v>0</v>
      </c>
      <c r="O226" s="115">
        <v>0</v>
      </c>
      <c r="P226" s="115">
        <v>0</v>
      </c>
      <c r="Q226" s="115">
        <v>0</v>
      </c>
      <c r="R226" s="115">
        <v>0</v>
      </c>
      <c r="S226" s="115">
        <v>0</v>
      </c>
      <c r="T226" s="115">
        <v>0</v>
      </c>
      <c r="U226" s="115">
        <v>0</v>
      </c>
      <c r="V226" s="115">
        <v>0</v>
      </c>
      <c r="W226" s="115">
        <v>0</v>
      </c>
      <c r="X226" s="115">
        <v>0</v>
      </c>
      <c r="Y226" s="115">
        <v>0</v>
      </c>
      <c r="Z226" s="115">
        <v>0</v>
      </c>
      <c r="AA226" s="115">
        <v>0</v>
      </c>
      <c r="AB226" s="115">
        <v>0</v>
      </c>
      <c r="AC226" s="115">
        <v>0</v>
      </c>
      <c r="AD226" s="115">
        <v>0</v>
      </c>
      <c r="AE226" s="115">
        <v>0</v>
      </c>
      <c r="AF226" s="115">
        <v>0</v>
      </c>
      <c r="AG226" s="115">
        <v>0</v>
      </c>
      <c r="AH226" s="115">
        <v>0</v>
      </c>
      <c r="AI226" s="115">
        <v>0</v>
      </c>
      <c r="AJ226" s="115">
        <v>0</v>
      </c>
      <c r="AK226" s="115">
        <v>0</v>
      </c>
      <c r="AL226" s="115">
        <v>0</v>
      </c>
      <c r="AM226" s="115">
        <v>0</v>
      </c>
      <c r="AN226" s="115">
        <v>0</v>
      </c>
      <c r="AO226" s="115">
        <v>0</v>
      </c>
      <c r="AP226" s="115">
        <v>0</v>
      </c>
      <c r="AQ226" s="115">
        <v>0</v>
      </c>
      <c r="AR226" s="115">
        <v>0</v>
      </c>
      <c r="AS226" s="115">
        <v>0</v>
      </c>
      <c r="AT226" s="115">
        <v>0</v>
      </c>
      <c r="AU226" s="115">
        <v>0</v>
      </c>
      <c r="AV226" s="115">
        <v>0</v>
      </c>
      <c r="AW226" s="115">
        <v>0</v>
      </c>
      <c r="AX226" s="115">
        <v>0</v>
      </c>
      <c r="AY226" s="115">
        <v>0</v>
      </c>
    </row>
    <row r="227" spans="1:51" x14ac:dyDescent="0.2">
      <c r="A227" s="114"/>
      <c r="B227" s="125">
        <v>19</v>
      </c>
      <c r="C227" s="111">
        <v>0</v>
      </c>
      <c r="D227" s="115">
        <v>0</v>
      </c>
      <c r="E227" s="115">
        <v>0</v>
      </c>
      <c r="F227" s="115">
        <v>0</v>
      </c>
      <c r="G227" s="115">
        <v>0</v>
      </c>
      <c r="H227" s="115">
        <v>0</v>
      </c>
      <c r="I227" s="115">
        <v>0</v>
      </c>
      <c r="J227" s="115">
        <v>0</v>
      </c>
      <c r="K227" s="115">
        <v>0</v>
      </c>
      <c r="L227" s="115">
        <v>0</v>
      </c>
      <c r="M227" s="115">
        <v>0</v>
      </c>
      <c r="N227" s="115">
        <v>0</v>
      </c>
      <c r="O227" s="115">
        <v>0</v>
      </c>
      <c r="P227" s="115">
        <v>0</v>
      </c>
      <c r="Q227" s="115">
        <v>0</v>
      </c>
      <c r="R227" s="115">
        <v>0</v>
      </c>
      <c r="S227" s="115">
        <v>0</v>
      </c>
      <c r="T227" s="115">
        <v>0</v>
      </c>
      <c r="U227" s="115">
        <v>0</v>
      </c>
      <c r="V227" s="115">
        <v>0</v>
      </c>
      <c r="W227" s="115">
        <v>0</v>
      </c>
      <c r="X227" s="115">
        <v>0</v>
      </c>
      <c r="Y227" s="115">
        <v>0</v>
      </c>
      <c r="Z227" s="115">
        <v>0</v>
      </c>
      <c r="AA227" s="115">
        <v>0</v>
      </c>
      <c r="AB227" s="115">
        <v>0</v>
      </c>
      <c r="AC227" s="115">
        <v>0</v>
      </c>
      <c r="AD227" s="115">
        <v>0</v>
      </c>
      <c r="AE227" s="115">
        <v>0</v>
      </c>
      <c r="AF227" s="115">
        <v>0</v>
      </c>
      <c r="AG227" s="115">
        <v>0</v>
      </c>
      <c r="AH227" s="115">
        <v>0</v>
      </c>
      <c r="AI227" s="115">
        <v>0</v>
      </c>
      <c r="AJ227" s="115">
        <v>0</v>
      </c>
      <c r="AK227" s="115">
        <v>0</v>
      </c>
      <c r="AL227" s="115">
        <v>0</v>
      </c>
      <c r="AM227" s="115">
        <v>0</v>
      </c>
      <c r="AN227" s="115">
        <v>0</v>
      </c>
      <c r="AO227" s="115">
        <v>0</v>
      </c>
      <c r="AP227" s="115">
        <v>0</v>
      </c>
      <c r="AQ227" s="115">
        <v>0</v>
      </c>
      <c r="AR227" s="115">
        <v>0</v>
      </c>
      <c r="AS227" s="115">
        <v>0</v>
      </c>
      <c r="AT227" s="115">
        <v>0</v>
      </c>
      <c r="AU227" s="115">
        <v>0</v>
      </c>
      <c r="AV227" s="115">
        <v>0</v>
      </c>
      <c r="AW227" s="115">
        <v>0</v>
      </c>
      <c r="AX227" s="115">
        <v>0</v>
      </c>
      <c r="AY227" s="115">
        <v>0</v>
      </c>
    </row>
    <row r="228" spans="1:51" x14ac:dyDescent="0.2">
      <c r="A228" s="114"/>
      <c r="B228" s="125">
        <v>20</v>
      </c>
      <c r="C228" s="111">
        <v>0</v>
      </c>
      <c r="D228" s="115">
        <v>0</v>
      </c>
      <c r="E228" s="115">
        <v>0</v>
      </c>
      <c r="F228" s="115">
        <v>0</v>
      </c>
      <c r="G228" s="115">
        <v>0</v>
      </c>
      <c r="H228" s="115">
        <v>0</v>
      </c>
      <c r="I228" s="115">
        <v>0</v>
      </c>
      <c r="J228" s="115">
        <v>0</v>
      </c>
      <c r="K228" s="115">
        <v>0</v>
      </c>
      <c r="L228" s="115">
        <v>0</v>
      </c>
      <c r="M228" s="115">
        <v>0</v>
      </c>
      <c r="N228" s="115">
        <v>0</v>
      </c>
      <c r="O228" s="115">
        <v>0</v>
      </c>
      <c r="P228" s="115">
        <v>0</v>
      </c>
      <c r="Q228" s="115">
        <v>0</v>
      </c>
      <c r="R228" s="115">
        <v>0</v>
      </c>
      <c r="S228" s="115">
        <v>0</v>
      </c>
      <c r="T228" s="115">
        <v>0</v>
      </c>
      <c r="U228" s="115">
        <v>0</v>
      </c>
      <c r="V228" s="115">
        <v>0</v>
      </c>
      <c r="W228" s="115">
        <v>0</v>
      </c>
      <c r="X228" s="115">
        <v>0</v>
      </c>
      <c r="Y228" s="115">
        <v>0</v>
      </c>
      <c r="Z228" s="115">
        <v>0</v>
      </c>
      <c r="AA228" s="115">
        <v>0</v>
      </c>
      <c r="AB228" s="115">
        <v>0</v>
      </c>
      <c r="AC228" s="115">
        <v>0</v>
      </c>
      <c r="AD228" s="115">
        <v>0</v>
      </c>
      <c r="AE228" s="115">
        <v>0</v>
      </c>
      <c r="AF228" s="115">
        <v>0</v>
      </c>
      <c r="AG228" s="115">
        <v>0</v>
      </c>
      <c r="AH228" s="115">
        <v>0</v>
      </c>
      <c r="AI228" s="115">
        <v>0</v>
      </c>
      <c r="AJ228" s="115">
        <v>0</v>
      </c>
      <c r="AK228" s="115">
        <v>0</v>
      </c>
      <c r="AL228" s="115">
        <v>0</v>
      </c>
      <c r="AM228" s="115">
        <v>0</v>
      </c>
      <c r="AN228" s="115">
        <v>0</v>
      </c>
      <c r="AO228" s="115">
        <v>0</v>
      </c>
      <c r="AP228" s="115">
        <v>0</v>
      </c>
      <c r="AQ228" s="115">
        <v>0</v>
      </c>
      <c r="AR228" s="115">
        <v>0</v>
      </c>
      <c r="AS228" s="115">
        <v>0</v>
      </c>
      <c r="AT228" s="115">
        <v>0</v>
      </c>
      <c r="AU228" s="115">
        <v>0</v>
      </c>
      <c r="AV228" s="115">
        <v>0</v>
      </c>
      <c r="AW228" s="115">
        <v>0</v>
      </c>
      <c r="AX228" s="115">
        <v>0</v>
      </c>
      <c r="AY228" s="115">
        <v>0</v>
      </c>
    </row>
    <row r="229" spans="1:51" x14ac:dyDescent="0.2">
      <c r="A229" s="114"/>
      <c r="B229" s="125">
        <v>21</v>
      </c>
      <c r="C229" s="111">
        <v>0</v>
      </c>
      <c r="D229" s="115">
        <v>0</v>
      </c>
      <c r="E229" s="115">
        <v>0</v>
      </c>
      <c r="F229" s="115">
        <v>0</v>
      </c>
      <c r="G229" s="115">
        <v>0</v>
      </c>
      <c r="H229" s="115">
        <v>0</v>
      </c>
      <c r="I229" s="115">
        <v>0</v>
      </c>
      <c r="J229" s="115">
        <v>0</v>
      </c>
      <c r="K229" s="115">
        <v>0</v>
      </c>
      <c r="L229" s="115">
        <v>0</v>
      </c>
      <c r="M229" s="115">
        <v>0</v>
      </c>
      <c r="N229" s="115">
        <v>0</v>
      </c>
      <c r="O229" s="115">
        <v>0</v>
      </c>
      <c r="P229" s="115">
        <v>0</v>
      </c>
      <c r="Q229" s="115">
        <v>0</v>
      </c>
      <c r="R229" s="115">
        <v>0</v>
      </c>
      <c r="S229" s="115">
        <v>0</v>
      </c>
      <c r="T229" s="115">
        <v>0</v>
      </c>
      <c r="U229" s="115">
        <v>0</v>
      </c>
      <c r="V229" s="115">
        <v>0</v>
      </c>
      <c r="W229" s="115">
        <v>0</v>
      </c>
      <c r="X229" s="115">
        <v>0</v>
      </c>
      <c r="Y229" s="115">
        <v>0</v>
      </c>
      <c r="Z229" s="115">
        <v>0</v>
      </c>
      <c r="AA229" s="115">
        <v>0</v>
      </c>
      <c r="AB229" s="115">
        <v>0</v>
      </c>
      <c r="AC229" s="115">
        <v>0</v>
      </c>
      <c r="AD229" s="115">
        <v>0</v>
      </c>
      <c r="AE229" s="115">
        <v>0</v>
      </c>
      <c r="AF229" s="115">
        <v>0</v>
      </c>
      <c r="AG229" s="115">
        <v>0</v>
      </c>
      <c r="AH229" s="115">
        <v>0</v>
      </c>
      <c r="AI229" s="115">
        <v>0</v>
      </c>
      <c r="AJ229" s="115">
        <v>0</v>
      </c>
      <c r="AK229" s="115">
        <v>0</v>
      </c>
      <c r="AL229" s="115">
        <v>0</v>
      </c>
      <c r="AM229" s="115">
        <v>0</v>
      </c>
      <c r="AN229" s="115">
        <v>0</v>
      </c>
      <c r="AO229" s="115">
        <v>0</v>
      </c>
      <c r="AP229" s="115">
        <v>0</v>
      </c>
      <c r="AQ229" s="115">
        <v>0</v>
      </c>
      <c r="AR229" s="115">
        <v>0</v>
      </c>
      <c r="AS229" s="115">
        <v>0</v>
      </c>
      <c r="AT229" s="115">
        <v>0</v>
      </c>
      <c r="AU229" s="115">
        <v>0</v>
      </c>
      <c r="AV229" s="115">
        <v>0</v>
      </c>
      <c r="AW229" s="115">
        <v>0</v>
      </c>
      <c r="AX229" s="115">
        <v>0</v>
      </c>
      <c r="AY229" s="115">
        <v>0</v>
      </c>
    </row>
    <row r="230" spans="1:51" x14ac:dyDescent="0.2">
      <c r="A230" s="114"/>
      <c r="B230" s="125">
        <v>22</v>
      </c>
      <c r="C230" s="111">
        <v>0</v>
      </c>
      <c r="D230" s="115">
        <v>0</v>
      </c>
      <c r="E230" s="115">
        <v>0</v>
      </c>
      <c r="F230" s="115">
        <v>0</v>
      </c>
      <c r="G230" s="115">
        <v>0</v>
      </c>
      <c r="H230" s="115">
        <v>0</v>
      </c>
      <c r="I230" s="115">
        <v>0</v>
      </c>
      <c r="J230" s="115">
        <v>0</v>
      </c>
      <c r="K230" s="115">
        <v>0</v>
      </c>
      <c r="L230" s="115">
        <v>0</v>
      </c>
      <c r="M230" s="115">
        <v>0</v>
      </c>
      <c r="N230" s="115">
        <v>0</v>
      </c>
      <c r="O230" s="115">
        <v>0</v>
      </c>
      <c r="P230" s="115">
        <v>0</v>
      </c>
      <c r="Q230" s="115">
        <v>0</v>
      </c>
      <c r="R230" s="115">
        <v>0</v>
      </c>
      <c r="S230" s="115">
        <v>0</v>
      </c>
      <c r="T230" s="115">
        <v>0</v>
      </c>
      <c r="U230" s="115">
        <v>0</v>
      </c>
      <c r="V230" s="115">
        <v>0</v>
      </c>
      <c r="W230" s="115">
        <v>0</v>
      </c>
      <c r="X230" s="115">
        <v>0</v>
      </c>
      <c r="Y230" s="115">
        <v>0</v>
      </c>
      <c r="Z230" s="115">
        <v>0</v>
      </c>
      <c r="AA230" s="115">
        <v>0</v>
      </c>
      <c r="AB230" s="115">
        <v>0</v>
      </c>
      <c r="AC230" s="115">
        <v>0</v>
      </c>
      <c r="AD230" s="115">
        <v>0</v>
      </c>
      <c r="AE230" s="115">
        <v>0</v>
      </c>
      <c r="AF230" s="115">
        <v>0</v>
      </c>
      <c r="AG230" s="115">
        <v>0</v>
      </c>
      <c r="AH230" s="115">
        <v>0</v>
      </c>
      <c r="AI230" s="115">
        <v>0</v>
      </c>
      <c r="AJ230" s="115">
        <v>0</v>
      </c>
      <c r="AK230" s="115">
        <v>0</v>
      </c>
      <c r="AL230" s="115">
        <v>0</v>
      </c>
      <c r="AM230" s="115">
        <v>0</v>
      </c>
      <c r="AN230" s="115">
        <v>0</v>
      </c>
      <c r="AO230" s="115">
        <v>0</v>
      </c>
      <c r="AP230" s="115">
        <v>0</v>
      </c>
      <c r="AQ230" s="115">
        <v>0</v>
      </c>
      <c r="AR230" s="115">
        <v>0</v>
      </c>
      <c r="AS230" s="115">
        <v>0</v>
      </c>
      <c r="AT230" s="115">
        <v>0</v>
      </c>
      <c r="AU230" s="115">
        <v>0</v>
      </c>
      <c r="AV230" s="115">
        <v>0</v>
      </c>
      <c r="AW230" s="115">
        <v>0</v>
      </c>
      <c r="AX230" s="115">
        <v>0</v>
      </c>
      <c r="AY230" s="115">
        <v>0</v>
      </c>
    </row>
    <row r="231" spans="1:51" x14ac:dyDescent="0.2">
      <c r="A231" s="114"/>
      <c r="B231" s="125">
        <v>23</v>
      </c>
      <c r="C231" s="111">
        <v>0</v>
      </c>
      <c r="D231" s="115">
        <v>0</v>
      </c>
      <c r="E231" s="115">
        <v>0</v>
      </c>
      <c r="F231" s="115">
        <v>0</v>
      </c>
      <c r="G231" s="115">
        <v>0</v>
      </c>
      <c r="H231" s="115">
        <v>0</v>
      </c>
      <c r="I231" s="115">
        <v>0</v>
      </c>
      <c r="J231" s="115">
        <v>0</v>
      </c>
      <c r="K231" s="115">
        <v>0</v>
      </c>
      <c r="L231" s="115">
        <v>0</v>
      </c>
      <c r="M231" s="115">
        <v>0</v>
      </c>
      <c r="N231" s="115">
        <v>0</v>
      </c>
      <c r="O231" s="115">
        <v>0</v>
      </c>
      <c r="P231" s="115">
        <v>0</v>
      </c>
      <c r="Q231" s="115">
        <v>0</v>
      </c>
      <c r="R231" s="115">
        <v>0</v>
      </c>
      <c r="S231" s="115">
        <v>0</v>
      </c>
      <c r="T231" s="115">
        <v>0</v>
      </c>
      <c r="U231" s="115">
        <v>0</v>
      </c>
      <c r="V231" s="115">
        <v>0</v>
      </c>
      <c r="W231" s="115">
        <v>0</v>
      </c>
      <c r="X231" s="115">
        <v>0</v>
      </c>
      <c r="Y231" s="115">
        <v>0</v>
      </c>
      <c r="Z231" s="115">
        <v>0</v>
      </c>
      <c r="AA231" s="115">
        <v>0</v>
      </c>
      <c r="AB231" s="115">
        <v>0</v>
      </c>
      <c r="AC231" s="115">
        <v>0</v>
      </c>
      <c r="AD231" s="115">
        <v>0</v>
      </c>
      <c r="AE231" s="115">
        <v>0</v>
      </c>
      <c r="AF231" s="115">
        <v>0</v>
      </c>
      <c r="AG231" s="115">
        <v>0</v>
      </c>
      <c r="AH231" s="115">
        <v>0</v>
      </c>
      <c r="AI231" s="115">
        <v>0</v>
      </c>
      <c r="AJ231" s="115">
        <v>0</v>
      </c>
      <c r="AK231" s="115">
        <v>0</v>
      </c>
      <c r="AL231" s="115">
        <v>0</v>
      </c>
      <c r="AM231" s="115">
        <v>0</v>
      </c>
      <c r="AN231" s="115">
        <v>0</v>
      </c>
      <c r="AO231" s="115">
        <v>0</v>
      </c>
      <c r="AP231" s="115">
        <v>0</v>
      </c>
      <c r="AQ231" s="115">
        <v>0</v>
      </c>
      <c r="AR231" s="115">
        <v>0</v>
      </c>
      <c r="AS231" s="115">
        <v>0</v>
      </c>
      <c r="AT231" s="115">
        <v>0</v>
      </c>
      <c r="AU231" s="115">
        <v>0</v>
      </c>
      <c r="AV231" s="115">
        <v>0</v>
      </c>
      <c r="AW231" s="115">
        <v>0</v>
      </c>
      <c r="AX231" s="115">
        <v>0</v>
      </c>
      <c r="AY231" s="115">
        <v>0</v>
      </c>
    </row>
    <row r="232" spans="1:51" x14ac:dyDescent="0.2">
      <c r="A232" s="114"/>
      <c r="B232" s="125">
        <v>24</v>
      </c>
      <c r="C232" s="111">
        <v>0</v>
      </c>
      <c r="D232" s="115">
        <v>0</v>
      </c>
      <c r="E232" s="115">
        <v>0</v>
      </c>
      <c r="F232" s="115">
        <v>0</v>
      </c>
      <c r="G232" s="115">
        <v>0</v>
      </c>
      <c r="H232" s="115">
        <v>0</v>
      </c>
      <c r="I232" s="115">
        <v>0</v>
      </c>
      <c r="J232" s="115">
        <v>0</v>
      </c>
      <c r="K232" s="115">
        <v>0</v>
      </c>
      <c r="L232" s="115">
        <v>0</v>
      </c>
      <c r="M232" s="115">
        <v>0</v>
      </c>
      <c r="N232" s="115">
        <v>0</v>
      </c>
      <c r="O232" s="115">
        <v>0</v>
      </c>
      <c r="P232" s="115">
        <v>0</v>
      </c>
      <c r="Q232" s="115">
        <v>0</v>
      </c>
      <c r="R232" s="115">
        <v>0</v>
      </c>
      <c r="S232" s="115">
        <v>0</v>
      </c>
      <c r="T232" s="115">
        <v>0</v>
      </c>
      <c r="U232" s="115">
        <v>0</v>
      </c>
      <c r="V232" s="115">
        <v>0</v>
      </c>
      <c r="W232" s="115">
        <v>0</v>
      </c>
      <c r="X232" s="115">
        <v>0</v>
      </c>
      <c r="Y232" s="115">
        <v>0</v>
      </c>
      <c r="Z232" s="115">
        <v>0</v>
      </c>
      <c r="AA232" s="115">
        <v>0</v>
      </c>
      <c r="AB232" s="115">
        <v>0</v>
      </c>
      <c r="AC232" s="115">
        <v>0</v>
      </c>
      <c r="AD232" s="115">
        <v>0</v>
      </c>
      <c r="AE232" s="115">
        <v>0</v>
      </c>
      <c r="AF232" s="115">
        <v>0</v>
      </c>
      <c r="AG232" s="115">
        <v>0</v>
      </c>
      <c r="AH232" s="115">
        <v>0</v>
      </c>
      <c r="AI232" s="115">
        <v>0</v>
      </c>
      <c r="AJ232" s="115">
        <v>0</v>
      </c>
      <c r="AK232" s="115">
        <v>0</v>
      </c>
      <c r="AL232" s="115">
        <v>0</v>
      </c>
      <c r="AM232" s="115">
        <v>0</v>
      </c>
      <c r="AN232" s="115">
        <v>0</v>
      </c>
      <c r="AO232" s="115">
        <v>0</v>
      </c>
      <c r="AP232" s="115">
        <v>0</v>
      </c>
      <c r="AQ232" s="115">
        <v>0</v>
      </c>
      <c r="AR232" s="115">
        <v>0</v>
      </c>
      <c r="AS232" s="115">
        <v>0</v>
      </c>
      <c r="AT232" s="115">
        <v>0</v>
      </c>
      <c r="AU232" s="115">
        <v>0</v>
      </c>
      <c r="AV232" s="115">
        <v>0</v>
      </c>
      <c r="AW232" s="115">
        <v>0</v>
      </c>
      <c r="AX232" s="115">
        <v>0</v>
      </c>
      <c r="AY232" s="115">
        <v>0</v>
      </c>
    </row>
    <row r="233" spans="1:51" x14ac:dyDescent="0.2">
      <c r="A233" s="114"/>
      <c r="B233" s="132">
        <v>25</v>
      </c>
      <c r="C233" s="111">
        <v>0</v>
      </c>
      <c r="D233" s="115">
        <v>0</v>
      </c>
      <c r="E233" s="115">
        <v>0</v>
      </c>
      <c r="F233" s="115">
        <v>0</v>
      </c>
      <c r="G233" s="115">
        <v>0</v>
      </c>
      <c r="H233" s="115">
        <v>0</v>
      </c>
      <c r="I233" s="115">
        <v>0</v>
      </c>
      <c r="J233" s="115">
        <v>0</v>
      </c>
      <c r="K233" s="115">
        <v>0</v>
      </c>
      <c r="L233" s="115">
        <v>0</v>
      </c>
      <c r="M233" s="115">
        <v>0</v>
      </c>
      <c r="N233" s="115">
        <v>0</v>
      </c>
      <c r="O233" s="115">
        <v>0</v>
      </c>
      <c r="P233" s="115">
        <v>0</v>
      </c>
      <c r="Q233" s="115">
        <v>0</v>
      </c>
      <c r="R233" s="115">
        <v>0</v>
      </c>
      <c r="S233" s="115">
        <v>0</v>
      </c>
      <c r="T233" s="115">
        <v>0</v>
      </c>
      <c r="U233" s="115">
        <v>0</v>
      </c>
      <c r="V233" s="115">
        <v>0</v>
      </c>
      <c r="W233" s="115">
        <v>0</v>
      </c>
      <c r="X233" s="115">
        <v>0</v>
      </c>
      <c r="Y233" s="115">
        <v>0</v>
      </c>
      <c r="Z233" s="115">
        <v>0</v>
      </c>
      <c r="AA233" s="115">
        <v>0</v>
      </c>
      <c r="AB233" s="115">
        <v>0</v>
      </c>
      <c r="AC233" s="115">
        <v>0</v>
      </c>
      <c r="AD233" s="115">
        <v>0</v>
      </c>
      <c r="AE233" s="115">
        <v>0</v>
      </c>
      <c r="AF233" s="115">
        <v>0</v>
      </c>
      <c r="AG233" s="115">
        <v>0</v>
      </c>
      <c r="AH233" s="115">
        <v>0</v>
      </c>
      <c r="AI233" s="115">
        <v>0</v>
      </c>
      <c r="AJ233" s="115">
        <v>0</v>
      </c>
      <c r="AK233" s="115">
        <v>0</v>
      </c>
      <c r="AL233" s="115">
        <v>0</v>
      </c>
      <c r="AM233" s="115">
        <v>0</v>
      </c>
      <c r="AN233" s="115">
        <v>0</v>
      </c>
      <c r="AO233" s="115">
        <v>0</v>
      </c>
      <c r="AP233" s="115">
        <v>0</v>
      </c>
      <c r="AQ233" s="115">
        <v>0</v>
      </c>
      <c r="AR233" s="115">
        <v>0</v>
      </c>
      <c r="AS233" s="115">
        <v>0</v>
      </c>
      <c r="AT233" s="115">
        <v>0</v>
      </c>
      <c r="AU233" s="115">
        <v>0</v>
      </c>
      <c r="AV233" s="115">
        <v>0</v>
      </c>
      <c r="AW233" s="115">
        <v>0</v>
      </c>
      <c r="AX233" s="115">
        <v>0</v>
      </c>
      <c r="AY233" s="115">
        <v>0</v>
      </c>
    </row>
    <row r="234" spans="1:51" x14ac:dyDescent="0.2">
      <c r="A234" s="114"/>
      <c r="B234" s="132">
        <v>26</v>
      </c>
      <c r="C234" s="111">
        <v>0</v>
      </c>
      <c r="D234" s="115">
        <v>0</v>
      </c>
      <c r="E234" s="115">
        <v>0</v>
      </c>
      <c r="F234" s="115">
        <v>0</v>
      </c>
      <c r="G234" s="115">
        <v>0</v>
      </c>
      <c r="H234" s="115">
        <v>0</v>
      </c>
      <c r="I234" s="115">
        <v>0</v>
      </c>
      <c r="J234" s="115">
        <v>0</v>
      </c>
      <c r="K234" s="115">
        <v>0</v>
      </c>
      <c r="L234" s="115">
        <v>0</v>
      </c>
      <c r="M234" s="115">
        <v>0</v>
      </c>
      <c r="N234" s="115">
        <v>0</v>
      </c>
      <c r="O234" s="115">
        <v>0</v>
      </c>
      <c r="P234" s="115">
        <v>0</v>
      </c>
      <c r="Q234" s="115">
        <v>0</v>
      </c>
      <c r="R234" s="115">
        <v>0</v>
      </c>
      <c r="S234" s="115">
        <v>0</v>
      </c>
      <c r="T234" s="115">
        <v>0</v>
      </c>
      <c r="U234" s="115">
        <v>0</v>
      </c>
      <c r="V234" s="115">
        <v>0</v>
      </c>
      <c r="W234" s="115">
        <v>0</v>
      </c>
      <c r="X234" s="115">
        <v>0</v>
      </c>
      <c r="Y234" s="115">
        <v>0</v>
      </c>
      <c r="Z234" s="115">
        <v>0</v>
      </c>
      <c r="AA234" s="115">
        <v>0</v>
      </c>
      <c r="AB234" s="115">
        <v>0</v>
      </c>
      <c r="AC234" s="115">
        <v>0</v>
      </c>
      <c r="AD234" s="115">
        <v>0</v>
      </c>
      <c r="AE234" s="115">
        <v>0</v>
      </c>
      <c r="AF234" s="115">
        <v>0</v>
      </c>
      <c r="AG234" s="115">
        <v>0</v>
      </c>
      <c r="AH234" s="115">
        <v>0</v>
      </c>
      <c r="AI234" s="115">
        <v>0</v>
      </c>
      <c r="AJ234" s="115">
        <v>0</v>
      </c>
      <c r="AK234" s="115">
        <v>0</v>
      </c>
      <c r="AL234" s="115">
        <v>0</v>
      </c>
      <c r="AM234" s="115">
        <v>0</v>
      </c>
      <c r="AN234" s="115">
        <v>0</v>
      </c>
      <c r="AO234" s="115">
        <v>0</v>
      </c>
      <c r="AP234" s="115">
        <v>0</v>
      </c>
      <c r="AQ234" s="115">
        <v>0</v>
      </c>
      <c r="AR234" s="115">
        <v>0</v>
      </c>
      <c r="AS234" s="115">
        <v>0</v>
      </c>
      <c r="AT234" s="115">
        <v>0</v>
      </c>
      <c r="AU234" s="115">
        <v>0</v>
      </c>
      <c r="AV234" s="115">
        <v>0</v>
      </c>
      <c r="AW234" s="115">
        <v>0</v>
      </c>
      <c r="AX234" s="115">
        <v>0</v>
      </c>
      <c r="AY234" s="115">
        <v>0</v>
      </c>
    </row>
    <row r="235" spans="1:51" x14ac:dyDescent="0.2">
      <c r="A235" s="114"/>
      <c r="B235" s="132">
        <v>27</v>
      </c>
      <c r="C235" s="111">
        <v>0</v>
      </c>
      <c r="D235" s="115">
        <v>0</v>
      </c>
      <c r="E235" s="115">
        <v>0</v>
      </c>
      <c r="F235" s="115">
        <v>0</v>
      </c>
      <c r="G235" s="115">
        <v>0</v>
      </c>
      <c r="H235" s="115">
        <v>0</v>
      </c>
      <c r="I235" s="115">
        <v>0</v>
      </c>
      <c r="J235" s="115">
        <v>0</v>
      </c>
      <c r="K235" s="115">
        <v>0</v>
      </c>
      <c r="L235" s="115">
        <v>0</v>
      </c>
      <c r="M235" s="115">
        <v>0</v>
      </c>
      <c r="N235" s="115">
        <v>0</v>
      </c>
      <c r="O235" s="115">
        <v>0</v>
      </c>
      <c r="P235" s="115">
        <v>0</v>
      </c>
      <c r="Q235" s="115">
        <v>0</v>
      </c>
      <c r="R235" s="115">
        <v>0</v>
      </c>
      <c r="S235" s="115">
        <v>0</v>
      </c>
      <c r="T235" s="115">
        <v>0</v>
      </c>
      <c r="U235" s="115">
        <v>0</v>
      </c>
      <c r="V235" s="115">
        <v>0</v>
      </c>
      <c r="W235" s="115">
        <v>0</v>
      </c>
      <c r="X235" s="115">
        <v>0</v>
      </c>
      <c r="Y235" s="115">
        <v>0</v>
      </c>
      <c r="Z235" s="115">
        <v>0</v>
      </c>
      <c r="AA235" s="115">
        <v>0</v>
      </c>
      <c r="AB235" s="115">
        <v>0</v>
      </c>
      <c r="AC235" s="115">
        <v>0</v>
      </c>
      <c r="AD235" s="115">
        <v>0</v>
      </c>
      <c r="AE235" s="115">
        <v>0</v>
      </c>
      <c r="AF235" s="115">
        <v>0</v>
      </c>
      <c r="AG235" s="115">
        <v>0</v>
      </c>
      <c r="AH235" s="115">
        <v>0</v>
      </c>
      <c r="AI235" s="115">
        <v>0</v>
      </c>
      <c r="AJ235" s="115">
        <v>0</v>
      </c>
      <c r="AK235" s="115">
        <v>0</v>
      </c>
      <c r="AL235" s="115">
        <v>0</v>
      </c>
      <c r="AM235" s="115">
        <v>0</v>
      </c>
      <c r="AN235" s="115">
        <v>0</v>
      </c>
      <c r="AO235" s="115">
        <v>0</v>
      </c>
      <c r="AP235" s="115">
        <v>0</v>
      </c>
      <c r="AQ235" s="115">
        <v>0</v>
      </c>
      <c r="AR235" s="115">
        <v>0</v>
      </c>
      <c r="AS235" s="115">
        <v>0</v>
      </c>
      <c r="AT235" s="115">
        <v>0</v>
      </c>
      <c r="AU235" s="115">
        <v>0</v>
      </c>
      <c r="AV235" s="115">
        <v>0</v>
      </c>
      <c r="AW235" s="115">
        <v>0</v>
      </c>
      <c r="AX235" s="115">
        <v>0</v>
      </c>
      <c r="AY235" s="115">
        <v>0</v>
      </c>
    </row>
    <row r="236" spans="1:51" x14ac:dyDescent="0.2">
      <c r="A236" s="114"/>
      <c r="B236" s="132">
        <v>28</v>
      </c>
      <c r="C236" s="111">
        <v>0</v>
      </c>
      <c r="D236" s="115">
        <v>0</v>
      </c>
      <c r="E236" s="115">
        <v>0</v>
      </c>
      <c r="F236" s="115">
        <v>0</v>
      </c>
      <c r="G236" s="115">
        <v>0</v>
      </c>
      <c r="H236" s="115">
        <v>0</v>
      </c>
      <c r="I236" s="115">
        <v>0</v>
      </c>
      <c r="J236" s="115">
        <v>0</v>
      </c>
      <c r="K236" s="115">
        <v>0</v>
      </c>
      <c r="L236" s="115">
        <v>0</v>
      </c>
      <c r="M236" s="115">
        <v>0</v>
      </c>
      <c r="N236" s="115">
        <v>0</v>
      </c>
      <c r="O236" s="115">
        <v>0</v>
      </c>
      <c r="P236" s="115">
        <v>0</v>
      </c>
      <c r="Q236" s="115">
        <v>0</v>
      </c>
      <c r="R236" s="115">
        <v>0</v>
      </c>
      <c r="S236" s="115">
        <v>0</v>
      </c>
      <c r="T236" s="115">
        <v>0</v>
      </c>
      <c r="U236" s="115">
        <v>0</v>
      </c>
      <c r="V236" s="115">
        <v>0</v>
      </c>
      <c r="W236" s="115">
        <v>0</v>
      </c>
      <c r="X236" s="115">
        <v>0</v>
      </c>
      <c r="Y236" s="115">
        <v>0</v>
      </c>
      <c r="Z236" s="115">
        <v>0</v>
      </c>
      <c r="AA236" s="115">
        <v>0</v>
      </c>
      <c r="AB236" s="115">
        <v>0</v>
      </c>
      <c r="AC236" s="115">
        <v>0</v>
      </c>
      <c r="AD236" s="115">
        <v>0</v>
      </c>
      <c r="AE236" s="115">
        <v>0</v>
      </c>
      <c r="AF236" s="115">
        <v>0</v>
      </c>
      <c r="AG236" s="115">
        <v>0</v>
      </c>
      <c r="AH236" s="115">
        <v>0</v>
      </c>
      <c r="AI236" s="115">
        <v>0</v>
      </c>
      <c r="AJ236" s="115">
        <v>0</v>
      </c>
      <c r="AK236" s="115">
        <v>0</v>
      </c>
      <c r="AL236" s="115">
        <v>0</v>
      </c>
      <c r="AM236" s="115">
        <v>0</v>
      </c>
      <c r="AN236" s="115">
        <v>0</v>
      </c>
      <c r="AO236" s="115">
        <v>0</v>
      </c>
      <c r="AP236" s="115">
        <v>0</v>
      </c>
      <c r="AQ236" s="115">
        <v>0</v>
      </c>
      <c r="AR236" s="115">
        <v>0</v>
      </c>
      <c r="AS236" s="115">
        <v>0</v>
      </c>
      <c r="AT236" s="115">
        <v>0</v>
      </c>
      <c r="AU236" s="115">
        <v>0</v>
      </c>
      <c r="AV236" s="115">
        <v>0</v>
      </c>
      <c r="AW236" s="115">
        <v>0</v>
      </c>
      <c r="AX236" s="115">
        <v>0</v>
      </c>
      <c r="AY236" s="115">
        <v>0</v>
      </c>
    </row>
    <row r="237" spans="1:51" x14ac:dyDescent="0.2">
      <c r="A237" s="114"/>
      <c r="B237" s="132">
        <v>29</v>
      </c>
      <c r="C237" s="111">
        <v>0</v>
      </c>
      <c r="D237" s="115">
        <v>0</v>
      </c>
      <c r="E237" s="115">
        <v>0</v>
      </c>
      <c r="F237" s="115">
        <v>0</v>
      </c>
      <c r="G237" s="115">
        <v>0</v>
      </c>
      <c r="H237" s="115">
        <v>0</v>
      </c>
      <c r="I237" s="115">
        <v>0</v>
      </c>
      <c r="J237" s="115">
        <v>0</v>
      </c>
      <c r="K237" s="115">
        <v>0</v>
      </c>
      <c r="L237" s="115">
        <v>0</v>
      </c>
      <c r="M237" s="115">
        <v>0</v>
      </c>
      <c r="N237" s="115">
        <v>0</v>
      </c>
      <c r="O237" s="115">
        <v>0</v>
      </c>
      <c r="P237" s="115">
        <v>0</v>
      </c>
      <c r="Q237" s="115">
        <v>0</v>
      </c>
      <c r="R237" s="115">
        <v>0</v>
      </c>
      <c r="S237" s="115">
        <v>0</v>
      </c>
      <c r="T237" s="115">
        <v>0</v>
      </c>
      <c r="U237" s="115">
        <v>0</v>
      </c>
      <c r="V237" s="115">
        <v>0</v>
      </c>
      <c r="W237" s="115">
        <v>0</v>
      </c>
      <c r="X237" s="115">
        <v>0</v>
      </c>
      <c r="Y237" s="115">
        <v>0</v>
      </c>
      <c r="Z237" s="115">
        <v>0</v>
      </c>
      <c r="AA237" s="115">
        <v>0</v>
      </c>
      <c r="AB237" s="115">
        <v>0</v>
      </c>
      <c r="AC237" s="115">
        <v>0</v>
      </c>
      <c r="AD237" s="115">
        <v>0</v>
      </c>
      <c r="AE237" s="115">
        <v>0</v>
      </c>
      <c r="AF237" s="115">
        <v>0</v>
      </c>
      <c r="AG237" s="115">
        <v>0</v>
      </c>
      <c r="AH237" s="115">
        <v>0</v>
      </c>
      <c r="AI237" s="115">
        <v>0</v>
      </c>
      <c r="AJ237" s="115">
        <v>0</v>
      </c>
      <c r="AK237" s="115">
        <v>0</v>
      </c>
      <c r="AL237" s="115">
        <v>0</v>
      </c>
      <c r="AM237" s="115">
        <v>0</v>
      </c>
      <c r="AN237" s="115">
        <v>0</v>
      </c>
      <c r="AO237" s="115">
        <v>0</v>
      </c>
      <c r="AP237" s="115">
        <v>0</v>
      </c>
      <c r="AQ237" s="115">
        <v>0</v>
      </c>
      <c r="AR237" s="115">
        <v>0</v>
      </c>
      <c r="AS237" s="115">
        <v>0</v>
      </c>
      <c r="AT237" s="115">
        <v>0</v>
      </c>
      <c r="AU237" s="115">
        <v>0</v>
      </c>
      <c r="AV237" s="115">
        <v>0</v>
      </c>
      <c r="AW237" s="115">
        <v>0</v>
      </c>
      <c r="AX237" s="115">
        <v>0</v>
      </c>
      <c r="AY237" s="115">
        <v>0</v>
      </c>
    </row>
    <row r="238" spans="1:51" x14ac:dyDescent="0.2">
      <c r="A238" s="114"/>
      <c r="B238" s="132">
        <v>30</v>
      </c>
      <c r="C238" s="111">
        <v>0</v>
      </c>
      <c r="D238" s="115">
        <v>0</v>
      </c>
      <c r="E238" s="115">
        <v>0</v>
      </c>
      <c r="F238" s="115">
        <v>0</v>
      </c>
      <c r="G238" s="115">
        <v>0</v>
      </c>
      <c r="H238" s="115">
        <v>0</v>
      </c>
      <c r="I238" s="115">
        <v>0</v>
      </c>
      <c r="J238" s="115">
        <v>0</v>
      </c>
      <c r="K238" s="115">
        <v>0</v>
      </c>
      <c r="L238" s="115">
        <v>0</v>
      </c>
      <c r="M238" s="115">
        <v>0</v>
      </c>
      <c r="N238" s="115">
        <v>0</v>
      </c>
      <c r="O238" s="115">
        <v>0</v>
      </c>
      <c r="P238" s="115">
        <v>0</v>
      </c>
      <c r="Q238" s="115">
        <v>0</v>
      </c>
      <c r="R238" s="115">
        <v>0</v>
      </c>
      <c r="S238" s="115">
        <v>0</v>
      </c>
      <c r="T238" s="115">
        <v>0</v>
      </c>
      <c r="U238" s="115">
        <v>0</v>
      </c>
      <c r="V238" s="115">
        <v>0</v>
      </c>
      <c r="W238" s="115">
        <v>0</v>
      </c>
      <c r="X238" s="115">
        <v>0</v>
      </c>
      <c r="Y238" s="115">
        <v>0</v>
      </c>
      <c r="Z238" s="115">
        <v>0</v>
      </c>
      <c r="AA238" s="115">
        <v>0</v>
      </c>
      <c r="AB238" s="115">
        <v>0</v>
      </c>
      <c r="AC238" s="115">
        <v>0</v>
      </c>
      <c r="AD238" s="115">
        <v>0</v>
      </c>
      <c r="AE238" s="115">
        <v>0</v>
      </c>
      <c r="AF238" s="115">
        <v>0</v>
      </c>
      <c r="AG238" s="115">
        <v>0</v>
      </c>
      <c r="AH238" s="115">
        <v>0</v>
      </c>
      <c r="AI238" s="115">
        <v>0</v>
      </c>
      <c r="AJ238" s="115">
        <v>0</v>
      </c>
      <c r="AK238" s="115">
        <v>0</v>
      </c>
      <c r="AL238" s="115">
        <v>0</v>
      </c>
      <c r="AM238" s="115">
        <v>0</v>
      </c>
      <c r="AN238" s="115">
        <v>0</v>
      </c>
      <c r="AO238" s="115">
        <v>0</v>
      </c>
      <c r="AP238" s="115">
        <v>0</v>
      </c>
      <c r="AQ238" s="115">
        <v>0</v>
      </c>
      <c r="AR238" s="115">
        <v>0</v>
      </c>
      <c r="AS238" s="115">
        <v>0</v>
      </c>
      <c r="AT238" s="115">
        <v>0</v>
      </c>
      <c r="AU238" s="115">
        <v>0</v>
      </c>
      <c r="AV238" s="115">
        <v>0</v>
      </c>
      <c r="AW238" s="115">
        <v>0</v>
      </c>
      <c r="AX238" s="115">
        <v>0</v>
      </c>
      <c r="AY238" s="115">
        <v>0</v>
      </c>
    </row>
    <row r="239" spans="1:51" x14ac:dyDescent="0.2">
      <c r="A239" s="114"/>
      <c r="B239" s="132">
        <v>31</v>
      </c>
      <c r="C239" s="111">
        <v>0</v>
      </c>
      <c r="D239" s="115">
        <v>0</v>
      </c>
      <c r="E239" s="115">
        <v>0</v>
      </c>
      <c r="F239" s="115">
        <v>0</v>
      </c>
      <c r="G239" s="115">
        <v>0</v>
      </c>
      <c r="H239" s="115">
        <v>0</v>
      </c>
      <c r="I239" s="115">
        <v>0</v>
      </c>
      <c r="J239" s="115">
        <v>0</v>
      </c>
      <c r="K239" s="115">
        <v>0</v>
      </c>
      <c r="L239" s="115">
        <v>0</v>
      </c>
      <c r="M239" s="115">
        <v>0</v>
      </c>
      <c r="N239" s="115">
        <v>0</v>
      </c>
      <c r="O239" s="115">
        <v>0</v>
      </c>
      <c r="P239" s="115">
        <v>0</v>
      </c>
      <c r="Q239" s="115">
        <v>0</v>
      </c>
      <c r="R239" s="115">
        <v>0</v>
      </c>
      <c r="S239" s="115">
        <v>0</v>
      </c>
      <c r="T239" s="115">
        <v>0</v>
      </c>
      <c r="U239" s="115">
        <v>0</v>
      </c>
      <c r="V239" s="115">
        <v>0</v>
      </c>
      <c r="W239" s="115">
        <v>0</v>
      </c>
      <c r="X239" s="115">
        <v>0</v>
      </c>
      <c r="Y239" s="115">
        <v>0</v>
      </c>
      <c r="Z239" s="115">
        <v>0</v>
      </c>
      <c r="AA239" s="115">
        <v>0</v>
      </c>
      <c r="AB239" s="115">
        <v>0</v>
      </c>
      <c r="AC239" s="115">
        <v>0</v>
      </c>
      <c r="AD239" s="115">
        <v>0</v>
      </c>
      <c r="AE239" s="115">
        <v>0</v>
      </c>
      <c r="AF239" s="115">
        <v>0</v>
      </c>
      <c r="AG239" s="115">
        <v>0</v>
      </c>
      <c r="AH239" s="115">
        <v>0</v>
      </c>
      <c r="AI239" s="115">
        <v>0</v>
      </c>
      <c r="AJ239" s="115">
        <v>0</v>
      </c>
      <c r="AK239" s="115">
        <v>0</v>
      </c>
      <c r="AL239" s="115">
        <v>0</v>
      </c>
      <c r="AM239" s="115">
        <v>0</v>
      </c>
      <c r="AN239" s="115">
        <v>0</v>
      </c>
      <c r="AO239" s="115">
        <v>0</v>
      </c>
      <c r="AP239" s="115">
        <v>0</v>
      </c>
      <c r="AQ239" s="115">
        <v>0</v>
      </c>
      <c r="AR239" s="115">
        <v>0</v>
      </c>
      <c r="AS239" s="115">
        <v>0</v>
      </c>
      <c r="AT239" s="115">
        <v>0</v>
      </c>
      <c r="AU239" s="115">
        <v>0</v>
      </c>
      <c r="AV239" s="115">
        <v>0</v>
      </c>
      <c r="AW239" s="115">
        <v>0</v>
      </c>
      <c r="AX239" s="115">
        <v>0</v>
      </c>
      <c r="AY239" s="115">
        <v>0</v>
      </c>
    </row>
    <row r="240" spans="1:51" x14ac:dyDescent="0.2">
      <c r="A240" s="114"/>
      <c r="B240" s="132">
        <v>32</v>
      </c>
      <c r="C240" s="111">
        <v>0</v>
      </c>
      <c r="D240" s="115">
        <v>0</v>
      </c>
      <c r="E240" s="115">
        <v>0</v>
      </c>
      <c r="F240" s="115">
        <v>0</v>
      </c>
      <c r="G240" s="115">
        <v>0</v>
      </c>
      <c r="H240" s="115">
        <v>0</v>
      </c>
      <c r="I240" s="115">
        <v>0</v>
      </c>
      <c r="J240" s="115">
        <v>0</v>
      </c>
      <c r="K240" s="115">
        <v>0</v>
      </c>
      <c r="L240" s="115">
        <v>0</v>
      </c>
      <c r="M240" s="115">
        <v>0</v>
      </c>
      <c r="N240" s="115">
        <v>0</v>
      </c>
      <c r="O240" s="115">
        <v>0</v>
      </c>
      <c r="P240" s="115">
        <v>0</v>
      </c>
      <c r="Q240" s="115">
        <v>0</v>
      </c>
      <c r="R240" s="115">
        <v>0</v>
      </c>
      <c r="S240" s="115">
        <v>0</v>
      </c>
      <c r="T240" s="115">
        <v>0</v>
      </c>
      <c r="U240" s="115">
        <v>0</v>
      </c>
      <c r="V240" s="115">
        <v>0</v>
      </c>
      <c r="W240" s="115">
        <v>0</v>
      </c>
      <c r="X240" s="115">
        <v>0</v>
      </c>
      <c r="Y240" s="115">
        <v>0</v>
      </c>
      <c r="Z240" s="115">
        <v>0</v>
      </c>
      <c r="AA240" s="115">
        <v>0</v>
      </c>
      <c r="AB240" s="115">
        <v>0</v>
      </c>
      <c r="AC240" s="115">
        <v>0</v>
      </c>
      <c r="AD240" s="115">
        <v>0</v>
      </c>
      <c r="AE240" s="115">
        <v>0</v>
      </c>
      <c r="AF240" s="115">
        <v>0</v>
      </c>
      <c r="AG240" s="115">
        <v>0</v>
      </c>
      <c r="AH240" s="115">
        <v>0</v>
      </c>
      <c r="AI240" s="115">
        <v>0</v>
      </c>
      <c r="AJ240" s="115">
        <v>0</v>
      </c>
      <c r="AK240" s="115">
        <v>0</v>
      </c>
      <c r="AL240" s="115">
        <v>0</v>
      </c>
      <c r="AM240" s="115">
        <v>0</v>
      </c>
      <c r="AN240" s="115">
        <v>0</v>
      </c>
      <c r="AO240" s="115">
        <v>0</v>
      </c>
      <c r="AP240" s="115">
        <v>0</v>
      </c>
      <c r="AQ240" s="115">
        <v>0</v>
      </c>
      <c r="AR240" s="115">
        <v>0</v>
      </c>
      <c r="AS240" s="115">
        <v>0</v>
      </c>
      <c r="AT240" s="115">
        <v>0</v>
      </c>
      <c r="AU240" s="115">
        <v>0</v>
      </c>
      <c r="AV240" s="115">
        <v>0</v>
      </c>
      <c r="AW240" s="115">
        <v>0</v>
      </c>
      <c r="AX240" s="115">
        <v>0</v>
      </c>
      <c r="AY240" s="115">
        <v>0</v>
      </c>
    </row>
    <row r="241" spans="1:51" x14ac:dyDescent="0.2">
      <c r="A241" s="114"/>
      <c r="B241" s="132">
        <v>33</v>
      </c>
      <c r="C241" s="111">
        <v>0</v>
      </c>
      <c r="D241" s="115">
        <v>0</v>
      </c>
      <c r="E241" s="115">
        <v>0</v>
      </c>
      <c r="F241" s="115">
        <v>0</v>
      </c>
      <c r="G241" s="115">
        <v>0</v>
      </c>
      <c r="H241" s="115">
        <v>0</v>
      </c>
      <c r="I241" s="115">
        <v>0</v>
      </c>
      <c r="J241" s="115">
        <v>0</v>
      </c>
      <c r="K241" s="115">
        <v>0</v>
      </c>
      <c r="L241" s="115">
        <v>0</v>
      </c>
      <c r="M241" s="115">
        <v>0</v>
      </c>
      <c r="N241" s="115">
        <v>0</v>
      </c>
      <c r="O241" s="115">
        <v>0</v>
      </c>
      <c r="P241" s="115">
        <v>0</v>
      </c>
      <c r="Q241" s="115">
        <v>0</v>
      </c>
      <c r="R241" s="115">
        <v>0</v>
      </c>
      <c r="S241" s="115">
        <v>0</v>
      </c>
      <c r="T241" s="115">
        <v>0</v>
      </c>
      <c r="U241" s="115">
        <v>0</v>
      </c>
      <c r="V241" s="115">
        <v>0</v>
      </c>
      <c r="W241" s="115">
        <v>0</v>
      </c>
      <c r="X241" s="115">
        <v>0</v>
      </c>
      <c r="Y241" s="115">
        <v>0</v>
      </c>
      <c r="Z241" s="115">
        <v>0</v>
      </c>
      <c r="AA241" s="115">
        <v>0</v>
      </c>
      <c r="AB241" s="115">
        <v>0</v>
      </c>
      <c r="AC241" s="115">
        <v>0</v>
      </c>
      <c r="AD241" s="115">
        <v>0</v>
      </c>
      <c r="AE241" s="115">
        <v>0</v>
      </c>
      <c r="AF241" s="115">
        <v>0</v>
      </c>
      <c r="AG241" s="115">
        <v>0</v>
      </c>
      <c r="AH241" s="115">
        <v>0</v>
      </c>
      <c r="AI241" s="115">
        <v>0</v>
      </c>
      <c r="AJ241" s="115">
        <v>0</v>
      </c>
      <c r="AK241" s="115">
        <v>0</v>
      </c>
      <c r="AL241" s="115">
        <v>0</v>
      </c>
      <c r="AM241" s="115">
        <v>0</v>
      </c>
      <c r="AN241" s="115">
        <v>0</v>
      </c>
      <c r="AO241" s="115">
        <v>0</v>
      </c>
      <c r="AP241" s="115">
        <v>0</v>
      </c>
      <c r="AQ241" s="115">
        <v>0</v>
      </c>
      <c r="AR241" s="115">
        <v>0</v>
      </c>
      <c r="AS241" s="115">
        <v>0</v>
      </c>
      <c r="AT241" s="115">
        <v>0</v>
      </c>
      <c r="AU241" s="115">
        <v>0</v>
      </c>
      <c r="AV241" s="115">
        <v>0</v>
      </c>
      <c r="AW241" s="115">
        <v>0</v>
      </c>
      <c r="AX241" s="115">
        <v>0</v>
      </c>
      <c r="AY241" s="115">
        <v>0</v>
      </c>
    </row>
    <row r="242" spans="1:51" x14ac:dyDescent="0.2">
      <c r="A242" s="114"/>
      <c r="B242" s="132">
        <v>34</v>
      </c>
      <c r="C242" s="111">
        <v>0</v>
      </c>
      <c r="D242" s="115">
        <v>0</v>
      </c>
      <c r="E242" s="115">
        <v>0</v>
      </c>
      <c r="F242" s="115">
        <v>0</v>
      </c>
      <c r="G242" s="115">
        <v>0</v>
      </c>
      <c r="H242" s="115">
        <v>0</v>
      </c>
      <c r="I242" s="115">
        <v>0</v>
      </c>
      <c r="J242" s="115">
        <v>0</v>
      </c>
      <c r="K242" s="115">
        <v>0</v>
      </c>
      <c r="L242" s="115">
        <v>0</v>
      </c>
      <c r="M242" s="115">
        <v>0</v>
      </c>
      <c r="N242" s="115">
        <v>0</v>
      </c>
      <c r="O242" s="115">
        <v>0</v>
      </c>
      <c r="P242" s="115">
        <v>0</v>
      </c>
      <c r="Q242" s="115">
        <v>0</v>
      </c>
      <c r="R242" s="115">
        <v>0</v>
      </c>
      <c r="S242" s="115">
        <v>0</v>
      </c>
      <c r="T242" s="115">
        <v>0</v>
      </c>
      <c r="U242" s="115">
        <v>0</v>
      </c>
      <c r="V242" s="115">
        <v>0</v>
      </c>
      <c r="W242" s="115">
        <v>0</v>
      </c>
      <c r="X242" s="115">
        <v>0</v>
      </c>
      <c r="Y242" s="115">
        <v>0</v>
      </c>
      <c r="Z242" s="115">
        <v>0</v>
      </c>
      <c r="AA242" s="115">
        <v>0</v>
      </c>
      <c r="AB242" s="115">
        <v>0</v>
      </c>
      <c r="AC242" s="115">
        <v>0</v>
      </c>
      <c r="AD242" s="115">
        <v>0</v>
      </c>
      <c r="AE242" s="115">
        <v>0</v>
      </c>
      <c r="AF242" s="115">
        <v>0</v>
      </c>
      <c r="AG242" s="115">
        <v>0</v>
      </c>
      <c r="AH242" s="115">
        <v>0</v>
      </c>
      <c r="AI242" s="115">
        <v>0</v>
      </c>
      <c r="AJ242" s="115">
        <v>0</v>
      </c>
      <c r="AK242" s="115">
        <v>0</v>
      </c>
      <c r="AL242" s="115">
        <v>0</v>
      </c>
      <c r="AM242" s="115">
        <v>0</v>
      </c>
      <c r="AN242" s="115">
        <v>0</v>
      </c>
      <c r="AO242" s="115">
        <v>0</v>
      </c>
      <c r="AP242" s="115">
        <v>0</v>
      </c>
      <c r="AQ242" s="115">
        <v>0</v>
      </c>
      <c r="AR242" s="115">
        <v>0</v>
      </c>
      <c r="AS242" s="115">
        <v>0</v>
      </c>
      <c r="AT242" s="115">
        <v>0</v>
      </c>
      <c r="AU242" s="115">
        <v>0</v>
      </c>
      <c r="AV242" s="115">
        <v>0</v>
      </c>
      <c r="AW242" s="115">
        <v>0</v>
      </c>
      <c r="AX242" s="115">
        <v>0</v>
      </c>
      <c r="AY242" s="115">
        <v>0</v>
      </c>
    </row>
    <row r="243" spans="1:51" x14ac:dyDescent="0.2">
      <c r="A243" s="114"/>
      <c r="B243" s="132">
        <v>35</v>
      </c>
      <c r="C243" s="111">
        <v>0</v>
      </c>
      <c r="D243" s="115">
        <v>0</v>
      </c>
      <c r="E243" s="115">
        <v>0</v>
      </c>
      <c r="F243" s="115">
        <v>0</v>
      </c>
      <c r="G243" s="115">
        <v>0</v>
      </c>
      <c r="H243" s="115">
        <v>0</v>
      </c>
      <c r="I243" s="115">
        <v>0</v>
      </c>
      <c r="J243" s="115">
        <v>0</v>
      </c>
      <c r="K243" s="115">
        <v>0</v>
      </c>
      <c r="L243" s="115">
        <v>0</v>
      </c>
      <c r="M243" s="115">
        <v>0</v>
      </c>
      <c r="N243" s="115">
        <v>0</v>
      </c>
      <c r="O243" s="115">
        <v>0</v>
      </c>
      <c r="P243" s="115">
        <v>0</v>
      </c>
      <c r="Q243" s="115">
        <v>0</v>
      </c>
      <c r="R243" s="115">
        <v>0</v>
      </c>
      <c r="S243" s="115">
        <v>0</v>
      </c>
      <c r="T243" s="115">
        <v>0</v>
      </c>
      <c r="U243" s="115">
        <v>0</v>
      </c>
      <c r="V243" s="115">
        <v>0</v>
      </c>
      <c r="W243" s="115">
        <v>0</v>
      </c>
      <c r="X243" s="115">
        <v>0</v>
      </c>
      <c r="Y243" s="115">
        <v>0</v>
      </c>
      <c r="Z243" s="115">
        <v>0</v>
      </c>
      <c r="AA243" s="115">
        <v>0</v>
      </c>
      <c r="AB243" s="115">
        <v>0</v>
      </c>
      <c r="AC243" s="115">
        <v>0</v>
      </c>
      <c r="AD243" s="115">
        <v>0</v>
      </c>
      <c r="AE243" s="115">
        <v>0</v>
      </c>
      <c r="AF243" s="115">
        <v>0</v>
      </c>
      <c r="AG243" s="115">
        <v>0</v>
      </c>
      <c r="AH243" s="115">
        <v>0</v>
      </c>
      <c r="AI243" s="115">
        <v>0</v>
      </c>
      <c r="AJ243" s="115">
        <v>0</v>
      </c>
      <c r="AK243" s="115">
        <v>0</v>
      </c>
      <c r="AL243" s="115">
        <v>0</v>
      </c>
      <c r="AM243" s="115">
        <v>0</v>
      </c>
      <c r="AN243" s="115">
        <v>0</v>
      </c>
      <c r="AO243" s="115">
        <v>0</v>
      </c>
      <c r="AP243" s="115">
        <v>0</v>
      </c>
      <c r="AQ243" s="115">
        <v>0</v>
      </c>
      <c r="AR243" s="115">
        <v>0</v>
      </c>
      <c r="AS243" s="115">
        <v>0</v>
      </c>
      <c r="AT243" s="115">
        <v>0</v>
      </c>
      <c r="AU243" s="115">
        <v>0</v>
      </c>
      <c r="AV243" s="115">
        <v>0</v>
      </c>
      <c r="AW243" s="115">
        <v>0</v>
      </c>
      <c r="AX243" s="115">
        <v>0</v>
      </c>
      <c r="AY243" s="115">
        <v>0</v>
      </c>
    </row>
    <row r="244" spans="1:51" x14ac:dyDescent="0.2">
      <c r="A244" s="114"/>
      <c r="B244" s="132">
        <v>36</v>
      </c>
      <c r="C244" s="111">
        <v>0</v>
      </c>
      <c r="D244" s="115">
        <v>0</v>
      </c>
      <c r="E244" s="115">
        <v>0</v>
      </c>
      <c r="F244" s="115">
        <v>0</v>
      </c>
      <c r="G244" s="115">
        <v>0</v>
      </c>
      <c r="H244" s="115">
        <v>0</v>
      </c>
      <c r="I244" s="115">
        <v>0</v>
      </c>
      <c r="J244" s="115">
        <v>0</v>
      </c>
      <c r="K244" s="115">
        <v>0</v>
      </c>
      <c r="L244" s="115">
        <v>0</v>
      </c>
      <c r="M244" s="115">
        <v>0</v>
      </c>
      <c r="N244" s="115">
        <v>0</v>
      </c>
      <c r="O244" s="115">
        <v>0</v>
      </c>
      <c r="P244" s="115">
        <v>0</v>
      </c>
      <c r="Q244" s="115">
        <v>0</v>
      </c>
      <c r="R244" s="115">
        <v>0</v>
      </c>
      <c r="S244" s="115">
        <v>0</v>
      </c>
      <c r="T244" s="115">
        <v>0</v>
      </c>
      <c r="U244" s="115">
        <v>0</v>
      </c>
      <c r="V244" s="115">
        <v>0</v>
      </c>
      <c r="W244" s="115">
        <v>0</v>
      </c>
      <c r="X244" s="115">
        <v>0</v>
      </c>
      <c r="Y244" s="115">
        <v>0</v>
      </c>
      <c r="Z244" s="115">
        <v>0</v>
      </c>
      <c r="AA244" s="115">
        <v>0</v>
      </c>
      <c r="AB244" s="115">
        <v>0</v>
      </c>
      <c r="AC244" s="115">
        <v>0</v>
      </c>
      <c r="AD244" s="115">
        <v>0</v>
      </c>
      <c r="AE244" s="115">
        <v>0</v>
      </c>
      <c r="AF244" s="115">
        <v>0</v>
      </c>
      <c r="AG244" s="115">
        <v>0</v>
      </c>
      <c r="AH244" s="115">
        <v>0</v>
      </c>
      <c r="AI244" s="115">
        <v>0</v>
      </c>
      <c r="AJ244" s="115">
        <v>0</v>
      </c>
      <c r="AK244" s="115">
        <v>0</v>
      </c>
      <c r="AL244" s="115">
        <v>0</v>
      </c>
      <c r="AM244" s="115">
        <v>0</v>
      </c>
      <c r="AN244" s="115">
        <v>0</v>
      </c>
      <c r="AO244" s="115">
        <v>0</v>
      </c>
      <c r="AP244" s="115">
        <v>0</v>
      </c>
      <c r="AQ244" s="115">
        <v>0</v>
      </c>
      <c r="AR244" s="115">
        <v>0</v>
      </c>
      <c r="AS244" s="115">
        <v>0</v>
      </c>
      <c r="AT244" s="115">
        <v>0</v>
      </c>
      <c r="AU244" s="115">
        <v>0</v>
      </c>
      <c r="AV244" s="115">
        <v>0</v>
      </c>
      <c r="AW244" s="115">
        <v>0</v>
      </c>
      <c r="AX244" s="115">
        <v>0</v>
      </c>
      <c r="AY244" s="115">
        <v>0</v>
      </c>
    </row>
    <row r="245" spans="1:51" x14ac:dyDescent="0.2">
      <c r="A245" s="114"/>
      <c r="B245" s="135">
        <v>37</v>
      </c>
      <c r="C245" s="111">
        <v>0</v>
      </c>
      <c r="D245" s="115">
        <v>0</v>
      </c>
      <c r="E245" s="115">
        <v>0</v>
      </c>
      <c r="F245" s="115">
        <v>0</v>
      </c>
      <c r="G245" s="115">
        <v>0</v>
      </c>
      <c r="H245" s="115">
        <v>0</v>
      </c>
      <c r="I245" s="115">
        <v>0</v>
      </c>
      <c r="J245" s="115">
        <v>0</v>
      </c>
      <c r="K245" s="115">
        <v>0</v>
      </c>
      <c r="L245" s="115">
        <v>0</v>
      </c>
      <c r="M245" s="115">
        <v>0</v>
      </c>
      <c r="N245" s="115">
        <v>0</v>
      </c>
      <c r="O245" s="115">
        <v>0</v>
      </c>
      <c r="P245" s="115">
        <v>0</v>
      </c>
      <c r="Q245" s="115">
        <v>0</v>
      </c>
      <c r="R245" s="115">
        <v>0</v>
      </c>
      <c r="S245" s="115">
        <v>0</v>
      </c>
      <c r="T245" s="115">
        <v>0</v>
      </c>
      <c r="U245" s="115">
        <v>0</v>
      </c>
      <c r="V245" s="115">
        <v>0</v>
      </c>
      <c r="W245" s="115">
        <v>0</v>
      </c>
      <c r="X245" s="115">
        <v>0</v>
      </c>
      <c r="Y245" s="115">
        <v>0</v>
      </c>
      <c r="Z245" s="115">
        <v>0</v>
      </c>
      <c r="AA245" s="115">
        <v>0</v>
      </c>
      <c r="AB245" s="115">
        <v>0</v>
      </c>
      <c r="AC245" s="115">
        <v>0</v>
      </c>
      <c r="AD245" s="115">
        <v>0</v>
      </c>
      <c r="AE245" s="115">
        <v>0</v>
      </c>
      <c r="AF245" s="115">
        <v>0</v>
      </c>
      <c r="AG245" s="115">
        <v>0</v>
      </c>
      <c r="AH245" s="115">
        <v>0</v>
      </c>
      <c r="AI245" s="115">
        <v>0</v>
      </c>
      <c r="AJ245" s="115">
        <v>0</v>
      </c>
      <c r="AK245" s="115">
        <v>0</v>
      </c>
      <c r="AL245" s="115">
        <v>0</v>
      </c>
      <c r="AM245" s="115">
        <v>0</v>
      </c>
      <c r="AN245" s="115">
        <v>0</v>
      </c>
      <c r="AO245" s="115">
        <v>0</v>
      </c>
      <c r="AP245" s="115">
        <v>0</v>
      </c>
      <c r="AQ245" s="115">
        <v>0</v>
      </c>
      <c r="AR245" s="115">
        <v>0</v>
      </c>
      <c r="AS245" s="115">
        <v>0</v>
      </c>
      <c r="AT245" s="115">
        <v>0</v>
      </c>
      <c r="AU245" s="115">
        <v>0</v>
      </c>
      <c r="AV245" s="115">
        <v>0</v>
      </c>
      <c r="AW245" s="115">
        <v>0</v>
      </c>
      <c r="AX245" s="115">
        <v>0</v>
      </c>
      <c r="AY245" s="115">
        <v>0</v>
      </c>
    </row>
    <row r="246" spans="1:51" x14ac:dyDescent="0.2">
      <c r="A246" s="114"/>
      <c r="B246" s="135">
        <v>38</v>
      </c>
      <c r="C246" s="111">
        <v>0</v>
      </c>
      <c r="D246" s="115">
        <v>0</v>
      </c>
      <c r="E246" s="115">
        <v>0</v>
      </c>
      <c r="F246" s="115">
        <v>0</v>
      </c>
      <c r="G246" s="115">
        <v>0</v>
      </c>
      <c r="H246" s="115">
        <v>0</v>
      </c>
      <c r="I246" s="115">
        <v>0</v>
      </c>
      <c r="J246" s="115">
        <v>0</v>
      </c>
      <c r="K246" s="115">
        <v>0</v>
      </c>
      <c r="L246" s="115">
        <v>0</v>
      </c>
      <c r="M246" s="115">
        <v>0</v>
      </c>
      <c r="N246" s="115">
        <v>0</v>
      </c>
      <c r="O246" s="115">
        <v>0</v>
      </c>
      <c r="P246" s="115">
        <v>0</v>
      </c>
      <c r="Q246" s="115">
        <v>0</v>
      </c>
      <c r="R246" s="115">
        <v>0</v>
      </c>
      <c r="S246" s="115">
        <v>0</v>
      </c>
      <c r="T246" s="115">
        <v>0</v>
      </c>
      <c r="U246" s="115">
        <v>0</v>
      </c>
      <c r="V246" s="115">
        <v>0</v>
      </c>
      <c r="W246" s="115">
        <v>0</v>
      </c>
      <c r="X246" s="115">
        <v>0</v>
      </c>
      <c r="Y246" s="115">
        <v>0</v>
      </c>
      <c r="Z246" s="115">
        <v>0</v>
      </c>
      <c r="AA246" s="115">
        <v>0</v>
      </c>
      <c r="AB246" s="115">
        <v>0</v>
      </c>
      <c r="AC246" s="115">
        <v>0</v>
      </c>
      <c r="AD246" s="115">
        <v>0</v>
      </c>
      <c r="AE246" s="115">
        <v>0</v>
      </c>
      <c r="AF246" s="115">
        <v>0</v>
      </c>
      <c r="AG246" s="115">
        <v>0</v>
      </c>
      <c r="AH246" s="115">
        <v>0</v>
      </c>
      <c r="AI246" s="115">
        <v>0</v>
      </c>
      <c r="AJ246" s="115">
        <v>0</v>
      </c>
      <c r="AK246" s="115">
        <v>0</v>
      </c>
      <c r="AL246" s="115">
        <v>0</v>
      </c>
      <c r="AM246" s="115">
        <v>0</v>
      </c>
      <c r="AN246" s="115">
        <v>0</v>
      </c>
      <c r="AO246" s="115">
        <v>0</v>
      </c>
      <c r="AP246" s="115">
        <v>0</v>
      </c>
      <c r="AQ246" s="115">
        <v>0</v>
      </c>
      <c r="AR246" s="115">
        <v>0</v>
      </c>
      <c r="AS246" s="115">
        <v>0</v>
      </c>
      <c r="AT246" s="115">
        <v>0</v>
      </c>
      <c r="AU246" s="115">
        <v>0</v>
      </c>
      <c r="AV246" s="115">
        <v>0</v>
      </c>
      <c r="AW246" s="115">
        <v>0</v>
      </c>
      <c r="AX246" s="115">
        <v>0</v>
      </c>
      <c r="AY246" s="115">
        <v>0</v>
      </c>
    </row>
    <row r="247" spans="1:51" x14ac:dyDescent="0.2">
      <c r="A247" s="114"/>
      <c r="B247" s="135">
        <v>39</v>
      </c>
      <c r="C247" s="111">
        <v>0</v>
      </c>
      <c r="D247" s="115">
        <v>0</v>
      </c>
      <c r="E247" s="115">
        <v>0</v>
      </c>
      <c r="F247" s="115">
        <v>0</v>
      </c>
      <c r="G247" s="115">
        <v>0</v>
      </c>
      <c r="H247" s="115">
        <v>0</v>
      </c>
      <c r="I247" s="115">
        <v>0</v>
      </c>
      <c r="J247" s="115">
        <v>0</v>
      </c>
      <c r="K247" s="115">
        <v>0</v>
      </c>
      <c r="L247" s="115">
        <v>0</v>
      </c>
      <c r="M247" s="115">
        <v>0</v>
      </c>
      <c r="N247" s="115">
        <v>0</v>
      </c>
      <c r="O247" s="115">
        <v>0</v>
      </c>
      <c r="P247" s="115">
        <v>0</v>
      </c>
      <c r="Q247" s="115">
        <v>0</v>
      </c>
      <c r="R247" s="115">
        <v>0</v>
      </c>
      <c r="S247" s="115">
        <v>0</v>
      </c>
      <c r="T247" s="115">
        <v>0</v>
      </c>
      <c r="U247" s="115">
        <v>0</v>
      </c>
      <c r="V247" s="115">
        <v>0</v>
      </c>
      <c r="W247" s="115">
        <v>0</v>
      </c>
      <c r="X247" s="115">
        <v>0</v>
      </c>
      <c r="Y247" s="115">
        <v>0</v>
      </c>
      <c r="Z247" s="115">
        <v>0</v>
      </c>
      <c r="AA247" s="115">
        <v>0</v>
      </c>
      <c r="AB247" s="115">
        <v>0</v>
      </c>
      <c r="AC247" s="115">
        <v>0</v>
      </c>
      <c r="AD247" s="115">
        <v>0</v>
      </c>
      <c r="AE247" s="115">
        <v>0</v>
      </c>
      <c r="AF247" s="115">
        <v>0</v>
      </c>
      <c r="AG247" s="115">
        <v>0</v>
      </c>
      <c r="AH247" s="115">
        <v>0</v>
      </c>
      <c r="AI247" s="115">
        <v>0</v>
      </c>
      <c r="AJ247" s="115">
        <v>0</v>
      </c>
      <c r="AK247" s="115">
        <v>0</v>
      </c>
      <c r="AL247" s="115">
        <v>0</v>
      </c>
      <c r="AM247" s="115">
        <v>0</v>
      </c>
      <c r="AN247" s="115">
        <v>0</v>
      </c>
      <c r="AO247" s="115">
        <v>0</v>
      </c>
      <c r="AP247" s="115">
        <v>0</v>
      </c>
      <c r="AQ247" s="115">
        <v>0</v>
      </c>
      <c r="AR247" s="115">
        <v>0</v>
      </c>
      <c r="AS247" s="115">
        <v>0</v>
      </c>
      <c r="AT247" s="115">
        <v>0</v>
      </c>
      <c r="AU247" s="115">
        <v>0</v>
      </c>
      <c r="AV247" s="115">
        <v>0</v>
      </c>
      <c r="AW247" s="115">
        <v>0</v>
      </c>
      <c r="AX247" s="115">
        <v>0</v>
      </c>
      <c r="AY247" s="115">
        <v>0</v>
      </c>
    </row>
    <row r="248" spans="1:51" x14ac:dyDescent="0.2">
      <c r="A248" s="114"/>
      <c r="B248" s="135">
        <v>40</v>
      </c>
      <c r="C248" s="111">
        <v>0</v>
      </c>
      <c r="D248" s="115">
        <v>0</v>
      </c>
      <c r="E248" s="115">
        <v>0</v>
      </c>
      <c r="F248" s="115">
        <v>0</v>
      </c>
      <c r="G248" s="115">
        <v>0</v>
      </c>
      <c r="H248" s="115">
        <v>0</v>
      </c>
      <c r="I248" s="115">
        <v>0</v>
      </c>
      <c r="J248" s="115">
        <v>0</v>
      </c>
      <c r="K248" s="115">
        <v>0</v>
      </c>
      <c r="L248" s="115">
        <v>0</v>
      </c>
      <c r="M248" s="115">
        <v>0</v>
      </c>
      <c r="N248" s="115">
        <v>0</v>
      </c>
      <c r="O248" s="115">
        <v>0</v>
      </c>
      <c r="P248" s="115">
        <v>0</v>
      </c>
      <c r="Q248" s="115">
        <v>0</v>
      </c>
      <c r="R248" s="115">
        <v>0</v>
      </c>
      <c r="S248" s="115">
        <v>0</v>
      </c>
      <c r="T248" s="115">
        <v>0</v>
      </c>
      <c r="U248" s="115">
        <v>0</v>
      </c>
      <c r="V248" s="115">
        <v>0</v>
      </c>
      <c r="W248" s="115">
        <v>0</v>
      </c>
      <c r="X248" s="115">
        <v>0</v>
      </c>
      <c r="Y248" s="115">
        <v>0</v>
      </c>
      <c r="Z248" s="115">
        <v>0</v>
      </c>
      <c r="AA248" s="115">
        <v>0</v>
      </c>
      <c r="AB248" s="115">
        <v>0</v>
      </c>
      <c r="AC248" s="115">
        <v>0</v>
      </c>
      <c r="AD248" s="115">
        <v>0</v>
      </c>
      <c r="AE248" s="115">
        <v>0</v>
      </c>
      <c r="AF248" s="115">
        <v>0</v>
      </c>
      <c r="AG248" s="115">
        <v>0</v>
      </c>
      <c r="AH248" s="115">
        <v>0</v>
      </c>
      <c r="AI248" s="115">
        <v>0</v>
      </c>
      <c r="AJ248" s="115">
        <v>0</v>
      </c>
      <c r="AK248" s="115">
        <v>0</v>
      </c>
      <c r="AL248" s="115">
        <v>0</v>
      </c>
      <c r="AM248" s="115">
        <v>0</v>
      </c>
      <c r="AN248" s="115">
        <v>0</v>
      </c>
      <c r="AO248" s="115">
        <v>0</v>
      </c>
      <c r="AP248" s="115">
        <v>0</v>
      </c>
      <c r="AQ248" s="115">
        <v>0</v>
      </c>
      <c r="AR248" s="115">
        <v>0</v>
      </c>
      <c r="AS248" s="115">
        <v>0</v>
      </c>
      <c r="AT248" s="115">
        <v>0</v>
      </c>
      <c r="AU248" s="115">
        <v>0</v>
      </c>
      <c r="AV248" s="115">
        <v>0</v>
      </c>
      <c r="AW248" s="115">
        <v>0</v>
      </c>
      <c r="AX248" s="115">
        <v>0</v>
      </c>
      <c r="AY248" s="115">
        <v>0</v>
      </c>
    </row>
    <row r="249" spans="1:51" x14ac:dyDescent="0.2">
      <c r="A249" s="114"/>
      <c r="B249" s="135">
        <v>41</v>
      </c>
      <c r="C249" s="111">
        <v>0</v>
      </c>
      <c r="D249" s="115">
        <v>0</v>
      </c>
      <c r="E249" s="115">
        <v>0</v>
      </c>
      <c r="F249" s="115">
        <v>0</v>
      </c>
      <c r="G249" s="115">
        <v>0</v>
      </c>
      <c r="H249" s="115">
        <v>0</v>
      </c>
      <c r="I249" s="115">
        <v>0</v>
      </c>
      <c r="J249" s="115">
        <v>0</v>
      </c>
      <c r="K249" s="115">
        <v>0</v>
      </c>
      <c r="L249" s="115">
        <v>0</v>
      </c>
      <c r="M249" s="115">
        <v>0</v>
      </c>
      <c r="N249" s="115">
        <v>0</v>
      </c>
      <c r="O249" s="115">
        <v>0</v>
      </c>
      <c r="P249" s="115">
        <v>0</v>
      </c>
      <c r="Q249" s="115">
        <v>0</v>
      </c>
      <c r="R249" s="115">
        <v>0</v>
      </c>
      <c r="S249" s="115">
        <v>0</v>
      </c>
      <c r="T249" s="115">
        <v>0</v>
      </c>
      <c r="U249" s="115">
        <v>0</v>
      </c>
      <c r="V249" s="115">
        <v>0</v>
      </c>
      <c r="W249" s="115">
        <v>0</v>
      </c>
      <c r="X249" s="115">
        <v>0</v>
      </c>
      <c r="Y249" s="115">
        <v>0</v>
      </c>
      <c r="Z249" s="115">
        <v>0</v>
      </c>
      <c r="AA249" s="115">
        <v>0</v>
      </c>
      <c r="AB249" s="115">
        <v>0</v>
      </c>
      <c r="AC249" s="115">
        <v>0</v>
      </c>
      <c r="AD249" s="115">
        <v>0</v>
      </c>
      <c r="AE249" s="115">
        <v>0</v>
      </c>
      <c r="AF249" s="115">
        <v>0</v>
      </c>
      <c r="AG249" s="115">
        <v>0</v>
      </c>
      <c r="AH249" s="115">
        <v>0</v>
      </c>
      <c r="AI249" s="115">
        <v>0</v>
      </c>
      <c r="AJ249" s="115">
        <v>0</v>
      </c>
      <c r="AK249" s="115">
        <v>0</v>
      </c>
      <c r="AL249" s="115">
        <v>0</v>
      </c>
      <c r="AM249" s="115">
        <v>0</v>
      </c>
      <c r="AN249" s="115">
        <v>0</v>
      </c>
      <c r="AO249" s="115">
        <v>0</v>
      </c>
      <c r="AP249" s="115">
        <v>0</v>
      </c>
      <c r="AQ249" s="115">
        <v>0</v>
      </c>
      <c r="AR249" s="115">
        <v>0</v>
      </c>
      <c r="AS249" s="115">
        <v>0</v>
      </c>
      <c r="AT249" s="115">
        <v>0</v>
      </c>
      <c r="AU249" s="115">
        <v>0</v>
      </c>
      <c r="AV249" s="115">
        <v>0</v>
      </c>
      <c r="AW249" s="115">
        <v>0</v>
      </c>
      <c r="AX249" s="115">
        <v>0</v>
      </c>
      <c r="AY249" s="115">
        <v>0</v>
      </c>
    </row>
    <row r="250" spans="1:51" x14ac:dyDescent="0.2">
      <c r="A250" s="114"/>
      <c r="B250" s="135">
        <v>42</v>
      </c>
      <c r="C250" s="111">
        <v>0</v>
      </c>
      <c r="D250" s="115">
        <v>0</v>
      </c>
      <c r="E250" s="115">
        <v>0</v>
      </c>
      <c r="F250" s="115">
        <v>0</v>
      </c>
      <c r="G250" s="115">
        <v>0</v>
      </c>
      <c r="H250" s="115">
        <v>0</v>
      </c>
      <c r="I250" s="115">
        <v>0</v>
      </c>
      <c r="J250" s="115">
        <v>0</v>
      </c>
      <c r="K250" s="115">
        <v>0</v>
      </c>
      <c r="L250" s="115">
        <v>0</v>
      </c>
      <c r="M250" s="115">
        <v>0</v>
      </c>
      <c r="N250" s="115">
        <v>0</v>
      </c>
      <c r="O250" s="115">
        <v>0</v>
      </c>
      <c r="P250" s="115">
        <v>0</v>
      </c>
      <c r="Q250" s="115">
        <v>0</v>
      </c>
      <c r="R250" s="115">
        <v>0</v>
      </c>
      <c r="S250" s="115">
        <v>0</v>
      </c>
      <c r="T250" s="115">
        <v>0</v>
      </c>
      <c r="U250" s="115">
        <v>0</v>
      </c>
      <c r="V250" s="115">
        <v>0</v>
      </c>
      <c r="W250" s="115">
        <v>0</v>
      </c>
      <c r="X250" s="115">
        <v>0</v>
      </c>
      <c r="Y250" s="115">
        <v>0</v>
      </c>
      <c r="Z250" s="115">
        <v>0</v>
      </c>
      <c r="AA250" s="115">
        <v>0</v>
      </c>
      <c r="AB250" s="115">
        <v>0</v>
      </c>
      <c r="AC250" s="115">
        <v>0</v>
      </c>
      <c r="AD250" s="115">
        <v>0</v>
      </c>
      <c r="AE250" s="115">
        <v>0</v>
      </c>
      <c r="AF250" s="115">
        <v>0</v>
      </c>
      <c r="AG250" s="115">
        <v>0</v>
      </c>
      <c r="AH250" s="115">
        <v>0</v>
      </c>
      <c r="AI250" s="115">
        <v>0</v>
      </c>
      <c r="AJ250" s="115">
        <v>0</v>
      </c>
      <c r="AK250" s="115">
        <v>0</v>
      </c>
      <c r="AL250" s="115">
        <v>0</v>
      </c>
      <c r="AM250" s="115">
        <v>0</v>
      </c>
      <c r="AN250" s="115">
        <v>0</v>
      </c>
      <c r="AO250" s="115">
        <v>0</v>
      </c>
      <c r="AP250" s="115">
        <v>0</v>
      </c>
      <c r="AQ250" s="115">
        <v>0</v>
      </c>
      <c r="AR250" s="115">
        <v>0</v>
      </c>
      <c r="AS250" s="115">
        <v>0</v>
      </c>
      <c r="AT250" s="115">
        <v>0</v>
      </c>
      <c r="AU250" s="115">
        <v>0</v>
      </c>
      <c r="AV250" s="115">
        <v>0</v>
      </c>
      <c r="AW250" s="115">
        <v>0</v>
      </c>
      <c r="AX250" s="115">
        <v>0</v>
      </c>
      <c r="AY250" s="115">
        <v>0</v>
      </c>
    </row>
    <row r="251" spans="1:51" x14ac:dyDescent="0.2">
      <c r="A251" s="114"/>
      <c r="B251" s="135">
        <v>43</v>
      </c>
      <c r="C251" s="111">
        <v>0</v>
      </c>
      <c r="D251" s="115">
        <v>0</v>
      </c>
      <c r="E251" s="115">
        <v>0</v>
      </c>
      <c r="F251" s="115">
        <v>0</v>
      </c>
      <c r="G251" s="115">
        <v>0</v>
      </c>
      <c r="H251" s="115">
        <v>0</v>
      </c>
      <c r="I251" s="115">
        <v>0</v>
      </c>
      <c r="J251" s="115">
        <v>0</v>
      </c>
      <c r="K251" s="115">
        <v>0</v>
      </c>
      <c r="L251" s="115">
        <v>0</v>
      </c>
      <c r="M251" s="115">
        <v>0</v>
      </c>
      <c r="N251" s="115">
        <v>0</v>
      </c>
      <c r="O251" s="115">
        <v>0</v>
      </c>
      <c r="P251" s="115">
        <v>0</v>
      </c>
      <c r="Q251" s="115">
        <v>0</v>
      </c>
      <c r="R251" s="115">
        <v>0</v>
      </c>
      <c r="S251" s="115">
        <v>0</v>
      </c>
      <c r="T251" s="115">
        <v>0</v>
      </c>
      <c r="U251" s="115">
        <v>0</v>
      </c>
      <c r="V251" s="115">
        <v>0</v>
      </c>
      <c r="W251" s="115">
        <v>0</v>
      </c>
      <c r="X251" s="115">
        <v>0</v>
      </c>
      <c r="Y251" s="115">
        <v>0</v>
      </c>
      <c r="Z251" s="115">
        <v>0</v>
      </c>
      <c r="AA251" s="115">
        <v>0</v>
      </c>
      <c r="AB251" s="115">
        <v>0</v>
      </c>
      <c r="AC251" s="115">
        <v>0</v>
      </c>
      <c r="AD251" s="115">
        <v>0</v>
      </c>
      <c r="AE251" s="115">
        <v>0</v>
      </c>
      <c r="AF251" s="115">
        <v>0</v>
      </c>
      <c r="AG251" s="115">
        <v>0</v>
      </c>
      <c r="AH251" s="115">
        <v>0</v>
      </c>
      <c r="AI251" s="115">
        <v>0</v>
      </c>
      <c r="AJ251" s="115">
        <v>0</v>
      </c>
      <c r="AK251" s="115">
        <v>0</v>
      </c>
      <c r="AL251" s="115">
        <v>0</v>
      </c>
      <c r="AM251" s="115">
        <v>0</v>
      </c>
      <c r="AN251" s="115">
        <v>0</v>
      </c>
      <c r="AO251" s="115">
        <v>0</v>
      </c>
      <c r="AP251" s="115">
        <v>0</v>
      </c>
      <c r="AQ251" s="115">
        <v>0</v>
      </c>
      <c r="AR251" s="115">
        <v>0</v>
      </c>
      <c r="AS251" s="115">
        <v>0</v>
      </c>
      <c r="AT251" s="115">
        <v>0</v>
      </c>
      <c r="AU251" s="115">
        <v>0</v>
      </c>
      <c r="AV251" s="115">
        <v>0</v>
      </c>
      <c r="AW251" s="115">
        <v>0</v>
      </c>
      <c r="AX251" s="115">
        <v>0</v>
      </c>
      <c r="AY251" s="115">
        <v>0</v>
      </c>
    </row>
    <row r="252" spans="1:51" x14ac:dyDescent="0.2">
      <c r="A252" s="114"/>
      <c r="B252" s="135">
        <v>44</v>
      </c>
      <c r="C252" s="111">
        <v>0</v>
      </c>
      <c r="D252" s="115">
        <v>0</v>
      </c>
      <c r="E252" s="115">
        <v>0</v>
      </c>
      <c r="F252" s="115">
        <v>0</v>
      </c>
      <c r="G252" s="115">
        <v>0</v>
      </c>
      <c r="H252" s="115">
        <v>0</v>
      </c>
      <c r="I252" s="115">
        <v>0</v>
      </c>
      <c r="J252" s="115">
        <v>0</v>
      </c>
      <c r="K252" s="115">
        <v>0</v>
      </c>
      <c r="L252" s="115">
        <v>0</v>
      </c>
      <c r="M252" s="115">
        <v>0</v>
      </c>
      <c r="N252" s="115">
        <v>0</v>
      </c>
      <c r="O252" s="115">
        <v>0</v>
      </c>
      <c r="P252" s="115">
        <v>0</v>
      </c>
      <c r="Q252" s="115">
        <v>0</v>
      </c>
      <c r="R252" s="115">
        <v>0</v>
      </c>
      <c r="S252" s="115">
        <v>0</v>
      </c>
      <c r="T252" s="115">
        <v>0</v>
      </c>
      <c r="U252" s="115">
        <v>0</v>
      </c>
      <c r="V252" s="115">
        <v>0</v>
      </c>
      <c r="W252" s="115">
        <v>0</v>
      </c>
      <c r="X252" s="115">
        <v>0</v>
      </c>
      <c r="Y252" s="115">
        <v>0</v>
      </c>
      <c r="Z252" s="115">
        <v>0</v>
      </c>
      <c r="AA252" s="115">
        <v>0</v>
      </c>
      <c r="AB252" s="115">
        <v>0</v>
      </c>
      <c r="AC252" s="115">
        <v>0</v>
      </c>
      <c r="AD252" s="115">
        <v>0</v>
      </c>
      <c r="AE252" s="115">
        <v>0</v>
      </c>
      <c r="AF252" s="115">
        <v>0</v>
      </c>
      <c r="AG252" s="115">
        <v>0</v>
      </c>
      <c r="AH252" s="115">
        <v>0</v>
      </c>
      <c r="AI252" s="115">
        <v>0</v>
      </c>
      <c r="AJ252" s="115">
        <v>0</v>
      </c>
      <c r="AK252" s="115">
        <v>0</v>
      </c>
      <c r="AL252" s="115">
        <v>0</v>
      </c>
      <c r="AM252" s="115">
        <v>0</v>
      </c>
      <c r="AN252" s="115">
        <v>0</v>
      </c>
      <c r="AO252" s="115">
        <v>0</v>
      </c>
      <c r="AP252" s="115">
        <v>0</v>
      </c>
      <c r="AQ252" s="115">
        <v>0</v>
      </c>
      <c r="AR252" s="115">
        <v>0</v>
      </c>
      <c r="AS252" s="115">
        <v>0</v>
      </c>
      <c r="AT252" s="115">
        <v>0</v>
      </c>
      <c r="AU252" s="115">
        <v>0</v>
      </c>
      <c r="AV252" s="115">
        <v>0</v>
      </c>
      <c r="AW252" s="115">
        <v>0</v>
      </c>
      <c r="AX252" s="115">
        <v>0</v>
      </c>
      <c r="AY252" s="115">
        <v>0</v>
      </c>
    </row>
    <row r="253" spans="1:51" x14ac:dyDescent="0.2">
      <c r="A253" s="114"/>
      <c r="B253" s="135">
        <v>45</v>
      </c>
      <c r="C253" s="111">
        <v>0</v>
      </c>
      <c r="D253" s="115">
        <v>0</v>
      </c>
      <c r="E253" s="115">
        <v>0</v>
      </c>
      <c r="F253" s="115">
        <v>0</v>
      </c>
      <c r="G253" s="115">
        <v>0</v>
      </c>
      <c r="H253" s="115">
        <v>0</v>
      </c>
      <c r="I253" s="115">
        <v>0</v>
      </c>
      <c r="J253" s="115">
        <v>0</v>
      </c>
      <c r="K253" s="115">
        <v>0</v>
      </c>
      <c r="L253" s="115">
        <v>0</v>
      </c>
      <c r="M253" s="115">
        <v>0</v>
      </c>
      <c r="N253" s="115">
        <v>0</v>
      </c>
      <c r="O253" s="115">
        <v>0</v>
      </c>
      <c r="P253" s="115">
        <v>0</v>
      </c>
      <c r="Q253" s="115">
        <v>0</v>
      </c>
      <c r="R253" s="115">
        <v>0</v>
      </c>
      <c r="S253" s="115">
        <v>0</v>
      </c>
      <c r="T253" s="115">
        <v>0</v>
      </c>
      <c r="U253" s="115">
        <v>0</v>
      </c>
      <c r="V253" s="115">
        <v>0</v>
      </c>
      <c r="W253" s="115">
        <v>0</v>
      </c>
      <c r="X253" s="115">
        <v>0</v>
      </c>
      <c r="Y253" s="115">
        <v>0</v>
      </c>
      <c r="Z253" s="115">
        <v>0</v>
      </c>
      <c r="AA253" s="115">
        <v>0</v>
      </c>
      <c r="AB253" s="115">
        <v>0</v>
      </c>
      <c r="AC253" s="115">
        <v>0</v>
      </c>
      <c r="AD253" s="115">
        <v>0</v>
      </c>
      <c r="AE253" s="115">
        <v>0</v>
      </c>
      <c r="AF253" s="115">
        <v>0</v>
      </c>
      <c r="AG253" s="115">
        <v>0</v>
      </c>
      <c r="AH253" s="115">
        <v>0</v>
      </c>
      <c r="AI253" s="115">
        <v>0</v>
      </c>
      <c r="AJ253" s="115">
        <v>0</v>
      </c>
      <c r="AK253" s="115">
        <v>0</v>
      </c>
      <c r="AL253" s="115">
        <v>0</v>
      </c>
      <c r="AM253" s="115">
        <v>0</v>
      </c>
      <c r="AN253" s="115">
        <v>0</v>
      </c>
      <c r="AO253" s="115">
        <v>0</v>
      </c>
      <c r="AP253" s="115">
        <v>0</v>
      </c>
      <c r="AQ253" s="115">
        <v>0</v>
      </c>
      <c r="AR253" s="115">
        <v>0</v>
      </c>
      <c r="AS253" s="115">
        <v>0</v>
      </c>
      <c r="AT253" s="115">
        <v>0</v>
      </c>
      <c r="AU253" s="115">
        <v>0</v>
      </c>
      <c r="AV253" s="115">
        <v>0</v>
      </c>
      <c r="AW253" s="115">
        <v>0</v>
      </c>
      <c r="AX253" s="115">
        <v>0</v>
      </c>
      <c r="AY253" s="115">
        <v>0</v>
      </c>
    </row>
    <row r="254" spans="1:51" x14ac:dyDescent="0.2">
      <c r="A254" s="114"/>
      <c r="B254" s="135">
        <v>46</v>
      </c>
      <c r="C254" s="111">
        <v>0</v>
      </c>
      <c r="D254" s="115">
        <v>0</v>
      </c>
      <c r="E254" s="115">
        <v>0</v>
      </c>
      <c r="F254" s="115">
        <v>0</v>
      </c>
      <c r="G254" s="115">
        <v>0</v>
      </c>
      <c r="H254" s="115">
        <v>0</v>
      </c>
      <c r="I254" s="115">
        <v>0</v>
      </c>
      <c r="J254" s="115">
        <v>0</v>
      </c>
      <c r="K254" s="115">
        <v>0</v>
      </c>
      <c r="L254" s="115">
        <v>0</v>
      </c>
      <c r="M254" s="115">
        <v>0</v>
      </c>
      <c r="N254" s="115">
        <v>0</v>
      </c>
      <c r="O254" s="115">
        <v>0</v>
      </c>
      <c r="P254" s="115">
        <v>0</v>
      </c>
      <c r="Q254" s="115">
        <v>0</v>
      </c>
      <c r="R254" s="115">
        <v>0</v>
      </c>
      <c r="S254" s="115">
        <v>0</v>
      </c>
      <c r="T254" s="115">
        <v>0</v>
      </c>
      <c r="U254" s="115">
        <v>0</v>
      </c>
      <c r="V254" s="115">
        <v>0</v>
      </c>
      <c r="W254" s="115">
        <v>0</v>
      </c>
      <c r="X254" s="115">
        <v>0</v>
      </c>
      <c r="Y254" s="115">
        <v>0</v>
      </c>
      <c r="Z254" s="115">
        <v>0</v>
      </c>
      <c r="AA254" s="115">
        <v>0</v>
      </c>
      <c r="AB254" s="115">
        <v>0</v>
      </c>
      <c r="AC254" s="115">
        <v>0</v>
      </c>
      <c r="AD254" s="115">
        <v>0</v>
      </c>
      <c r="AE254" s="115">
        <v>0</v>
      </c>
      <c r="AF254" s="115">
        <v>0</v>
      </c>
      <c r="AG254" s="115">
        <v>0</v>
      </c>
      <c r="AH254" s="115">
        <v>0</v>
      </c>
      <c r="AI254" s="115">
        <v>0</v>
      </c>
      <c r="AJ254" s="115">
        <v>0</v>
      </c>
      <c r="AK254" s="115">
        <v>0</v>
      </c>
      <c r="AL254" s="115">
        <v>0</v>
      </c>
      <c r="AM254" s="115">
        <v>0</v>
      </c>
      <c r="AN254" s="115">
        <v>0</v>
      </c>
      <c r="AO254" s="115">
        <v>0</v>
      </c>
      <c r="AP254" s="115">
        <v>0</v>
      </c>
      <c r="AQ254" s="115">
        <v>0</v>
      </c>
      <c r="AR254" s="115">
        <v>0</v>
      </c>
      <c r="AS254" s="115">
        <v>0</v>
      </c>
      <c r="AT254" s="115">
        <v>0</v>
      </c>
      <c r="AU254" s="115">
        <v>0</v>
      </c>
      <c r="AV254" s="115">
        <v>0</v>
      </c>
      <c r="AW254" s="115">
        <v>0</v>
      </c>
      <c r="AX254" s="115">
        <v>0</v>
      </c>
      <c r="AY254" s="115">
        <v>0</v>
      </c>
    </row>
    <row r="255" spans="1:51" x14ac:dyDescent="0.2">
      <c r="A255" s="114"/>
      <c r="B255" s="135">
        <v>47</v>
      </c>
      <c r="C255" s="111">
        <v>0</v>
      </c>
      <c r="D255" s="115">
        <v>0</v>
      </c>
      <c r="E255" s="115">
        <v>0</v>
      </c>
      <c r="F255" s="115">
        <v>0</v>
      </c>
      <c r="G255" s="115">
        <v>0</v>
      </c>
      <c r="H255" s="115">
        <v>0</v>
      </c>
      <c r="I255" s="115">
        <v>0</v>
      </c>
      <c r="J255" s="115">
        <v>0</v>
      </c>
      <c r="K255" s="115">
        <v>0</v>
      </c>
      <c r="L255" s="115">
        <v>0</v>
      </c>
      <c r="M255" s="115">
        <v>0</v>
      </c>
      <c r="N255" s="115">
        <v>0</v>
      </c>
      <c r="O255" s="115">
        <v>0</v>
      </c>
      <c r="P255" s="115">
        <v>0</v>
      </c>
      <c r="Q255" s="115">
        <v>0</v>
      </c>
      <c r="R255" s="115">
        <v>0</v>
      </c>
      <c r="S255" s="115">
        <v>0</v>
      </c>
      <c r="T255" s="115">
        <v>0</v>
      </c>
      <c r="U255" s="115">
        <v>0</v>
      </c>
      <c r="V255" s="115">
        <v>0</v>
      </c>
      <c r="W255" s="115">
        <v>0</v>
      </c>
      <c r="X255" s="115">
        <v>0</v>
      </c>
      <c r="Y255" s="115">
        <v>0</v>
      </c>
      <c r="Z255" s="115">
        <v>0</v>
      </c>
      <c r="AA255" s="115">
        <v>0</v>
      </c>
      <c r="AB255" s="115">
        <v>0</v>
      </c>
      <c r="AC255" s="115">
        <v>0</v>
      </c>
      <c r="AD255" s="115">
        <v>0</v>
      </c>
      <c r="AE255" s="115">
        <v>0</v>
      </c>
      <c r="AF255" s="115">
        <v>0</v>
      </c>
      <c r="AG255" s="115">
        <v>0</v>
      </c>
      <c r="AH255" s="115">
        <v>0</v>
      </c>
      <c r="AI255" s="115">
        <v>0</v>
      </c>
      <c r="AJ255" s="115">
        <v>0</v>
      </c>
      <c r="AK255" s="115">
        <v>0</v>
      </c>
      <c r="AL255" s="115">
        <v>0</v>
      </c>
      <c r="AM255" s="115">
        <v>0</v>
      </c>
      <c r="AN255" s="115">
        <v>0</v>
      </c>
      <c r="AO255" s="115">
        <v>0</v>
      </c>
      <c r="AP255" s="115">
        <v>0</v>
      </c>
      <c r="AQ255" s="115">
        <v>0</v>
      </c>
      <c r="AR255" s="115">
        <v>0</v>
      </c>
      <c r="AS255" s="115">
        <v>0</v>
      </c>
      <c r="AT255" s="115">
        <v>0</v>
      </c>
      <c r="AU255" s="115">
        <v>0</v>
      </c>
      <c r="AV255" s="115">
        <v>0</v>
      </c>
      <c r="AW255" s="115">
        <v>0</v>
      </c>
      <c r="AX255" s="115">
        <v>0</v>
      </c>
      <c r="AY255" s="115">
        <v>0</v>
      </c>
    </row>
    <row r="256" spans="1:51" x14ac:dyDescent="0.2">
      <c r="A256" s="133"/>
      <c r="B256" s="134">
        <v>48</v>
      </c>
      <c r="C256" s="119">
        <v>0</v>
      </c>
      <c r="D256" s="130">
        <v>0</v>
      </c>
      <c r="E256" s="130">
        <v>0</v>
      </c>
      <c r="F256" s="130">
        <v>0</v>
      </c>
      <c r="G256" s="130">
        <v>0</v>
      </c>
      <c r="H256" s="130">
        <v>0</v>
      </c>
      <c r="I256" s="130">
        <v>0</v>
      </c>
      <c r="J256" s="130">
        <v>0</v>
      </c>
      <c r="K256" s="130">
        <v>0</v>
      </c>
      <c r="L256" s="130">
        <v>0</v>
      </c>
      <c r="M256" s="130">
        <v>0</v>
      </c>
      <c r="N256" s="130">
        <v>0</v>
      </c>
      <c r="O256" s="130">
        <v>0</v>
      </c>
      <c r="P256" s="130">
        <v>0</v>
      </c>
      <c r="Q256" s="130">
        <v>0</v>
      </c>
      <c r="R256" s="130">
        <v>0</v>
      </c>
      <c r="S256" s="130">
        <v>0</v>
      </c>
      <c r="T256" s="130">
        <v>0</v>
      </c>
      <c r="U256" s="130">
        <v>0</v>
      </c>
      <c r="V256" s="130">
        <v>0</v>
      </c>
      <c r="W256" s="130">
        <v>0</v>
      </c>
      <c r="X256" s="130">
        <v>0</v>
      </c>
      <c r="Y256" s="130">
        <v>0</v>
      </c>
      <c r="Z256" s="130">
        <v>0</v>
      </c>
      <c r="AA256" s="130">
        <v>0</v>
      </c>
      <c r="AB256" s="130">
        <v>0</v>
      </c>
      <c r="AC256" s="130">
        <v>0</v>
      </c>
      <c r="AD256" s="130">
        <v>0</v>
      </c>
      <c r="AE256" s="130">
        <v>0</v>
      </c>
      <c r="AF256" s="130">
        <v>0</v>
      </c>
      <c r="AG256" s="130">
        <v>0</v>
      </c>
      <c r="AH256" s="130">
        <v>0</v>
      </c>
      <c r="AI256" s="130">
        <v>0</v>
      </c>
      <c r="AJ256" s="130">
        <v>0</v>
      </c>
      <c r="AK256" s="130">
        <v>0</v>
      </c>
      <c r="AL256" s="130">
        <v>0</v>
      </c>
      <c r="AM256" s="130">
        <v>0</v>
      </c>
      <c r="AN256" s="130">
        <v>0</v>
      </c>
      <c r="AO256" s="130">
        <v>0</v>
      </c>
      <c r="AP256" s="130">
        <v>0</v>
      </c>
      <c r="AQ256" s="130">
        <v>0</v>
      </c>
      <c r="AR256" s="130">
        <v>0</v>
      </c>
      <c r="AS256" s="130">
        <v>0</v>
      </c>
      <c r="AT256" s="130">
        <v>0</v>
      </c>
      <c r="AU256" s="130">
        <v>0</v>
      </c>
      <c r="AV256" s="130">
        <v>0</v>
      </c>
      <c r="AW256" s="130">
        <v>0</v>
      </c>
      <c r="AX256" s="130">
        <v>0</v>
      </c>
      <c r="AY256" s="130">
        <v>0</v>
      </c>
    </row>
    <row r="258" spans="1:52" x14ac:dyDescent="0.2">
      <c r="A258" s="107" t="s">
        <v>301</v>
      </c>
    </row>
    <row r="259" spans="1:52" x14ac:dyDescent="0.2">
      <c r="A259" s="142" t="s">
        <v>124</v>
      </c>
      <c r="B259" s="143">
        <v>650</v>
      </c>
      <c r="C259" s="129" t="s">
        <v>293</v>
      </c>
      <c r="D259" s="129">
        <f>E$14*$B$259</f>
        <v>0</v>
      </c>
      <c r="E259" s="129">
        <f t="shared" ref="E259:AX259" si="5">F$14*$B$259</f>
        <v>0</v>
      </c>
      <c r="F259" s="129">
        <f t="shared" si="5"/>
        <v>0</v>
      </c>
      <c r="G259" s="129">
        <f t="shared" si="5"/>
        <v>0</v>
      </c>
      <c r="H259" s="129">
        <f t="shared" si="5"/>
        <v>140698.20294608473</v>
      </c>
      <c r="I259" s="129">
        <f t="shared" si="5"/>
        <v>140698.20294608473</v>
      </c>
      <c r="J259" s="129">
        <f t="shared" si="5"/>
        <v>152058.75746764278</v>
      </c>
      <c r="K259" s="129">
        <f t="shared" si="5"/>
        <v>152058.75746764278</v>
      </c>
      <c r="L259" s="129">
        <f t="shared" si="5"/>
        <v>152058.75746764278</v>
      </c>
      <c r="M259" s="129">
        <f t="shared" si="5"/>
        <v>140698.20294608473</v>
      </c>
      <c r="N259" s="129">
        <f t="shared" si="5"/>
        <v>163419.3119892008</v>
      </c>
      <c r="O259" s="129">
        <f t="shared" si="5"/>
        <v>152058.75746764278</v>
      </c>
      <c r="P259" s="129">
        <f t="shared" si="5"/>
        <v>152058.75746764278</v>
      </c>
      <c r="Q259" s="129">
        <f t="shared" si="5"/>
        <v>152058.75746764278</v>
      </c>
      <c r="R259" s="129">
        <f t="shared" si="5"/>
        <v>152058.75746764278</v>
      </c>
      <c r="S259" s="129">
        <f t="shared" si="5"/>
        <v>152058.75746764278</v>
      </c>
      <c r="T259" s="129">
        <f t="shared" si="5"/>
        <v>152058.75746764278</v>
      </c>
      <c r="U259" s="129">
        <f t="shared" si="5"/>
        <v>156621.0607581923</v>
      </c>
      <c r="V259" s="129">
        <f t="shared" si="5"/>
        <v>156341.17978658024</v>
      </c>
      <c r="W259" s="129">
        <f t="shared" si="5"/>
        <v>152058.75746764278</v>
      </c>
      <c r="X259" s="129">
        <f t="shared" si="5"/>
        <v>152058.75746764278</v>
      </c>
      <c r="Y259" s="129">
        <f t="shared" si="5"/>
        <v>152058.75746764278</v>
      </c>
      <c r="Z259" s="129">
        <f t="shared" si="5"/>
        <v>162005.06626805177</v>
      </c>
      <c r="AA259" s="129">
        <f t="shared" si="5"/>
        <v>155357.5229499561</v>
      </c>
      <c r="AB259" s="129">
        <f t="shared" si="5"/>
        <v>152058.75746764278</v>
      </c>
      <c r="AC259" s="129">
        <f t="shared" si="5"/>
        <v>161465.33806125034</v>
      </c>
      <c r="AD259" s="129">
        <f t="shared" si="5"/>
        <v>152058.75746764278</v>
      </c>
      <c r="AE259" s="129">
        <f t="shared" si="5"/>
        <v>160019.73195124752</v>
      </c>
      <c r="AF259" s="129">
        <f t="shared" si="5"/>
        <v>140698.20294608473</v>
      </c>
      <c r="AG259" s="129">
        <f t="shared" si="5"/>
        <v>163419.3119892008</v>
      </c>
      <c r="AH259" s="129">
        <f t="shared" si="5"/>
        <v>152058.75746764278</v>
      </c>
      <c r="AI259" s="129">
        <f t="shared" si="5"/>
        <v>152058.75746764278</v>
      </c>
      <c r="AJ259" s="129">
        <f t="shared" si="5"/>
        <v>152058.75746764278</v>
      </c>
      <c r="AK259" s="129">
        <f t="shared" si="5"/>
        <v>152058.75746764278</v>
      </c>
      <c r="AL259" s="129">
        <f t="shared" si="5"/>
        <v>159943.10130027047</v>
      </c>
      <c r="AM259" s="129">
        <f t="shared" si="5"/>
        <v>152058.75746764278</v>
      </c>
      <c r="AN259" s="129">
        <f t="shared" si="5"/>
        <v>156077.44803798443</v>
      </c>
      <c r="AO259" s="129">
        <f t="shared" si="5"/>
        <v>152058.75746764278</v>
      </c>
      <c r="AP259" s="129">
        <f t="shared" si="5"/>
        <v>152058.75746764278</v>
      </c>
      <c r="AQ259" s="129">
        <f t="shared" si="5"/>
        <v>152058.75746764278</v>
      </c>
      <c r="AR259" s="129">
        <f t="shared" si="5"/>
        <v>152058.75746764278</v>
      </c>
      <c r="AS259" s="129">
        <f t="shared" si="5"/>
        <v>152058.75746764278</v>
      </c>
      <c r="AT259" s="129">
        <f t="shared" si="5"/>
        <v>158376.88452230798</v>
      </c>
      <c r="AU259" s="129">
        <f t="shared" si="5"/>
        <v>163419.3119892008</v>
      </c>
      <c r="AV259" s="129">
        <f t="shared" si="5"/>
        <v>159104.15746521647</v>
      </c>
      <c r="AW259" s="129">
        <f t="shared" si="5"/>
        <v>152058.75746764278</v>
      </c>
      <c r="AX259" s="129">
        <f t="shared" si="5"/>
        <v>152058.75746764278</v>
      </c>
      <c r="AY259" s="129">
        <f>AZ$14*$B$259</f>
        <v>152058.75746764278</v>
      </c>
      <c r="AZ259" s="144">
        <f>SUM($D259:$AY259)</f>
        <v>6743948.6904793512</v>
      </c>
    </row>
    <row r="260" spans="1:52" x14ac:dyDescent="0.2">
      <c r="A260" s="145" t="s">
        <v>302</v>
      </c>
      <c r="B260" s="119">
        <v>60</v>
      </c>
      <c r="C260" s="130" t="s">
        <v>293</v>
      </c>
      <c r="D260" s="130">
        <f>(D$175-D$176+D$177-D$178+D$179-D$180+D$181-D$182)*$B$260</f>
        <v>56558.665614321981</v>
      </c>
      <c r="E260" s="130">
        <f t="shared" ref="E260:AY260" si="6">(E$175-E$176+E$177-E$178+E$179-E$180+E$181-E$182)*$B$260</f>
        <v>49391.805071795039</v>
      </c>
      <c r="F260" s="130">
        <f t="shared" si="6"/>
        <v>26867.185068591814</v>
      </c>
      <c r="G260" s="130">
        <f t="shared" si="6"/>
        <v>13187.185068591814</v>
      </c>
      <c r="H260" s="130">
        <f t="shared" si="6"/>
        <v>0</v>
      </c>
      <c r="I260" s="130">
        <f t="shared" si="6"/>
        <v>0</v>
      </c>
      <c r="J260" s="130">
        <f t="shared" si="6"/>
        <v>0</v>
      </c>
      <c r="K260" s="130">
        <f t="shared" si="6"/>
        <v>0</v>
      </c>
      <c r="L260" s="130">
        <f t="shared" si="6"/>
        <v>0</v>
      </c>
      <c r="M260" s="130">
        <f t="shared" si="6"/>
        <v>0</v>
      </c>
      <c r="N260" s="130">
        <f t="shared" si="6"/>
        <v>365.78427911610106</v>
      </c>
      <c r="O260" s="130">
        <f t="shared" si="6"/>
        <v>0</v>
      </c>
      <c r="P260" s="130">
        <f t="shared" si="6"/>
        <v>0</v>
      </c>
      <c r="Q260" s="130">
        <f t="shared" si="6"/>
        <v>0</v>
      </c>
      <c r="R260" s="130">
        <f t="shared" si="6"/>
        <v>0</v>
      </c>
      <c r="S260" s="130">
        <f t="shared" si="6"/>
        <v>0</v>
      </c>
      <c r="T260" s="130">
        <f t="shared" si="6"/>
        <v>3515.3728254776524</v>
      </c>
      <c r="U260" s="130">
        <f t="shared" si="6"/>
        <v>3299.7172893778452</v>
      </c>
      <c r="V260" s="130">
        <f t="shared" si="6"/>
        <v>0</v>
      </c>
      <c r="W260" s="130">
        <f t="shared" si="6"/>
        <v>0</v>
      </c>
      <c r="X260" s="130">
        <f t="shared" si="6"/>
        <v>0</v>
      </c>
      <c r="Y260" s="130">
        <f t="shared" si="6"/>
        <v>7663.8884887802988</v>
      </c>
      <c r="Z260" s="130">
        <f t="shared" si="6"/>
        <v>2541.7842251235061</v>
      </c>
      <c r="AA260" s="130">
        <f t="shared" si="6"/>
        <v>0</v>
      </c>
      <c r="AB260" s="130">
        <f t="shared" si="6"/>
        <v>7248.0139292647482</v>
      </c>
      <c r="AC260" s="130">
        <f t="shared" si="6"/>
        <v>0</v>
      </c>
      <c r="AD260" s="130">
        <f t="shared" si="6"/>
        <v>6134.1369877700981</v>
      </c>
      <c r="AE260" s="130">
        <f t="shared" si="6"/>
        <v>0</v>
      </c>
      <c r="AF260" s="130">
        <f t="shared" si="6"/>
        <v>0</v>
      </c>
      <c r="AG260" s="130">
        <f t="shared" si="6"/>
        <v>0</v>
      </c>
      <c r="AH260" s="130">
        <f t="shared" si="6"/>
        <v>527.03812634441874</v>
      </c>
      <c r="AI260" s="130">
        <f t="shared" si="6"/>
        <v>0</v>
      </c>
      <c r="AJ260" s="130">
        <f t="shared" si="6"/>
        <v>0</v>
      </c>
      <c r="AK260" s="130">
        <f t="shared" si="6"/>
        <v>6075.0910868538995</v>
      </c>
      <c r="AL260" s="130">
        <f t="shared" si="6"/>
        <v>0</v>
      </c>
      <c r="AM260" s="130">
        <f t="shared" si="6"/>
        <v>3096.5051477936095</v>
      </c>
      <c r="AN260" s="130">
        <f t="shared" si="6"/>
        <v>2379.1995497715334</v>
      </c>
      <c r="AO260" s="130">
        <f t="shared" si="6"/>
        <v>0</v>
      </c>
      <c r="AP260" s="130">
        <f t="shared" si="6"/>
        <v>0</v>
      </c>
      <c r="AQ260" s="130">
        <f t="shared" si="6"/>
        <v>0</v>
      </c>
      <c r="AR260" s="130">
        <f t="shared" si="6"/>
        <v>0</v>
      </c>
      <c r="AS260" s="130">
        <f t="shared" si="6"/>
        <v>17342.434719579684</v>
      </c>
      <c r="AT260" s="130">
        <f t="shared" si="6"/>
        <v>0</v>
      </c>
      <c r="AU260" s="130">
        <f t="shared" si="6"/>
        <v>5428.6631376292598</v>
      </c>
      <c r="AV260" s="130">
        <f t="shared" si="6"/>
        <v>0</v>
      </c>
      <c r="AW260" s="130">
        <f t="shared" si="6"/>
        <v>0</v>
      </c>
      <c r="AX260" s="130">
        <f t="shared" si="6"/>
        <v>0</v>
      </c>
      <c r="AY260" s="130">
        <f t="shared" si="6"/>
        <v>0</v>
      </c>
      <c r="AZ260" s="146">
        <f>SUM($D260:$AY260)</f>
        <v>211622.47061618327</v>
      </c>
    </row>
  </sheetData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76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5" customWidth="1"/>
    <col min="2" max="2" width="12.7109375" style="105" customWidth="1"/>
    <col min="3" max="16384" width="9.140625" style="105"/>
  </cols>
  <sheetData>
    <row r="1" spans="1:54" x14ac:dyDescent="0.2">
      <c r="A1" s="107" t="s">
        <v>284</v>
      </c>
    </row>
    <row r="2" spans="1:54" x14ac:dyDescent="0.2">
      <c r="A2" s="105" t="s">
        <v>285</v>
      </c>
      <c r="B2" s="112" t="s">
        <v>57</v>
      </c>
    </row>
    <row r="3" spans="1:54" x14ac:dyDescent="0.2">
      <c r="A3" s="105" t="s">
        <v>286</v>
      </c>
      <c r="B3" s="113">
        <v>750</v>
      </c>
      <c r="C3" s="114"/>
    </row>
    <row r="4" spans="1:54" x14ac:dyDescent="0.2">
      <c r="B4" s="115"/>
      <c r="C4" s="115"/>
    </row>
    <row r="5" spans="1:54" x14ac:dyDescent="0.2">
      <c r="C5" s="116" t="s">
        <v>287</v>
      </c>
    </row>
    <row r="6" spans="1:54" x14ac:dyDescent="0.2">
      <c r="C6" s="117">
        <v>0</v>
      </c>
      <c r="D6" s="117">
        <v>1</v>
      </c>
      <c r="E6" s="117">
        <v>2</v>
      </c>
      <c r="F6" s="117">
        <v>3</v>
      </c>
      <c r="G6" s="117">
        <v>4</v>
      </c>
      <c r="H6" s="117">
        <v>5</v>
      </c>
      <c r="I6" s="117">
        <v>6</v>
      </c>
      <c r="J6" s="117">
        <v>7</v>
      </c>
      <c r="K6" s="117">
        <v>8</v>
      </c>
      <c r="L6" s="117">
        <v>9</v>
      </c>
      <c r="M6" s="117">
        <v>10</v>
      </c>
      <c r="N6" s="117">
        <v>11</v>
      </c>
      <c r="O6" s="117">
        <v>12</v>
      </c>
      <c r="P6" s="117">
        <v>13</v>
      </c>
      <c r="Q6" s="117">
        <v>14</v>
      </c>
      <c r="R6" s="117">
        <v>15</v>
      </c>
      <c r="S6" s="117">
        <v>16</v>
      </c>
      <c r="T6" s="117">
        <v>17</v>
      </c>
      <c r="U6" s="117">
        <v>18</v>
      </c>
      <c r="V6" s="117">
        <v>19</v>
      </c>
      <c r="W6" s="117">
        <v>20</v>
      </c>
      <c r="X6" s="117">
        <v>21</v>
      </c>
      <c r="Y6" s="117">
        <v>22</v>
      </c>
      <c r="Z6" s="117">
        <v>23</v>
      </c>
      <c r="AA6" s="117">
        <v>24</v>
      </c>
      <c r="AB6" s="117">
        <v>25</v>
      </c>
      <c r="AC6" s="117">
        <v>26</v>
      </c>
      <c r="AD6" s="117">
        <v>27</v>
      </c>
      <c r="AE6" s="117">
        <v>28</v>
      </c>
      <c r="AF6" s="117">
        <v>29</v>
      </c>
      <c r="AG6" s="117">
        <v>30</v>
      </c>
      <c r="AH6" s="117">
        <v>31</v>
      </c>
      <c r="AI6" s="117">
        <v>32</v>
      </c>
      <c r="AJ6" s="117">
        <v>33</v>
      </c>
      <c r="AK6" s="117">
        <v>34</v>
      </c>
      <c r="AL6" s="117">
        <v>35</v>
      </c>
      <c r="AM6" s="117">
        <v>36</v>
      </c>
      <c r="AN6" s="117">
        <v>37</v>
      </c>
      <c r="AO6" s="117">
        <v>38</v>
      </c>
      <c r="AP6" s="117">
        <v>39</v>
      </c>
      <c r="AQ6" s="117">
        <v>40</v>
      </c>
      <c r="AR6" s="117">
        <v>41</v>
      </c>
      <c r="AS6" s="117">
        <v>42</v>
      </c>
      <c r="AT6" s="117">
        <v>43</v>
      </c>
      <c r="AU6" s="117">
        <v>44</v>
      </c>
      <c r="AV6" s="117">
        <v>45</v>
      </c>
      <c r="AW6" s="117">
        <v>46</v>
      </c>
      <c r="AX6" s="117">
        <v>47</v>
      </c>
      <c r="AY6" s="117">
        <v>48</v>
      </c>
    </row>
    <row r="7" spans="1:54" x14ac:dyDescent="0.2">
      <c r="B7" s="115"/>
      <c r="C7" s="118" t="s">
        <v>288</v>
      </c>
      <c r="D7" s="117" t="s">
        <v>289</v>
      </c>
      <c r="E7" s="117" t="s">
        <v>289</v>
      </c>
      <c r="F7" s="117" t="s">
        <v>289</v>
      </c>
      <c r="G7" s="117" t="s">
        <v>289</v>
      </c>
      <c r="H7" s="117" t="s">
        <v>289</v>
      </c>
      <c r="I7" s="117" t="s">
        <v>289</v>
      </c>
      <c r="J7" s="117" t="s">
        <v>289</v>
      </c>
      <c r="K7" s="117" t="s">
        <v>289</v>
      </c>
      <c r="L7" s="117" t="s">
        <v>289</v>
      </c>
      <c r="M7" s="117" t="s">
        <v>289</v>
      </c>
      <c r="N7" s="117" t="s">
        <v>289</v>
      </c>
      <c r="O7" s="117" t="s">
        <v>289</v>
      </c>
      <c r="P7" s="117" t="s">
        <v>289</v>
      </c>
      <c r="Q7" s="117" t="s">
        <v>289</v>
      </c>
      <c r="R7" s="117" t="s">
        <v>289</v>
      </c>
      <c r="S7" s="117" t="s">
        <v>289</v>
      </c>
      <c r="T7" s="117" t="s">
        <v>289</v>
      </c>
      <c r="U7" s="117" t="s">
        <v>289</v>
      </c>
      <c r="V7" s="117" t="s">
        <v>289</v>
      </c>
      <c r="W7" s="117" t="s">
        <v>289</v>
      </c>
      <c r="X7" s="117" t="s">
        <v>289</v>
      </c>
      <c r="Y7" s="117" t="s">
        <v>289</v>
      </c>
      <c r="Z7" s="117" t="s">
        <v>289</v>
      </c>
      <c r="AA7" s="117" t="s">
        <v>289</v>
      </c>
      <c r="AB7" s="117" t="s">
        <v>289</v>
      </c>
      <c r="AC7" s="117" t="s">
        <v>289</v>
      </c>
      <c r="AD7" s="117" t="s">
        <v>289</v>
      </c>
      <c r="AE7" s="117" t="s">
        <v>289</v>
      </c>
      <c r="AF7" s="117" t="s">
        <v>289</v>
      </c>
      <c r="AG7" s="117" t="s">
        <v>289</v>
      </c>
      <c r="AH7" s="117" t="s">
        <v>289</v>
      </c>
      <c r="AI7" s="117" t="s">
        <v>289</v>
      </c>
      <c r="AJ7" s="117" t="s">
        <v>289</v>
      </c>
      <c r="AK7" s="117" t="s">
        <v>289</v>
      </c>
      <c r="AL7" s="117" t="s">
        <v>289</v>
      </c>
      <c r="AM7" s="117" t="s">
        <v>289</v>
      </c>
      <c r="AN7" s="117" t="s">
        <v>289</v>
      </c>
      <c r="AO7" s="117" t="s">
        <v>289</v>
      </c>
      <c r="AP7" s="117" t="s">
        <v>289</v>
      </c>
      <c r="AQ7" s="117" t="s">
        <v>289</v>
      </c>
      <c r="AR7" s="117" t="s">
        <v>289</v>
      </c>
      <c r="AS7" s="117" t="s">
        <v>289</v>
      </c>
      <c r="AT7" s="117" t="s">
        <v>289</v>
      </c>
      <c r="AU7" s="117" t="s">
        <v>289</v>
      </c>
      <c r="AV7" s="117" t="s">
        <v>289</v>
      </c>
      <c r="AW7" s="117" t="s">
        <v>289</v>
      </c>
      <c r="AX7" s="117" t="s">
        <v>289</v>
      </c>
      <c r="AY7" s="116" t="s">
        <v>290</v>
      </c>
      <c r="AZ7" s="116" t="s">
        <v>291</v>
      </c>
    </row>
    <row r="8" spans="1:54" x14ac:dyDescent="0.2">
      <c r="A8" s="107" t="s">
        <v>292</v>
      </c>
      <c r="B8" s="119"/>
      <c r="AY8" s="115"/>
    </row>
    <row r="9" spans="1:54" x14ac:dyDescent="0.2">
      <c r="A9" s="120" t="s">
        <v>125</v>
      </c>
      <c r="B9" s="121">
        <v>1</v>
      </c>
      <c r="C9" s="122" t="s">
        <v>293</v>
      </c>
      <c r="D9" s="122">
        <v>0</v>
      </c>
      <c r="E9" s="122">
        <v>0</v>
      </c>
      <c r="F9" s="122">
        <v>0</v>
      </c>
      <c r="G9" s="122">
        <v>0</v>
      </c>
      <c r="H9" s="122">
        <v>221.27895515439999</v>
      </c>
      <c r="I9" s="122">
        <v>221.27895515439999</v>
      </c>
      <c r="J9" s="122">
        <v>221.27895515439999</v>
      </c>
      <c r="K9" s="122">
        <v>221.27895515439999</v>
      </c>
      <c r="L9" s="122">
        <v>221.27895515439999</v>
      </c>
      <c r="M9" s="122">
        <v>221.27895515439999</v>
      </c>
      <c r="N9" s="122">
        <v>221.27895515439999</v>
      </c>
      <c r="O9" s="122">
        <v>221.27895515439999</v>
      </c>
      <c r="P9" s="122">
        <v>221.27895515439999</v>
      </c>
      <c r="Q9" s="122">
        <v>221.27895515439999</v>
      </c>
      <c r="R9" s="122">
        <v>221.27895515439999</v>
      </c>
      <c r="S9" s="122">
        <v>221.27895515439999</v>
      </c>
      <c r="T9" s="122">
        <v>221.27895515439999</v>
      </c>
      <c r="U9" s="122">
        <v>221.27895515439999</v>
      </c>
      <c r="V9" s="122">
        <v>221.27895515439999</v>
      </c>
      <c r="W9" s="122">
        <v>221.27895515439999</v>
      </c>
      <c r="X9" s="122">
        <v>221.27895515439999</v>
      </c>
      <c r="Y9" s="122">
        <v>221.27895515439999</v>
      </c>
      <c r="Z9" s="122">
        <v>221.27895515439999</v>
      </c>
      <c r="AA9" s="122">
        <v>221.27895515439999</v>
      </c>
      <c r="AB9" s="122">
        <v>221.27895515439999</v>
      </c>
      <c r="AC9" s="122">
        <v>221.27895515439999</v>
      </c>
      <c r="AD9" s="122">
        <v>221.27895515439999</v>
      </c>
      <c r="AE9" s="122">
        <v>221.27895515439999</v>
      </c>
      <c r="AF9" s="122">
        <v>221.27895515439999</v>
      </c>
      <c r="AG9" s="122">
        <v>221.27895515439999</v>
      </c>
      <c r="AH9" s="122">
        <v>221.27895515439999</v>
      </c>
      <c r="AI9" s="122">
        <v>221.27895515439999</v>
      </c>
      <c r="AJ9" s="122">
        <v>221.27895515439999</v>
      </c>
      <c r="AK9" s="122">
        <v>221.27895515439999</v>
      </c>
      <c r="AL9" s="122">
        <v>221.27895515439999</v>
      </c>
      <c r="AM9" s="122">
        <v>221.27895515439999</v>
      </c>
      <c r="AN9" s="122">
        <v>221.27895515439999</v>
      </c>
      <c r="AO9" s="122">
        <v>221.27895515439999</v>
      </c>
      <c r="AP9" s="122">
        <v>221.27895515439999</v>
      </c>
      <c r="AQ9" s="122">
        <v>221.27895515439999</v>
      </c>
      <c r="AR9" s="122">
        <v>221.27895515439999</v>
      </c>
      <c r="AS9" s="122">
        <v>221.27895515439999</v>
      </c>
      <c r="AT9" s="122">
        <v>221.27895515439999</v>
      </c>
      <c r="AU9" s="122">
        <v>221.27895515439999</v>
      </c>
      <c r="AV9" s="122">
        <v>221.27895515439999</v>
      </c>
      <c r="AW9" s="122">
        <v>221.27895515439999</v>
      </c>
      <c r="AX9" s="122">
        <v>221.27895515439999</v>
      </c>
      <c r="AY9" s="122">
        <v>221.27895515439999</v>
      </c>
    </row>
    <row r="10" spans="1:54" x14ac:dyDescent="0.2">
      <c r="A10" s="123" t="s">
        <v>133</v>
      </c>
      <c r="B10" s="124">
        <v>1</v>
      </c>
      <c r="C10" s="111" t="s">
        <v>293</v>
      </c>
      <c r="D10" s="105">
        <v>103.34177215189874</v>
      </c>
      <c r="E10" s="105">
        <v>0</v>
      </c>
      <c r="F10" s="105">
        <v>93.384405668354432</v>
      </c>
      <c r="G10" s="105">
        <v>0</v>
      </c>
      <c r="H10" s="105">
        <v>0</v>
      </c>
      <c r="I10" s="105">
        <v>0</v>
      </c>
      <c r="J10" s="105">
        <v>82.316090235082243</v>
      </c>
      <c r="K10" s="105">
        <v>82.316090235082243</v>
      </c>
      <c r="L10" s="105">
        <v>0</v>
      </c>
      <c r="M10" s="105">
        <v>128.3869</v>
      </c>
      <c r="N10" s="105">
        <v>82.316090235082243</v>
      </c>
      <c r="O10" s="105">
        <v>82.316090235082243</v>
      </c>
      <c r="P10" s="105">
        <v>82.316090235082243</v>
      </c>
      <c r="Q10" s="105">
        <v>82.316090235082243</v>
      </c>
      <c r="R10" s="105">
        <v>0</v>
      </c>
      <c r="S10" s="105">
        <v>128.3869</v>
      </c>
      <c r="T10" s="105">
        <v>82.316090235082243</v>
      </c>
      <c r="U10" s="105">
        <v>82.316090235082243</v>
      </c>
      <c r="V10" s="105">
        <v>82.316090235082243</v>
      </c>
      <c r="W10" s="105">
        <v>82.316090235082243</v>
      </c>
      <c r="X10" s="105">
        <v>82.316090235082243</v>
      </c>
      <c r="Y10" s="105">
        <v>82.316090235082243</v>
      </c>
      <c r="Z10" s="105">
        <v>82.316090235082243</v>
      </c>
      <c r="AA10" s="105">
        <v>82.316090235082243</v>
      </c>
      <c r="AB10" s="105">
        <v>82.316090235082243</v>
      </c>
      <c r="AC10" s="105">
        <v>82.316090235082243</v>
      </c>
      <c r="AD10" s="105">
        <v>82.316090235082243</v>
      </c>
      <c r="AE10" s="105">
        <v>82.316090235082243</v>
      </c>
      <c r="AF10" s="105">
        <v>82.316090235082243</v>
      </c>
      <c r="AG10" s="105">
        <v>82.316090235082243</v>
      </c>
      <c r="AH10" s="105">
        <v>82.316090235082243</v>
      </c>
      <c r="AI10" s="105">
        <v>82.316090235082243</v>
      </c>
      <c r="AJ10" s="105">
        <v>82.316090235082243</v>
      </c>
      <c r="AK10" s="105">
        <v>82.316090235082243</v>
      </c>
      <c r="AL10" s="105">
        <v>82.316090235082243</v>
      </c>
      <c r="AM10" s="105">
        <v>0</v>
      </c>
      <c r="AN10" s="105">
        <v>128.3869</v>
      </c>
      <c r="AO10" s="105">
        <v>82.316090235082243</v>
      </c>
      <c r="AP10" s="105">
        <v>82.316090235082243</v>
      </c>
      <c r="AQ10" s="105">
        <v>82.316090235082243</v>
      </c>
      <c r="AR10" s="105">
        <v>82.316090235082243</v>
      </c>
      <c r="AS10" s="105">
        <v>82.316090235082243</v>
      </c>
      <c r="AT10" s="105">
        <v>82.316090235082243</v>
      </c>
      <c r="AU10" s="105">
        <v>82.316090235082243</v>
      </c>
      <c r="AV10" s="105">
        <v>82.316090235082243</v>
      </c>
      <c r="AW10" s="105">
        <v>82.316090235082243</v>
      </c>
      <c r="AX10" s="105">
        <v>82.316090235082243</v>
      </c>
      <c r="AY10" s="105">
        <v>82.316090235082243</v>
      </c>
      <c r="AZ10" s="105">
        <v>82.316090235082243</v>
      </c>
    </row>
    <row r="11" spans="1:54" x14ac:dyDescent="0.2">
      <c r="B11" s="124">
        <v>2</v>
      </c>
      <c r="C11" s="111" t="s">
        <v>293</v>
      </c>
      <c r="F11" s="105">
        <v>0</v>
      </c>
      <c r="G11" s="105">
        <v>0</v>
      </c>
      <c r="H11" s="105">
        <v>0</v>
      </c>
      <c r="I11" s="105">
        <v>0</v>
      </c>
      <c r="J11" s="105">
        <v>0</v>
      </c>
      <c r="L11" s="105">
        <v>0</v>
      </c>
      <c r="M11" s="105">
        <v>0</v>
      </c>
      <c r="N11" s="105">
        <v>0</v>
      </c>
      <c r="O11" s="105">
        <v>0</v>
      </c>
      <c r="P11" s="105">
        <v>0</v>
      </c>
      <c r="Q11" s="105">
        <v>0</v>
      </c>
      <c r="R11" s="105">
        <v>0</v>
      </c>
      <c r="S11" s="105">
        <v>0</v>
      </c>
      <c r="T11" s="105">
        <v>0</v>
      </c>
      <c r="U11" s="105">
        <v>0</v>
      </c>
      <c r="V11" s="105">
        <v>0</v>
      </c>
      <c r="W11" s="105">
        <v>0</v>
      </c>
      <c r="X11" s="105">
        <v>0</v>
      </c>
      <c r="Y11" s="105">
        <v>0</v>
      </c>
      <c r="Z11" s="105">
        <v>0</v>
      </c>
      <c r="AA11" s="105">
        <v>0</v>
      </c>
      <c r="AB11" s="105">
        <v>0</v>
      </c>
      <c r="AD11" s="105">
        <v>0</v>
      </c>
      <c r="AE11" s="105">
        <v>0</v>
      </c>
      <c r="AF11" s="105">
        <v>0</v>
      </c>
      <c r="AG11" s="105">
        <v>0</v>
      </c>
      <c r="AH11" s="105">
        <v>0</v>
      </c>
      <c r="AI11" s="105">
        <v>0</v>
      </c>
      <c r="AJ11" s="105">
        <v>0</v>
      </c>
      <c r="AK11" s="105">
        <v>0</v>
      </c>
      <c r="AL11" s="105">
        <v>0</v>
      </c>
      <c r="AM11" s="105">
        <v>0</v>
      </c>
      <c r="AN11" s="105">
        <v>0</v>
      </c>
      <c r="AO11" s="105">
        <v>0</v>
      </c>
      <c r="AP11" s="105">
        <v>0</v>
      </c>
      <c r="AQ11" s="105">
        <v>0</v>
      </c>
      <c r="AR11" s="105">
        <v>0</v>
      </c>
      <c r="AT11" s="105">
        <v>0</v>
      </c>
      <c r="AU11" s="105">
        <v>0</v>
      </c>
      <c r="AV11" s="105">
        <v>0</v>
      </c>
      <c r="AW11" s="105">
        <v>0</v>
      </c>
      <c r="AY11" s="105">
        <v>0</v>
      </c>
      <c r="AZ11" s="105">
        <v>0</v>
      </c>
      <c r="BA11" s="105">
        <v>0</v>
      </c>
    </row>
    <row r="12" spans="1:54" x14ac:dyDescent="0.2">
      <c r="B12" s="125">
        <v>3</v>
      </c>
      <c r="C12" s="111" t="s">
        <v>293</v>
      </c>
      <c r="E12" s="105">
        <v>0</v>
      </c>
      <c r="F12" s="105">
        <v>0</v>
      </c>
      <c r="G12" s="105">
        <v>0</v>
      </c>
      <c r="J12" s="105">
        <v>0</v>
      </c>
      <c r="L12" s="105">
        <v>0</v>
      </c>
      <c r="M12" s="105">
        <v>0</v>
      </c>
      <c r="N12" s="105">
        <v>0</v>
      </c>
      <c r="O12" s="105">
        <v>0</v>
      </c>
      <c r="P12" s="105">
        <v>0</v>
      </c>
      <c r="Q12" s="105">
        <v>0</v>
      </c>
      <c r="R12" s="105">
        <v>0</v>
      </c>
      <c r="V12" s="105">
        <v>0</v>
      </c>
      <c r="W12" s="105">
        <v>0</v>
      </c>
      <c r="Y12" s="105">
        <v>0</v>
      </c>
      <c r="Z12" s="105">
        <v>0</v>
      </c>
      <c r="AD12" s="105">
        <v>0</v>
      </c>
      <c r="AE12" s="105">
        <v>0</v>
      </c>
      <c r="AF12" s="105">
        <v>0</v>
      </c>
      <c r="AG12" s="105">
        <v>0</v>
      </c>
      <c r="AH12" s="105">
        <v>0</v>
      </c>
      <c r="AI12" s="105">
        <v>0</v>
      </c>
      <c r="AJ12" s="105">
        <v>0</v>
      </c>
      <c r="AK12" s="105">
        <v>0</v>
      </c>
      <c r="AL12" s="105">
        <v>0</v>
      </c>
      <c r="AO12" s="105">
        <v>0</v>
      </c>
      <c r="AQ12" s="105">
        <v>0</v>
      </c>
      <c r="AR12" s="105">
        <v>0</v>
      </c>
      <c r="AS12" s="105">
        <v>0</v>
      </c>
      <c r="AT12" s="105">
        <v>0</v>
      </c>
      <c r="AU12" s="105">
        <v>0</v>
      </c>
      <c r="AV12" s="105">
        <v>0</v>
      </c>
      <c r="AW12" s="105">
        <v>0</v>
      </c>
      <c r="AX12" s="105">
        <v>0</v>
      </c>
      <c r="AY12" s="105">
        <v>0</v>
      </c>
      <c r="BB12" s="105">
        <v>0</v>
      </c>
    </row>
    <row r="13" spans="1:54" x14ac:dyDescent="0.2">
      <c r="B13" s="125">
        <v>4</v>
      </c>
      <c r="C13" s="111" t="s">
        <v>293</v>
      </c>
      <c r="F13" s="105">
        <v>0</v>
      </c>
      <c r="H13" s="105">
        <v>0</v>
      </c>
      <c r="Q13" s="105">
        <v>0</v>
      </c>
      <c r="R13" s="105">
        <v>0</v>
      </c>
      <c r="U13" s="105">
        <v>0</v>
      </c>
      <c r="AC13" s="105">
        <v>0</v>
      </c>
      <c r="AE13" s="105">
        <v>0</v>
      </c>
      <c r="AI13" s="105">
        <v>0</v>
      </c>
      <c r="AO13" s="105">
        <v>0</v>
      </c>
    </row>
    <row r="14" spans="1:54" x14ac:dyDescent="0.2">
      <c r="A14" s="120" t="s">
        <v>134</v>
      </c>
      <c r="B14" s="126">
        <v>1</v>
      </c>
      <c r="C14" s="122" t="s">
        <v>293</v>
      </c>
      <c r="D14" s="122">
        <v>84.413521647307292</v>
      </c>
      <c r="E14" s="122">
        <f t="shared" ref="E14:AZ14" si="0">D$172*SUM(D$122:D$169)</f>
        <v>0</v>
      </c>
      <c r="F14" s="122">
        <f t="shared" si="0"/>
        <v>0</v>
      </c>
      <c r="G14" s="122">
        <f t="shared" si="0"/>
        <v>0</v>
      </c>
      <c r="H14" s="122">
        <f t="shared" si="0"/>
        <v>0</v>
      </c>
      <c r="I14" s="122">
        <f t="shared" si="0"/>
        <v>50.614148379907462</v>
      </c>
      <c r="J14" s="122">
        <f t="shared" si="0"/>
        <v>50.614148379907462</v>
      </c>
      <c r="K14" s="122">
        <f t="shared" si="0"/>
        <v>68.055443024979127</v>
      </c>
      <c r="L14" s="122">
        <f t="shared" si="0"/>
        <v>68.055443024979127</v>
      </c>
      <c r="M14" s="122">
        <f t="shared" si="0"/>
        <v>50.614148379907462</v>
      </c>
      <c r="N14" s="122">
        <f t="shared" si="0"/>
        <v>77.817016556377467</v>
      </c>
      <c r="O14" s="122">
        <f t="shared" si="0"/>
        <v>68.055443024979127</v>
      </c>
      <c r="P14" s="122">
        <f t="shared" si="0"/>
        <v>68.055443024979127</v>
      </c>
      <c r="Q14" s="122">
        <f t="shared" si="0"/>
        <v>68.055443024979127</v>
      </c>
      <c r="R14" s="122">
        <f t="shared" si="0"/>
        <v>68.055443024979127</v>
      </c>
      <c r="S14" s="122">
        <f t="shared" si="0"/>
        <v>50.614148379907462</v>
      </c>
      <c r="T14" s="122">
        <f t="shared" si="0"/>
        <v>77.817016556377467</v>
      </c>
      <c r="U14" s="122">
        <f t="shared" si="0"/>
        <v>68.055443024979127</v>
      </c>
      <c r="V14" s="122">
        <f t="shared" si="0"/>
        <v>68.055443024979127</v>
      </c>
      <c r="W14" s="122">
        <f t="shared" si="0"/>
        <v>68.055443024979127</v>
      </c>
      <c r="X14" s="122">
        <f t="shared" si="0"/>
        <v>68.055443024979127</v>
      </c>
      <c r="Y14" s="122">
        <f t="shared" si="0"/>
        <v>68.055443024979127</v>
      </c>
      <c r="Z14" s="122">
        <f t="shared" si="0"/>
        <v>68.055443024979127</v>
      </c>
      <c r="AA14" s="122">
        <f t="shared" si="0"/>
        <v>68.055443024979127</v>
      </c>
      <c r="AB14" s="122">
        <f t="shared" si="0"/>
        <v>68.055443024979127</v>
      </c>
      <c r="AC14" s="122">
        <f t="shared" si="0"/>
        <v>68.055443024979127</v>
      </c>
      <c r="AD14" s="122">
        <f t="shared" si="0"/>
        <v>68.055443024979127</v>
      </c>
      <c r="AE14" s="122">
        <f t="shared" si="0"/>
        <v>68.055443024979127</v>
      </c>
      <c r="AF14" s="122">
        <f t="shared" si="0"/>
        <v>68.055443024979127</v>
      </c>
      <c r="AG14" s="122">
        <f t="shared" si="0"/>
        <v>68.055443024979127</v>
      </c>
      <c r="AH14" s="122">
        <f t="shared" si="0"/>
        <v>68.055443024979127</v>
      </c>
      <c r="AI14" s="122">
        <f t="shared" si="0"/>
        <v>68.055443024979127</v>
      </c>
      <c r="AJ14" s="122">
        <f t="shared" si="0"/>
        <v>68.055443024979127</v>
      </c>
      <c r="AK14" s="122">
        <f t="shared" si="0"/>
        <v>68.055443024979127</v>
      </c>
      <c r="AL14" s="122">
        <f t="shared" si="0"/>
        <v>68.055443024979127</v>
      </c>
      <c r="AM14" s="122">
        <f t="shared" si="0"/>
        <v>68.055443024979127</v>
      </c>
      <c r="AN14" s="122">
        <f t="shared" si="0"/>
        <v>50.614148379907462</v>
      </c>
      <c r="AO14" s="122">
        <f t="shared" si="0"/>
        <v>77.817016556377467</v>
      </c>
      <c r="AP14" s="122">
        <f t="shared" si="0"/>
        <v>68.055443024979127</v>
      </c>
      <c r="AQ14" s="122">
        <f t="shared" si="0"/>
        <v>68.055443024979127</v>
      </c>
      <c r="AR14" s="122">
        <f t="shared" si="0"/>
        <v>68.055443024979127</v>
      </c>
      <c r="AS14" s="122">
        <f t="shared" si="0"/>
        <v>68.055443024979127</v>
      </c>
      <c r="AT14" s="122">
        <f t="shared" si="0"/>
        <v>68.055443024979127</v>
      </c>
      <c r="AU14" s="122">
        <f t="shared" si="0"/>
        <v>68.055443024979127</v>
      </c>
      <c r="AV14" s="122">
        <f t="shared" si="0"/>
        <v>68.055443024979127</v>
      </c>
      <c r="AW14" s="122">
        <f t="shared" si="0"/>
        <v>68.055443024979127</v>
      </c>
      <c r="AX14" s="122">
        <f t="shared" si="0"/>
        <v>68.055443024979127</v>
      </c>
      <c r="AY14" s="122">
        <f t="shared" si="0"/>
        <v>68.055443024979127</v>
      </c>
      <c r="AZ14" s="115">
        <f t="shared" si="0"/>
        <v>68.055443024979127</v>
      </c>
      <c r="BA14" s="112">
        <f>SUM($E14:$AZ14)</f>
        <v>2936.5177404679152</v>
      </c>
    </row>
    <row r="15" spans="1:54" x14ac:dyDescent="0.2">
      <c r="A15" s="127" t="s">
        <v>123</v>
      </c>
      <c r="B15" s="128">
        <v>1</v>
      </c>
      <c r="C15" s="129" t="s">
        <v>293</v>
      </c>
      <c r="D15" s="129">
        <v>78.500000000000014</v>
      </c>
      <c r="E15" s="129">
        <v>0</v>
      </c>
      <c r="F15" s="129">
        <v>88.457366483544305</v>
      </c>
      <c r="G15" s="129">
        <v>0</v>
      </c>
      <c r="H15" s="129">
        <v>226.27553272727275</v>
      </c>
      <c r="I15" s="129">
        <v>226.27553272727275</v>
      </c>
      <c r="J15" s="129">
        <v>304.24855733779049</v>
      </c>
      <c r="K15" s="129">
        <v>304.24855733779049</v>
      </c>
      <c r="L15" s="129">
        <v>226.27553272727275</v>
      </c>
      <c r="M15" s="129">
        <v>347.88863272727275</v>
      </c>
      <c r="N15" s="129">
        <v>304.24855733779049</v>
      </c>
      <c r="O15" s="129">
        <v>304.24855733779049</v>
      </c>
      <c r="P15" s="129">
        <v>304.24855733779049</v>
      </c>
      <c r="Q15" s="129">
        <v>304.24855733779049</v>
      </c>
      <c r="R15" s="129">
        <v>226.27553272727275</v>
      </c>
      <c r="S15" s="129">
        <v>347.88863272727275</v>
      </c>
      <c r="T15" s="129">
        <v>304.24855733779049</v>
      </c>
      <c r="U15" s="129">
        <v>304.24855733779049</v>
      </c>
      <c r="V15" s="129">
        <v>304.24855733779049</v>
      </c>
      <c r="W15" s="129">
        <v>304.24855733779049</v>
      </c>
      <c r="X15" s="129">
        <v>304.24855733779049</v>
      </c>
      <c r="Y15" s="129">
        <v>304.24855733779049</v>
      </c>
      <c r="Z15" s="129">
        <v>304.24855733779049</v>
      </c>
      <c r="AA15" s="129">
        <v>304.24855733779049</v>
      </c>
      <c r="AB15" s="129">
        <v>304.24855733779049</v>
      </c>
      <c r="AC15" s="129">
        <v>304.24855733779049</v>
      </c>
      <c r="AD15" s="129">
        <v>304.24855733779049</v>
      </c>
      <c r="AE15" s="129">
        <v>304.24855733779049</v>
      </c>
      <c r="AF15" s="129">
        <v>304.24855733779049</v>
      </c>
      <c r="AG15" s="129">
        <v>304.24855733779049</v>
      </c>
      <c r="AH15" s="129">
        <v>304.24855733779049</v>
      </c>
      <c r="AI15" s="129">
        <v>304.24855733779049</v>
      </c>
      <c r="AJ15" s="129">
        <v>304.24855733779049</v>
      </c>
      <c r="AK15" s="129">
        <v>304.24855733779049</v>
      </c>
      <c r="AL15" s="129">
        <v>304.24855733779049</v>
      </c>
      <c r="AM15" s="129">
        <v>226.27553272727275</v>
      </c>
      <c r="AN15" s="129">
        <v>347.88863272727275</v>
      </c>
      <c r="AO15" s="129">
        <v>304.24855733779049</v>
      </c>
      <c r="AP15" s="129">
        <v>304.24855733779049</v>
      </c>
      <c r="AQ15" s="129">
        <v>304.24855733779049</v>
      </c>
      <c r="AR15" s="129">
        <v>304.24855733779049</v>
      </c>
      <c r="AS15" s="129">
        <v>304.24855733779049</v>
      </c>
      <c r="AT15" s="129">
        <v>304.24855733779049</v>
      </c>
      <c r="AU15" s="129">
        <v>304.24855733779049</v>
      </c>
      <c r="AV15" s="129">
        <v>304.24855733779049</v>
      </c>
      <c r="AW15" s="129">
        <v>304.24855733779049</v>
      </c>
      <c r="AX15" s="129">
        <v>304.24855733779049</v>
      </c>
      <c r="AY15" s="129">
        <v>304.24855733779049</v>
      </c>
      <c r="AZ15" s="105">
        <v>77.973024610517726</v>
      </c>
    </row>
    <row r="16" spans="1:54" x14ac:dyDescent="0.2">
      <c r="A16" s="115"/>
      <c r="B16" s="124">
        <v>2</v>
      </c>
      <c r="C16" s="114" t="s">
        <v>293</v>
      </c>
      <c r="D16" s="111"/>
      <c r="E16" s="115"/>
      <c r="F16" s="115">
        <v>0</v>
      </c>
      <c r="G16" s="115">
        <v>0</v>
      </c>
      <c r="H16" s="115">
        <v>0</v>
      </c>
      <c r="I16" s="115">
        <v>0</v>
      </c>
      <c r="J16" s="115">
        <v>0</v>
      </c>
      <c r="K16" s="115"/>
      <c r="L16" s="115">
        <v>0</v>
      </c>
      <c r="M16" s="115">
        <v>0</v>
      </c>
      <c r="N16" s="115">
        <v>0</v>
      </c>
      <c r="O16" s="115">
        <v>0</v>
      </c>
      <c r="P16" s="115">
        <v>0</v>
      </c>
      <c r="Q16" s="115">
        <v>0</v>
      </c>
      <c r="R16" s="115">
        <v>0</v>
      </c>
      <c r="S16" s="115">
        <v>0</v>
      </c>
      <c r="T16" s="115">
        <v>0</v>
      </c>
      <c r="U16" s="115">
        <v>0</v>
      </c>
      <c r="V16" s="115">
        <v>0</v>
      </c>
      <c r="W16" s="115">
        <v>0</v>
      </c>
      <c r="X16" s="115">
        <v>0</v>
      </c>
      <c r="Y16" s="115">
        <v>0</v>
      </c>
      <c r="Z16" s="115">
        <v>0</v>
      </c>
      <c r="AA16" s="115">
        <v>0</v>
      </c>
      <c r="AB16" s="115">
        <v>0</v>
      </c>
      <c r="AC16" s="115"/>
      <c r="AD16" s="115">
        <v>0</v>
      </c>
      <c r="AE16" s="115">
        <v>0</v>
      </c>
      <c r="AF16" s="115">
        <v>0</v>
      </c>
      <c r="AG16" s="115">
        <v>0</v>
      </c>
      <c r="AH16" s="115">
        <v>0</v>
      </c>
      <c r="AI16" s="115">
        <v>0</v>
      </c>
      <c r="AJ16" s="115">
        <v>0</v>
      </c>
      <c r="AK16" s="115">
        <v>0</v>
      </c>
      <c r="AL16" s="115">
        <v>0</v>
      </c>
      <c r="AM16" s="115">
        <v>0</v>
      </c>
      <c r="AN16" s="115">
        <v>0</v>
      </c>
      <c r="AO16" s="115">
        <v>0</v>
      </c>
      <c r="AP16" s="115">
        <v>0</v>
      </c>
      <c r="AQ16" s="115">
        <v>0</v>
      </c>
      <c r="AR16" s="115">
        <v>0</v>
      </c>
      <c r="AS16" s="115"/>
      <c r="AT16" s="115">
        <v>0</v>
      </c>
      <c r="AU16" s="115">
        <v>0</v>
      </c>
      <c r="AV16" s="115">
        <v>0</v>
      </c>
      <c r="AW16" s="115">
        <v>0</v>
      </c>
      <c r="AX16" s="115"/>
      <c r="AY16" s="115">
        <v>0</v>
      </c>
      <c r="AZ16" s="105">
        <v>0</v>
      </c>
      <c r="BA16" s="105">
        <v>0</v>
      </c>
    </row>
    <row r="17" spans="1:54" x14ac:dyDescent="0.2">
      <c r="A17" s="115"/>
      <c r="B17" s="124">
        <v>3</v>
      </c>
      <c r="C17" s="114" t="s">
        <v>293</v>
      </c>
      <c r="D17" s="111"/>
      <c r="E17" s="115">
        <v>0</v>
      </c>
      <c r="F17" s="115">
        <v>0</v>
      </c>
      <c r="G17" s="115">
        <v>0</v>
      </c>
      <c r="H17" s="115"/>
      <c r="I17" s="115"/>
      <c r="J17" s="115">
        <v>0</v>
      </c>
      <c r="K17" s="115"/>
      <c r="L17" s="115">
        <v>0</v>
      </c>
      <c r="M17" s="115">
        <v>0</v>
      </c>
      <c r="N17" s="115">
        <v>0</v>
      </c>
      <c r="O17" s="115">
        <v>0</v>
      </c>
      <c r="P17" s="115">
        <v>0</v>
      </c>
      <c r="Q17" s="115">
        <v>0</v>
      </c>
      <c r="R17" s="115">
        <v>0</v>
      </c>
      <c r="S17" s="115"/>
      <c r="T17" s="115"/>
      <c r="U17" s="115"/>
      <c r="V17" s="115">
        <v>0</v>
      </c>
      <c r="W17" s="115">
        <v>0</v>
      </c>
      <c r="X17" s="115"/>
      <c r="Y17" s="115">
        <v>0</v>
      </c>
      <c r="Z17" s="115">
        <v>0</v>
      </c>
      <c r="AA17" s="115"/>
      <c r="AB17" s="115"/>
      <c r="AC17" s="115"/>
      <c r="AD17" s="115">
        <v>0</v>
      </c>
      <c r="AE17" s="115">
        <v>0</v>
      </c>
      <c r="AF17" s="115">
        <v>0</v>
      </c>
      <c r="AG17" s="115">
        <v>0</v>
      </c>
      <c r="AH17" s="115">
        <v>0</v>
      </c>
      <c r="AI17" s="115">
        <v>0</v>
      </c>
      <c r="AJ17" s="115">
        <v>0</v>
      </c>
      <c r="AK17" s="115">
        <v>0</v>
      </c>
      <c r="AL17" s="115">
        <v>0</v>
      </c>
      <c r="AM17" s="115"/>
      <c r="AN17" s="115"/>
      <c r="AO17" s="115">
        <v>0</v>
      </c>
      <c r="AP17" s="115"/>
      <c r="AQ17" s="115">
        <v>0</v>
      </c>
      <c r="AR17" s="115">
        <v>0</v>
      </c>
      <c r="AS17" s="115">
        <v>0</v>
      </c>
      <c r="AT17" s="115">
        <v>0</v>
      </c>
      <c r="AU17" s="115">
        <v>0</v>
      </c>
      <c r="AV17" s="115">
        <v>0</v>
      </c>
      <c r="AW17" s="115">
        <v>0</v>
      </c>
      <c r="AX17" s="115">
        <v>0</v>
      </c>
      <c r="AY17" s="115">
        <v>0</v>
      </c>
      <c r="BB17" s="105">
        <v>0</v>
      </c>
    </row>
    <row r="18" spans="1:54" x14ac:dyDescent="0.2">
      <c r="A18" s="130"/>
      <c r="B18" s="121">
        <v>4</v>
      </c>
      <c r="C18" s="130" t="s">
        <v>293</v>
      </c>
      <c r="D18" s="130"/>
      <c r="E18" s="130"/>
      <c r="F18" s="130">
        <v>0</v>
      </c>
      <c r="G18" s="130"/>
      <c r="H18" s="130">
        <v>0</v>
      </c>
      <c r="I18" s="130"/>
      <c r="J18" s="130"/>
      <c r="K18" s="130"/>
      <c r="L18" s="130"/>
      <c r="M18" s="130"/>
      <c r="N18" s="130"/>
      <c r="O18" s="130"/>
      <c r="P18" s="130"/>
      <c r="Q18" s="130">
        <v>0</v>
      </c>
      <c r="R18" s="130">
        <v>0</v>
      </c>
      <c r="S18" s="130"/>
      <c r="T18" s="130"/>
      <c r="U18" s="130">
        <v>0</v>
      </c>
      <c r="V18" s="130"/>
      <c r="W18" s="130"/>
      <c r="X18" s="130"/>
      <c r="Y18" s="130"/>
      <c r="Z18" s="130"/>
      <c r="AA18" s="130"/>
      <c r="AB18" s="130"/>
      <c r="AC18" s="130">
        <v>0</v>
      </c>
      <c r="AD18" s="130"/>
      <c r="AE18" s="130">
        <v>0</v>
      </c>
      <c r="AF18" s="130"/>
      <c r="AG18" s="130"/>
      <c r="AH18" s="130"/>
      <c r="AI18" s="130">
        <v>0</v>
      </c>
      <c r="AJ18" s="130"/>
      <c r="AK18" s="130"/>
      <c r="AL18" s="130"/>
      <c r="AM18" s="130"/>
      <c r="AN18" s="130"/>
      <c r="AO18" s="130">
        <v>0</v>
      </c>
      <c r="AP18" s="130"/>
      <c r="AQ18" s="130"/>
      <c r="AR18" s="130"/>
      <c r="AS18" s="130"/>
      <c r="AT18" s="130"/>
      <c r="AU18" s="130"/>
      <c r="AV18" s="130"/>
      <c r="AW18" s="130"/>
      <c r="AX18" s="130"/>
      <c r="AY18" s="130"/>
    </row>
    <row r="20" spans="1:54" x14ac:dyDescent="0.2">
      <c r="A20" s="107" t="s">
        <v>294</v>
      </c>
    </row>
    <row r="21" spans="1:54" x14ac:dyDescent="0.2">
      <c r="A21" s="131" t="s">
        <v>125</v>
      </c>
      <c r="B21" s="128">
        <v>1</v>
      </c>
      <c r="C21" s="129" t="s">
        <v>293</v>
      </c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129"/>
      <c r="X21" s="129"/>
      <c r="Y21" s="129"/>
      <c r="Z21" s="129"/>
      <c r="AA21" s="129"/>
      <c r="AB21" s="129"/>
      <c r="AC21" s="129"/>
      <c r="AD21" s="129"/>
      <c r="AE21" s="129"/>
      <c r="AF21" s="129"/>
      <c r="AG21" s="129"/>
      <c r="AH21" s="129"/>
      <c r="AI21" s="129"/>
      <c r="AJ21" s="129"/>
      <c r="AK21" s="129"/>
      <c r="AL21" s="129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</row>
    <row r="22" spans="1:54" x14ac:dyDescent="0.2">
      <c r="A22" s="114"/>
      <c r="B22" s="125">
        <v>2</v>
      </c>
      <c r="C22" s="115" t="s">
        <v>293</v>
      </c>
      <c r="D22" s="115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115"/>
      <c r="AK22" s="115"/>
      <c r="AL22" s="115"/>
      <c r="AM22" s="115"/>
      <c r="AN22" s="115"/>
      <c r="AO22" s="115"/>
      <c r="AP22" s="115"/>
      <c r="AQ22" s="115"/>
      <c r="AR22" s="115"/>
      <c r="AS22" s="115"/>
      <c r="AT22" s="115"/>
      <c r="AU22" s="115"/>
      <c r="AV22" s="115"/>
      <c r="AW22" s="115"/>
      <c r="AX22" s="115"/>
      <c r="AY22" s="115"/>
    </row>
    <row r="23" spans="1:54" x14ac:dyDescent="0.2">
      <c r="A23" s="114"/>
      <c r="B23" s="132">
        <v>3</v>
      </c>
      <c r="C23" s="115" t="s">
        <v>293</v>
      </c>
      <c r="D23" s="115"/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115"/>
      <c r="AK23" s="115"/>
      <c r="AL23" s="115"/>
      <c r="AM23" s="115"/>
      <c r="AN23" s="115"/>
      <c r="AO23" s="115"/>
      <c r="AP23" s="115"/>
      <c r="AQ23" s="115"/>
      <c r="AR23" s="115"/>
      <c r="AS23" s="115"/>
      <c r="AT23" s="115"/>
      <c r="AU23" s="115"/>
      <c r="AV23" s="115"/>
      <c r="AW23" s="115"/>
      <c r="AX23" s="115"/>
      <c r="AY23" s="115"/>
    </row>
    <row r="24" spans="1:54" x14ac:dyDescent="0.2">
      <c r="A24" s="133"/>
      <c r="B24" s="134">
        <v>4</v>
      </c>
      <c r="C24" s="133" t="s">
        <v>293</v>
      </c>
      <c r="D24" s="130">
        <v>0</v>
      </c>
      <c r="E24" s="130">
        <v>0</v>
      </c>
      <c r="F24" s="130">
        <v>0</v>
      </c>
      <c r="G24" s="130">
        <v>0</v>
      </c>
      <c r="H24" s="130">
        <v>0</v>
      </c>
      <c r="I24" s="130">
        <v>0</v>
      </c>
      <c r="J24" s="130">
        <v>0</v>
      </c>
      <c r="K24" s="130">
        <v>0</v>
      </c>
      <c r="L24" s="130">
        <v>0</v>
      </c>
      <c r="M24" s="130">
        <v>0</v>
      </c>
      <c r="N24" s="130">
        <v>0</v>
      </c>
      <c r="O24" s="130">
        <v>0</v>
      </c>
      <c r="P24" s="130">
        <v>0</v>
      </c>
      <c r="Q24" s="130">
        <v>0</v>
      </c>
      <c r="R24" s="130">
        <v>0</v>
      </c>
      <c r="S24" s="130">
        <v>0</v>
      </c>
      <c r="T24" s="130">
        <v>0</v>
      </c>
      <c r="U24" s="130">
        <v>0</v>
      </c>
      <c r="V24" s="130">
        <v>0</v>
      </c>
      <c r="W24" s="130">
        <v>0</v>
      </c>
      <c r="X24" s="130">
        <v>0</v>
      </c>
      <c r="Y24" s="130">
        <v>0</v>
      </c>
      <c r="Z24" s="130">
        <v>0</v>
      </c>
      <c r="AA24" s="130">
        <v>0</v>
      </c>
      <c r="AB24" s="130">
        <v>0</v>
      </c>
      <c r="AC24" s="130">
        <v>0</v>
      </c>
      <c r="AD24" s="130">
        <v>0</v>
      </c>
      <c r="AE24" s="130">
        <v>0</v>
      </c>
      <c r="AF24" s="130">
        <v>0</v>
      </c>
      <c r="AG24" s="130">
        <v>0</v>
      </c>
      <c r="AH24" s="130">
        <v>0</v>
      </c>
      <c r="AI24" s="130">
        <v>0</v>
      </c>
      <c r="AJ24" s="130">
        <v>0</v>
      </c>
      <c r="AK24" s="130">
        <v>0</v>
      </c>
      <c r="AL24" s="130">
        <v>0</v>
      </c>
      <c r="AM24" s="130">
        <v>0</v>
      </c>
      <c r="AN24" s="130">
        <v>0</v>
      </c>
      <c r="AO24" s="130">
        <v>0</v>
      </c>
      <c r="AP24" s="130">
        <v>0</v>
      </c>
      <c r="AQ24" s="130">
        <v>0</v>
      </c>
      <c r="AR24" s="130">
        <v>0</v>
      </c>
      <c r="AS24" s="130">
        <v>0</v>
      </c>
      <c r="AT24" s="130">
        <v>0</v>
      </c>
      <c r="AU24" s="130">
        <v>0</v>
      </c>
      <c r="AV24" s="130">
        <v>0</v>
      </c>
      <c r="AW24" s="130">
        <v>0</v>
      </c>
      <c r="AX24" s="130">
        <v>0</v>
      </c>
      <c r="AY24" s="130">
        <v>0</v>
      </c>
    </row>
    <row r="25" spans="1:54" x14ac:dyDescent="0.2">
      <c r="A25" s="131" t="s">
        <v>133</v>
      </c>
      <c r="B25" s="128">
        <v>1</v>
      </c>
      <c r="C25" s="114" t="s">
        <v>293</v>
      </c>
      <c r="D25" s="115"/>
      <c r="E25" s="115"/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115"/>
      <c r="AK25" s="115"/>
      <c r="AL25" s="115"/>
      <c r="AM25" s="115"/>
      <c r="AN25" s="115"/>
      <c r="AO25" s="115"/>
      <c r="AP25" s="115"/>
      <c r="AQ25" s="115"/>
      <c r="AR25" s="115"/>
      <c r="AS25" s="115"/>
      <c r="AT25" s="115"/>
      <c r="AU25" s="115"/>
      <c r="AV25" s="115"/>
      <c r="AW25" s="115"/>
      <c r="AX25" s="115"/>
      <c r="AY25" s="115"/>
    </row>
    <row r="26" spans="1:54" x14ac:dyDescent="0.2">
      <c r="A26" s="114"/>
      <c r="B26" s="124">
        <v>2</v>
      </c>
      <c r="C26" s="114" t="s">
        <v>293</v>
      </c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5"/>
      <c r="AF26" s="115"/>
      <c r="AG26" s="115"/>
      <c r="AH26" s="115"/>
      <c r="AI26" s="115"/>
      <c r="AJ26" s="115"/>
      <c r="AK26" s="115"/>
      <c r="AL26" s="115"/>
      <c r="AM26" s="115"/>
      <c r="AN26" s="115"/>
      <c r="AO26" s="115"/>
      <c r="AP26" s="115"/>
      <c r="AQ26" s="115"/>
      <c r="AR26" s="115"/>
      <c r="AS26" s="115"/>
      <c r="AT26" s="115"/>
      <c r="AU26" s="115"/>
      <c r="AV26" s="115"/>
      <c r="AW26" s="115"/>
      <c r="AX26" s="115"/>
      <c r="AY26" s="115"/>
    </row>
    <row r="27" spans="1:54" x14ac:dyDescent="0.2">
      <c r="A27" s="114"/>
      <c r="B27" s="125">
        <v>3</v>
      </c>
      <c r="C27" s="114" t="s">
        <v>293</v>
      </c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115"/>
      <c r="AC27" s="115"/>
      <c r="AD27" s="115"/>
      <c r="AE27" s="115"/>
      <c r="AF27" s="115"/>
      <c r="AG27" s="115"/>
      <c r="AH27" s="115"/>
      <c r="AI27" s="115"/>
      <c r="AJ27" s="115"/>
      <c r="AK27" s="115"/>
      <c r="AL27" s="115"/>
      <c r="AM27" s="115"/>
      <c r="AN27" s="115"/>
      <c r="AO27" s="115"/>
      <c r="AP27" s="115"/>
      <c r="AQ27" s="115"/>
      <c r="AR27" s="115"/>
      <c r="AS27" s="115"/>
      <c r="AT27" s="115"/>
      <c r="AU27" s="115"/>
      <c r="AV27" s="115"/>
      <c r="AW27" s="115"/>
      <c r="AX27" s="115"/>
      <c r="AY27" s="115"/>
    </row>
    <row r="28" spans="1:54" x14ac:dyDescent="0.2">
      <c r="A28" s="114"/>
      <c r="B28" s="125">
        <v>4</v>
      </c>
      <c r="C28" s="114" t="s">
        <v>293</v>
      </c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15"/>
      <c r="AM28" s="115"/>
      <c r="AN28" s="115"/>
      <c r="AO28" s="115"/>
      <c r="AP28" s="115"/>
      <c r="AQ28" s="115"/>
      <c r="AR28" s="115"/>
      <c r="AS28" s="115"/>
      <c r="AT28" s="115"/>
      <c r="AU28" s="115"/>
      <c r="AV28" s="115"/>
      <c r="AW28" s="115"/>
      <c r="AX28" s="115"/>
      <c r="AY28" s="115"/>
    </row>
    <row r="29" spans="1:54" x14ac:dyDescent="0.2">
      <c r="A29" s="114"/>
      <c r="B29" s="132">
        <v>5</v>
      </c>
      <c r="C29" s="114" t="s">
        <v>293</v>
      </c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5"/>
      <c r="AF29" s="115"/>
      <c r="AG29" s="115"/>
      <c r="AH29" s="115"/>
      <c r="AI29" s="115"/>
      <c r="AJ29" s="115"/>
      <c r="AK29" s="115"/>
      <c r="AL29" s="115"/>
      <c r="AM29" s="115"/>
      <c r="AN29" s="115"/>
      <c r="AO29" s="115"/>
      <c r="AP29" s="115"/>
      <c r="AQ29" s="115"/>
      <c r="AR29" s="115"/>
      <c r="AS29" s="115"/>
      <c r="AT29" s="115"/>
      <c r="AU29" s="115"/>
      <c r="AV29" s="115"/>
      <c r="AW29" s="115"/>
      <c r="AX29" s="115"/>
      <c r="AY29" s="115"/>
    </row>
    <row r="30" spans="1:54" x14ac:dyDescent="0.2">
      <c r="A30" s="114"/>
      <c r="B30" s="132">
        <v>6</v>
      </c>
      <c r="C30" s="114" t="s">
        <v>293</v>
      </c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5"/>
      <c r="AF30" s="115"/>
      <c r="AG30" s="115"/>
      <c r="AH30" s="115"/>
      <c r="AI30" s="115"/>
      <c r="AJ30" s="115"/>
      <c r="AK30" s="115"/>
      <c r="AL30" s="115"/>
      <c r="AM30" s="115"/>
      <c r="AN30" s="115"/>
      <c r="AO30" s="115"/>
      <c r="AP30" s="115"/>
      <c r="AQ30" s="115"/>
      <c r="AR30" s="115"/>
      <c r="AS30" s="115"/>
      <c r="AT30" s="115"/>
      <c r="AU30" s="115"/>
      <c r="AV30" s="115"/>
      <c r="AW30" s="115"/>
      <c r="AX30" s="115"/>
      <c r="AY30" s="115"/>
    </row>
    <row r="31" spans="1:54" x14ac:dyDescent="0.2">
      <c r="A31" s="114"/>
      <c r="B31" s="135">
        <v>7</v>
      </c>
      <c r="C31" s="114" t="s">
        <v>293</v>
      </c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5"/>
      <c r="AF31" s="115"/>
      <c r="AG31" s="115"/>
      <c r="AH31" s="115"/>
      <c r="AI31" s="115"/>
      <c r="AJ31" s="115"/>
      <c r="AK31" s="115"/>
      <c r="AL31" s="115"/>
      <c r="AM31" s="115"/>
      <c r="AN31" s="115"/>
      <c r="AO31" s="115"/>
      <c r="AP31" s="115"/>
      <c r="AQ31" s="115"/>
      <c r="AR31" s="115"/>
      <c r="AS31" s="115"/>
      <c r="AT31" s="115"/>
      <c r="AU31" s="115"/>
      <c r="AV31" s="115"/>
      <c r="AW31" s="115"/>
      <c r="AX31" s="115"/>
      <c r="AY31" s="115"/>
    </row>
    <row r="32" spans="1:54" x14ac:dyDescent="0.2">
      <c r="A32" s="133"/>
      <c r="B32" s="134">
        <v>8</v>
      </c>
      <c r="C32" s="133" t="s">
        <v>293</v>
      </c>
      <c r="D32" s="130">
        <v>0</v>
      </c>
      <c r="E32" s="130">
        <v>0</v>
      </c>
      <c r="F32" s="130">
        <v>0</v>
      </c>
      <c r="G32" s="130">
        <v>0</v>
      </c>
      <c r="H32" s="130">
        <v>0</v>
      </c>
      <c r="I32" s="130">
        <v>0</v>
      </c>
      <c r="J32" s="130">
        <v>0</v>
      </c>
      <c r="K32" s="130">
        <v>0</v>
      </c>
      <c r="L32" s="130">
        <v>0</v>
      </c>
      <c r="M32" s="130">
        <v>0</v>
      </c>
      <c r="N32" s="130">
        <v>0</v>
      </c>
      <c r="O32" s="130">
        <v>0</v>
      </c>
      <c r="P32" s="130">
        <v>0</v>
      </c>
      <c r="Q32" s="130">
        <v>0</v>
      </c>
      <c r="R32" s="130">
        <v>0</v>
      </c>
      <c r="S32" s="130">
        <v>0</v>
      </c>
      <c r="T32" s="130">
        <v>0</v>
      </c>
      <c r="U32" s="130">
        <v>0</v>
      </c>
      <c r="V32" s="130">
        <v>0</v>
      </c>
      <c r="W32" s="130">
        <v>0</v>
      </c>
      <c r="X32" s="130">
        <v>0</v>
      </c>
      <c r="Y32" s="130">
        <v>0</v>
      </c>
      <c r="Z32" s="130">
        <v>0</v>
      </c>
      <c r="AA32" s="130">
        <v>0</v>
      </c>
      <c r="AB32" s="130">
        <v>0</v>
      </c>
      <c r="AC32" s="130">
        <v>0</v>
      </c>
      <c r="AD32" s="130">
        <v>0</v>
      </c>
      <c r="AE32" s="130">
        <v>0</v>
      </c>
      <c r="AF32" s="130">
        <v>0</v>
      </c>
      <c r="AG32" s="130">
        <v>0</v>
      </c>
      <c r="AH32" s="130">
        <v>0</v>
      </c>
      <c r="AI32" s="130">
        <v>0</v>
      </c>
      <c r="AJ32" s="130">
        <v>0</v>
      </c>
      <c r="AK32" s="130">
        <v>0</v>
      </c>
      <c r="AL32" s="130">
        <v>0</v>
      </c>
      <c r="AM32" s="130">
        <v>0</v>
      </c>
      <c r="AN32" s="130">
        <v>0</v>
      </c>
      <c r="AO32" s="130">
        <v>0</v>
      </c>
      <c r="AP32" s="130">
        <v>0</v>
      </c>
      <c r="AQ32" s="130">
        <v>0</v>
      </c>
      <c r="AR32" s="130">
        <v>0</v>
      </c>
      <c r="AS32" s="130">
        <v>0</v>
      </c>
      <c r="AT32" s="130">
        <v>0</v>
      </c>
      <c r="AU32" s="130">
        <v>0</v>
      </c>
      <c r="AV32" s="130">
        <v>0</v>
      </c>
      <c r="AW32" s="130">
        <v>0</v>
      </c>
      <c r="AX32" s="130">
        <v>0</v>
      </c>
      <c r="AY32" s="130">
        <v>0</v>
      </c>
    </row>
    <row r="33" spans="1:51" x14ac:dyDescent="0.2">
      <c r="A33" s="136" t="s">
        <v>134</v>
      </c>
      <c r="B33" s="124">
        <v>1</v>
      </c>
      <c r="C33" s="114" t="s">
        <v>293</v>
      </c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111"/>
      <c r="AM33" s="111"/>
      <c r="AN33" s="111"/>
      <c r="AO33" s="111"/>
      <c r="AP33" s="111"/>
      <c r="AQ33" s="111"/>
      <c r="AR33" s="111"/>
      <c r="AS33" s="111"/>
      <c r="AT33" s="111"/>
      <c r="AU33" s="111"/>
      <c r="AV33" s="111"/>
      <c r="AW33" s="111"/>
      <c r="AX33" s="111"/>
      <c r="AY33" s="111"/>
    </row>
    <row r="34" spans="1:51" x14ac:dyDescent="0.2">
      <c r="A34" s="114"/>
      <c r="B34" s="124">
        <v>2</v>
      </c>
      <c r="C34" s="114" t="s">
        <v>293</v>
      </c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  <c r="AB34" s="111"/>
      <c r="AC34" s="111"/>
      <c r="AD34" s="111"/>
      <c r="AE34" s="111"/>
      <c r="AF34" s="111"/>
      <c r="AG34" s="111"/>
      <c r="AH34" s="111"/>
      <c r="AI34" s="111"/>
      <c r="AJ34" s="111"/>
      <c r="AK34" s="111"/>
      <c r="AL34" s="111"/>
      <c r="AM34" s="111"/>
      <c r="AN34" s="111"/>
      <c r="AO34" s="111"/>
      <c r="AP34" s="111"/>
      <c r="AQ34" s="111"/>
      <c r="AR34" s="111"/>
      <c r="AS34" s="111"/>
      <c r="AT34" s="111"/>
      <c r="AU34" s="111"/>
      <c r="AV34" s="111"/>
      <c r="AW34" s="111"/>
      <c r="AX34" s="111"/>
      <c r="AY34" s="111"/>
    </row>
    <row r="35" spans="1:51" x14ac:dyDescent="0.2">
      <c r="A35" s="114"/>
      <c r="B35" s="124">
        <v>3</v>
      </c>
      <c r="C35" s="114" t="s">
        <v>293</v>
      </c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111"/>
      <c r="AB35" s="111"/>
      <c r="AC35" s="111"/>
      <c r="AD35" s="111"/>
      <c r="AE35" s="111"/>
      <c r="AF35" s="111"/>
      <c r="AG35" s="111"/>
      <c r="AH35" s="111"/>
      <c r="AI35" s="111"/>
      <c r="AJ35" s="111"/>
      <c r="AK35" s="111"/>
      <c r="AL35" s="111"/>
      <c r="AM35" s="111"/>
      <c r="AN35" s="111"/>
      <c r="AO35" s="111"/>
      <c r="AP35" s="111"/>
      <c r="AQ35" s="111"/>
      <c r="AR35" s="111"/>
      <c r="AS35" s="111"/>
      <c r="AT35" s="111"/>
      <c r="AU35" s="111"/>
      <c r="AV35" s="111"/>
      <c r="AW35" s="111"/>
      <c r="AX35" s="111"/>
      <c r="AY35" s="111"/>
    </row>
    <row r="36" spans="1:51" x14ac:dyDescent="0.2">
      <c r="A36" s="114"/>
      <c r="B36" s="125">
        <v>4</v>
      </c>
      <c r="C36" s="114" t="s">
        <v>293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  <c r="AH36" s="111"/>
      <c r="AI36" s="111"/>
      <c r="AJ36" s="111"/>
      <c r="AK36" s="111"/>
      <c r="AL36" s="111"/>
      <c r="AM36" s="111"/>
      <c r="AN36" s="111"/>
      <c r="AO36" s="111"/>
      <c r="AP36" s="111"/>
      <c r="AQ36" s="111"/>
      <c r="AR36" s="111"/>
      <c r="AS36" s="111"/>
      <c r="AT36" s="111"/>
      <c r="AU36" s="111"/>
      <c r="AV36" s="111"/>
      <c r="AW36" s="111"/>
      <c r="AX36" s="111"/>
      <c r="AY36" s="111"/>
    </row>
    <row r="37" spans="1:51" x14ac:dyDescent="0.2">
      <c r="A37" s="114"/>
      <c r="B37" s="125">
        <v>5</v>
      </c>
      <c r="C37" s="114" t="s">
        <v>293</v>
      </c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  <c r="AB37" s="111"/>
      <c r="AC37" s="111"/>
      <c r="AD37" s="111"/>
      <c r="AE37" s="111"/>
      <c r="AF37" s="111"/>
      <c r="AG37" s="111"/>
      <c r="AH37" s="111"/>
      <c r="AI37" s="111"/>
      <c r="AJ37" s="111"/>
      <c r="AK37" s="111"/>
      <c r="AL37" s="111"/>
      <c r="AM37" s="111"/>
      <c r="AN37" s="111"/>
      <c r="AO37" s="111"/>
      <c r="AP37" s="111"/>
      <c r="AQ37" s="111"/>
      <c r="AR37" s="111"/>
      <c r="AS37" s="111"/>
      <c r="AT37" s="111"/>
      <c r="AU37" s="111"/>
      <c r="AV37" s="111"/>
      <c r="AW37" s="111"/>
      <c r="AX37" s="111"/>
      <c r="AY37" s="111"/>
    </row>
    <row r="38" spans="1:51" x14ac:dyDescent="0.2">
      <c r="A38" s="114"/>
      <c r="B38" s="125">
        <v>6</v>
      </c>
      <c r="C38" s="114" t="s">
        <v>293</v>
      </c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1"/>
      <c r="AL38" s="111"/>
      <c r="AM38" s="111"/>
      <c r="AN38" s="111"/>
      <c r="AO38" s="111"/>
      <c r="AP38" s="111"/>
      <c r="AQ38" s="111"/>
      <c r="AR38" s="111"/>
      <c r="AS38" s="111"/>
      <c r="AT38" s="111"/>
      <c r="AU38" s="111"/>
      <c r="AV38" s="111"/>
      <c r="AW38" s="111"/>
      <c r="AX38" s="111"/>
      <c r="AY38" s="111"/>
    </row>
    <row r="39" spans="1:51" x14ac:dyDescent="0.2">
      <c r="A39" s="114"/>
      <c r="B39" s="132">
        <v>7</v>
      </c>
      <c r="C39" s="114" t="s">
        <v>293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  <c r="AL39" s="111"/>
      <c r="AM39" s="111"/>
      <c r="AN39" s="111"/>
      <c r="AO39" s="111"/>
      <c r="AP39" s="111"/>
      <c r="AQ39" s="111"/>
      <c r="AR39" s="111"/>
      <c r="AS39" s="111"/>
      <c r="AT39" s="111"/>
      <c r="AU39" s="111"/>
      <c r="AV39" s="111"/>
      <c r="AW39" s="111"/>
      <c r="AX39" s="111"/>
      <c r="AY39" s="111"/>
    </row>
    <row r="40" spans="1:51" x14ac:dyDescent="0.2">
      <c r="A40" s="114"/>
      <c r="B40" s="132">
        <v>8</v>
      </c>
      <c r="C40" s="114" t="s">
        <v>293</v>
      </c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1"/>
      <c r="AL40" s="111"/>
      <c r="AM40" s="111"/>
      <c r="AN40" s="111"/>
      <c r="AO40" s="111"/>
      <c r="AP40" s="111"/>
      <c r="AQ40" s="111"/>
      <c r="AR40" s="111"/>
      <c r="AS40" s="111"/>
      <c r="AT40" s="111"/>
      <c r="AU40" s="111"/>
      <c r="AV40" s="111"/>
      <c r="AW40" s="111"/>
      <c r="AX40" s="111"/>
      <c r="AY40" s="111"/>
    </row>
    <row r="41" spans="1:51" x14ac:dyDescent="0.2">
      <c r="A41" s="114"/>
      <c r="B41" s="132">
        <v>9</v>
      </c>
      <c r="C41" s="114" t="s">
        <v>293</v>
      </c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111"/>
      <c r="AM41" s="111"/>
      <c r="AN41" s="111"/>
      <c r="AO41" s="111"/>
      <c r="AP41" s="111"/>
      <c r="AQ41" s="111"/>
      <c r="AR41" s="111"/>
      <c r="AS41" s="111"/>
      <c r="AT41" s="111"/>
      <c r="AU41" s="111"/>
      <c r="AV41" s="111"/>
      <c r="AW41" s="111"/>
      <c r="AX41" s="111"/>
      <c r="AY41" s="111"/>
    </row>
    <row r="42" spans="1:51" x14ac:dyDescent="0.2">
      <c r="A42" s="114"/>
      <c r="B42" s="135">
        <v>10</v>
      </c>
      <c r="C42" s="114" t="s">
        <v>293</v>
      </c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  <c r="AH42" s="111"/>
      <c r="AI42" s="111"/>
      <c r="AJ42" s="111"/>
      <c r="AK42" s="111"/>
      <c r="AL42" s="111"/>
      <c r="AM42" s="111"/>
      <c r="AN42" s="111"/>
      <c r="AO42" s="111"/>
      <c r="AP42" s="111"/>
      <c r="AQ42" s="111"/>
      <c r="AR42" s="111"/>
      <c r="AS42" s="111"/>
      <c r="AT42" s="111"/>
      <c r="AU42" s="111"/>
      <c r="AV42" s="111"/>
      <c r="AW42" s="111"/>
      <c r="AX42" s="111"/>
      <c r="AY42" s="111"/>
    </row>
    <row r="43" spans="1:51" x14ac:dyDescent="0.2">
      <c r="A43" s="114"/>
      <c r="B43" s="135">
        <v>11</v>
      </c>
      <c r="C43" s="114" t="s">
        <v>293</v>
      </c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11"/>
      <c r="Y43" s="111"/>
      <c r="Z43" s="111"/>
      <c r="AA43" s="111"/>
      <c r="AB43" s="111"/>
      <c r="AC43" s="111"/>
      <c r="AD43" s="111"/>
      <c r="AE43" s="111"/>
      <c r="AF43" s="111"/>
      <c r="AG43" s="111"/>
      <c r="AH43" s="111"/>
      <c r="AI43" s="111"/>
      <c r="AJ43" s="111"/>
      <c r="AK43" s="111"/>
      <c r="AL43" s="111"/>
      <c r="AM43" s="111"/>
      <c r="AN43" s="111"/>
      <c r="AO43" s="111"/>
      <c r="AP43" s="111"/>
      <c r="AQ43" s="111"/>
      <c r="AR43" s="111"/>
      <c r="AS43" s="111"/>
      <c r="AT43" s="111"/>
      <c r="AU43" s="111"/>
      <c r="AV43" s="111"/>
      <c r="AW43" s="111"/>
      <c r="AX43" s="111"/>
      <c r="AY43" s="111"/>
    </row>
    <row r="44" spans="1:51" x14ac:dyDescent="0.2">
      <c r="A44" s="114"/>
      <c r="B44" s="135">
        <v>12</v>
      </c>
      <c r="C44" s="133" t="s">
        <v>293</v>
      </c>
      <c r="D44" s="111">
        <v>0</v>
      </c>
      <c r="E44" s="111">
        <v>0</v>
      </c>
      <c r="F44" s="111">
        <v>0</v>
      </c>
      <c r="G44" s="111">
        <v>0</v>
      </c>
      <c r="H44" s="111">
        <v>0</v>
      </c>
      <c r="I44" s="111">
        <v>0</v>
      </c>
      <c r="J44" s="111">
        <v>0</v>
      </c>
      <c r="K44" s="111">
        <v>0</v>
      </c>
      <c r="L44" s="111">
        <v>0</v>
      </c>
      <c r="M44" s="111">
        <v>0</v>
      </c>
      <c r="N44" s="111">
        <v>0</v>
      </c>
      <c r="O44" s="111">
        <v>0</v>
      </c>
      <c r="P44" s="111">
        <v>0</v>
      </c>
      <c r="Q44" s="111">
        <v>0</v>
      </c>
      <c r="R44" s="111">
        <v>0</v>
      </c>
      <c r="S44" s="111">
        <v>0</v>
      </c>
      <c r="T44" s="111">
        <v>0</v>
      </c>
      <c r="U44" s="111">
        <v>0</v>
      </c>
      <c r="V44" s="111">
        <v>0</v>
      </c>
      <c r="W44" s="111">
        <v>0</v>
      </c>
      <c r="X44" s="111">
        <v>0</v>
      </c>
      <c r="Y44" s="111">
        <v>0</v>
      </c>
      <c r="Z44" s="111">
        <v>0</v>
      </c>
      <c r="AA44" s="111">
        <v>0</v>
      </c>
      <c r="AB44" s="111">
        <v>0</v>
      </c>
      <c r="AC44" s="111">
        <v>0</v>
      </c>
      <c r="AD44" s="111">
        <v>0</v>
      </c>
      <c r="AE44" s="111">
        <v>0</v>
      </c>
      <c r="AF44" s="111">
        <v>0</v>
      </c>
      <c r="AG44" s="111">
        <v>0</v>
      </c>
      <c r="AH44" s="111">
        <v>0</v>
      </c>
      <c r="AI44" s="111">
        <v>0</v>
      </c>
      <c r="AJ44" s="111">
        <v>0</v>
      </c>
      <c r="AK44" s="111">
        <v>0</v>
      </c>
      <c r="AL44" s="111">
        <v>0</v>
      </c>
      <c r="AM44" s="111">
        <v>0</v>
      </c>
      <c r="AN44" s="111">
        <v>0</v>
      </c>
      <c r="AO44" s="111">
        <v>0</v>
      </c>
      <c r="AP44" s="111">
        <v>0</v>
      </c>
      <c r="AQ44" s="111">
        <v>0</v>
      </c>
      <c r="AR44" s="111">
        <v>0</v>
      </c>
      <c r="AS44" s="111">
        <v>0</v>
      </c>
      <c r="AT44" s="111">
        <v>0</v>
      </c>
      <c r="AU44" s="111">
        <v>0</v>
      </c>
      <c r="AV44" s="111">
        <v>0</v>
      </c>
      <c r="AW44" s="111">
        <v>0</v>
      </c>
      <c r="AX44" s="111">
        <v>0</v>
      </c>
      <c r="AY44" s="111">
        <v>0</v>
      </c>
    </row>
    <row r="45" spans="1:51" x14ac:dyDescent="0.2">
      <c r="A45" s="131" t="s">
        <v>123</v>
      </c>
      <c r="B45" s="128">
        <v>1</v>
      </c>
      <c r="C45" s="114" t="s">
        <v>293</v>
      </c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</row>
    <row r="46" spans="1:51" x14ac:dyDescent="0.2">
      <c r="A46" s="114"/>
      <c r="B46" s="124">
        <v>2</v>
      </c>
      <c r="C46" s="114" t="s">
        <v>293</v>
      </c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</row>
    <row r="47" spans="1:51" x14ac:dyDescent="0.2">
      <c r="A47" s="114"/>
      <c r="B47" s="124">
        <v>3</v>
      </c>
      <c r="C47" s="114" t="s">
        <v>293</v>
      </c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</row>
    <row r="48" spans="1:51" x14ac:dyDescent="0.2">
      <c r="A48" s="114"/>
      <c r="B48" s="124">
        <v>4</v>
      </c>
      <c r="C48" s="114" t="s">
        <v>293</v>
      </c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</row>
    <row r="49" spans="1:51" x14ac:dyDescent="0.2">
      <c r="A49" s="114"/>
      <c r="B49" s="124">
        <v>5</v>
      </c>
      <c r="C49" s="114" t="s">
        <v>293</v>
      </c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</row>
    <row r="50" spans="1:51" x14ac:dyDescent="0.2">
      <c r="A50" s="114"/>
      <c r="B50" s="124">
        <v>6</v>
      </c>
      <c r="C50" s="114" t="s">
        <v>293</v>
      </c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5"/>
      <c r="AF50" s="115"/>
      <c r="AG50" s="115"/>
      <c r="AH50" s="115"/>
      <c r="AI50" s="115"/>
      <c r="AJ50" s="115"/>
      <c r="AK50" s="115"/>
      <c r="AL50" s="115"/>
      <c r="AM50" s="115"/>
      <c r="AN50" s="115"/>
      <c r="AO50" s="115"/>
      <c r="AP50" s="115"/>
      <c r="AQ50" s="115"/>
      <c r="AR50" s="115"/>
      <c r="AS50" s="115"/>
      <c r="AT50" s="115"/>
      <c r="AU50" s="115"/>
      <c r="AV50" s="115"/>
      <c r="AW50" s="115"/>
      <c r="AX50" s="115"/>
      <c r="AY50" s="115"/>
    </row>
    <row r="51" spans="1:51" x14ac:dyDescent="0.2">
      <c r="A51" s="114"/>
      <c r="B51" s="124">
        <v>7</v>
      </c>
      <c r="C51" s="114" t="s">
        <v>293</v>
      </c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  <c r="AA51" s="115"/>
      <c r="AB51" s="115"/>
      <c r="AC51" s="115"/>
      <c r="AD51" s="115"/>
      <c r="AE51" s="115"/>
      <c r="AF51" s="115"/>
      <c r="AG51" s="115"/>
      <c r="AH51" s="115"/>
      <c r="AI51" s="115"/>
      <c r="AJ51" s="115"/>
      <c r="AK51" s="115"/>
      <c r="AL51" s="115"/>
      <c r="AM51" s="115"/>
      <c r="AN51" s="115"/>
      <c r="AO51" s="115"/>
      <c r="AP51" s="115"/>
      <c r="AQ51" s="115"/>
      <c r="AR51" s="115"/>
      <c r="AS51" s="115"/>
      <c r="AT51" s="115"/>
      <c r="AU51" s="115"/>
      <c r="AV51" s="115"/>
      <c r="AW51" s="115"/>
      <c r="AX51" s="115"/>
      <c r="AY51" s="115"/>
    </row>
    <row r="52" spans="1:51" x14ac:dyDescent="0.2">
      <c r="A52" s="114"/>
      <c r="B52" s="124">
        <v>8</v>
      </c>
      <c r="C52" s="114" t="s">
        <v>293</v>
      </c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  <c r="AA52" s="115"/>
      <c r="AB52" s="115"/>
      <c r="AC52" s="115"/>
      <c r="AD52" s="115"/>
      <c r="AE52" s="115"/>
      <c r="AF52" s="115"/>
      <c r="AG52" s="115"/>
      <c r="AH52" s="115"/>
      <c r="AI52" s="115"/>
      <c r="AJ52" s="115"/>
      <c r="AK52" s="115"/>
      <c r="AL52" s="115"/>
      <c r="AM52" s="115"/>
      <c r="AN52" s="115"/>
      <c r="AO52" s="115"/>
      <c r="AP52" s="115"/>
      <c r="AQ52" s="115"/>
      <c r="AR52" s="115"/>
      <c r="AS52" s="115"/>
      <c r="AT52" s="115"/>
      <c r="AU52" s="115"/>
      <c r="AV52" s="115"/>
      <c r="AW52" s="115"/>
      <c r="AX52" s="115"/>
      <c r="AY52" s="115"/>
    </row>
    <row r="53" spans="1:51" x14ac:dyDescent="0.2">
      <c r="A53" s="114"/>
      <c r="B53" s="124">
        <v>9</v>
      </c>
      <c r="C53" s="114" t="s">
        <v>293</v>
      </c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15"/>
      <c r="AH53" s="115"/>
      <c r="AI53" s="115"/>
      <c r="AJ53" s="115"/>
      <c r="AK53" s="115"/>
      <c r="AL53" s="115"/>
      <c r="AM53" s="115"/>
      <c r="AN53" s="115"/>
      <c r="AO53" s="115"/>
      <c r="AP53" s="115"/>
      <c r="AQ53" s="115"/>
      <c r="AR53" s="115"/>
      <c r="AS53" s="115"/>
      <c r="AT53" s="115"/>
      <c r="AU53" s="115"/>
      <c r="AV53" s="115"/>
      <c r="AW53" s="115"/>
      <c r="AX53" s="115"/>
      <c r="AY53" s="115"/>
    </row>
    <row r="54" spans="1:51" x14ac:dyDescent="0.2">
      <c r="A54" s="114"/>
      <c r="B54" s="124">
        <v>10</v>
      </c>
      <c r="C54" s="114" t="s">
        <v>293</v>
      </c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5"/>
      <c r="AF54" s="115"/>
      <c r="AG54" s="115"/>
      <c r="AH54" s="115"/>
      <c r="AI54" s="115"/>
      <c r="AJ54" s="115"/>
      <c r="AK54" s="115"/>
      <c r="AL54" s="115"/>
      <c r="AM54" s="115"/>
      <c r="AN54" s="115"/>
      <c r="AO54" s="115"/>
      <c r="AP54" s="115"/>
      <c r="AQ54" s="115"/>
      <c r="AR54" s="115"/>
      <c r="AS54" s="115"/>
      <c r="AT54" s="115"/>
      <c r="AU54" s="115"/>
      <c r="AV54" s="115"/>
      <c r="AW54" s="115"/>
      <c r="AX54" s="115"/>
      <c r="AY54" s="115"/>
    </row>
    <row r="55" spans="1:51" x14ac:dyDescent="0.2">
      <c r="A55" s="114"/>
      <c r="B55" s="124">
        <v>11</v>
      </c>
      <c r="C55" s="114" t="s">
        <v>293</v>
      </c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  <c r="AA55" s="115"/>
      <c r="AB55" s="115"/>
      <c r="AC55" s="115"/>
      <c r="AD55" s="115"/>
      <c r="AE55" s="115"/>
      <c r="AF55" s="115"/>
      <c r="AG55" s="115"/>
      <c r="AH55" s="115"/>
      <c r="AI55" s="115"/>
      <c r="AJ55" s="115"/>
      <c r="AK55" s="115"/>
      <c r="AL55" s="115"/>
      <c r="AM55" s="115"/>
      <c r="AN55" s="115"/>
      <c r="AO55" s="115"/>
      <c r="AP55" s="115"/>
      <c r="AQ55" s="115"/>
      <c r="AR55" s="115"/>
      <c r="AS55" s="115"/>
      <c r="AT55" s="115"/>
      <c r="AU55" s="115"/>
      <c r="AV55" s="115"/>
      <c r="AW55" s="115"/>
      <c r="AX55" s="115"/>
      <c r="AY55" s="115"/>
    </row>
    <row r="56" spans="1:51" x14ac:dyDescent="0.2">
      <c r="A56" s="114"/>
      <c r="B56" s="124">
        <v>12</v>
      </c>
      <c r="C56" s="114" t="s">
        <v>293</v>
      </c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  <c r="AA56" s="115"/>
      <c r="AB56" s="115"/>
      <c r="AC56" s="115"/>
      <c r="AD56" s="115"/>
      <c r="AE56" s="115"/>
      <c r="AF56" s="115"/>
      <c r="AG56" s="115"/>
      <c r="AH56" s="115"/>
      <c r="AI56" s="115"/>
      <c r="AJ56" s="115"/>
      <c r="AK56" s="115"/>
      <c r="AL56" s="115"/>
      <c r="AM56" s="115"/>
      <c r="AN56" s="115"/>
      <c r="AO56" s="115"/>
      <c r="AP56" s="115"/>
      <c r="AQ56" s="115"/>
      <c r="AR56" s="115"/>
      <c r="AS56" s="115"/>
      <c r="AT56" s="115"/>
      <c r="AU56" s="115"/>
      <c r="AV56" s="115"/>
      <c r="AW56" s="115"/>
      <c r="AX56" s="115"/>
      <c r="AY56" s="115"/>
    </row>
    <row r="57" spans="1:51" x14ac:dyDescent="0.2">
      <c r="A57" s="114"/>
      <c r="B57" s="125">
        <v>13</v>
      </c>
      <c r="C57" s="114" t="s">
        <v>293</v>
      </c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  <c r="AA57" s="115"/>
      <c r="AB57" s="115"/>
      <c r="AC57" s="115"/>
      <c r="AD57" s="115"/>
      <c r="AE57" s="115"/>
      <c r="AF57" s="115"/>
      <c r="AG57" s="115"/>
      <c r="AH57" s="115"/>
      <c r="AI57" s="115"/>
      <c r="AJ57" s="115"/>
      <c r="AK57" s="115"/>
      <c r="AL57" s="115"/>
      <c r="AM57" s="115"/>
      <c r="AN57" s="115"/>
      <c r="AO57" s="115"/>
      <c r="AP57" s="115"/>
      <c r="AQ57" s="115"/>
      <c r="AR57" s="115"/>
      <c r="AS57" s="115"/>
      <c r="AT57" s="115"/>
      <c r="AU57" s="115"/>
      <c r="AV57" s="115"/>
      <c r="AW57" s="115"/>
      <c r="AX57" s="115"/>
      <c r="AY57" s="115"/>
    </row>
    <row r="58" spans="1:51" x14ac:dyDescent="0.2">
      <c r="A58" s="114"/>
      <c r="B58" s="125">
        <v>14</v>
      </c>
      <c r="C58" s="114" t="s">
        <v>293</v>
      </c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</row>
    <row r="59" spans="1:51" x14ac:dyDescent="0.2">
      <c r="A59" s="114"/>
      <c r="B59" s="125">
        <v>15</v>
      </c>
      <c r="C59" s="114" t="s">
        <v>293</v>
      </c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</row>
    <row r="60" spans="1:51" x14ac:dyDescent="0.2">
      <c r="A60" s="114"/>
      <c r="B60" s="125">
        <v>16</v>
      </c>
      <c r="C60" s="114" t="s">
        <v>293</v>
      </c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</row>
    <row r="61" spans="1:51" x14ac:dyDescent="0.2">
      <c r="A61" s="114"/>
      <c r="B61" s="125">
        <v>17</v>
      </c>
      <c r="C61" s="114" t="s">
        <v>293</v>
      </c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  <c r="AA61" s="115"/>
      <c r="AB61" s="115"/>
      <c r="AC61" s="115"/>
      <c r="AD61" s="115"/>
      <c r="AE61" s="115"/>
      <c r="AF61" s="115"/>
      <c r="AG61" s="115"/>
      <c r="AH61" s="115"/>
      <c r="AI61" s="115"/>
      <c r="AJ61" s="115"/>
      <c r="AK61" s="115"/>
      <c r="AL61" s="115"/>
      <c r="AM61" s="115"/>
      <c r="AN61" s="115"/>
      <c r="AO61" s="115"/>
      <c r="AP61" s="115"/>
      <c r="AQ61" s="115"/>
      <c r="AR61" s="115"/>
      <c r="AS61" s="115"/>
      <c r="AT61" s="115"/>
      <c r="AU61" s="115"/>
      <c r="AV61" s="115"/>
      <c r="AW61" s="115"/>
      <c r="AX61" s="115"/>
      <c r="AY61" s="115"/>
    </row>
    <row r="62" spans="1:51" x14ac:dyDescent="0.2">
      <c r="A62" s="114"/>
      <c r="B62" s="125">
        <v>18</v>
      </c>
      <c r="C62" s="114" t="s">
        <v>293</v>
      </c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  <c r="AH62" s="115"/>
      <c r="AI62" s="115"/>
      <c r="AJ62" s="115"/>
      <c r="AK62" s="115"/>
      <c r="AL62" s="115"/>
      <c r="AM62" s="115"/>
      <c r="AN62" s="115"/>
      <c r="AO62" s="115"/>
      <c r="AP62" s="115"/>
      <c r="AQ62" s="115"/>
      <c r="AR62" s="115"/>
      <c r="AS62" s="115"/>
      <c r="AT62" s="115"/>
      <c r="AU62" s="115"/>
      <c r="AV62" s="115"/>
      <c r="AW62" s="115"/>
      <c r="AX62" s="115"/>
      <c r="AY62" s="115"/>
    </row>
    <row r="63" spans="1:51" x14ac:dyDescent="0.2">
      <c r="A63" s="114"/>
      <c r="B63" s="125">
        <v>19</v>
      </c>
      <c r="C63" s="114" t="s">
        <v>293</v>
      </c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</row>
    <row r="64" spans="1:51" x14ac:dyDescent="0.2">
      <c r="A64" s="114"/>
      <c r="B64" s="125">
        <v>20</v>
      </c>
      <c r="C64" s="114" t="s">
        <v>293</v>
      </c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  <c r="AE64" s="115"/>
      <c r="AF64" s="115"/>
      <c r="AG64" s="115"/>
      <c r="AH64" s="115"/>
      <c r="AI64" s="115"/>
      <c r="AJ64" s="115"/>
      <c r="AK64" s="115"/>
      <c r="AL64" s="115"/>
      <c r="AM64" s="115"/>
      <c r="AN64" s="115"/>
      <c r="AO64" s="115"/>
      <c r="AP64" s="115"/>
      <c r="AQ64" s="115"/>
      <c r="AR64" s="115"/>
      <c r="AS64" s="115"/>
      <c r="AT64" s="115"/>
      <c r="AU64" s="115"/>
      <c r="AV64" s="115"/>
      <c r="AW64" s="115"/>
      <c r="AX64" s="115"/>
      <c r="AY64" s="115"/>
    </row>
    <row r="65" spans="1:51" x14ac:dyDescent="0.2">
      <c r="A65" s="114"/>
      <c r="B65" s="125">
        <v>21</v>
      </c>
      <c r="C65" s="114" t="s">
        <v>293</v>
      </c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  <c r="AA65" s="115"/>
      <c r="AB65" s="115"/>
      <c r="AC65" s="115"/>
      <c r="AD65" s="115"/>
      <c r="AE65" s="115"/>
      <c r="AF65" s="115"/>
      <c r="AG65" s="115"/>
      <c r="AH65" s="115"/>
      <c r="AI65" s="115"/>
      <c r="AJ65" s="115"/>
      <c r="AK65" s="115"/>
      <c r="AL65" s="115"/>
      <c r="AM65" s="115"/>
      <c r="AN65" s="115"/>
      <c r="AO65" s="115"/>
      <c r="AP65" s="115"/>
      <c r="AQ65" s="115"/>
      <c r="AR65" s="115"/>
      <c r="AS65" s="115"/>
      <c r="AT65" s="115"/>
      <c r="AU65" s="115"/>
      <c r="AV65" s="115"/>
      <c r="AW65" s="115"/>
      <c r="AX65" s="115"/>
      <c r="AY65" s="115"/>
    </row>
    <row r="66" spans="1:51" x14ac:dyDescent="0.2">
      <c r="A66" s="114"/>
      <c r="B66" s="125">
        <v>22</v>
      </c>
      <c r="C66" s="114" t="s">
        <v>293</v>
      </c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  <c r="AA66" s="115"/>
      <c r="AB66" s="115"/>
      <c r="AC66" s="115"/>
      <c r="AD66" s="115"/>
      <c r="AE66" s="115"/>
      <c r="AF66" s="115"/>
      <c r="AG66" s="115"/>
      <c r="AH66" s="115"/>
      <c r="AI66" s="115"/>
      <c r="AJ66" s="115"/>
      <c r="AK66" s="115"/>
      <c r="AL66" s="115"/>
      <c r="AM66" s="115"/>
      <c r="AN66" s="115"/>
      <c r="AO66" s="115"/>
      <c r="AP66" s="115"/>
      <c r="AQ66" s="115"/>
      <c r="AR66" s="115"/>
      <c r="AS66" s="115"/>
      <c r="AT66" s="115"/>
      <c r="AU66" s="115"/>
      <c r="AV66" s="115"/>
      <c r="AW66" s="115"/>
      <c r="AX66" s="115"/>
      <c r="AY66" s="115"/>
    </row>
    <row r="67" spans="1:51" x14ac:dyDescent="0.2">
      <c r="A67" s="114"/>
      <c r="B67" s="125">
        <v>23</v>
      </c>
      <c r="C67" s="114" t="s">
        <v>293</v>
      </c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  <c r="AA67" s="115"/>
      <c r="AB67" s="115"/>
      <c r="AC67" s="115"/>
      <c r="AD67" s="115"/>
      <c r="AE67" s="115"/>
      <c r="AF67" s="115"/>
      <c r="AG67" s="115"/>
      <c r="AH67" s="115"/>
      <c r="AI67" s="115"/>
      <c r="AJ67" s="115"/>
      <c r="AK67" s="115"/>
      <c r="AL67" s="115"/>
      <c r="AM67" s="115"/>
      <c r="AN67" s="115"/>
      <c r="AO67" s="115"/>
      <c r="AP67" s="115"/>
      <c r="AQ67" s="115"/>
      <c r="AR67" s="115"/>
      <c r="AS67" s="115"/>
      <c r="AT67" s="115"/>
      <c r="AU67" s="115"/>
      <c r="AV67" s="115"/>
      <c r="AW67" s="115"/>
      <c r="AX67" s="115"/>
      <c r="AY67" s="115"/>
    </row>
    <row r="68" spans="1:51" x14ac:dyDescent="0.2">
      <c r="A68" s="114"/>
      <c r="B68" s="125">
        <v>24</v>
      </c>
      <c r="C68" s="114" t="s">
        <v>293</v>
      </c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  <c r="AA68" s="115"/>
      <c r="AB68" s="115"/>
      <c r="AC68" s="115"/>
      <c r="AD68" s="115"/>
      <c r="AE68" s="115"/>
      <c r="AF68" s="115"/>
      <c r="AG68" s="115"/>
      <c r="AH68" s="115"/>
      <c r="AI68" s="115"/>
      <c r="AJ68" s="115"/>
      <c r="AK68" s="115"/>
      <c r="AL68" s="115"/>
      <c r="AM68" s="115"/>
      <c r="AN68" s="115"/>
      <c r="AO68" s="115"/>
      <c r="AP68" s="115"/>
      <c r="AQ68" s="115"/>
      <c r="AR68" s="115"/>
      <c r="AS68" s="115"/>
      <c r="AT68" s="115"/>
      <c r="AU68" s="115"/>
      <c r="AV68" s="115"/>
      <c r="AW68" s="115"/>
      <c r="AX68" s="115"/>
      <c r="AY68" s="115"/>
    </row>
    <row r="69" spans="1:51" x14ac:dyDescent="0.2">
      <c r="A69" s="114"/>
      <c r="B69" s="132">
        <v>25</v>
      </c>
      <c r="C69" s="114" t="s">
        <v>293</v>
      </c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</row>
    <row r="70" spans="1:51" x14ac:dyDescent="0.2">
      <c r="A70" s="114"/>
      <c r="B70" s="132">
        <v>26</v>
      </c>
      <c r="C70" s="114" t="s">
        <v>293</v>
      </c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</row>
    <row r="71" spans="1:51" x14ac:dyDescent="0.2">
      <c r="A71" s="114"/>
      <c r="B71" s="132">
        <v>27</v>
      </c>
      <c r="C71" s="114" t="s">
        <v>293</v>
      </c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</row>
    <row r="72" spans="1:51" x14ac:dyDescent="0.2">
      <c r="A72" s="114"/>
      <c r="B72" s="132">
        <v>28</v>
      </c>
      <c r="C72" s="114" t="s">
        <v>293</v>
      </c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  <c r="AA72" s="115"/>
      <c r="AB72" s="115"/>
      <c r="AC72" s="115"/>
      <c r="AD72" s="115"/>
      <c r="AE72" s="115"/>
      <c r="AF72" s="115"/>
      <c r="AG72" s="115"/>
      <c r="AH72" s="115"/>
      <c r="AI72" s="115"/>
      <c r="AJ72" s="115"/>
      <c r="AK72" s="115"/>
      <c r="AL72" s="115"/>
      <c r="AM72" s="115"/>
      <c r="AN72" s="115"/>
      <c r="AO72" s="115"/>
      <c r="AP72" s="115"/>
      <c r="AQ72" s="115"/>
      <c r="AR72" s="115"/>
      <c r="AS72" s="115"/>
      <c r="AT72" s="115"/>
      <c r="AU72" s="115"/>
      <c r="AV72" s="115"/>
      <c r="AW72" s="115"/>
      <c r="AX72" s="115"/>
      <c r="AY72" s="115"/>
    </row>
    <row r="73" spans="1:51" x14ac:dyDescent="0.2">
      <c r="A73" s="114"/>
      <c r="B73" s="132">
        <v>29</v>
      </c>
      <c r="C73" s="114" t="s">
        <v>293</v>
      </c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  <c r="AA73" s="115"/>
      <c r="AB73" s="115"/>
      <c r="AC73" s="115"/>
      <c r="AD73" s="115"/>
      <c r="AE73" s="115"/>
      <c r="AF73" s="115"/>
      <c r="AG73" s="115"/>
      <c r="AH73" s="115"/>
      <c r="AI73" s="115"/>
      <c r="AJ73" s="115"/>
      <c r="AK73" s="115"/>
      <c r="AL73" s="115"/>
      <c r="AM73" s="115"/>
      <c r="AN73" s="115"/>
      <c r="AO73" s="115"/>
      <c r="AP73" s="115"/>
      <c r="AQ73" s="115"/>
      <c r="AR73" s="115"/>
      <c r="AS73" s="115"/>
      <c r="AT73" s="115"/>
      <c r="AU73" s="115"/>
      <c r="AV73" s="115"/>
      <c r="AW73" s="115"/>
      <c r="AX73" s="115"/>
      <c r="AY73" s="115"/>
    </row>
    <row r="74" spans="1:51" x14ac:dyDescent="0.2">
      <c r="A74" s="114"/>
      <c r="B74" s="132">
        <v>30</v>
      </c>
      <c r="C74" s="114" t="s">
        <v>293</v>
      </c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  <c r="AA74" s="115"/>
      <c r="AB74" s="115"/>
      <c r="AC74" s="115"/>
      <c r="AD74" s="115"/>
      <c r="AE74" s="115"/>
      <c r="AF74" s="115"/>
      <c r="AG74" s="115"/>
      <c r="AH74" s="115"/>
      <c r="AI74" s="115"/>
      <c r="AJ74" s="115"/>
      <c r="AK74" s="115"/>
      <c r="AL74" s="115"/>
      <c r="AM74" s="115"/>
      <c r="AN74" s="115"/>
      <c r="AO74" s="115"/>
      <c r="AP74" s="115"/>
      <c r="AQ74" s="115"/>
      <c r="AR74" s="115"/>
      <c r="AS74" s="115"/>
      <c r="AT74" s="115"/>
      <c r="AU74" s="115"/>
      <c r="AV74" s="115"/>
      <c r="AW74" s="115"/>
      <c r="AX74" s="115"/>
      <c r="AY74" s="115"/>
    </row>
    <row r="75" spans="1:51" x14ac:dyDescent="0.2">
      <c r="A75" s="114"/>
      <c r="B75" s="132">
        <v>31</v>
      </c>
      <c r="C75" s="114" t="s">
        <v>293</v>
      </c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  <c r="AA75" s="115"/>
      <c r="AB75" s="115"/>
      <c r="AC75" s="115"/>
      <c r="AD75" s="115"/>
      <c r="AE75" s="115"/>
      <c r="AF75" s="115"/>
      <c r="AG75" s="115"/>
      <c r="AH75" s="115"/>
      <c r="AI75" s="115"/>
      <c r="AJ75" s="115"/>
      <c r="AK75" s="115"/>
      <c r="AL75" s="115"/>
      <c r="AM75" s="115"/>
      <c r="AN75" s="115"/>
      <c r="AO75" s="115"/>
      <c r="AP75" s="115"/>
      <c r="AQ75" s="115"/>
      <c r="AR75" s="115"/>
      <c r="AS75" s="115"/>
      <c r="AT75" s="115"/>
      <c r="AU75" s="115"/>
      <c r="AV75" s="115"/>
      <c r="AW75" s="115"/>
      <c r="AX75" s="115"/>
      <c r="AY75" s="115"/>
    </row>
    <row r="76" spans="1:51" x14ac:dyDescent="0.2">
      <c r="A76" s="114"/>
      <c r="B76" s="132">
        <v>32</v>
      </c>
      <c r="C76" s="114" t="s">
        <v>293</v>
      </c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  <c r="AA76" s="115"/>
      <c r="AB76" s="115"/>
      <c r="AC76" s="115"/>
      <c r="AD76" s="115"/>
      <c r="AE76" s="115"/>
      <c r="AF76" s="115"/>
      <c r="AG76" s="115"/>
      <c r="AH76" s="115"/>
      <c r="AI76" s="115"/>
      <c r="AJ76" s="115"/>
      <c r="AK76" s="115"/>
      <c r="AL76" s="115"/>
      <c r="AM76" s="115"/>
      <c r="AN76" s="115"/>
      <c r="AO76" s="115"/>
      <c r="AP76" s="115"/>
      <c r="AQ76" s="115"/>
      <c r="AR76" s="115"/>
      <c r="AS76" s="115"/>
      <c r="AT76" s="115"/>
      <c r="AU76" s="115"/>
      <c r="AV76" s="115"/>
      <c r="AW76" s="115"/>
      <c r="AX76" s="115"/>
      <c r="AY76" s="115"/>
    </row>
    <row r="77" spans="1:51" x14ac:dyDescent="0.2">
      <c r="A77" s="114"/>
      <c r="B77" s="132">
        <v>33</v>
      </c>
      <c r="C77" s="114" t="s">
        <v>293</v>
      </c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  <c r="AA77" s="115"/>
      <c r="AB77" s="115"/>
      <c r="AC77" s="115"/>
      <c r="AD77" s="115"/>
      <c r="AE77" s="115"/>
      <c r="AF77" s="115"/>
      <c r="AG77" s="115"/>
      <c r="AH77" s="115"/>
      <c r="AI77" s="115"/>
      <c r="AJ77" s="115"/>
      <c r="AK77" s="115"/>
      <c r="AL77" s="115"/>
      <c r="AM77" s="115"/>
      <c r="AN77" s="115"/>
      <c r="AO77" s="115"/>
      <c r="AP77" s="115"/>
      <c r="AQ77" s="115"/>
      <c r="AR77" s="115"/>
      <c r="AS77" s="115"/>
      <c r="AT77" s="115"/>
      <c r="AU77" s="115"/>
      <c r="AV77" s="115"/>
      <c r="AW77" s="115"/>
      <c r="AX77" s="115"/>
      <c r="AY77" s="115"/>
    </row>
    <row r="78" spans="1:51" x14ac:dyDescent="0.2">
      <c r="A78" s="114"/>
      <c r="B78" s="132">
        <v>34</v>
      </c>
      <c r="C78" s="114" t="s">
        <v>293</v>
      </c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  <c r="AA78" s="115"/>
      <c r="AB78" s="115"/>
      <c r="AC78" s="115"/>
      <c r="AD78" s="115"/>
      <c r="AE78" s="115"/>
      <c r="AF78" s="115"/>
      <c r="AG78" s="115"/>
      <c r="AH78" s="115"/>
      <c r="AI78" s="115"/>
      <c r="AJ78" s="115"/>
      <c r="AK78" s="115"/>
      <c r="AL78" s="115"/>
      <c r="AM78" s="115"/>
      <c r="AN78" s="115"/>
      <c r="AO78" s="115"/>
      <c r="AP78" s="115"/>
      <c r="AQ78" s="115"/>
      <c r="AR78" s="115"/>
      <c r="AS78" s="115"/>
      <c r="AT78" s="115"/>
      <c r="AU78" s="115"/>
      <c r="AV78" s="115"/>
      <c r="AW78" s="115"/>
      <c r="AX78" s="115"/>
      <c r="AY78" s="115"/>
    </row>
    <row r="79" spans="1:51" x14ac:dyDescent="0.2">
      <c r="A79" s="114"/>
      <c r="B79" s="132">
        <v>35</v>
      </c>
      <c r="C79" s="114" t="s">
        <v>293</v>
      </c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  <c r="AA79" s="115"/>
      <c r="AB79" s="115"/>
      <c r="AC79" s="115"/>
      <c r="AD79" s="115"/>
      <c r="AE79" s="115"/>
      <c r="AF79" s="115"/>
      <c r="AG79" s="115"/>
      <c r="AH79" s="115"/>
      <c r="AI79" s="115"/>
      <c r="AJ79" s="115"/>
      <c r="AK79" s="115"/>
      <c r="AL79" s="115"/>
      <c r="AM79" s="115"/>
      <c r="AN79" s="115"/>
      <c r="AO79" s="115"/>
      <c r="AP79" s="115"/>
      <c r="AQ79" s="115"/>
      <c r="AR79" s="115"/>
      <c r="AS79" s="115"/>
      <c r="AT79" s="115"/>
      <c r="AU79" s="115"/>
      <c r="AV79" s="115"/>
      <c r="AW79" s="115"/>
      <c r="AX79" s="115"/>
      <c r="AY79" s="115"/>
    </row>
    <row r="80" spans="1:51" x14ac:dyDescent="0.2">
      <c r="A80" s="114"/>
      <c r="B80" s="132">
        <v>36</v>
      </c>
      <c r="C80" s="114" t="s">
        <v>293</v>
      </c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  <c r="AA80" s="115"/>
      <c r="AB80" s="115"/>
      <c r="AC80" s="115"/>
      <c r="AD80" s="115"/>
      <c r="AE80" s="115"/>
      <c r="AF80" s="115"/>
      <c r="AG80" s="115"/>
      <c r="AH80" s="115"/>
      <c r="AI80" s="115"/>
      <c r="AJ80" s="115"/>
      <c r="AK80" s="115"/>
      <c r="AL80" s="115"/>
      <c r="AM80" s="115"/>
      <c r="AN80" s="115"/>
      <c r="AO80" s="115"/>
      <c r="AP80" s="115"/>
      <c r="AQ80" s="115"/>
      <c r="AR80" s="115"/>
      <c r="AS80" s="115"/>
      <c r="AT80" s="115"/>
      <c r="AU80" s="115"/>
      <c r="AV80" s="115"/>
      <c r="AW80" s="115"/>
      <c r="AX80" s="115"/>
      <c r="AY80" s="115"/>
    </row>
    <row r="81" spans="1:52" x14ac:dyDescent="0.2">
      <c r="A81" s="114"/>
      <c r="B81" s="135">
        <v>37</v>
      </c>
      <c r="C81" s="114" t="s">
        <v>293</v>
      </c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  <c r="AH81" s="115"/>
      <c r="AI81" s="115"/>
      <c r="AJ81" s="115"/>
      <c r="AK81" s="115"/>
      <c r="AL81" s="115"/>
      <c r="AM81" s="115"/>
      <c r="AN81" s="115"/>
      <c r="AO81" s="115"/>
      <c r="AP81" s="115"/>
      <c r="AQ81" s="115"/>
      <c r="AR81" s="115"/>
      <c r="AS81" s="115"/>
      <c r="AT81" s="115"/>
      <c r="AU81" s="115"/>
      <c r="AV81" s="115"/>
      <c r="AW81" s="115"/>
      <c r="AX81" s="115"/>
      <c r="AY81" s="115"/>
    </row>
    <row r="82" spans="1:52" x14ac:dyDescent="0.2">
      <c r="A82" s="114"/>
      <c r="B82" s="135">
        <v>38</v>
      </c>
      <c r="C82" s="114" t="s">
        <v>293</v>
      </c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  <c r="AA82" s="115"/>
      <c r="AB82" s="115"/>
      <c r="AC82" s="115"/>
      <c r="AD82" s="115"/>
      <c r="AE82" s="115"/>
      <c r="AF82" s="115"/>
      <c r="AG82" s="115"/>
      <c r="AH82" s="115"/>
      <c r="AI82" s="115"/>
      <c r="AJ82" s="115"/>
      <c r="AK82" s="115"/>
      <c r="AL82" s="115"/>
      <c r="AM82" s="115"/>
      <c r="AN82" s="115"/>
      <c r="AO82" s="115"/>
      <c r="AP82" s="115"/>
      <c r="AQ82" s="115"/>
      <c r="AR82" s="115"/>
      <c r="AS82" s="115"/>
      <c r="AT82" s="115"/>
      <c r="AU82" s="115"/>
      <c r="AV82" s="115"/>
      <c r="AW82" s="115"/>
      <c r="AX82" s="115"/>
      <c r="AY82" s="115"/>
    </row>
    <row r="83" spans="1:52" x14ac:dyDescent="0.2">
      <c r="A83" s="114"/>
      <c r="B83" s="135">
        <v>39</v>
      </c>
      <c r="C83" s="114" t="s">
        <v>293</v>
      </c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  <c r="AA83" s="115"/>
      <c r="AB83" s="115"/>
      <c r="AC83" s="115"/>
      <c r="AD83" s="115"/>
      <c r="AE83" s="115"/>
      <c r="AF83" s="115"/>
      <c r="AG83" s="115"/>
      <c r="AH83" s="115"/>
      <c r="AI83" s="115"/>
      <c r="AJ83" s="115"/>
      <c r="AK83" s="115"/>
      <c r="AL83" s="115"/>
      <c r="AM83" s="115"/>
      <c r="AN83" s="115"/>
      <c r="AO83" s="115"/>
      <c r="AP83" s="115"/>
      <c r="AQ83" s="115"/>
      <c r="AR83" s="115"/>
      <c r="AS83" s="115"/>
      <c r="AT83" s="115"/>
      <c r="AU83" s="115"/>
      <c r="AV83" s="115"/>
      <c r="AW83" s="115"/>
      <c r="AX83" s="115"/>
      <c r="AY83" s="115"/>
    </row>
    <row r="84" spans="1:52" x14ac:dyDescent="0.2">
      <c r="A84" s="114"/>
      <c r="B84" s="135">
        <v>40</v>
      </c>
      <c r="C84" s="114" t="s">
        <v>293</v>
      </c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  <c r="AA84" s="115"/>
      <c r="AB84" s="115"/>
      <c r="AC84" s="115"/>
      <c r="AD84" s="115"/>
      <c r="AE84" s="115"/>
      <c r="AF84" s="115"/>
      <c r="AG84" s="115"/>
      <c r="AH84" s="115"/>
      <c r="AI84" s="115"/>
      <c r="AJ84" s="115"/>
      <c r="AK84" s="115"/>
      <c r="AL84" s="115"/>
      <c r="AM84" s="115"/>
      <c r="AN84" s="115"/>
      <c r="AO84" s="115"/>
      <c r="AP84" s="115"/>
      <c r="AQ84" s="115"/>
      <c r="AR84" s="115"/>
      <c r="AS84" s="115"/>
      <c r="AT84" s="115"/>
      <c r="AU84" s="115"/>
      <c r="AV84" s="115"/>
      <c r="AW84" s="115"/>
      <c r="AX84" s="115"/>
      <c r="AY84" s="115"/>
    </row>
    <row r="85" spans="1:52" x14ac:dyDescent="0.2">
      <c r="A85" s="114"/>
      <c r="B85" s="135">
        <v>41</v>
      </c>
      <c r="C85" s="114" t="s">
        <v>293</v>
      </c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  <c r="AA85" s="115"/>
      <c r="AB85" s="115"/>
      <c r="AC85" s="115"/>
      <c r="AD85" s="115"/>
      <c r="AE85" s="115"/>
      <c r="AF85" s="115"/>
      <c r="AG85" s="115"/>
      <c r="AH85" s="115"/>
      <c r="AI85" s="115"/>
      <c r="AJ85" s="115"/>
      <c r="AK85" s="115"/>
      <c r="AL85" s="115"/>
      <c r="AM85" s="115"/>
      <c r="AN85" s="115"/>
      <c r="AO85" s="115"/>
      <c r="AP85" s="115"/>
      <c r="AQ85" s="115"/>
      <c r="AR85" s="115"/>
      <c r="AS85" s="115"/>
      <c r="AT85" s="115"/>
      <c r="AU85" s="115"/>
      <c r="AV85" s="115"/>
      <c r="AW85" s="115"/>
      <c r="AX85" s="115"/>
      <c r="AY85" s="115"/>
    </row>
    <row r="86" spans="1:52" x14ac:dyDescent="0.2">
      <c r="A86" s="114"/>
      <c r="B86" s="135">
        <v>42</v>
      </c>
      <c r="C86" s="114" t="s">
        <v>293</v>
      </c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  <c r="AA86" s="115"/>
      <c r="AB86" s="115"/>
      <c r="AC86" s="115"/>
      <c r="AD86" s="115"/>
      <c r="AE86" s="115"/>
      <c r="AF86" s="115"/>
      <c r="AG86" s="115"/>
      <c r="AH86" s="115"/>
      <c r="AI86" s="115"/>
      <c r="AJ86" s="115"/>
      <c r="AK86" s="115"/>
      <c r="AL86" s="115"/>
      <c r="AM86" s="115"/>
      <c r="AN86" s="115"/>
      <c r="AO86" s="115"/>
      <c r="AP86" s="115"/>
      <c r="AQ86" s="115"/>
      <c r="AR86" s="115"/>
      <c r="AS86" s="115"/>
      <c r="AT86" s="115"/>
      <c r="AU86" s="115"/>
      <c r="AV86" s="115"/>
      <c r="AW86" s="115"/>
      <c r="AX86" s="115"/>
      <c r="AY86" s="115"/>
    </row>
    <row r="87" spans="1:52" x14ac:dyDescent="0.2">
      <c r="A87" s="114"/>
      <c r="B87" s="135">
        <v>43</v>
      </c>
      <c r="C87" s="114" t="s">
        <v>293</v>
      </c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  <c r="AA87" s="115"/>
      <c r="AB87" s="115"/>
      <c r="AC87" s="115"/>
      <c r="AD87" s="115"/>
      <c r="AE87" s="115"/>
      <c r="AF87" s="115"/>
      <c r="AG87" s="115"/>
      <c r="AH87" s="115"/>
      <c r="AI87" s="115"/>
      <c r="AJ87" s="115"/>
      <c r="AK87" s="115"/>
      <c r="AL87" s="115"/>
      <c r="AM87" s="115"/>
      <c r="AN87" s="115"/>
      <c r="AO87" s="115"/>
      <c r="AP87" s="115"/>
      <c r="AQ87" s="115"/>
      <c r="AR87" s="115"/>
      <c r="AS87" s="115"/>
      <c r="AT87" s="115"/>
      <c r="AU87" s="115"/>
      <c r="AV87" s="115"/>
      <c r="AW87" s="115"/>
      <c r="AX87" s="115"/>
      <c r="AY87" s="115"/>
    </row>
    <row r="88" spans="1:52" x14ac:dyDescent="0.2">
      <c r="A88" s="114"/>
      <c r="B88" s="135">
        <v>44</v>
      </c>
      <c r="C88" s="114" t="s">
        <v>293</v>
      </c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  <c r="AA88" s="115"/>
      <c r="AB88" s="115"/>
      <c r="AC88" s="115"/>
      <c r="AD88" s="115"/>
      <c r="AE88" s="115"/>
      <c r="AF88" s="115"/>
      <c r="AG88" s="115"/>
      <c r="AH88" s="115"/>
      <c r="AI88" s="115"/>
      <c r="AJ88" s="115"/>
      <c r="AK88" s="115"/>
      <c r="AL88" s="115"/>
      <c r="AM88" s="115"/>
      <c r="AN88" s="115"/>
      <c r="AO88" s="115"/>
      <c r="AP88" s="115"/>
      <c r="AQ88" s="115"/>
      <c r="AR88" s="115"/>
      <c r="AS88" s="115"/>
      <c r="AT88" s="115"/>
      <c r="AU88" s="115"/>
      <c r="AV88" s="115"/>
      <c r="AW88" s="115"/>
      <c r="AX88" s="115"/>
      <c r="AY88" s="115"/>
    </row>
    <row r="89" spans="1:52" x14ac:dyDescent="0.2">
      <c r="A89" s="114"/>
      <c r="B89" s="135">
        <v>45</v>
      </c>
      <c r="C89" s="114" t="s">
        <v>293</v>
      </c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  <c r="AA89" s="115"/>
      <c r="AB89" s="115"/>
      <c r="AC89" s="115"/>
      <c r="AD89" s="115"/>
      <c r="AE89" s="115"/>
      <c r="AF89" s="115"/>
      <c r="AG89" s="115"/>
      <c r="AH89" s="115"/>
      <c r="AI89" s="115"/>
      <c r="AJ89" s="115"/>
      <c r="AK89" s="115"/>
      <c r="AL89" s="115"/>
      <c r="AM89" s="115"/>
      <c r="AN89" s="115"/>
      <c r="AO89" s="115"/>
      <c r="AP89" s="115"/>
      <c r="AQ89" s="115"/>
      <c r="AR89" s="115"/>
      <c r="AS89" s="115"/>
      <c r="AT89" s="115"/>
      <c r="AU89" s="115"/>
      <c r="AV89" s="115"/>
      <c r="AW89" s="115"/>
      <c r="AX89" s="115"/>
      <c r="AY89" s="115"/>
    </row>
    <row r="90" spans="1:52" x14ac:dyDescent="0.2">
      <c r="A90" s="114"/>
      <c r="B90" s="135">
        <v>46</v>
      </c>
      <c r="C90" s="114" t="s">
        <v>293</v>
      </c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  <c r="AA90" s="115"/>
      <c r="AB90" s="115"/>
      <c r="AC90" s="115"/>
      <c r="AD90" s="115"/>
      <c r="AE90" s="115"/>
      <c r="AF90" s="115"/>
      <c r="AG90" s="115"/>
      <c r="AH90" s="115"/>
      <c r="AI90" s="115"/>
      <c r="AJ90" s="115"/>
      <c r="AK90" s="115"/>
      <c r="AL90" s="115"/>
      <c r="AM90" s="115"/>
      <c r="AN90" s="115"/>
      <c r="AO90" s="115"/>
      <c r="AP90" s="115"/>
      <c r="AQ90" s="115"/>
      <c r="AR90" s="115"/>
      <c r="AS90" s="115"/>
      <c r="AT90" s="115"/>
      <c r="AU90" s="115"/>
      <c r="AV90" s="115"/>
      <c r="AW90" s="115"/>
      <c r="AX90" s="115"/>
      <c r="AY90" s="115"/>
    </row>
    <row r="91" spans="1:52" x14ac:dyDescent="0.2">
      <c r="A91" s="114"/>
      <c r="B91" s="135">
        <v>47</v>
      </c>
      <c r="C91" s="114" t="s">
        <v>293</v>
      </c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  <c r="AA91" s="115"/>
      <c r="AB91" s="115"/>
      <c r="AC91" s="115"/>
      <c r="AD91" s="115"/>
      <c r="AE91" s="115"/>
      <c r="AF91" s="115"/>
      <c r="AG91" s="115"/>
      <c r="AH91" s="115"/>
      <c r="AI91" s="115"/>
      <c r="AJ91" s="115"/>
      <c r="AK91" s="115"/>
      <c r="AL91" s="115"/>
      <c r="AM91" s="115"/>
      <c r="AN91" s="115"/>
      <c r="AO91" s="115"/>
      <c r="AP91" s="115"/>
      <c r="AQ91" s="115"/>
      <c r="AR91" s="115"/>
      <c r="AS91" s="115"/>
      <c r="AT91" s="115"/>
      <c r="AU91" s="115"/>
      <c r="AV91" s="115"/>
      <c r="AW91" s="115"/>
      <c r="AX91" s="115"/>
      <c r="AY91" s="115"/>
    </row>
    <row r="92" spans="1:52" x14ac:dyDescent="0.2">
      <c r="A92" s="133"/>
      <c r="B92" s="134">
        <v>48</v>
      </c>
      <c r="C92" s="133" t="s">
        <v>293</v>
      </c>
      <c r="D92" s="130">
        <v>0</v>
      </c>
      <c r="E92" s="130">
        <v>0</v>
      </c>
      <c r="F92" s="130">
        <v>0</v>
      </c>
      <c r="G92" s="130">
        <v>0</v>
      </c>
      <c r="H92" s="130">
        <v>0</v>
      </c>
      <c r="I92" s="130">
        <v>0</v>
      </c>
      <c r="J92" s="130">
        <v>0</v>
      </c>
      <c r="K92" s="130">
        <v>0</v>
      </c>
      <c r="L92" s="130">
        <v>0</v>
      </c>
      <c r="M92" s="130">
        <v>0</v>
      </c>
      <c r="N92" s="130">
        <v>0</v>
      </c>
      <c r="O92" s="130">
        <v>0</v>
      </c>
      <c r="P92" s="130">
        <v>0</v>
      </c>
      <c r="Q92" s="130">
        <v>0</v>
      </c>
      <c r="R92" s="130">
        <v>0</v>
      </c>
      <c r="S92" s="130">
        <v>0</v>
      </c>
      <c r="T92" s="130">
        <v>0</v>
      </c>
      <c r="U92" s="130">
        <v>0</v>
      </c>
      <c r="V92" s="130">
        <v>0</v>
      </c>
      <c r="W92" s="130">
        <v>0</v>
      </c>
      <c r="X92" s="130">
        <v>0</v>
      </c>
      <c r="Y92" s="130">
        <v>0</v>
      </c>
      <c r="Z92" s="130">
        <v>0</v>
      </c>
      <c r="AA92" s="130">
        <v>0</v>
      </c>
      <c r="AB92" s="130">
        <v>0</v>
      </c>
      <c r="AC92" s="130">
        <v>0</v>
      </c>
      <c r="AD92" s="130">
        <v>0</v>
      </c>
      <c r="AE92" s="130">
        <v>0</v>
      </c>
      <c r="AF92" s="130">
        <v>0</v>
      </c>
      <c r="AG92" s="130">
        <v>0</v>
      </c>
      <c r="AH92" s="130">
        <v>0</v>
      </c>
      <c r="AI92" s="130">
        <v>0</v>
      </c>
      <c r="AJ92" s="130">
        <v>0</v>
      </c>
      <c r="AK92" s="130">
        <v>0</v>
      </c>
      <c r="AL92" s="130">
        <v>0</v>
      </c>
      <c r="AM92" s="130">
        <v>0</v>
      </c>
      <c r="AN92" s="130">
        <v>0</v>
      </c>
      <c r="AO92" s="130">
        <v>0</v>
      </c>
      <c r="AP92" s="130">
        <v>0</v>
      </c>
      <c r="AQ92" s="130">
        <v>0</v>
      </c>
      <c r="AR92" s="130">
        <v>0</v>
      </c>
      <c r="AS92" s="130">
        <v>0</v>
      </c>
      <c r="AT92" s="130">
        <v>0</v>
      </c>
      <c r="AU92" s="130">
        <v>0</v>
      </c>
      <c r="AV92" s="130">
        <v>0</v>
      </c>
      <c r="AW92" s="130">
        <v>0</v>
      </c>
      <c r="AX92" s="130">
        <v>0</v>
      </c>
      <c r="AY92" s="130">
        <v>0</v>
      </c>
      <c r="AZ92" s="112">
        <f>SUM(D21:AY92)</f>
        <v>0</v>
      </c>
    </row>
    <row r="94" spans="1:52" x14ac:dyDescent="0.2">
      <c r="A94" s="107" t="s">
        <v>295</v>
      </c>
      <c r="B94" s="111"/>
      <c r="C94" s="111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  <c r="AA94" s="119"/>
      <c r="AB94" s="119"/>
      <c r="AC94" s="119"/>
      <c r="AD94" s="119"/>
      <c r="AE94" s="119"/>
      <c r="AF94" s="119"/>
      <c r="AG94" s="119"/>
      <c r="AH94" s="119"/>
      <c r="AI94" s="119"/>
      <c r="AJ94" s="119"/>
      <c r="AK94" s="119"/>
      <c r="AL94" s="119"/>
      <c r="AM94" s="119"/>
      <c r="AN94" s="119"/>
      <c r="AO94" s="119"/>
      <c r="AP94" s="119"/>
      <c r="AQ94" s="119"/>
      <c r="AR94" s="119"/>
      <c r="AS94" s="119"/>
      <c r="AT94" s="119"/>
      <c r="AU94" s="119"/>
      <c r="AV94" s="119"/>
      <c r="AW94" s="119"/>
      <c r="AX94" s="119"/>
      <c r="AY94" s="119"/>
    </row>
    <row r="95" spans="1:52" x14ac:dyDescent="0.2">
      <c r="A95" s="131" t="s">
        <v>125</v>
      </c>
      <c r="B95" s="128">
        <v>1</v>
      </c>
      <c r="C95" s="129">
        <v>0</v>
      </c>
      <c r="D95" s="115">
        <v>0</v>
      </c>
      <c r="E95" s="115">
        <v>0</v>
      </c>
      <c r="F95" s="115">
        <v>0</v>
      </c>
      <c r="G95" s="115">
        <v>0</v>
      </c>
      <c r="H95" s="115">
        <v>221.27895515439999</v>
      </c>
      <c r="I95" s="115">
        <v>221.27895515439999</v>
      </c>
      <c r="J95" s="115">
        <v>221.27895515439999</v>
      </c>
      <c r="K95" s="115">
        <v>221.27895515439999</v>
      </c>
      <c r="L95" s="115">
        <v>221.27895515439999</v>
      </c>
      <c r="M95" s="115">
        <v>221.27895515439999</v>
      </c>
      <c r="N95" s="115">
        <v>221.27895515439999</v>
      </c>
      <c r="O95" s="115">
        <v>221.27895515439999</v>
      </c>
      <c r="P95" s="115">
        <v>221.27895515439999</v>
      </c>
      <c r="Q95" s="115">
        <v>221.27895515439999</v>
      </c>
      <c r="R95" s="115">
        <v>221.27895515439999</v>
      </c>
      <c r="S95" s="115">
        <v>221.27895515439999</v>
      </c>
      <c r="T95" s="115">
        <v>221.27895515439999</v>
      </c>
      <c r="U95" s="115">
        <v>221.27895515439999</v>
      </c>
      <c r="V95" s="115">
        <v>221.27895515439999</v>
      </c>
      <c r="W95" s="115">
        <v>221.27895515439999</v>
      </c>
      <c r="X95" s="115">
        <v>221.27895515439999</v>
      </c>
      <c r="Y95" s="115">
        <v>221.27895515439999</v>
      </c>
      <c r="Z95" s="115">
        <v>221.27895515439999</v>
      </c>
      <c r="AA95" s="115">
        <v>221.27895515439999</v>
      </c>
      <c r="AB95" s="115">
        <v>221.27895515439999</v>
      </c>
      <c r="AC95" s="115">
        <v>221.27895515439999</v>
      </c>
      <c r="AD95" s="115">
        <v>221.27895515439999</v>
      </c>
      <c r="AE95" s="115">
        <v>221.27895515439999</v>
      </c>
      <c r="AF95" s="115">
        <v>221.27895515439999</v>
      </c>
      <c r="AG95" s="115">
        <v>221.27895515439999</v>
      </c>
      <c r="AH95" s="115">
        <v>221.27895515439999</v>
      </c>
      <c r="AI95" s="115">
        <v>221.27895515439999</v>
      </c>
      <c r="AJ95" s="115">
        <v>221.27895515439999</v>
      </c>
      <c r="AK95" s="115">
        <v>221.27895515439999</v>
      </c>
      <c r="AL95" s="115">
        <v>221.27895515439999</v>
      </c>
      <c r="AM95" s="115">
        <v>221.27895515439999</v>
      </c>
      <c r="AN95" s="115">
        <v>221.27895515439999</v>
      </c>
      <c r="AO95" s="115">
        <v>221.27895515439999</v>
      </c>
      <c r="AP95" s="115">
        <v>221.27895515439999</v>
      </c>
      <c r="AQ95" s="115">
        <v>221.27895515439999</v>
      </c>
      <c r="AR95" s="115">
        <v>221.27895515439999</v>
      </c>
      <c r="AS95" s="115">
        <v>221.27895515439999</v>
      </c>
      <c r="AT95" s="115">
        <v>221.27895515439999</v>
      </c>
      <c r="AU95" s="115">
        <v>221.27895515439999</v>
      </c>
      <c r="AV95" s="115">
        <v>221.27895515439999</v>
      </c>
      <c r="AW95" s="115">
        <v>221.27895515439999</v>
      </c>
      <c r="AX95" s="115">
        <v>221.27895515439999</v>
      </c>
      <c r="AY95" s="115">
        <v>221.27895515439999</v>
      </c>
    </row>
    <row r="96" spans="1:52" x14ac:dyDescent="0.2">
      <c r="A96" s="114"/>
      <c r="B96" s="125">
        <v>2</v>
      </c>
      <c r="C96" s="115">
        <v>0</v>
      </c>
      <c r="D96" s="115">
        <v>0</v>
      </c>
      <c r="E96" s="115">
        <v>0</v>
      </c>
      <c r="F96" s="115">
        <v>0</v>
      </c>
      <c r="G96" s="115">
        <v>0</v>
      </c>
      <c r="H96" s="115">
        <v>0</v>
      </c>
      <c r="I96" s="115">
        <v>0</v>
      </c>
      <c r="J96" s="115">
        <v>0</v>
      </c>
      <c r="K96" s="115">
        <v>0</v>
      </c>
      <c r="L96" s="115">
        <v>0</v>
      </c>
      <c r="M96" s="115">
        <v>0</v>
      </c>
      <c r="N96" s="115">
        <v>0</v>
      </c>
      <c r="O96" s="115">
        <v>0</v>
      </c>
      <c r="P96" s="115">
        <v>0</v>
      </c>
      <c r="Q96" s="115">
        <v>0</v>
      </c>
      <c r="R96" s="115">
        <v>0</v>
      </c>
      <c r="S96" s="115">
        <v>0</v>
      </c>
      <c r="T96" s="115">
        <v>0</v>
      </c>
      <c r="U96" s="115">
        <v>0</v>
      </c>
      <c r="V96" s="115">
        <v>0</v>
      </c>
      <c r="W96" s="115">
        <v>0</v>
      </c>
      <c r="X96" s="115">
        <v>0</v>
      </c>
      <c r="Y96" s="115">
        <v>0</v>
      </c>
      <c r="Z96" s="115">
        <v>0</v>
      </c>
      <c r="AA96" s="115">
        <v>0</v>
      </c>
      <c r="AB96" s="115">
        <v>0</v>
      </c>
      <c r="AC96" s="115">
        <v>0</v>
      </c>
      <c r="AD96" s="115">
        <v>0</v>
      </c>
      <c r="AE96" s="115">
        <v>0</v>
      </c>
      <c r="AF96" s="115">
        <v>0</v>
      </c>
      <c r="AG96" s="115">
        <v>0</v>
      </c>
      <c r="AH96" s="115">
        <v>0</v>
      </c>
      <c r="AI96" s="115">
        <v>0</v>
      </c>
      <c r="AJ96" s="115">
        <v>0</v>
      </c>
      <c r="AK96" s="115">
        <v>0</v>
      </c>
      <c r="AL96" s="115">
        <v>0</v>
      </c>
      <c r="AM96" s="115">
        <v>0</v>
      </c>
      <c r="AN96" s="115">
        <v>0</v>
      </c>
      <c r="AO96" s="115">
        <v>0</v>
      </c>
      <c r="AP96" s="115">
        <v>0</v>
      </c>
      <c r="AQ96" s="115">
        <v>0</v>
      </c>
      <c r="AR96" s="115">
        <v>0</v>
      </c>
      <c r="AS96" s="115">
        <v>0</v>
      </c>
      <c r="AT96" s="115">
        <v>0</v>
      </c>
      <c r="AU96" s="115">
        <v>0</v>
      </c>
      <c r="AV96" s="115">
        <v>0</v>
      </c>
      <c r="AW96" s="115">
        <v>0</v>
      </c>
      <c r="AX96" s="115">
        <v>0</v>
      </c>
      <c r="AY96" s="115">
        <v>0</v>
      </c>
    </row>
    <row r="97" spans="1:52" x14ac:dyDescent="0.2">
      <c r="A97" s="114"/>
      <c r="B97" s="132">
        <v>3</v>
      </c>
      <c r="C97" s="115">
        <v>0</v>
      </c>
      <c r="D97" s="115">
        <v>0</v>
      </c>
      <c r="E97" s="115">
        <v>0</v>
      </c>
      <c r="F97" s="115">
        <v>0</v>
      </c>
      <c r="G97" s="115">
        <v>0</v>
      </c>
      <c r="H97" s="115">
        <v>0</v>
      </c>
      <c r="I97" s="115">
        <v>0</v>
      </c>
      <c r="J97" s="115">
        <v>0</v>
      </c>
      <c r="K97" s="115">
        <v>0</v>
      </c>
      <c r="L97" s="115">
        <v>0</v>
      </c>
      <c r="M97" s="115">
        <v>0</v>
      </c>
      <c r="N97" s="115">
        <v>0</v>
      </c>
      <c r="O97" s="115">
        <v>0</v>
      </c>
      <c r="P97" s="115">
        <v>0</v>
      </c>
      <c r="Q97" s="115">
        <v>0</v>
      </c>
      <c r="R97" s="115">
        <v>0</v>
      </c>
      <c r="S97" s="115">
        <v>0</v>
      </c>
      <c r="T97" s="115">
        <v>0</v>
      </c>
      <c r="U97" s="115">
        <v>0</v>
      </c>
      <c r="V97" s="115">
        <v>0</v>
      </c>
      <c r="W97" s="115">
        <v>0</v>
      </c>
      <c r="X97" s="115">
        <v>0</v>
      </c>
      <c r="Y97" s="115">
        <v>0</v>
      </c>
      <c r="Z97" s="115">
        <v>0</v>
      </c>
      <c r="AA97" s="115">
        <v>0</v>
      </c>
      <c r="AB97" s="115">
        <v>0</v>
      </c>
      <c r="AC97" s="115">
        <v>0</v>
      </c>
      <c r="AD97" s="115">
        <v>0</v>
      </c>
      <c r="AE97" s="115">
        <v>0</v>
      </c>
      <c r="AF97" s="115">
        <v>0</v>
      </c>
      <c r="AG97" s="115">
        <v>0</v>
      </c>
      <c r="AH97" s="115">
        <v>0</v>
      </c>
      <c r="AI97" s="115">
        <v>0</v>
      </c>
      <c r="AJ97" s="115">
        <v>0</v>
      </c>
      <c r="AK97" s="115">
        <v>0</v>
      </c>
      <c r="AL97" s="115">
        <v>0</v>
      </c>
      <c r="AM97" s="115">
        <v>0</v>
      </c>
      <c r="AN97" s="115">
        <v>0</v>
      </c>
      <c r="AO97" s="115">
        <v>0</v>
      </c>
      <c r="AP97" s="115">
        <v>0</v>
      </c>
      <c r="AQ97" s="115">
        <v>0</v>
      </c>
      <c r="AR97" s="115">
        <v>0</v>
      </c>
      <c r="AS97" s="115">
        <v>0</v>
      </c>
      <c r="AT97" s="115">
        <v>0</v>
      </c>
      <c r="AU97" s="115">
        <v>0</v>
      </c>
      <c r="AV97" s="115">
        <v>0</v>
      </c>
      <c r="AW97" s="115">
        <v>0</v>
      </c>
      <c r="AX97" s="115">
        <v>0</v>
      </c>
      <c r="AY97" s="115">
        <v>0</v>
      </c>
    </row>
    <row r="98" spans="1:52" x14ac:dyDescent="0.2">
      <c r="A98" s="114"/>
      <c r="B98" s="135">
        <v>4</v>
      </c>
      <c r="C98" s="111">
        <v>0</v>
      </c>
      <c r="D98" s="115">
        <v>0</v>
      </c>
      <c r="E98" s="115">
        <v>0</v>
      </c>
      <c r="F98" s="115">
        <v>0</v>
      </c>
      <c r="G98" s="115">
        <v>0</v>
      </c>
      <c r="H98" s="115">
        <v>0</v>
      </c>
      <c r="I98" s="115">
        <v>0</v>
      </c>
      <c r="J98" s="115">
        <v>0</v>
      </c>
      <c r="K98" s="115">
        <v>0</v>
      </c>
      <c r="L98" s="115">
        <v>0</v>
      </c>
      <c r="M98" s="115">
        <v>0</v>
      </c>
      <c r="N98" s="115">
        <v>0</v>
      </c>
      <c r="O98" s="115">
        <v>0</v>
      </c>
      <c r="P98" s="115">
        <v>0</v>
      </c>
      <c r="Q98" s="115">
        <v>0</v>
      </c>
      <c r="R98" s="115">
        <v>0</v>
      </c>
      <c r="S98" s="115">
        <v>0</v>
      </c>
      <c r="T98" s="115">
        <v>0</v>
      </c>
      <c r="U98" s="115">
        <v>0</v>
      </c>
      <c r="V98" s="115">
        <v>0</v>
      </c>
      <c r="W98" s="115">
        <v>0</v>
      </c>
      <c r="X98" s="115">
        <v>0</v>
      </c>
      <c r="Y98" s="115">
        <v>0</v>
      </c>
      <c r="Z98" s="115">
        <v>0</v>
      </c>
      <c r="AA98" s="115">
        <v>0</v>
      </c>
      <c r="AB98" s="115">
        <v>0</v>
      </c>
      <c r="AC98" s="115">
        <v>0</v>
      </c>
      <c r="AD98" s="115">
        <v>0</v>
      </c>
      <c r="AE98" s="115">
        <v>0</v>
      </c>
      <c r="AF98" s="115">
        <v>0</v>
      </c>
      <c r="AG98" s="115">
        <v>0</v>
      </c>
      <c r="AH98" s="115">
        <v>0</v>
      </c>
      <c r="AI98" s="115">
        <v>0</v>
      </c>
      <c r="AJ98" s="115">
        <v>0</v>
      </c>
      <c r="AK98" s="115">
        <v>0</v>
      </c>
      <c r="AL98" s="115">
        <v>0</v>
      </c>
      <c r="AM98" s="115">
        <v>0</v>
      </c>
      <c r="AN98" s="115">
        <v>0</v>
      </c>
      <c r="AO98" s="115">
        <v>0</v>
      </c>
      <c r="AP98" s="115">
        <v>0</v>
      </c>
      <c r="AQ98" s="115">
        <v>0</v>
      </c>
      <c r="AR98" s="115">
        <v>0</v>
      </c>
      <c r="AS98" s="115">
        <v>0</v>
      </c>
      <c r="AT98" s="115">
        <v>0</v>
      </c>
      <c r="AU98" s="115">
        <v>0</v>
      </c>
      <c r="AV98" s="115">
        <v>0</v>
      </c>
      <c r="AW98" s="115">
        <v>0</v>
      </c>
      <c r="AX98" s="115">
        <v>0</v>
      </c>
      <c r="AY98" s="115">
        <v>0</v>
      </c>
    </row>
    <row r="99" spans="1:52" x14ac:dyDescent="0.2">
      <c r="A99" s="133"/>
      <c r="B99" s="137" t="s">
        <v>296</v>
      </c>
      <c r="C99" s="130">
        <v>0</v>
      </c>
      <c r="D99" s="130">
        <v>0</v>
      </c>
      <c r="E99" s="130">
        <v>0</v>
      </c>
      <c r="F99" s="130">
        <v>0</v>
      </c>
      <c r="G99" s="130">
        <v>0</v>
      </c>
      <c r="H99" s="130">
        <v>0</v>
      </c>
      <c r="I99" s="130">
        <v>0</v>
      </c>
      <c r="J99" s="130">
        <v>0</v>
      </c>
      <c r="K99" s="130">
        <v>0</v>
      </c>
      <c r="L99" s="130">
        <v>0</v>
      </c>
      <c r="M99" s="130">
        <v>0</v>
      </c>
      <c r="N99" s="130">
        <v>0</v>
      </c>
      <c r="O99" s="130">
        <v>0</v>
      </c>
      <c r="P99" s="130">
        <v>0</v>
      </c>
      <c r="Q99" s="130">
        <v>0</v>
      </c>
      <c r="R99" s="130">
        <v>0</v>
      </c>
      <c r="S99" s="130">
        <v>0</v>
      </c>
      <c r="T99" s="130">
        <v>0</v>
      </c>
      <c r="U99" s="130">
        <v>0</v>
      </c>
      <c r="V99" s="130">
        <v>0</v>
      </c>
      <c r="W99" s="130">
        <v>0</v>
      </c>
      <c r="X99" s="130">
        <v>0</v>
      </c>
      <c r="Y99" s="130">
        <v>0</v>
      </c>
      <c r="Z99" s="130">
        <v>0</v>
      </c>
      <c r="AA99" s="130">
        <v>0</v>
      </c>
      <c r="AB99" s="130">
        <v>0</v>
      </c>
      <c r="AC99" s="130">
        <v>0</v>
      </c>
      <c r="AD99" s="130">
        <v>0</v>
      </c>
      <c r="AE99" s="130">
        <v>0</v>
      </c>
      <c r="AF99" s="130">
        <v>0</v>
      </c>
      <c r="AG99" s="130">
        <v>0</v>
      </c>
      <c r="AH99" s="130">
        <v>0</v>
      </c>
      <c r="AI99" s="130">
        <v>0</v>
      </c>
      <c r="AJ99" s="130">
        <v>0</v>
      </c>
      <c r="AK99" s="130">
        <v>0</v>
      </c>
      <c r="AL99" s="130">
        <v>0</v>
      </c>
      <c r="AM99" s="130">
        <v>0</v>
      </c>
      <c r="AN99" s="130">
        <v>0</v>
      </c>
      <c r="AO99" s="130">
        <v>0</v>
      </c>
      <c r="AP99" s="130">
        <v>0</v>
      </c>
      <c r="AQ99" s="130">
        <v>0</v>
      </c>
      <c r="AR99" s="130">
        <v>0</v>
      </c>
      <c r="AS99" s="130">
        <v>0</v>
      </c>
      <c r="AT99" s="130">
        <v>0</v>
      </c>
      <c r="AU99" s="130">
        <v>0</v>
      </c>
      <c r="AV99" s="130">
        <v>0</v>
      </c>
      <c r="AW99" s="130">
        <v>0</v>
      </c>
      <c r="AX99" s="130">
        <v>0</v>
      </c>
      <c r="AY99" s="130">
        <v>0</v>
      </c>
      <c r="AZ99" s="112">
        <f>SUM($D99:$AY99)</f>
        <v>0</v>
      </c>
    </row>
    <row r="100" spans="1:52" x14ac:dyDescent="0.2">
      <c r="A100" s="136" t="s">
        <v>133</v>
      </c>
      <c r="B100" s="124">
        <v>1</v>
      </c>
      <c r="C100" s="111">
        <v>28.507001443101402</v>
      </c>
      <c r="D100" s="111">
        <v>103.34177215189874</v>
      </c>
      <c r="E100" s="111">
        <v>0</v>
      </c>
      <c r="F100" s="111">
        <v>93.384405668354432</v>
      </c>
      <c r="G100" s="111">
        <v>0</v>
      </c>
      <c r="H100" s="111">
        <v>0</v>
      </c>
      <c r="I100" s="111">
        <v>0</v>
      </c>
      <c r="J100" s="111">
        <v>82.316090235082243</v>
      </c>
      <c r="K100" s="111">
        <v>82.316090235082243</v>
      </c>
      <c r="L100" s="111">
        <v>0</v>
      </c>
      <c r="M100" s="111">
        <v>128.3869</v>
      </c>
      <c r="N100" s="111">
        <v>82.316090235082243</v>
      </c>
      <c r="O100" s="111">
        <v>82.316090235082243</v>
      </c>
      <c r="P100" s="111">
        <v>82.316090235082243</v>
      </c>
      <c r="Q100" s="111">
        <v>82.316090235082243</v>
      </c>
      <c r="R100" s="111">
        <v>0</v>
      </c>
      <c r="S100" s="111">
        <v>128.3869</v>
      </c>
      <c r="T100" s="111">
        <v>82.316090235082243</v>
      </c>
      <c r="U100" s="111">
        <v>82.316090235082243</v>
      </c>
      <c r="V100" s="111">
        <v>82.316090235082243</v>
      </c>
      <c r="W100" s="111">
        <v>82.316090235082243</v>
      </c>
      <c r="X100" s="111">
        <v>82.316090235082243</v>
      </c>
      <c r="Y100" s="111">
        <v>82.316090235082243</v>
      </c>
      <c r="Z100" s="111">
        <v>82.316090235082243</v>
      </c>
      <c r="AA100" s="111">
        <v>82.316090235082243</v>
      </c>
      <c r="AB100" s="111">
        <v>82.316090235082243</v>
      </c>
      <c r="AC100" s="111">
        <v>82.316090235082243</v>
      </c>
      <c r="AD100" s="111">
        <v>82.316090235082243</v>
      </c>
      <c r="AE100" s="111">
        <v>82.316090235082243</v>
      </c>
      <c r="AF100" s="111">
        <v>82.316090235082243</v>
      </c>
      <c r="AG100" s="111">
        <v>82.316090235082243</v>
      </c>
      <c r="AH100" s="111">
        <v>82.316090235082243</v>
      </c>
      <c r="AI100" s="111">
        <v>82.316090235082243</v>
      </c>
      <c r="AJ100" s="111">
        <v>82.316090235082243</v>
      </c>
      <c r="AK100" s="111">
        <v>82.316090235082243</v>
      </c>
      <c r="AL100" s="111">
        <v>82.316090235082243</v>
      </c>
      <c r="AM100" s="111">
        <v>0</v>
      </c>
      <c r="AN100" s="111">
        <v>128.3869</v>
      </c>
      <c r="AO100" s="111">
        <v>82.316090235082243</v>
      </c>
      <c r="AP100" s="111">
        <v>82.316090235082243</v>
      </c>
      <c r="AQ100" s="111">
        <v>82.316090235082243</v>
      </c>
      <c r="AR100" s="111">
        <v>82.316090235082243</v>
      </c>
      <c r="AS100" s="111">
        <v>82.316090235082243</v>
      </c>
      <c r="AT100" s="111">
        <v>82.316090235082243</v>
      </c>
      <c r="AU100" s="111">
        <v>82.316090235082243</v>
      </c>
      <c r="AV100" s="111">
        <v>82.316090235082243</v>
      </c>
      <c r="AW100" s="111">
        <v>82.316090235082243</v>
      </c>
      <c r="AX100" s="111">
        <v>82.316090235082243</v>
      </c>
      <c r="AY100" s="111">
        <v>82.316090235082243</v>
      </c>
    </row>
    <row r="101" spans="1:52" x14ac:dyDescent="0.2">
      <c r="A101" s="114"/>
      <c r="B101" s="124">
        <v>2</v>
      </c>
      <c r="C101" s="111">
        <v>0</v>
      </c>
      <c r="D101" s="111">
        <v>0</v>
      </c>
      <c r="E101" s="111">
        <v>28.341772151898738</v>
      </c>
      <c r="F101" s="111">
        <v>0</v>
      </c>
      <c r="G101" s="111">
        <v>19.384405668354432</v>
      </c>
      <c r="H101" s="111">
        <v>0</v>
      </c>
      <c r="I101" s="111">
        <v>0</v>
      </c>
      <c r="J101" s="111">
        <v>0</v>
      </c>
      <c r="K101" s="111">
        <v>0</v>
      </c>
      <c r="L101" s="111">
        <v>0</v>
      </c>
      <c r="M101" s="111">
        <v>0</v>
      </c>
      <c r="N101" s="111">
        <v>0</v>
      </c>
      <c r="O101" s="111">
        <v>0</v>
      </c>
      <c r="P101" s="111">
        <v>0</v>
      </c>
      <c r="Q101" s="111">
        <v>0</v>
      </c>
      <c r="R101" s="111">
        <v>0</v>
      </c>
      <c r="S101" s="111">
        <v>0</v>
      </c>
      <c r="T101" s="111">
        <v>0</v>
      </c>
      <c r="U101" s="111">
        <v>0</v>
      </c>
      <c r="V101" s="111">
        <v>0</v>
      </c>
      <c r="W101" s="111">
        <v>0</v>
      </c>
      <c r="X101" s="111">
        <v>0</v>
      </c>
      <c r="Y101" s="111">
        <v>0</v>
      </c>
      <c r="Z101" s="111">
        <v>0</v>
      </c>
      <c r="AA101" s="111">
        <v>0</v>
      </c>
      <c r="AB101" s="111">
        <v>0</v>
      </c>
      <c r="AC101" s="111">
        <v>0</v>
      </c>
      <c r="AD101" s="111">
        <v>0</v>
      </c>
      <c r="AE101" s="111">
        <v>0</v>
      </c>
      <c r="AF101" s="111">
        <v>0</v>
      </c>
      <c r="AG101" s="111">
        <v>0</v>
      </c>
      <c r="AH101" s="111">
        <v>0</v>
      </c>
      <c r="AI101" s="111">
        <v>0</v>
      </c>
      <c r="AJ101" s="111">
        <v>0</v>
      </c>
      <c r="AK101" s="111">
        <v>0</v>
      </c>
      <c r="AL101" s="111">
        <v>0</v>
      </c>
      <c r="AM101" s="111">
        <v>0</v>
      </c>
      <c r="AN101" s="111">
        <v>0</v>
      </c>
      <c r="AO101" s="111">
        <v>0</v>
      </c>
      <c r="AP101" s="111">
        <v>0</v>
      </c>
      <c r="AQ101" s="111">
        <v>0</v>
      </c>
      <c r="AR101" s="111">
        <v>0</v>
      </c>
      <c r="AS101" s="111">
        <v>0</v>
      </c>
      <c r="AT101" s="111">
        <v>0</v>
      </c>
      <c r="AU101" s="111">
        <v>0</v>
      </c>
      <c r="AV101" s="111">
        <v>0</v>
      </c>
      <c r="AW101" s="111">
        <v>0</v>
      </c>
      <c r="AX101" s="111">
        <v>0</v>
      </c>
      <c r="AY101" s="111">
        <v>0</v>
      </c>
    </row>
    <row r="102" spans="1:52" x14ac:dyDescent="0.2">
      <c r="A102" s="114"/>
      <c r="B102" s="125">
        <v>3</v>
      </c>
      <c r="C102" s="111">
        <v>0</v>
      </c>
      <c r="D102" s="111">
        <v>0</v>
      </c>
      <c r="E102" s="111">
        <v>0</v>
      </c>
      <c r="F102" s="111">
        <v>0</v>
      </c>
      <c r="G102" s="111">
        <v>0</v>
      </c>
      <c r="H102" s="111">
        <v>0</v>
      </c>
      <c r="I102" s="111">
        <v>0</v>
      </c>
      <c r="J102" s="111">
        <v>0</v>
      </c>
      <c r="K102" s="111">
        <v>0</v>
      </c>
      <c r="L102" s="111">
        <v>0</v>
      </c>
      <c r="M102" s="111">
        <v>0</v>
      </c>
      <c r="N102" s="111">
        <v>0</v>
      </c>
      <c r="O102" s="111">
        <v>0</v>
      </c>
      <c r="P102" s="111">
        <v>0</v>
      </c>
      <c r="Q102" s="111">
        <v>0</v>
      </c>
      <c r="R102" s="111">
        <v>0</v>
      </c>
      <c r="S102" s="111">
        <v>0</v>
      </c>
      <c r="T102" s="111">
        <v>0</v>
      </c>
      <c r="U102" s="111">
        <v>0</v>
      </c>
      <c r="V102" s="111">
        <v>0</v>
      </c>
      <c r="W102" s="111">
        <v>0</v>
      </c>
      <c r="X102" s="111">
        <v>0</v>
      </c>
      <c r="Y102" s="111">
        <v>0</v>
      </c>
      <c r="Z102" s="111">
        <v>0</v>
      </c>
      <c r="AA102" s="111">
        <v>0</v>
      </c>
      <c r="AB102" s="111">
        <v>0</v>
      </c>
      <c r="AC102" s="111">
        <v>0</v>
      </c>
      <c r="AD102" s="111">
        <v>0</v>
      </c>
      <c r="AE102" s="111">
        <v>0</v>
      </c>
      <c r="AF102" s="111">
        <v>0</v>
      </c>
      <c r="AG102" s="111">
        <v>0</v>
      </c>
      <c r="AH102" s="111">
        <v>0</v>
      </c>
      <c r="AI102" s="111">
        <v>0</v>
      </c>
      <c r="AJ102" s="111">
        <v>0</v>
      </c>
      <c r="AK102" s="111">
        <v>0</v>
      </c>
      <c r="AL102" s="111">
        <v>0</v>
      </c>
      <c r="AM102" s="111">
        <v>0</v>
      </c>
      <c r="AN102" s="111">
        <v>0</v>
      </c>
      <c r="AO102" s="111">
        <v>0</v>
      </c>
      <c r="AP102" s="111">
        <v>0</v>
      </c>
      <c r="AQ102" s="111">
        <v>0</v>
      </c>
      <c r="AR102" s="111">
        <v>0</v>
      </c>
      <c r="AS102" s="111">
        <v>0</v>
      </c>
      <c r="AT102" s="111">
        <v>0</v>
      </c>
      <c r="AU102" s="111">
        <v>0</v>
      </c>
      <c r="AV102" s="111">
        <v>0</v>
      </c>
      <c r="AW102" s="111">
        <v>0</v>
      </c>
      <c r="AX102" s="111">
        <v>0</v>
      </c>
      <c r="AY102" s="111">
        <v>0</v>
      </c>
    </row>
    <row r="103" spans="1:52" x14ac:dyDescent="0.2">
      <c r="A103" s="114"/>
      <c r="B103" s="125">
        <v>4</v>
      </c>
      <c r="C103" s="111">
        <v>0</v>
      </c>
      <c r="D103" s="111">
        <v>0</v>
      </c>
      <c r="E103" s="111">
        <v>0</v>
      </c>
      <c r="F103" s="111">
        <v>0</v>
      </c>
      <c r="G103" s="111">
        <v>0</v>
      </c>
      <c r="H103" s="111">
        <v>0</v>
      </c>
      <c r="I103" s="111">
        <v>0</v>
      </c>
      <c r="J103" s="111">
        <v>0</v>
      </c>
      <c r="K103" s="111">
        <v>0</v>
      </c>
      <c r="L103" s="111">
        <v>0</v>
      </c>
      <c r="M103" s="111">
        <v>0</v>
      </c>
      <c r="N103" s="111">
        <v>0</v>
      </c>
      <c r="O103" s="111">
        <v>0</v>
      </c>
      <c r="P103" s="111">
        <v>0</v>
      </c>
      <c r="Q103" s="111">
        <v>0</v>
      </c>
      <c r="R103" s="111">
        <v>0</v>
      </c>
      <c r="S103" s="111">
        <v>0</v>
      </c>
      <c r="T103" s="111">
        <v>0</v>
      </c>
      <c r="U103" s="111">
        <v>0</v>
      </c>
      <c r="V103" s="111">
        <v>0</v>
      </c>
      <c r="W103" s="111">
        <v>0</v>
      </c>
      <c r="X103" s="111">
        <v>0</v>
      </c>
      <c r="Y103" s="111">
        <v>0</v>
      </c>
      <c r="Z103" s="111">
        <v>0</v>
      </c>
      <c r="AA103" s="111">
        <v>0</v>
      </c>
      <c r="AB103" s="111">
        <v>0</v>
      </c>
      <c r="AC103" s="111">
        <v>0</v>
      </c>
      <c r="AD103" s="111">
        <v>0</v>
      </c>
      <c r="AE103" s="111">
        <v>0</v>
      </c>
      <c r="AF103" s="111">
        <v>0</v>
      </c>
      <c r="AG103" s="111">
        <v>0</v>
      </c>
      <c r="AH103" s="111">
        <v>0</v>
      </c>
      <c r="AI103" s="111">
        <v>0</v>
      </c>
      <c r="AJ103" s="111">
        <v>0</v>
      </c>
      <c r="AK103" s="111">
        <v>0</v>
      </c>
      <c r="AL103" s="111">
        <v>0</v>
      </c>
      <c r="AM103" s="111">
        <v>0</v>
      </c>
      <c r="AN103" s="111">
        <v>0</v>
      </c>
      <c r="AO103" s="111">
        <v>0</v>
      </c>
      <c r="AP103" s="111">
        <v>0</v>
      </c>
      <c r="AQ103" s="111">
        <v>0</v>
      </c>
      <c r="AR103" s="111">
        <v>0</v>
      </c>
      <c r="AS103" s="111">
        <v>0</v>
      </c>
      <c r="AT103" s="111">
        <v>0</v>
      </c>
      <c r="AU103" s="111">
        <v>0</v>
      </c>
      <c r="AV103" s="111">
        <v>0</v>
      </c>
      <c r="AW103" s="111">
        <v>0</v>
      </c>
      <c r="AX103" s="111">
        <v>0</v>
      </c>
      <c r="AY103" s="111">
        <v>0</v>
      </c>
    </row>
    <row r="104" spans="1:52" x14ac:dyDescent="0.2">
      <c r="A104" s="114"/>
      <c r="B104" s="132">
        <v>5</v>
      </c>
      <c r="C104" s="111">
        <v>0</v>
      </c>
      <c r="D104" s="111">
        <v>0</v>
      </c>
      <c r="E104" s="111">
        <v>0</v>
      </c>
      <c r="F104" s="111">
        <v>0</v>
      </c>
      <c r="G104" s="111">
        <v>0</v>
      </c>
      <c r="H104" s="111">
        <v>0</v>
      </c>
      <c r="I104" s="111">
        <v>0</v>
      </c>
      <c r="J104" s="111">
        <v>0</v>
      </c>
      <c r="K104" s="111">
        <v>0</v>
      </c>
      <c r="L104" s="111">
        <v>0</v>
      </c>
      <c r="M104" s="111">
        <v>0</v>
      </c>
      <c r="N104" s="111">
        <v>0</v>
      </c>
      <c r="O104" s="111">
        <v>0</v>
      </c>
      <c r="P104" s="111">
        <v>0</v>
      </c>
      <c r="Q104" s="111">
        <v>0</v>
      </c>
      <c r="R104" s="111">
        <v>0</v>
      </c>
      <c r="S104" s="111">
        <v>0</v>
      </c>
      <c r="T104" s="111">
        <v>0</v>
      </c>
      <c r="U104" s="111">
        <v>0</v>
      </c>
      <c r="V104" s="111">
        <v>0</v>
      </c>
      <c r="W104" s="111">
        <v>0</v>
      </c>
      <c r="X104" s="111">
        <v>0</v>
      </c>
      <c r="Y104" s="111">
        <v>0</v>
      </c>
      <c r="Z104" s="111">
        <v>0</v>
      </c>
      <c r="AA104" s="111">
        <v>0</v>
      </c>
      <c r="AB104" s="111">
        <v>0</v>
      </c>
      <c r="AC104" s="111">
        <v>0</v>
      </c>
      <c r="AD104" s="111">
        <v>0</v>
      </c>
      <c r="AE104" s="111">
        <v>0</v>
      </c>
      <c r="AF104" s="111">
        <v>0</v>
      </c>
      <c r="AG104" s="111">
        <v>0</v>
      </c>
      <c r="AH104" s="111">
        <v>0</v>
      </c>
      <c r="AI104" s="111">
        <v>0</v>
      </c>
      <c r="AJ104" s="111">
        <v>0</v>
      </c>
      <c r="AK104" s="111">
        <v>0</v>
      </c>
      <c r="AL104" s="111">
        <v>0</v>
      </c>
      <c r="AM104" s="111">
        <v>0</v>
      </c>
      <c r="AN104" s="111">
        <v>0</v>
      </c>
      <c r="AO104" s="111">
        <v>0</v>
      </c>
      <c r="AP104" s="111">
        <v>0</v>
      </c>
      <c r="AQ104" s="111">
        <v>0</v>
      </c>
      <c r="AR104" s="111">
        <v>0</v>
      </c>
      <c r="AS104" s="111">
        <v>0</v>
      </c>
      <c r="AT104" s="111">
        <v>0</v>
      </c>
      <c r="AU104" s="111">
        <v>0</v>
      </c>
      <c r="AV104" s="111">
        <v>0</v>
      </c>
      <c r="AW104" s="111">
        <v>0</v>
      </c>
      <c r="AX104" s="111">
        <v>0</v>
      </c>
      <c r="AY104" s="111">
        <v>0</v>
      </c>
    </row>
    <row r="105" spans="1:52" x14ac:dyDescent="0.2">
      <c r="A105" s="114"/>
      <c r="B105" s="132">
        <v>6</v>
      </c>
      <c r="C105" s="111">
        <v>0</v>
      </c>
      <c r="D105" s="111">
        <v>0</v>
      </c>
      <c r="E105" s="111">
        <v>0</v>
      </c>
      <c r="F105" s="111">
        <v>0</v>
      </c>
      <c r="G105" s="111">
        <v>0</v>
      </c>
      <c r="H105" s="111">
        <v>0</v>
      </c>
      <c r="I105" s="111">
        <v>0</v>
      </c>
      <c r="J105" s="111">
        <v>0</v>
      </c>
      <c r="K105" s="111">
        <v>0</v>
      </c>
      <c r="L105" s="111">
        <v>0</v>
      </c>
      <c r="M105" s="111">
        <v>0</v>
      </c>
      <c r="N105" s="111">
        <v>0</v>
      </c>
      <c r="O105" s="111">
        <v>0</v>
      </c>
      <c r="P105" s="111">
        <v>0</v>
      </c>
      <c r="Q105" s="111">
        <v>0</v>
      </c>
      <c r="R105" s="111">
        <v>0</v>
      </c>
      <c r="S105" s="111">
        <v>0</v>
      </c>
      <c r="T105" s="111">
        <v>0</v>
      </c>
      <c r="U105" s="111">
        <v>0</v>
      </c>
      <c r="V105" s="111">
        <v>0</v>
      </c>
      <c r="W105" s="111">
        <v>0</v>
      </c>
      <c r="X105" s="111">
        <v>0</v>
      </c>
      <c r="Y105" s="111">
        <v>0</v>
      </c>
      <c r="Z105" s="111">
        <v>0</v>
      </c>
      <c r="AA105" s="111">
        <v>0</v>
      </c>
      <c r="AB105" s="111">
        <v>0</v>
      </c>
      <c r="AC105" s="111">
        <v>0</v>
      </c>
      <c r="AD105" s="111">
        <v>0</v>
      </c>
      <c r="AE105" s="111">
        <v>0</v>
      </c>
      <c r="AF105" s="111">
        <v>0</v>
      </c>
      <c r="AG105" s="111">
        <v>0</v>
      </c>
      <c r="AH105" s="111">
        <v>0</v>
      </c>
      <c r="AI105" s="111">
        <v>0</v>
      </c>
      <c r="AJ105" s="111">
        <v>0</v>
      </c>
      <c r="AK105" s="111">
        <v>0</v>
      </c>
      <c r="AL105" s="111">
        <v>0</v>
      </c>
      <c r="AM105" s="111">
        <v>0</v>
      </c>
      <c r="AN105" s="111">
        <v>0</v>
      </c>
      <c r="AO105" s="111">
        <v>0</v>
      </c>
      <c r="AP105" s="111">
        <v>0</v>
      </c>
      <c r="AQ105" s="111">
        <v>0</v>
      </c>
      <c r="AR105" s="111">
        <v>0</v>
      </c>
      <c r="AS105" s="111">
        <v>0</v>
      </c>
      <c r="AT105" s="111">
        <v>0</v>
      </c>
      <c r="AU105" s="111">
        <v>0</v>
      </c>
      <c r="AV105" s="111">
        <v>0</v>
      </c>
      <c r="AW105" s="111">
        <v>0</v>
      </c>
      <c r="AX105" s="111">
        <v>0</v>
      </c>
      <c r="AY105" s="111">
        <v>0</v>
      </c>
    </row>
    <row r="106" spans="1:52" x14ac:dyDescent="0.2">
      <c r="A106" s="114"/>
      <c r="B106" s="135">
        <v>7</v>
      </c>
      <c r="C106" s="111">
        <v>0</v>
      </c>
      <c r="D106" s="111">
        <v>0</v>
      </c>
      <c r="E106" s="111">
        <v>0</v>
      </c>
      <c r="F106" s="111">
        <v>0</v>
      </c>
      <c r="G106" s="111">
        <v>0</v>
      </c>
      <c r="H106" s="111">
        <v>0</v>
      </c>
      <c r="I106" s="111">
        <v>0</v>
      </c>
      <c r="J106" s="111">
        <v>0</v>
      </c>
      <c r="K106" s="111">
        <v>0</v>
      </c>
      <c r="L106" s="111">
        <v>0</v>
      </c>
      <c r="M106" s="111">
        <v>0</v>
      </c>
      <c r="N106" s="111">
        <v>0</v>
      </c>
      <c r="O106" s="111">
        <v>0</v>
      </c>
      <c r="P106" s="111">
        <v>0</v>
      </c>
      <c r="Q106" s="111">
        <v>0</v>
      </c>
      <c r="R106" s="111">
        <v>0</v>
      </c>
      <c r="S106" s="111">
        <v>0</v>
      </c>
      <c r="T106" s="111">
        <v>0</v>
      </c>
      <c r="U106" s="111">
        <v>0</v>
      </c>
      <c r="V106" s="111">
        <v>0</v>
      </c>
      <c r="W106" s="111">
        <v>0</v>
      </c>
      <c r="X106" s="111">
        <v>0</v>
      </c>
      <c r="Y106" s="111">
        <v>0</v>
      </c>
      <c r="Z106" s="111">
        <v>0</v>
      </c>
      <c r="AA106" s="111">
        <v>0</v>
      </c>
      <c r="AB106" s="111">
        <v>0</v>
      </c>
      <c r="AC106" s="111">
        <v>0</v>
      </c>
      <c r="AD106" s="111">
        <v>0</v>
      </c>
      <c r="AE106" s="111">
        <v>0</v>
      </c>
      <c r="AF106" s="111">
        <v>0</v>
      </c>
      <c r="AG106" s="111">
        <v>0</v>
      </c>
      <c r="AH106" s="111">
        <v>0</v>
      </c>
      <c r="AI106" s="111">
        <v>0</v>
      </c>
      <c r="AJ106" s="111">
        <v>0</v>
      </c>
      <c r="AK106" s="111">
        <v>0</v>
      </c>
      <c r="AL106" s="111">
        <v>0</v>
      </c>
      <c r="AM106" s="111">
        <v>0</v>
      </c>
      <c r="AN106" s="111">
        <v>0</v>
      </c>
      <c r="AO106" s="111">
        <v>0</v>
      </c>
      <c r="AP106" s="111">
        <v>0</v>
      </c>
      <c r="AQ106" s="111">
        <v>0</v>
      </c>
      <c r="AR106" s="111">
        <v>0</v>
      </c>
      <c r="AS106" s="111">
        <v>0</v>
      </c>
      <c r="AT106" s="111">
        <v>0</v>
      </c>
      <c r="AU106" s="111">
        <v>0</v>
      </c>
      <c r="AV106" s="111">
        <v>0</v>
      </c>
      <c r="AW106" s="111">
        <v>0</v>
      </c>
      <c r="AX106" s="111">
        <v>0</v>
      </c>
      <c r="AY106" s="111">
        <v>0</v>
      </c>
    </row>
    <row r="107" spans="1:52" x14ac:dyDescent="0.2">
      <c r="A107" s="114"/>
      <c r="B107" s="135">
        <v>8</v>
      </c>
      <c r="C107" s="111">
        <v>0</v>
      </c>
      <c r="D107" s="111">
        <v>0</v>
      </c>
      <c r="E107" s="111">
        <v>0</v>
      </c>
      <c r="F107" s="111">
        <v>0</v>
      </c>
      <c r="G107" s="111">
        <v>0</v>
      </c>
      <c r="H107" s="111">
        <v>0</v>
      </c>
      <c r="I107" s="111">
        <v>0</v>
      </c>
      <c r="J107" s="111">
        <v>0</v>
      </c>
      <c r="K107" s="111">
        <v>0</v>
      </c>
      <c r="L107" s="111">
        <v>0</v>
      </c>
      <c r="M107" s="111">
        <v>0</v>
      </c>
      <c r="N107" s="111">
        <v>0</v>
      </c>
      <c r="O107" s="111">
        <v>0</v>
      </c>
      <c r="P107" s="111">
        <v>0</v>
      </c>
      <c r="Q107" s="111">
        <v>0</v>
      </c>
      <c r="R107" s="111">
        <v>0</v>
      </c>
      <c r="S107" s="111">
        <v>0</v>
      </c>
      <c r="T107" s="111">
        <v>0</v>
      </c>
      <c r="U107" s="111">
        <v>0</v>
      </c>
      <c r="V107" s="111">
        <v>0</v>
      </c>
      <c r="W107" s="111">
        <v>0</v>
      </c>
      <c r="X107" s="111">
        <v>0</v>
      </c>
      <c r="Y107" s="111">
        <v>0</v>
      </c>
      <c r="Z107" s="111">
        <v>0</v>
      </c>
      <c r="AA107" s="111">
        <v>0</v>
      </c>
      <c r="AB107" s="111">
        <v>0</v>
      </c>
      <c r="AC107" s="111">
        <v>0</v>
      </c>
      <c r="AD107" s="111">
        <v>0</v>
      </c>
      <c r="AE107" s="111">
        <v>0</v>
      </c>
      <c r="AF107" s="111">
        <v>0</v>
      </c>
      <c r="AG107" s="111">
        <v>0</v>
      </c>
      <c r="AH107" s="111">
        <v>0</v>
      </c>
      <c r="AI107" s="111">
        <v>0</v>
      </c>
      <c r="AJ107" s="111">
        <v>0</v>
      </c>
      <c r="AK107" s="111">
        <v>0</v>
      </c>
      <c r="AL107" s="111">
        <v>0</v>
      </c>
      <c r="AM107" s="111">
        <v>0</v>
      </c>
      <c r="AN107" s="111">
        <v>0</v>
      </c>
      <c r="AO107" s="111">
        <v>0</v>
      </c>
      <c r="AP107" s="111">
        <v>0</v>
      </c>
      <c r="AQ107" s="111">
        <v>0</v>
      </c>
      <c r="AR107" s="111">
        <v>0</v>
      </c>
      <c r="AS107" s="111">
        <v>0</v>
      </c>
      <c r="AT107" s="111">
        <v>0</v>
      </c>
      <c r="AU107" s="111">
        <v>0</v>
      </c>
      <c r="AV107" s="111">
        <v>0</v>
      </c>
      <c r="AW107" s="111">
        <v>0</v>
      </c>
      <c r="AX107" s="111">
        <v>0</v>
      </c>
      <c r="AY107" s="111">
        <v>0</v>
      </c>
    </row>
    <row r="108" spans="1:52" x14ac:dyDescent="0.2">
      <c r="A108" s="133"/>
      <c r="B108" s="137" t="s">
        <v>296</v>
      </c>
      <c r="C108" s="119">
        <v>0</v>
      </c>
      <c r="D108" s="130">
        <v>0</v>
      </c>
      <c r="E108" s="130">
        <v>0</v>
      </c>
      <c r="F108" s="130">
        <v>0</v>
      </c>
      <c r="G108" s="130">
        <v>0</v>
      </c>
      <c r="H108" s="130">
        <v>0</v>
      </c>
      <c r="I108" s="130">
        <v>0</v>
      </c>
      <c r="J108" s="130">
        <v>0</v>
      </c>
      <c r="K108" s="130">
        <v>0</v>
      </c>
      <c r="L108" s="130">
        <v>0</v>
      </c>
      <c r="M108" s="130">
        <v>0</v>
      </c>
      <c r="N108" s="130">
        <v>0</v>
      </c>
      <c r="O108" s="130">
        <v>0</v>
      </c>
      <c r="P108" s="130">
        <v>0</v>
      </c>
      <c r="Q108" s="130">
        <v>0</v>
      </c>
      <c r="R108" s="130">
        <v>0</v>
      </c>
      <c r="S108" s="130">
        <v>0</v>
      </c>
      <c r="T108" s="130">
        <v>0</v>
      </c>
      <c r="U108" s="130">
        <v>0</v>
      </c>
      <c r="V108" s="130">
        <v>0</v>
      </c>
      <c r="W108" s="130">
        <v>0</v>
      </c>
      <c r="X108" s="130">
        <v>0</v>
      </c>
      <c r="Y108" s="130">
        <v>0</v>
      </c>
      <c r="Z108" s="130">
        <v>0</v>
      </c>
      <c r="AA108" s="130">
        <v>0</v>
      </c>
      <c r="AB108" s="130">
        <v>0</v>
      </c>
      <c r="AC108" s="130">
        <v>0</v>
      </c>
      <c r="AD108" s="130">
        <v>0</v>
      </c>
      <c r="AE108" s="130">
        <v>0</v>
      </c>
      <c r="AF108" s="130">
        <v>0</v>
      </c>
      <c r="AG108" s="130">
        <v>0</v>
      </c>
      <c r="AH108" s="130">
        <v>0</v>
      </c>
      <c r="AI108" s="130">
        <v>0</v>
      </c>
      <c r="AJ108" s="130">
        <v>0</v>
      </c>
      <c r="AK108" s="130">
        <v>0</v>
      </c>
      <c r="AL108" s="130">
        <v>0</v>
      </c>
      <c r="AM108" s="130">
        <v>0</v>
      </c>
      <c r="AN108" s="130">
        <v>0</v>
      </c>
      <c r="AO108" s="130">
        <v>0</v>
      </c>
      <c r="AP108" s="130">
        <v>0</v>
      </c>
      <c r="AQ108" s="130">
        <v>0</v>
      </c>
      <c r="AR108" s="130">
        <v>0</v>
      </c>
      <c r="AS108" s="130">
        <v>0</v>
      </c>
      <c r="AT108" s="130">
        <v>0</v>
      </c>
      <c r="AU108" s="130">
        <v>0</v>
      </c>
      <c r="AV108" s="130">
        <v>0</v>
      </c>
      <c r="AW108" s="130">
        <v>0</v>
      </c>
      <c r="AX108" s="130">
        <v>0</v>
      </c>
      <c r="AY108" s="130">
        <v>0</v>
      </c>
      <c r="AZ108" s="112">
        <f>SUM($D108:$AY108)</f>
        <v>0</v>
      </c>
    </row>
    <row r="109" spans="1:52" x14ac:dyDescent="0.2">
      <c r="A109" s="136" t="s">
        <v>134</v>
      </c>
      <c r="B109" s="124">
        <v>1</v>
      </c>
      <c r="C109" s="111">
        <v>84.413521647307292</v>
      </c>
      <c r="D109" s="111">
        <v>84.413521647307292</v>
      </c>
      <c r="E109" s="111">
        <v>0</v>
      </c>
      <c r="F109" s="111">
        <v>0</v>
      </c>
      <c r="G109" s="111">
        <v>0</v>
      </c>
      <c r="H109" s="111">
        <v>0</v>
      </c>
      <c r="I109" s="111">
        <v>50.614148379907462</v>
      </c>
      <c r="J109" s="111">
        <v>50.614148379907462</v>
      </c>
      <c r="K109" s="111">
        <v>68.055443024979127</v>
      </c>
      <c r="L109" s="111">
        <v>68.055443024979127</v>
      </c>
      <c r="M109" s="111">
        <v>50.614148379907462</v>
      </c>
      <c r="N109" s="111">
        <v>77.817016556377467</v>
      </c>
      <c r="O109" s="111">
        <v>68.055443024979127</v>
      </c>
      <c r="P109" s="111">
        <v>68.055443024979127</v>
      </c>
      <c r="Q109" s="111">
        <v>68.055443024979127</v>
      </c>
      <c r="R109" s="111">
        <v>68.055443024979127</v>
      </c>
      <c r="S109" s="111">
        <v>50.614148379907462</v>
      </c>
      <c r="T109" s="111">
        <v>77.817016556377467</v>
      </c>
      <c r="U109" s="111">
        <v>68.055443024979127</v>
      </c>
      <c r="V109" s="111">
        <v>68.055443024979127</v>
      </c>
      <c r="W109" s="111">
        <v>68.055443024979127</v>
      </c>
      <c r="X109" s="111">
        <v>68.055443024979127</v>
      </c>
      <c r="Y109" s="111">
        <v>68.055443024979127</v>
      </c>
      <c r="Z109" s="111">
        <v>68.055443024979127</v>
      </c>
      <c r="AA109" s="111">
        <v>68.055443024979127</v>
      </c>
      <c r="AB109" s="111">
        <v>68.055443024979127</v>
      </c>
      <c r="AC109" s="111">
        <v>68.055443024979127</v>
      </c>
      <c r="AD109" s="111">
        <v>68.055443024979127</v>
      </c>
      <c r="AE109" s="111">
        <v>68.055443024979127</v>
      </c>
      <c r="AF109" s="111">
        <v>68.055443024979127</v>
      </c>
      <c r="AG109" s="111">
        <v>68.055443024979127</v>
      </c>
      <c r="AH109" s="111">
        <v>68.055443024979127</v>
      </c>
      <c r="AI109" s="111">
        <v>68.055443024979127</v>
      </c>
      <c r="AJ109" s="111">
        <v>68.055443024979127</v>
      </c>
      <c r="AK109" s="111">
        <v>68.055443024979127</v>
      </c>
      <c r="AL109" s="111">
        <v>68.055443024979127</v>
      </c>
      <c r="AM109" s="111">
        <v>68.055443024979127</v>
      </c>
      <c r="AN109" s="111">
        <v>50.614148379907462</v>
      </c>
      <c r="AO109" s="111">
        <v>77.817016556377467</v>
      </c>
      <c r="AP109" s="111">
        <v>68.055443024979127</v>
      </c>
      <c r="AQ109" s="111">
        <v>68.055443024979127</v>
      </c>
      <c r="AR109" s="111">
        <v>68.055443024979127</v>
      </c>
      <c r="AS109" s="111">
        <v>68.055443024979127</v>
      </c>
      <c r="AT109" s="111">
        <v>68.055443024979127</v>
      </c>
      <c r="AU109" s="111">
        <v>68.055443024979127</v>
      </c>
      <c r="AV109" s="111">
        <v>68.055443024979127</v>
      </c>
      <c r="AW109" s="111">
        <v>68.055443024979127</v>
      </c>
      <c r="AX109" s="111">
        <v>68.055443024979127</v>
      </c>
      <c r="AY109" s="111">
        <v>68.055443024979127</v>
      </c>
    </row>
    <row r="110" spans="1:52" x14ac:dyDescent="0.2">
      <c r="A110" s="114"/>
      <c r="B110" s="124">
        <v>2</v>
      </c>
      <c r="C110" s="111">
        <v>84.413521647307292</v>
      </c>
      <c r="D110" s="111">
        <v>84.413521647307292</v>
      </c>
      <c r="E110" s="111">
        <v>84.413521647307292</v>
      </c>
      <c r="F110" s="111">
        <v>0</v>
      </c>
      <c r="G110" s="111">
        <v>0</v>
      </c>
      <c r="H110" s="111">
        <v>0</v>
      </c>
      <c r="I110" s="111">
        <v>0</v>
      </c>
      <c r="J110" s="111">
        <v>0</v>
      </c>
      <c r="K110" s="111">
        <v>0</v>
      </c>
      <c r="L110" s="111">
        <v>0</v>
      </c>
      <c r="M110" s="111">
        <v>0</v>
      </c>
      <c r="N110" s="111">
        <v>0</v>
      </c>
      <c r="O110" s="111">
        <v>0</v>
      </c>
      <c r="P110" s="111">
        <v>0</v>
      </c>
      <c r="Q110" s="111">
        <v>0</v>
      </c>
      <c r="R110" s="111">
        <v>0</v>
      </c>
      <c r="S110" s="111">
        <v>0</v>
      </c>
      <c r="T110" s="111">
        <v>0</v>
      </c>
      <c r="U110" s="111">
        <v>0</v>
      </c>
      <c r="V110" s="111">
        <v>0</v>
      </c>
      <c r="W110" s="111">
        <v>0</v>
      </c>
      <c r="X110" s="111">
        <v>0</v>
      </c>
      <c r="Y110" s="111">
        <v>0</v>
      </c>
      <c r="Z110" s="111">
        <v>0</v>
      </c>
      <c r="AA110" s="111">
        <v>0</v>
      </c>
      <c r="AB110" s="111">
        <v>0</v>
      </c>
      <c r="AC110" s="111">
        <v>0</v>
      </c>
      <c r="AD110" s="111">
        <v>0</v>
      </c>
      <c r="AE110" s="111">
        <v>0</v>
      </c>
      <c r="AF110" s="111">
        <v>0</v>
      </c>
      <c r="AG110" s="111">
        <v>0</v>
      </c>
      <c r="AH110" s="111">
        <v>0</v>
      </c>
      <c r="AI110" s="111">
        <v>0</v>
      </c>
      <c r="AJ110" s="111">
        <v>0</v>
      </c>
      <c r="AK110" s="111">
        <v>0</v>
      </c>
      <c r="AL110" s="111">
        <v>0</v>
      </c>
      <c r="AM110" s="111">
        <v>0</v>
      </c>
      <c r="AN110" s="111">
        <v>0</v>
      </c>
      <c r="AO110" s="111">
        <v>0</v>
      </c>
      <c r="AP110" s="111">
        <v>0</v>
      </c>
      <c r="AQ110" s="111">
        <v>0</v>
      </c>
      <c r="AR110" s="111">
        <v>0</v>
      </c>
      <c r="AS110" s="111">
        <v>0</v>
      </c>
      <c r="AT110" s="111">
        <v>0</v>
      </c>
      <c r="AU110" s="111">
        <v>0</v>
      </c>
      <c r="AV110" s="111">
        <v>0</v>
      </c>
      <c r="AW110" s="111">
        <v>0</v>
      </c>
      <c r="AX110" s="111">
        <v>0</v>
      </c>
      <c r="AY110" s="111">
        <v>0</v>
      </c>
    </row>
    <row r="111" spans="1:52" x14ac:dyDescent="0.2">
      <c r="A111" s="114"/>
      <c r="B111" s="124">
        <v>3</v>
      </c>
      <c r="C111" s="111">
        <v>84.413521647307292</v>
      </c>
      <c r="D111" s="111">
        <v>84.413521647307292</v>
      </c>
      <c r="E111" s="111">
        <v>84.413521647307292</v>
      </c>
      <c r="F111" s="111">
        <v>84.413521647307292</v>
      </c>
      <c r="G111" s="111">
        <v>0</v>
      </c>
      <c r="H111" s="111">
        <v>0</v>
      </c>
      <c r="I111" s="111">
        <v>0</v>
      </c>
      <c r="J111" s="111">
        <v>0</v>
      </c>
      <c r="K111" s="111">
        <v>0</v>
      </c>
      <c r="L111" s="111">
        <v>0</v>
      </c>
      <c r="M111" s="111">
        <v>0</v>
      </c>
      <c r="N111" s="111">
        <v>0</v>
      </c>
      <c r="O111" s="111">
        <v>0</v>
      </c>
      <c r="P111" s="111">
        <v>0</v>
      </c>
      <c r="Q111" s="111">
        <v>0</v>
      </c>
      <c r="R111" s="111">
        <v>0</v>
      </c>
      <c r="S111" s="111">
        <v>0</v>
      </c>
      <c r="T111" s="111">
        <v>0</v>
      </c>
      <c r="U111" s="111">
        <v>0</v>
      </c>
      <c r="V111" s="111">
        <v>0</v>
      </c>
      <c r="W111" s="111">
        <v>0</v>
      </c>
      <c r="X111" s="111">
        <v>0</v>
      </c>
      <c r="Y111" s="111">
        <v>0</v>
      </c>
      <c r="Z111" s="111">
        <v>0</v>
      </c>
      <c r="AA111" s="111">
        <v>0</v>
      </c>
      <c r="AB111" s="111">
        <v>0</v>
      </c>
      <c r="AC111" s="111">
        <v>0</v>
      </c>
      <c r="AD111" s="111">
        <v>0</v>
      </c>
      <c r="AE111" s="111">
        <v>0</v>
      </c>
      <c r="AF111" s="111">
        <v>0</v>
      </c>
      <c r="AG111" s="111">
        <v>0</v>
      </c>
      <c r="AH111" s="111">
        <v>0</v>
      </c>
      <c r="AI111" s="111">
        <v>0</v>
      </c>
      <c r="AJ111" s="111">
        <v>0</v>
      </c>
      <c r="AK111" s="111">
        <v>0</v>
      </c>
      <c r="AL111" s="111">
        <v>0</v>
      </c>
      <c r="AM111" s="111">
        <v>0</v>
      </c>
      <c r="AN111" s="111">
        <v>0</v>
      </c>
      <c r="AO111" s="111">
        <v>0</v>
      </c>
      <c r="AP111" s="111">
        <v>0</v>
      </c>
      <c r="AQ111" s="111">
        <v>0</v>
      </c>
      <c r="AR111" s="111">
        <v>0</v>
      </c>
      <c r="AS111" s="111">
        <v>0</v>
      </c>
      <c r="AT111" s="111">
        <v>0</v>
      </c>
      <c r="AU111" s="111">
        <v>0</v>
      </c>
      <c r="AV111" s="111">
        <v>0</v>
      </c>
      <c r="AW111" s="111">
        <v>0</v>
      </c>
      <c r="AX111" s="111">
        <v>0</v>
      </c>
      <c r="AY111" s="111">
        <v>0</v>
      </c>
    </row>
    <row r="112" spans="1:52" x14ac:dyDescent="0.2">
      <c r="A112" s="114"/>
      <c r="B112" s="125">
        <v>4</v>
      </c>
      <c r="C112" s="111">
        <v>91.759650326054782</v>
      </c>
      <c r="D112" s="111">
        <v>84.413521647307292</v>
      </c>
      <c r="E112" s="111">
        <v>84.413521647307292</v>
      </c>
      <c r="F112" s="111">
        <v>84.413521647307292</v>
      </c>
      <c r="G112" s="111">
        <v>80.891208694174153</v>
      </c>
      <c r="H112" s="111">
        <v>0</v>
      </c>
      <c r="I112" s="111">
        <v>0</v>
      </c>
      <c r="J112" s="111">
        <v>0</v>
      </c>
      <c r="K112" s="111">
        <v>0</v>
      </c>
      <c r="L112" s="111">
        <v>0</v>
      </c>
      <c r="M112" s="111">
        <v>0</v>
      </c>
      <c r="N112" s="111">
        <v>0</v>
      </c>
      <c r="O112" s="111">
        <v>0</v>
      </c>
      <c r="P112" s="111">
        <v>0</v>
      </c>
      <c r="Q112" s="111">
        <v>0</v>
      </c>
      <c r="R112" s="111">
        <v>0</v>
      </c>
      <c r="S112" s="111">
        <v>0</v>
      </c>
      <c r="T112" s="111">
        <v>0</v>
      </c>
      <c r="U112" s="111">
        <v>0</v>
      </c>
      <c r="V112" s="111">
        <v>0</v>
      </c>
      <c r="W112" s="111">
        <v>0</v>
      </c>
      <c r="X112" s="111">
        <v>0</v>
      </c>
      <c r="Y112" s="111">
        <v>0</v>
      </c>
      <c r="Z112" s="111">
        <v>0</v>
      </c>
      <c r="AA112" s="111">
        <v>0</v>
      </c>
      <c r="AB112" s="111">
        <v>0</v>
      </c>
      <c r="AC112" s="111">
        <v>0</v>
      </c>
      <c r="AD112" s="111">
        <v>0</v>
      </c>
      <c r="AE112" s="111">
        <v>0</v>
      </c>
      <c r="AF112" s="111">
        <v>0</v>
      </c>
      <c r="AG112" s="111">
        <v>0</v>
      </c>
      <c r="AH112" s="111">
        <v>0</v>
      </c>
      <c r="AI112" s="111">
        <v>0</v>
      </c>
      <c r="AJ112" s="111">
        <v>0</v>
      </c>
      <c r="AK112" s="111">
        <v>0</v>
      </c>
      <c r="AL112" s="111">
        <v>0</v>
      </c>
      <c r="AM112" s="111">
        <v>0</v>
      </c>
      <c r="AN112" s="111">
        <v>0</v>
      </c>
      <c r="AO112" s="111">
        <v>0</v>
      </c>
      <c r="AP112" s="111">
        <v>0</v>
      </c>
      <c r="AQ112" s="111">
        <v>0</v>
      </c>
      <c r="AR112" s="111">
        <v>0</v>
      </c>
      <c r="AS112" s="111">
        <v>0</v>
      </c>
      <c r="AT112" s="111">
        <v>0</v>
      </c>
      <c r="AU112" s="111">
        <v>0</v>
      </c>
      <c r="AV112" s="111">
        <v>0</v>
      </c>
      <c r="AW112" s="111">
        <v>0</v>
      </c>
      <c r="AX112" s="111">
        <v>0</v>
      </c>
      <c r="AY112" s="111">
        <v>0</v>
      </c>
    </row>
    <row r="113" spans="1:52" x14ac:dyDescent="0.2">
      <c r="A113" s="114"/>
      <c r="B113" s="125">
        <v>5</v>
      </c>
      <c r="C113" s="111">
        <v>9.4774717788902088</v>
      </c>
      <c r="D113" s="111">
        <v>17.237122104944987</v>
      </c>
      <c r="E113" s="111">
        <v>19.650643752252279</v>
      </c>
      <c r="F113" s="111">
        <v>13.06416539955957</v>
      </c>
      <c r="G113" s="111">
        <v>0</v>
      </c>
      <c r="H113" s="111">
        <v>15.891208694174153</v>
      </c>
      <c r="I113" s="111">
        <v>0</v>
      </c>
      <c r="J113" s="111">
        <v>0</v>
      </c>
      <c r="K113" s="111">
        <v>0</v>
      </c>
      <c r="L113" s="111">
        <v>0</v>
      </c>
      <c r="M113" s="111">
        <v>0</v>
      </c>
      <c r="N113" s="111">
        <v>0</v>
      </c>
      <c r="O113" s="111">
        <v>0</v>
      </c>
      <c r="P113" s="111">
        <v>0</v>
      </c>
      <c r="Q113" s="111">
        <v>0</v>
      </c>
      <c r="R113" s="111">
        <v>0</v>
      </c>
      <c r="S113" s="111">
        <v>0</v>
      </c>
      <c r="T113" s="111">
        <v>0</v>
      </c>
      <c r="U113" s="111">
        <v>0</v>
      </c>
      <c r="V113" s="111">
        <v>0</v>
      </c>
      <c r="W113" s="111">
        <v>0</v>
      </c>
      <c r="X113" s="111">
        <v>0</v>
      </c>
      <c r="Y113" s="111">
        <v>0</v>
      </c>
      <c r="Z113" s="111">
        <v>0</v>
      </c>
      <c r="AA113" s="111">
        <v>0</v>
      </c>
      <c r="AB113" s="111">
        <v>0</v>
      </c>
      <c r="AC113" s="111">
        <v>0</v>
      </c>
      <c r="AD113" s="111">
        <v>0</v>
      </c>
      <c r="AE113" s="111">
        <v>0</v>
      </c>
      <c r="AF113" s="111">
        <v>0</v>
      </c>
      <c r="AG113" s="111">
        <v>0</v>
      </c>
      <c r="AH113" s="111">
        <v>0</v>
      </c>
      <c r="AI113" s="111">
        <v>0</v>
      </c>
      <c r="AJ113" s="111">
        <v>0</v>
      </c>
      <c r="AK113" s="111">
        <v>0</v>
      </c>
      <c r="AL113" s="111">
        <v>0</v>
      </c>
      <c r="AM113" s="111">
        <v>0</v>
      </c>
      <c r="AN113" s="111">
        <v>0</v>
      </c>
      <c r="AO113" s="111">
        <v>0</v>
      </c>
      <c r="AP113" s="111">
        <v>0</v>
      </c>
      <c r="AQ113" s="111">
        <v>0</v>
      </c>
      <c r="AR113" s="111">
        <v>0</v>
      </c>
      <c r="AS113" s="111">
        <v>0</v>
      </c>
      <c r="AT113" s="111">
        <v>0</v>
      </c>
      <c r="AU113" s="111">
        <v>0</v>
      </c>
      <c r="AV113" s="111">
        <v>0</v>
      </c>
      <c r="AW113" s="111">
        <v>0</v>
      </c>
      <c r="AX113" s="111">
        <v>0</v>
      </c>
      <c r="AY113" s="111">
        <v>0</v>
      </c>
    </row>
    <row r="114" spans="1:52" x14ac:dyDescent="0.2">
      <c r="A114" s="114"/>
      <c r="B114" s="125">
        <v>6</v>
      </c>
      <c r="C114" s="111">
        <v>0</v>
      </c>
      <c r="D114" s="111">
        <v>0</v>
      </c>
      <c r="E114" s="111">
        <v>0</v>
      </c>
      <c r="F114" s="111">
        <v>0</v>
      </c>
      <c r="G114" s="111">
        <v>0</v>
      </c>
      <c r="H114" s="111">
        <v>0</v>
      </c>
      <c r="I114" s="111">
        <v>0</v>
      </c>
      <c r="J114" s="111">
        <v>0</v>
      </c>
      <c r="K114" s="111">
        <v>0</v>
      </c>
      <c r="L114" s="111">
        <v>0</v>
      </c>
      <c r="M114" s="111">
        <v>0</v>
      </c>
      <c r="N114" s="111">
        <v>0</v>
      </c>
      <c r="O114" s="111">
        <v>0</v>
      </c>
      <c r="P114" s="111">
        <v>0</v>
      </c>
      <c r="Q114" s="111">
        <v>0</v>
      </c>
      <c r="R114" s="111">
        <v>0</v>
      </c>
      <c r="S114" s="111">
        <v>0</v>
      </c>
      <c r="T114" s="111">
        <v>0</v>
      </c>
      <c r="U114" s="111">
        <v>0</v>
      </c>
      <c r="V114" s="111">
        <v>0</v>
      </c>
      <c r="W114" s="111">
        <v>0</v>
      </c>
      <c r="X114" s="111">
        <v>0</v>
      </c>
      <c r="Y114" s="111">
        <v>0</v>
      </c>
      <c r="Z114" s="111">
        <v>0</v>
      </c>
      <c r="AA114" s="111">
        <v>0</v>
      </c>
      <c r="AB114" s="111">
        <v>0</v>
      </c>
      <c r="AC114" s="111">
        <v>0</v>
      </c>
      <c r="AD114" s="111">
        <v>0</v>
      </c>
      <c r="AE114" s="111">
        <v>0</v>
      </c>
      <c r="AF114" s="111">
        <v>0</v>
      </c>
      <c r="AG114" s="111">
        <v>0</v>
      </c>
      <c r="AH114" s="111">
        <v>0</v>
      </c>
      <c r="AI114" s="111">
        <v>0</v>
      </c>
      <c r="AJ114" s="111">
        <v>0</v>
      </c>
      <c r="AK114" s="111">
        <v>0</v>
      </c>
      <c r="AL114" s="111">
        <v>0</v>
      </c>
      <c r="AM114" s="111">
        <v>0</v>
      </c>
      <c r="AN114" s="111">
        <v>0</v>
      </c>
      <c r="AO114" s="111">
        <v>0</v>
      </c>
      <c r="AP114" s="111">
        <v>0</v>
      </c>
      <c r="AQ114" s="111">
        <v>0</v>
      </c>
      <c r="AR114" s="111">
        <v>0</v>
      </c>
      <c r="AS114" s="111">
        <v>0</v>
      </c>
      <c r="AT114" s="111">
        <v>0</v>
      </c>
      <c r="AU114" s="111">
        <v>0</v>
      </c>
      <c r="AV114" s="111">
        <v>0</v>
      </c>
      <c r="AW114" s="111">
        <v>0</v>
      </c>
      <c r="AX114" s="111">
        <v>0</v>
      </c>
      <c r="AY114" s="111">
        <v>0</v>
      </c>
    </row>
    <row r="115" spans="1:52" x14ac:dyDescent="0.2">
      <c r="A115" s="114"/>
      <c r="B115" s="132">
        <v>7</v>
      </c>
      <c r="C115" s="111">
        <v>0</v>
      </c>
      <c r="D115" s="111">
        <v>0</v>
      </c>
      <c r="E115" s="111">
        <v>0</v>
      </c>
      <c r="F115" s="111">
        <v>0</v>
      </c>
      <c r="G115" s="111">
        <v>0</v>
      </c>
      <c r="H115" s="111">
        <v>0</v>
      </c>
      <c r="I115" s="111">
        <v>0</v>
      </c>
      <c r="J115" s="111">
        <v>0</v>
      </c>
      <c r="K115" s="111">
        <v>0</v>
      </c>
      <c r="L115" s="111">
        <v>0</v>
      </c>
      <c r="M115" s="111">
        <v>0</v>
      </c>
      <c r="N115" s="111">
        <v>0</v>
      </c>
      <c r="O115" s="111">
        <v>0</v>
      </c>
      <c r="P115" s="111">
        <v>0</v>
      </c>
      <c r="Q115" s="111">
        <v>0</v>
      </c>
      <c r="R115" s="111">
        <v>0</v>
      </c>
      <c r="S115" s="111">
        <v>0</v>
      </c>
      <c r="T115" s="111">
        <v>0</v>
      </c>
      <c r="U115" s="111">
        <v>0</v>
      </c>
      <c r="V115" s="111">
        <v>0</v>
      </c>
      <c r="W115" s="111">
        <v>0</v>
      </c>
      <c r="X115" s="111">
        <v>0</v>
      </c>
      <c r="Y115" s="111">
        <v>0</v>
      </c>
      <c r="Z115" s="111">
        <v>0</v>
      </c>
      <c r="AA115" s="111">
        <v>0</v>
      </c>
      <c r="AB115" s="111">
        <v>0</v>
      </c>
      <c r="AC115" s="111">
        <v>0</v>
      </c>
      <c r="AD115" s="111">
        <v>0</v>
      </c>
      <c r="AE115" s="111">
        <v>0</v>
      </c>
      <c r="AF115" s="111">
        <v>0</v>
      </c>
      <c r="AG115" s="111">
        <v>0</v>
      </c>
      <c r="AH115" s="111">
        <v>0</v>
      </c>
      <c r="AI115" s="111">
        <v>0</v>
      </c>
      <c r="AJ115" s="111">
        <v>0</v>
      </c>
      <c r="AK115" s="111">
        <v>0</v>
      </c>
      <c r="AL115" s="111">
        <v>0</v>
      </c>
      <c r="AM115" s="111">
        <v>0</v>
      </c>
      <c r="AN115" s="111">
        <v>0</v>
      </c>
      <c r="AO115" s="111">
        <v>0</v>
      </c>
      <c r="AP115" s="111">
        <v>0</v>
      </c>
      <c r="AQ115" s="111">
        <v>0</v>
      </c>
      <c r="AR115" s="111">
        <v>0</v>
      </c>
      <c r="AS115" s="111">
        <v>0</v>
      </c>
      <c r="AT115" s="111">
        <v>0</v>
      </c>
      <c r="AU115" s="111">
        <v>0</v>
      </c>
      <c r="AV115" s="111">
        <v>0</v>
      </c>
      <c r="AW115" s="111">
        <v>0</v>
      </c>
      <c r="AX115" s="111">
        <v>0</v>
      </c>
      <c r="AY115" s="111">
        <v>0</v>
      </c>
    </row>
    <row r="116" spans="1:52" x14ac:dyDescent="0.2">
      <c r="A116" s="114"/>
      <c r="B116" s="132">
        <v>8</v>
      </c>
      <c r="C116" s="111">
        <v>0</v>
      </c>
      <c r="D116" s="111">
        <v>0</v>
      </c>
      <c r="E116" s="111">
        <v>0</v>
      </c>
      <c r="F116" s="111">
        <v>0</v>
      </c>
      <c r="G116" s="111">
        <v>0</v>
      </c>
      <c r="H116" s="111">
        <v>0</v>
      </c>
      <c r="I116" s="111">
        <v>0</v>
      </c>
      <c r="J116" s="111">
        <v>0</v>
      </c>
      <c r="K116" s="111">
        <v>0</v>
      </c>
      <c r="L116" s="111">
        <v>0</v>
      </c>
      <c r="M116" s="111">
        <v>0</v>
      </c>
      <c r="N116" s="111">
        <v>0</v>
      </c>
      <c r="O116" s="111">
        <v>0</v>
      </c>
      <c r="P116" s="111">
        <v>0</v>
      </c>
      <c r="Q116" s="111">
        <v>0</v>
      </c>
      <c r="R116" s="111">
        <v>0</v>
      </c>
      <c r="S116" s="111">
        <v>0</v>
      </c>
      <c r="T116" s="111">
        <v>0</v>
      </c>
      <c r="U116" s="111">
        <v>0</v>
      </c>
      <c r="V116" s="111">
        <v>0</v>
      </c>
      <c r="W116" s="111">
        <v>0</v>
      </c>
      <c r="X116" s="111">
        <v>0</v>
      </c>
      <c r="Y116" s="111">
        <v>0</v>
      </c>
      <c r="Z116" s="111">
        <v>0</v>
      </c>
      <c r="AA116" s="111">
        <v>0</v>
      </c>
      <c r="AB116" s="111">
        <v>0</v>
      </c>
      <c r="AC116" s="111">
        <v>0</v>
      </c>
      <c r="AD116" s="111">
        <v>0</v>
      </c>
      <c r="AE116" s="111">
        <v>0</v>
      </c>
      <c r="AF116" s="111">
        <v>0</v>
      </c>
      <c r="AG116" s="111">
        <v>0</v>
      </c>
      <c r="AH116" s="111">
        <v>0</v>
      </c>
      <c r="AI116" s="111">
        <v>0</v>
      </c>
      <c r="AJ116" s="111">
        <v>0</v>
      </c>
      <c r="AK116" s="111">
        <v>0</v>
      </c>
      <c r="AL116" s="111">
        <v>0</v>
      </c>
      <c r="AM116" s="111">
        <v>0</v>
      </c>
      <c r="AN116" s="111">
        <v>0</v>
      </c>
      <c r="AO116" s="111">
        <v>0</v>
      </c>
      <c r="AP116" s="111">
        <v>0</v>
      </c>
      <c r="AQ116" s="111">
        <v>0</v>
      </c>
      <c r="AR116" s="111">
        <v>0</v>
      </c>
      <c r="AS116" s="111">
        <v>0</v>
      </c>
      <c r="AT116" s="111">
        <v>0</v>
      </c>
      <c r="AU116" s="111">
        <v>0</v>
      </c>
      <c r="AV116" s="111">
        <v>0</v>
      </c>
      <c r="AW116" s="111">
        <v>0</v>
      </c>
      <c r="AX116" s="111">
        <v>0</v>
      </c>
      <c r="AY116" s="111">
        <v>0</v>
      </c>
    </row>
    <row r="117" spans="1:52" x14ac:dyDescent="0.2">
      <c r="A117" s="114"/>
      <c r="B117" s="132">
        <v>9</v>
      </c>
      <c r="C117" s="111">
        <v>0</v>
      </c>
      <c r="D117" s="111">
        <v>0</v>
      </c>
      <c r="E117" s="111">
        <v>0</v>
      </c>
      <c r="F117" s="111">
        <v>0</v>
      </c>
      <c r="G117" s="111">
        <v>0</v>
      </c>
      <c r="H117" s="111">
        <v>0</v>
      </c>
      <c r="I117" s="111">
        <v>0</v>
      </c>
      <c r="J117" s="111">
        <v>0</v>
      </c>
      <c r="K117" s="111">
        <v>0</v>
      </c>
      <c r="L117" s="111">
        <v>0</v>
      </c>
      <c r="M117" s="111">
        <v>0</v>
      </c>
      <c r="N117" s="111">
        <v>0</v>
      </c>
      <c r="O117" s="111">
        <v>0</v>
      </c>
      <c r="P117" s="111">
        <v>0</v>
      </c>
      <c r="Q117" s="111">
        <v>0</v>
      </c>
      <c r="R117" s="111">
        <v>0</v>
      </c>
      <c r="S117" s="111">
        <v>0</v>
      </c>
      <c r="T117" s="111">
        <v>0</v>
      </c>
      <c r="U117" s="111">
        <v>0</v>
      </c>
      <c r="V117" s="111">
        <v>0</v>
      </c>
      <c r="W117" s="111">
        <v>0</v>
      </c>
      <c r="X117" s="111">
        <v>0</v>
      </c>
      <c r="Y117" s="111">
        <v>0</v>
      </c>
      <c r="Z117" s="111">
        <v>0</v>
      </c>
      <c r="AA117" s="111">
        <v>0</v>
      </c>
      <c r="AB117" s="111">
        <v>0</v>
      </c>
      <c r="AC117" s="111">
        <v>0</v>
      </c>
      <c r="AD117" s="111">
        <v>0</v>
      </c>
      <c r="AE117" s="111">
        <v>0</v>
      </c>
      <c r="AF117" s="111">
        <v>0</v>
      </c>
      <c r="AG117" s="111">
        <v>0</v>
      </c>
      <c r="AH117" s="111">
        <v>0</v>
      </c>
      <c r="AI117" s="111">
        <v>0</v>
      </c>
      <c r="AJ117" s="111">
        <v>0</v>
      </c>
      <c r="AK117" s="111">
        <v>0</v>
      </c>
      <c r="AL117" s="111">
        <v>0</v>
      </c>
      <c r="AM117" s="111">
        <v>0</v>
      </c>
      <c r="AN117" s="111">
        <v>0</v>
      </c>
      <c r="AO117" s="111">
        <v>0</v>
      </c>
      <c r="AP117" s="111">
        <v>0</v>
      </c>
      <c r="AQ117" s="111">
        <v>0</v>
      </c>
      <c r="AR117" s="111">
        <v>0</v>
      </c>
      <c r="AS117" s="111">
        <v>0</v>
      </c>
      <c r="AT117" s="111">
        <v>0</v>
      </c>
      <c r="AU117" s="111">
        <v>0</v>
      </c>
      <c r="AV117" s="111">
        <v>0</v>
      </c>
      <c r="AW117" s="111">
        <v>0</v>
      </c>
      <c r="AX117" s="111">
        <v>0</v>
      </c>
      <c r="AY117" s="111">
        <v>0</v>
      </c>
    </row>
    <row r="118" spans="1:52" x14ac:dyDescent="0.2">
      <c r="A118" s="114"/>
      <c r="B118" s="135">
        <v>10</v>
      </c>
      <c r="C118" s="111">
        <v>0</v>
      </c>
      <c r="D118" s="111">
        <v>0</v>
      </c>
      <c r="E118" s="111">
        <v>0</v>
      </c>
      <c r="F118" s="111">
        <v>0</v>
      </c>
      <c r="G118" s="111">
        <v>0</v>
      </c>
      <c r="H118" s="111">
        <v>0</v>
      </c>
      <c r="I118" s="111">
        <v>0</v>
      </c>
      <c r="J118" s="111">
        <v>0</v>
      </c>
      <c r="K118" s="111">
        <v>0</v>
      </c>
      <c r="L118" s="111">
        <v>0</v>
      </c>
      <c r="M118" s="111">
        <v>0</v>
      </c>
      <c r="N118" s="111">
        <v>0</v>
      </c>
      <c r="O118" s="111">
        <v>0</v>
      </c>
      <c r="P118" s="111">
        <v>0</v>
      </c>
      <c r="Q118" s="111">
        <v>0</v>
      </c>
      <c r="R118" s="111">
        <v>0</v>
      </c>
      <c r="S118" s="111">
        <v>0</v>
      </c>
      <c r="T118" s="111">
        <v>0</v>
      </c>
      <c r="U118" s="111">
        <v>0</v>
      </c>
      <c r="V118" s="111">
        <v>0</v>
      </c>
      <c r="W118" s="111">
        <v>0</v>
      </c>
      <c r="X118" s="111">
        <v>0</v>
      </c>
      <c r="Y118" s="111">
        <v>0</v>
      </c>
      <c r="Z118" s="111">
        <v>0</v>
      </c>
      <c r="AA118" s="111">
        <v>0</v>
      </c>
      <c r="AB118" s="111">
        <v>0</v>
      </c>
      <c r="AC118" s="111">
        <v>0</v>
      </c>
      <c r="AD118" s="111">
        <v>0</v>
      </c>
      <c r="AE118" s="111">
        <v>0</v>
      </c>
      <c r="AF118" s="111">
        <v>0</v>
      </c>
      <c r="AG118" s="111">
        <v>0</v>
      </c>
      <c r="AH118" s="111">
        <v>0</v>
      </c>
      <c r="AI118" s="111">
        <v>0</v>
      </c>
      <c r="AJ118" s="111">
        <v>0</v>
      </c>
      <c r="AK118" s="111">
        <v>0</v>
      </c>
      <c r="AL118" s="111">
        <v>0</v>
      </c>
      <c r="AM118" s="111">
        <v>0</v>
      </c>
      <c r="AN118" s="111">
        <v>0</v>
      </c>
      <c r="AO118" s="111">
        <v>0</v>
      </c>
      <c r="AP118" s="111">
        <v>0</v>
      </c>
      <c r="AQ118" s="111">
        <v>0</v>
      </c>
      <c r="AR118" s="111">
        <v>0</v>
      </c>
      <c r="AS118" s="111">
        <v>0</v>
      </c>
      <c r="AT118" s="111">
        <v>0</v>
      </c>
      <c r="AU118" s="111">
        <v>0</v>
      </c>
      <c r="AV118" s="111">
        <v>0</v>
      </c>
      <c r="AW118" s="111">
        <v>0</v>
      </c>
      <c r="AX118" s="111">
        <v>0</v>
      </c>
      <c r="AY118" s="111">
        <v>0</v>
      </c>
    </row>
    <row r="119" spans="1:52" x14ac:dyDescent="0.2">
      <c r="A119" s="114"/>
      <c r="B119" s="135">
        <v>11</v>
      </c>
      <c r="C119" s="111">
        <v>0</v>
      </c>
      <c r="D119" s="111">
        <v>0</v>
      </c>
      <c r="E119" s="111">
        <v>0</v>
      </c>
      <c r="F119" s="111">
        <v>0</v>
      </c>
      <c r="G119" s="111">
        <v>0</v>
      </c>
      <c r="H119" s="111">
        <v>0</v>
      </c>
      <c r="I119" s="111">
        <v>0</v>
      </c>
      <c r="J119" s="111">
        <v>0</v>
      </c>
      <c r="K119" s="111">
        <v>0</v>
      </c>
      <c r="L119" s="111">
        <v>0</v>
      </c>
      <c r="M119" s="111">
        <v>0</v>
      </c>
      <c r="N119" s="111">
        <v>0</v>
      </c>
      <c r="O119" s="111">
        <v>0</v>
      </c>
      <c r="P119" s="111">
        <v>0</v>
      </c>
      <c r="Q119" s="111">
        <v>0</v>
      </c>
      <c r="R119" s="111">
        <v>0</v>
      </c>
      <c r="S119" s="111">
        <v>0</v>
      </c>
      <c r="T119" s="111">
        <v>0</v>
      </c>
      <c r="U119" s="111">
        <v>0</v>
      </c>
      <c r="V119" s="111">
        <v>0</v>
      </c>
      <c r="W119" s="111">
        <v>0</v>
      </c>
      <c r="X119" s="111">
        <v>0</v>
      </c>
      <c r="Y119" s="111">
        <v>0</v>
      </c>
      <c r="Z119" s="111">
        <v>0</v>
      </c>
      <c r="AA119" s="111">
        <v>0</v>
      </c>
      <c r="AB119" s="111">
        <v>0</v>
      </c>
      <c r="AC119" s="111">
        <v>0</v>
      </c>
      <c r="AD119" s="111">
        <v>0</v>
      </c>
      <c r="AE119" s="111">
        <v>0</v>
      </c>
      <c r="AF119" s="111">
        <v>0</v>
      </c>
      <c r="AG119" s="111">
        <v>0</v>
      </c>
      <c r="AH119" s="111">
        <v>0</v>
      </c>
      <c r="AI119" s="111">
        <v>0</v>
      </c>
      <c r="AJ119" s="111">
        <v>0</v>
      </c>
      <c r="AK119" s="111">
        <v>0</v>
      </c>
      <c r="AL119" s="111">
        <v>0</v>
      </c>
      <c r="AM119" s="111">
        <v>0</v>
      </c>
      <c r="AN119" s="111">
        <v>0</v>
      </c>
      <c r="AO119" s="111">
        <v>0</v>
      </c>
      <c r="AP119" s="111">
        <v>0</v>
      </c>
      <c r="AQ119" s="111">
        <v>0</v>
      </c>
      <c r="AR119" s="111">
        <v>0</v>
      </c>
      <c r="AS119" s="111">
        <v>0</v>
      </c>
      <c r="AT119" s="111">
        <v>0</v>
      </c>
      <c r="AU119" s="111">
        <v>0</v>
      </c>
      <c r="AV119" s="111">
        <v>0</v>
      </c>
      <c r="AW119" s="111">
        <v>0</v>
      </c>
      <c r="AX119" s="111">
        <v>0</v>
      </c>
      <c r="AY119" s="111">
        <v>0</v>
      </c>
    </row>
    <row r="120" spans="1:52" x14ac:dyDescent="0.2">
      <c r="A120" s="114"/>
      <c r="B120" s="135">
        <v>12</v>
      </c>
      <c r="C120" s="111">
        <v>0</v>
      </c>
      <c r="D120" s="111">
        <v>0</v>
      </c>
      <c r="E120" s="111">
        <v>0</v>
      </c>
      <c r="F120" s="111">
        <v>0</v>
      </c>
      <c r="G120" s="111">
        <v>0</v>
      </c>
      <c r="H120" s="111">
        <v>0</v>
      </c>
      <c r="I120" s="111">
        <v>0</v>
      </c>
      <c r="J120" s="111">
        <v>0</v>
      </c>
      <c r="K120" s="111">
        <v>0</v>
      </c>
      <c r="L120" s="111">
        <v>0</v>
      </c>
      <c r="M120" s="111">
        <v>0</v>
      </c>
      <c r="N120" s="111">
        <v>0</v>
      </c>
      <c r="O120" s="111">
        <v>0</v>
      </c>
      <c r="P120" s="111">
        <v>0</v>
      </c>
      <c r="Q120" s="111">
        <v>0</v>
      </c>
      <c r="R120" s="111">
        <v>0</v>
      </c>
      <c r="S120" s="111">
        <v>0</v>
      </c>
      <c r="T120" s="111">
        <v>0</v>
      </c>
      <c r="U120" s="111">
        <v>0</v>
      </c>
      <c r="V120" s="111">
        <v>0</v>
      </c>
      <c r="W120" s="111">
        <v>0</v>
      </c>
      <c r="X120" s="111">
        <v>0</v>
      </c>
      <c r="Y120" s="111">
        <v>0</v>
      </c>
      <c r="Z120" s="111">
        <v>0</v>
      </c>
      <c r="AA120" s="111">
        <v>0</v>
      </c>
      <c r="AB120" s="111">
        <v>0</v>
      </c>
      <c r="AC120" s="111">
        <v>0</v>
      </c>
      <c r="AD120" s="111">
        <v>0</v>
      </c>
      <c r="AE120" s="111">
        <v>0</v>
      </c>
      <c r="AF120" s="111">
        <v>0</v>
      </c>
      <c r="AG120" s="111">
        <v>0</v>
      </c>
      <c r="AH120" s="111">
        <v>0</v>
      </c>
      <c r="AI120" s="111">
        <v>0</v>
      </c>
      <c r="AJ120" s="111">
        <v>0</v>
      </c>
      <c r="AK120" s="111">
        <v>0</v>
      </c>
      <c r="AL120" s="111">
        <v>0</v>
      </c>
      <c r="AM120" s="111">
        <v>0</v>
      </c>
      <c r="AN120" s="111">
        <v>0</v>
      </c>
      <c r="AO120" s="111">
        <v>0</v>
      </c>
      <c r="AP120" s="111">
        <v>0</v>
      </c>
      <c r="AQ120" s="111">
        <v>0</v>
      </c>
      <c r="AR120" s="111">
        <v>0</v>
      </c>
      <c r="AS120" s="111">
        <v>0</v>
      </c>
      <c r="AT120" s="111">
        <v>0</v>
      </c>
      <c r="AU120" s="111">
        <v>0</v>
      </c>
      <c r="AV120" s="111">
        <v>0</v>
      </c>
      <c r="AW120" s="111">
        <v>0</v>
      </c>
      <c r="AX120" s="111">
        <v>0</v>
      </c>
      <c r="AY120" s="111">
        <v>0</v>
      </c>
    </row>
    <row r="121" spans="1:52" x14ac:dyDescent="0.2">
      <c r="A121" s="133"/>
      <c r="B121" s="137" t="s">
        <v>296</v>
      </c>
      <c r="C121" s="119">
        <v>0</v>
      </c>
      <c r="D121" s="130">
        <v>0</v>
      </c>
      <c r="E121" s="130">
        <v>0</v>
      </c>
      <c r="F121" s="130">
        <v>0</v>
      </c>
      <c r="G121" s="130">
        <v>0</v>
      </c>
      <c r="H121" s="130">
        <v>0</v>
      </c>
      <c r="I121" s="130">
        <v>0</v>
      </c>
      <c r="J121" s="130">
        <v>0</v>
      </c>
      <c r="K121" s="130">
        <v>0</v>
      </c>
      <c r="L121" s="130">
        <v>0</v>
      </c>
      <c r="M121" s="130">
        <v>0</v>
      </c>
      <c r="N121" s="130">
        <v>0</v>
      </c>
      <c r="O121" s="130">
        <v>0</v>
      </c>
      <c r="P121" s="130">
        <v>0</v>
      </c>
      <c r="Q121" s="130">
        <v>0</v>
      </c>
      <c r="R121" s="130">
        <v>0</v>
      </c>
      <c r="S121" s="130">
        <v>0</v>
      </c>
      <c r="T121" s="130">
        <v>0</v>
      </c>
      <c r="U121" s="130">
        <v>0</v>
      </c>
      <c r="V121" s="130">
        <v>0</v>
      </c>
      <c r="W121" s="130">
        <v>0</v>
      </c>
      <c r="X121" s="130">
        <v>0</v>
      </c>
      <c r="Y121" s="130">
        <v>0</v>
      </c>
      <c r="Z121" s="130">
        <v>0</v>
      </c>
      <c r="AA121" s="130">
        <v>0</v>
      </c>
      <c r="AB121" s="130">
        <v>0</v>
      </c>
      <c r="AC121" s="130">
        <v>0</v>
      </c>
      <c r="AD121" s="130">
        <v>0</v>
      </c>
      <c r="AE121" s="130">
        <v>0</v>
      </c>
      <c r="AF121" s="130">
        <v>0</v>
      </c>
      <c r="AG121" s="130">
        <v>0</v>
      </c>
      <c r="AH121" s="130">
        <v>0</v>
      </c>
      <c r="AI121" s="130">
        <v>0</v>
      </c>
      <c r="AJ121" s="130">
        <v>0</v>
      </c>
      <c r="AK121" s="130">
        <v>0</v>
      </c>
      <c r="AL121" s="130">
        <v>0</v>
      </c>
      <c r="AM121" s="130">
        <v>0</v>
      </c>
      <c r="AN121" s="130">
        <v>0</v>
      </c>
      <c r="AO121" s="130">
        <v>0</v>
      </c>
      <c r="AP121" s="130">
        <v>0</v>
      </c>
      <c r="AQ121" s="130">
        <v>0</v>
      </c>
      <c r="AR121" s="130">
        <v>0</v>
      </c>
      <c r="AS121" s="130">
        <v>0</v>
      </c>
      <c r="AT121" s="130">
        <v>0</v>
      </c>
      <c r="AU121" s="130">
        <v>0</v>
      </c>
      <c r="AV121" s="130">
        <v>0</v>
      </c>
      <c r="AW121" s="130">
        <v>0</v>
      </c>
      <c r="AX121" s="130">
        <v>0</v>
      </c>
      <c r="AY121" s="130">
        <v>0</v>
      </c>
      <c r="AZ121" s="112">
        <f>SUM($D121:$AY121)</f>
        <v>0</v>
      </c>
    </row>
    <row r="122" spans="1:52" x14ac:dyDescent="0.2">
      <c r="A122" s="136" t="s">
        <v>123</v>
      </c>
      <c r="B122" s="124">
        <v>1</v>
      </c>
      <c r="C122" s="111">
        <v>367.01531151003167</v>
      </c>
      <c r="D122" s="111">
        <v>78.500000000000014</v>
      </c>
      <c r="E122" s="111">
        <v>0</v>
      </c>
      <c r="F122" s="111">
        <v>88.457366483544305</v>
      </c>
      <c r="G122" s="111">
        <v>0</v>
      </c>
      <c r="H122" s="111">
        <v>226.27553272727275</v>
      </c>
      <c r="I122" s="111">
        <v>226.27553272727275</v>
      </c>
      <c r="J122" s="111">
        <v>304.24855733779049</v>
      </c>
      <c r="K122" s="111">
        <v>304.24855733779049</v>
      </c>
      <c r="L122" s="111">
        <v>226.27553272727275</v>
      </c>
      <c r="M122" s="111">
        <v>347.88863272727275</v>
      </c>
      <c r="N122" s="111">
        <v>304.24855733779049</v>
      </c>
      <c r="O122" s="111">
        <v>304.24855733779049</v>
      </c>
      <c r="P122" s="111">
        <v>304.24855733779049</v>
      </c>
      <c r="Q122" s="111">
        <v>304.24855733779049</v>
      </c>
      <c r="R122" s="111">
        <v>226.27553272727275</v>
      </c>
      <c r="S122" s="111">
        <v>347.88863272727275</v>
      </c>
      <c r="T122" s="111">
        <v>304.24855733779049</v>
      </c>
      <c r="U122" s="111">
        <v>304.24855733779049</v>
      </c>
      <c r="V122" s="111">
        <v>304.24855733779049</v>
      </c>
      <c r="W122" s="111">
        <v>304.24855733779049</v>
      </c>
      <c r="X122" s="111">
        <v>304.24855733779049</v>
      </c>
      <c r="Y122" s="111">
        <v>304.24855733779049</v>
      </c>
      <c r="Z122" s="111">
        <v>304.24855733779049</v>
      </c>
      <c r="AA122" s="111">
        <v>304.24855733779049</v>
      </c>
      <c r="AB122" s="111">
        <v>304.24855733779049</v>
      </c>
      <c r="AC122" s="111">
        <v>304.24855733779049</v>
      </c>
      <c r="AD122" s="111">
        <v>304.24855733779049</v>
      </c>
      <c r="AE122" s="111">
        <v>304.24855733779049</v>
      </c>
      <c r="AF122" s="111">
        <v>304.24855733779049</v>
      </c>
      <c r="AG122" s="111">
        <v>304.24855733779049</v>
      </c>
      <c r="AH122" s="111">
        <v>304.24855733779049</v>
      </c>
      <c r="AI122" s="111">
        <v>304.24855733779049</v>
      </c>
      <c r="AJ122" s="111">
        <v>304.24855733779049</v>
      </c>
      <c r="AK122" s="111">
        <v>304.24855733779049</v>
      </c>
      <c r="AL122" s="111">
        <v>304.24855733779049</v>
      </c>
      <c r="AM122" s="111">
        <v>226.27553272727275</v>
      </c>
      <c r="AN122" s="111">
        <v>347.88863272727275</v>
      </c>
      <c r="AO122" s="111">
        <v>304.24855733779049</v>
      </c>
      <c r="AP122" s="111">
        <v>304.24855733779049</v>
      </c>
      <c r="AQ122" s="111">
        <v>304.24855733779049</v>
      </c>
      <c r="AR122" s="111">
        <v>304.24855733779049</v>
      </c>
      <c r="AS122" s="111">
        <v>304.24855733779049</v>
      </c>
      <c r="AT122" s="111">
        <v>304.24855733779049</v>
      </c>
      <c r="AU122" s="111">
        <v>304.24855733779049</v>
      </c>
      <c r="AV122" s="111">
        <v>304.24855733779049</v>
      </c>
      <c r="AW122" s="111">
        <v>304.24855733779049</v>
      </c>
      <c r="AX122" s="111">
        <v>304.24855733779049</v>
      </c>
      <c r="AY122" s="111">
        <v>304.24855733779049</v>
      </c>
    </row>
    <row r="123" spans="1:52" x14ac:dyDescent="0.2">
      <c r="A123" s="114"/>
      <c r="B123" s="124">
        <v>2</v>
      </c>
      <c r="C123" s="111">
        <v>0</v>
      </c>
      <c r="D123" s="111">
        <v>0</v>
      </c>
      <c r="E123" s="111">
        <v>4.5000000000000142</v>
      </c>
      <c r="F123" s="111">
        <v>0</v>
      </c>
      <c r="G123" s="111">
        <v>33.457366483544305</v>
      </c>
      <c r="H123" s="111">
        <v>0</v>
      </c>
      <c r="I123" s="111">
        <v>0</v>
      </c>
      <c r="J123" s="111">
        <v>0</v>
      </c>
      <c r="K123" s="111">
        <v>0</v>
      </c>
      <c r="L123" s="111">
        <v>0</v>
      </c>
      <c r="M123" s="111">
        <v>0</v>
      </c>
      <c r="N123" s="111">
        <v>0</v>
      </c>
      <c r="O123" s="111">
        <v>0</v>
      </c>
      <c r="P123" s="111">
        <v>0</v>
      </c>
      <c r="Q123" s="111">
        <v>0</v>
      </c>
      <c r="R123" s="111">
        <v>0</v>
      </c>
      <c r="S123" s="111">
        <v>0</v>
      </c>
      <c r="T123" s="111">
        <v>0</v>
      </c>
      <c r="U123" s="111">
        <v>0</v>
      </c>
      <c r="V123" s="111">
        <v>0</v>
      </c>
      <c r="W123" s="111">
        <v>0</v>
      </c>
      <c r="X123" s="111">
        <v>0</v>
      </c>
      <c r="Y123" s="111">
        <v>0</v>
      </c>
      <c r="Z123" s="111">
        <v>0</v>
      </c>
      <c r="AA123" s="111">
        <v>0</v>
      </c>
      <c r="AB123" s="111">
        <v>0</v>
      </c>
      <c r="AC123" s="111">
        <v>0</v>
      </c>
      <c r="AD123" s="111">
        <v>0</v>
      </c>
      <c r="AE123" s="111">
        <v>0</v>
      </c>
      <c r="AF123" s="111">
        <v>0</v>
      </c>
      <c r="AG123" s="111">
        <v>0</v>
      </c>
      <c r="AH123" s="111">
        <v>0</v>
      </c>
      <c r="AI123" s="111">
        <v>0</v>
      </c>
      <c r="AJ123" s="111">
        <v>0</v>
      </c>
      <c r="AK123" s="111">
        <v>0</v>
      </c>
      <c r="AL123" s="111">
        <v>0</v>
      </c>
      <c r="AM123" s="111">
        <v>0</v>
      </c>
      <c r="AN123" s="111">
        <v>0</v>
      </c>
      <c r="AO123" s="111">
        <v>0</v>
      </c>
      <c r="AP123" s="111">
        <v>0</v>
      </c>
      <c r="AQ123" s="111">
        <v>0</v>
      </c>
      <c r="AR123" s="111">
        <v>0</v>
      </c>
      <c r="AS123" s="111">
        <v>0</v>
      </c>
      <c r="AT123" s="111">
        <v>0</v>
      </c>
      <c r="AU123" s="111">
        <v>0</v>
      </c>
      <c r="AV123" s="111">
        <v>0</v>
      </c>
      <c r="AW123" s="111">
        <v>0</v>
      </c>
      <c r="AX123" s="111">
        <v>0</v>
      </c>
      <c r="AY123" s="111">
        <v>0</v>
      </c>
    </row>
    <row r="124" spans="1:52" x14ac:dyDescent="0.2">
      <c r="A124" s="114"/>
      <c r="B124" s="124">
        <v>3</v>
      </c>
      <c r="C124" s="111">
        <v>0</v>
      </c>
      <c r="D124" s="111">
        <v>0</v>
      </c>
      <c r="E124" s="111">
        <v>0</v>
      </c>
      <c r="F124" s="111">
        <v>0</v>
      </c>
      <c r="G124" s="111">
        <v>0</v>
      </c>
      <c r="H124" s="111">
        <v>0</v>
      </c>
      <c r="I124" s="111">
        <v>0</v>
      </c>
      <c r="J124" s="111">
        <v>0</v>
      </c>
      <c r="K124" s="111">
        <v>0</v>
      </c>
      <c r="L124" s="111">
        <v>0</v>
      </c>
      <c r="M124" s="111">
        <v>0</v>
      </c>
      <c r="N124" s="111">
        <v>0</v>
      </c>
      <c r="O124" s="111">
        <v>0</v>
      </c>
      <c r="P124" s="111">
        <v>0</v>
      </c>
      <c r="Q124" s="111">
        <v>0</v>
      </c>
      <c r="R124" s="111">
        <v>0</v>
      </c>
      <c r="S124" s="111">
        <v>0</v>
      </c>
      <c r="T124" s="111">
        <v>0</v>
      </c>
      <c r="U124" s="111">
        <v>0</v>
      </c>
      <c r="V124" s="111">
        <v>0</v>
      </c>
      <c r="W124" s="111">
        <v>0</v>
      </c>
      <c r="X124" s="111">
        <v>0</v>
      </c>
      <c r="Y124" s="111">
        <v>0</v>
      </c>
      <c r="Z124" s="111">
        <v>0</v>
      </c>
      <c r="AA124" s="111">
        <v>0</v>
      </c>
      <c r="AB124" s="111">
        <v>0</v>
      </c>
      <c r="AC124" s="111">
        <v>0</v>
      </c>
      <c r="AD124" s="111">
        <v>0</v>
      </c>
      <c r="AE124" s="111">
        <v>0</v>
      </c>
      <c r="AF124" s="111">
        <v>0</v>
      </c>
      <c r="AG124" s="111">
        <v>0</v>
      </c>
      <c r="AH124" s="111">
        <v>0</v>
      </c>
      <c r="AI124" s="111">
        <v>0</v>
      </c>
      <c r="AJ124" s="111">
        <v>0</v>
      </c>
      <c r="AK124" s="111">
        <v>0</v>
      </c>
      <c r="AL124" s="111">
        <v>0</v>
      </c>
      <c r="AM124" s="111">
        <v>0</v>
      </c>
      <c r="AN124" s="111">
        <v>0</v>
      </c>
      <c r="AO124" s="111">
        <v>0</v>
      </c>
      <c r="AP124" s="111">
        <v>0</v>
      </c>
      <c r="AQ124" s="111">
        <v>0</v>
      </c>
      <c r="AR124" s="111">
        <v>0</v>
      </c>
      <c r="AS124" s="111">
        <v>0</v>
      </c>
      <c r="AT124" s="111">
        <v>0</v>
      </c>
      <c r="AU124" s="111">
        <v>0</v>
      </c>
      <c r="AV124" s="111">
        <v>0</v>
      </c>
      <c r="AW124" s="111">
        <v>0</v>
      </c>
      <c r="AX124" s="111">
        <v>0</v>
      </c>
      <c r="AY124" s="111">
        <v>0</v>
      </c>
    </row>
    <row r="125" spans="1:52" x14ac:dyDescent="0.2">
      <c r="A125" s="114"/>
      <c r="B125" s="124">
        <v>4</v>
      </c>
      <c r="C125" s="111">
        <v>0</v>
      </c>
      <c r="D125" s="111">
        <v>0</v>
      </c>
      <c r="E125" s="111">
        <v>0</v>
      </c>
      <c r="F125" s="111">
        <v>0</v>
      </c>
      <c r="G125" s="111">
        <v>0</v>
      </c>
      <c r="H125" s="111">
        <v>0</v>
      </c>
      <c r="I125" s="111">
        <v>0</v>
      </c>
      <c r="J125" s="111">
        <v>0</v>
      </c>
      <c r="K125" s="111">
        <v>0</v>
      </c>
      <c r="L125" s="111">
        <v>0</v>
      </c>
      <c r="M125" s="111">
        <v>0</v>
      </c>
      <c r="N125" s="111">
        <v>0</v>
      </c>
      <c r="O125" s="111">
        <v>0</v>
      </c>
      <c r="P125" s="111">
        <v>0</v>
      </c>
      <c r="Q125" s="111">
        <v>0</v>
      </c>
      <c r="R125" s="111">
        <v>0</v>
      </c>
      <c r="S125" s="111">
        <v>0</v>
      </c>
      <c r="T125" s="111">
        <v>0</v>
      </c>
      <c r="U125" s="111">
        <v>0</v>
      </c>
      <c r="V125" s="111">
        <v>0</v>
      </c>
      <c r="W125" s="111">
        <v>0</v>
      </c>
      <c r="X125" s="111">
        <v>0</v>
      </c>
      <c r="Y125" s="111">
        <v>0</v>
      </c>
      <c r="Z125" s="111">
        <v>0</v>
      </c>
      <c r="AA125" s="111">
        <v>0</v>
      </c>
      <c r="AB125" s="111">
        <v>0</v>
      </c>
      <c r="AC125" s="111">
        <v>0</v>
      </c>
      <c r="AD125" s="111">
        <v>0</v>
      </c>
      <c r="AE125" s="111">
        <v>0</v>
      </c>
      <c r="AF125" s="111">
        <v>0</v>
      </c>
      <c r="AG125" s="111">
        <v>0</v>
      </c>
      <c r="AH125" s="111">
        <v>0</v>
      </c>
      <c r="AI125" s="111">
        <v>0</v>
      </c>
      <c r="AJ125" s="111">
        <v>0</v>
      </c>
      <c r="AK125" s="111">
        <v>0</v>
      </c>
      <c r="AL125" s="111">
        <v>0</v>
      </c>
      <c r="AM125" s="111">
        <v>0</v>
      </c>
      <c r="AN125" s="111">
        <v>0</v>
      </c>
      <c r="AO125" s="111">
        <v>0</v>
      </c>
      <c r="AP125" s="111">
        <v>0</v>
      </c>
      <c r="AQ125" s="111">
        <v>0</v>
      </c>
      <c r="AR125" s="111">
        <v>0</v>
      </c>
      <c r="AS125" s="111">
        <v>0</v>
      </c>
      <c r="AT125" s="111">
        <v>0</v>
      </c>
      <c r="AU125" s="111">
        <v>0</v>
      </c>
      <c r="AV125" s="111">
        <v>0</v>
      </c>
      <c r="AW125" s="111">
        <v>0</v>
      </c>
      <c r="AX125" s="111">
        <v>0</v>
      </c>
      <c r="AY125" s="111">
        <v>0</v>
      </c>
    </row>
    <row r="126" spans="1:52" x14ac:dyDescent="0.2">
      <c r="A126" s="114"/>
      <c r="B126" s="124">
        <v>5</v>
      </c>
      <c r="C126" s="111">
        <v>0</v>
      </c>
      <c r="D126" s="111">
        <v>0</v>
      </c>
      <c r="E126" s="111">
        <v>0</v>
      </c>
      <c r="F126" s="111">
        <v>0</v>
      </c>
      <c r="G126" s="111">
        <v>0</v>
      </c>
      <c r="H126" s="111">
        <v>0</v>
      </c>
      <c r="I126" s="111">
        <v>0</v>
      </c>
      <c r="J126" s="111">
        <v>0</v>
      </c>
      <c r="K126" s="111">
        <v>0</v>
      </c>
      <c r="L126" s="111">
        <v>0</v>
      </c>
      <c r="M126" s="111">
        <v>0</v>
      </c>
      <c r="N126" s="111">
        <v>0</v>
      </c>
      <c r="O126" s="111">
        <v>0</v>
      </c>
      <c r="P126" s="111">
        <v>0</v>
      </c>
      <c r="Q126" s="111">
        <v>0</v>
      </c>
      <c r="R126" s="111">
        <v>0</v>
      </c>
      <c r="S126" s="111">
        <v>0</v>
      </c>
      <c r="T126" s="111">
        <v>0</v>
      </c>
      <c r="U126" s="111">
        <v>0</v>
      </c>
      <c r="V126" s="111">
        <v>0</v>
      </c>
      <c r="W126" s="111">
        <v>0</v>
      </c>
      <c r="X126" s="111">
        <v>0</v>
      </c>
      <c r="Y126" s="111">
        <v>0</v>
      </c>
      <c r="Z126" s="111">
        <v>0</v>
      </c>
      <c r="AA126" s="111">
        <v>0</v>
      </c>
      <c r="AB126" s="111">
        <v>0</v>
      </c>
      <c r="AC126" s="111">
        <v>0</v>
      </c>
      <c r="AD126" s="111">
        <v>0</v>
      </c>
      <c r="AE126" s="111">
        <v>0</v>
      </c>
      <c r="AF126" s="111">
        <v>0</v>
      </c>
      <c r="AG126" s="111">
        <v>0</v>
      </c>
      <c r="AH126" s="111">
        <v>0</v>
      </c>
      <c r="AI126" s="111">
        <v>0</v>
      </c>
      <c r="AJ126" s="111">
        <v>0</v>
      </c>
      <c r="AK126" s="111">
        <v>0</v>
      </c>
      <c r="AL126" s="111">
        <v>0</v>
      </c>
      <c r="AM126" s="111">
        <v>0</v>
      </c>
      <c r="AN126" s="111">
        <v>0</v>
      </c>
      <c r="AO126" s="111">
        <v>0</v>
      </c>
      <c r="AP126" s="111">
        <v>0</v>
      </c>
      <c r="AQ126" s="111">
        <v>0</v>
      </c>
      <c r="AR126" s="111">
        <v>0</v>
      </c>
      <c r="AS126" s="111">
        <v>0</v>
      </c>
      <c r="AT126" s="111">
        <v>0</v>
      </c>
      <c r="AU126" s="111">
        <v>0</v>
      </c>
      <c r="AV126" s="111">
        <v>0</v>
      </c>
      <c r="AW126" s="111">
        <v>0</v>
      </c>
      <c r="AX126" s="111">
        <v>0</v>
      </c>
      <c r="AY126" s="111">
        <v>0</v>
      </c>
    </row>
    <row r="127" spans="1:52" x14ac:dyDescent="0.2">
      <c r="A127" s="114"/>
      <c r="B127" s="124">
        <v>6</v>
      </c>
      <c r="C127" s="111">
        <v>0</v>
      </c>
      <c r="D127" s="111">
        <v>0</v>
      </c>
      <c r="E127" s="111">
        <v>0</v>
      </c>
      <c r="F127" s="111">
        <v>0</v>
      </c>
      <c r="G127" s="111">
        <v>0</v>
      </c>
      <c r="H127" s="111">
        <v>0</v>
      </c>
      <c r="I127" s="111">
        <v>0</v>
      </c>
      <c r="J127" s="111">
        <v>0</v>
      </c>
      <c r="K127" s="111">
        <v>0</v>
      </c>
      <c r="L127" s="111">
        <v>0</v>
      </c>
      <c r="M127" s="111">
        <v>0</v>
      </c>
      <c r="N127" s="111">
        <v>0</v>
      </c>
      <c r="O127" s="111">
        <v>0</v>
      </c>
      <c r="P127" s="111">
        <v>0</v>
      </c>
      <c r="Q127" s="111">
        <v>0</v>
      </c>
      <c r="R127" s="111">
        <v>0</v>
      </c>
      <c r="S127" s="111">
        <v>0</v>
      </c>
      <c r="T127" s="111">
        <v>0</v>
      </c>
      <c r="U127" s="111">
        <v>0</v>
      </c>
      <c r="V127" s="111">
        <v>0</v>
      </c>
      <c r="W127" s="111">
        <v>0</v>
      </c>
      <c r="X127" s="111">
        <v>0</v>
      </c>
      <c r="Y127" s="111">
        <v>0</v>
      </c>
      <c r="Z127" s="111">
        <v>0</v>
      </c>
      <c r="AA127" s="111">
        <v>0</v>
      </c>
      <c r="AB127" s="111">
        <v>0</v>
      </c>
      <c r="AC127" s="111">
        <v>0</v>
      </c>
      <c r="AD127" s="111">
        <v>0</v>
      </c>
      <c r="AE127" s="111">
        <v>0</v>
      </c>
      <c r="AF127" s="111">
        <v>0</v>
      </c>
      <c r="AG127" s="111">
        <v>0</v>
      </c>
      <c r="AH127" s="111">
        <v>0</v>
      </c>
      <c r="AI127" s="111">
        <v>0</v>
      </c>
      <c r="AJ127" s="111">
        <v>0</v>
      </c>
      <c r="AK127" s="111">
        <v>0</v>
      </c>
      <c r="AL127" s="111">
        <v>0</v>
      </c>
      <c r="AM127" s="111">
        <v>0</v>
      </c>
      <c r="AN127" s="111">
        <v>0</v>
      </c>
      <c r="AO127" s="111">
        <v>0</v>
      </c>
      <c r="AP127" s="111">
        <v>0</v>
      </c>
      <c r="AQ127" s="111">
        <v>0</v>
      </c>
      <c r="AR127" s="111">
        <v>0</v>
      </c>
      <c r="AS127" s="111">
        <v>0</v>
      </c>
      <c r="AT127" s="111">
        <v>0</v>
      </c>
      <c r="AU127" s="111">
        <v>0</v>
      </c>
      <c r="AV127" s="111">
        <v>0</v>
      </c>
      <c r="AW127" s="111">
        <v>0</v>
      </c>
      <c r="AX127" s="111">
        <v>0</v>
      </c>
      <c r="AY127" s="111">
        <v>0</v>
      </c>
    </row>
    <row r="128" spans="1:52" x14ac:dyDescent="0.2">
      <c r="A128" s="114"/>
      <c r="B128" s="124">
        <v>7</v>
      </c>
      <c r="C128" s="111">
        <v>0</v>
      </c>
      <c r="D128" s="111">
        <v>0</v>
      </c>
      <c r="E128" s="111">
        <v>0</v>
      </c>
      <c r="F128" s="111">
        <v>0</v>
      </c>
      <c r="G128" s="111">
        <v>0</v>
      </c>
      <c r="H128" s="111">
        <v>0</v>
      </c>
      <c r="I128" s="111">
        <v>0</v>
      </c>
      <c r="J128" s="111">
        <v>0</v>
      </c>
      <c r="K128" s="111">
        <v>0</v>
      </c>
      <c r="L128" s="111">
        <v>0</v>
      </c>
      <c r="M128" s="111">
        <v>0</v>
      </c>
      <c r="N128" s="111">
        <v>0</v>
      </c>
      <c r="O128" s="111">
        <v>0</v>
      </c>
      <c r="P128" s="111">
        <v>0</v>
      </c>
      <c r="Q128" s="111">
        <v>0</v>
      </c>
      <c r="R128" s="111">
        <v>0</v>
      </c>
      <c r="S128" s="111">
        <v>0</v>
      </c>
      <c r="T128" s="111">
        <v>0</v>
      </c>
      <c r="U128" s="111">
        <v>0</v>
      </c>
      <c r="V128" s="111">
        <v>0</v>
      </c>
      <c r="W128" s="111">
        <v>0</v>
      </c>
      <c r="X128" s="111">
        <v>0</v>
      </c>
      <c r="Y128" s="111">
        <v>0</v>
      </c>
      <c r="Z128" s="111">
        <v>0</v>
      </c>
      <c r="AA128" s="111">
        <v>0</v>
      </c>
      <c r="AB128" s="111">
        <v>0</v>
      </c>
      <c r="AC128" s="111">
        <v>0</v>
      </c>
      <c r="AD128" s="111">
        <v>0</v>
      </c>
      <c r="AE128" s="111">
        <v>0</v>
      </c>
      <c r="AF128" s="111">
        <v>0</v>
      </c>
      <c r="AG128" s="111">
        <v>0</v>
      </c>
      <c r="AH128" s="111">
        <v>0</v>
      </c>
      <c r="AI128" s="111">
        <v>0</v>
      </c>
      <c r="AJ128" s="111">
        <v>0</v>
      </c>
      <c r="AK128" s="111">
        <v>0</v>
      </c>
      <c r="AL128" s="111">
        <v>0</v>
      </c>
      <c r="AM128" s="111">
        <v>0</v>
      </c>
      <c r="AN128" s="111">
        <v>0</v>
      </c>
      <c r="AO128" s="111">
        <v>0</v>
      </c>
      <c r="AP128" s="111">
        <v>0</v>
      </c>
      <c r="AQ128" s="111">
        <v>0</v>
      </c>
      <c r="AR128" s="111">
        <v>0</v>
      </c>
      <c r="AS128" s="111">
        <v>0</v>
      </c>
      <c r="AT128" s="111">
        <v>0</v>
      </c>
      <c r="AU128" s="111">
        <v>0</v>
      </c>
      <c r="AV128" s="111">
        <v>0</v>
      </c>
      <c r="AW128" s="111">
        <v>0</v>
      </c>
      <c r="AX128" s="111">
        <v>0</v>
      </c>
      <c r="AY128" s="111">
        <v>0</v>
      </c>
    </row>
    <row r="129" spans="1:51" x14ac:dyDescent="0.2">
      <c r="A129" s="114"/>
      <c r="B129" s="124">
        <v>8</v>
      </c>
      <c r="C129" s="111">
        <v>0</v>
      </c>
      <c r="D129" s="111">
        <v>0</v>
      </c>
      <c r="E129" s="111">
        <v>0</v>
      </c>
      <c r="F129" s="111">
        <v>0</v>
      </c>
      <c r="G129" s="111">
        <v>0</v>
      </c>
      <c r="H129" s="111">
        <v>0</v>
      </c>
      <c r="I129" s="111">
        <v>0</v>
      </c>
      <c r="J129" s="111">
        <v>0</v>
      </c>
      <c r="K129" s="111">
        <v>0</v>
      </c>
      <c r="L129" s="111">
        <v>0</v>
      </c>
      <c r="M129" s="111">
        <v>0</v>
      </c>
      <c r="N129" s="111">
        <v>0</v>
      </c>
      <c r="O129" s="111">
        <v>0</v>
      </c>
      <c r="P129" s="111">
        <v>0</v>
      </c>
      <c r="Q129" s="111">
        <v>0</v>
      </c>
      <c r="R129" s="111">
        <v>0</v>
      </c>
      <c r="S129" s="111">
        <v>0</v>
      </c>
      <c r="T129" s="111">
        <v>0</v>
      </c>
      <c r="U129" s="111">
        <v>0</v>
      </c>
      <c r="V129" s="111">
        <v>0</v>
      </c>
      <c r="W129" s="111">
        <v>0</v>
      </c>
      <c r="X129" s="111">
        <v>0</v>
      </c>
      <c r="Y129" s="111">
        <v>0</v>
      </c>
      <c r="Z129" s="111">
        <v>0</v>
      </c>
      <c r="AA129" s="111">
        <v>0</v>
      </c>
      <c r="AB129" s="111">
        <v>0</v>
      </c>
      <c r="AC129" s="111">
        <v>0</v>
      </c>
      <c r="AD129" s="111">
        <v>0</v>
      </c>
      <c r="AE129" s="111">
        <v>0</v>
      </c>
      <c r="AF129" s="111">
        <v>0</v>
      </c>
      <c r="AG129" s="111">
        <v>0</v>
      </c>
      <c r="AH129" s="111">
        <v>0</v>
      </c>
      <c r="AI129" s="111">
        <v>0</v>
      </c>
      <c r="AJ129" s="111">
        <v>0</v>
      </c>
      <c r="AK129" s="111">
        <v>0</v>
      </c>
      <c r="AL129" s="111">
        <v>0</v>
      </c>
      <c r="AM129" s="111">
        <v>0</v>
      </c>
      <c r="AN129" s="111">
        <v>0</v>
      </c>
      <c r="AO129" s="111">
        <v>0</v>
      </c>
      <c r="AP129" s="111">
        <v>0</v>
      </c>
      <c r="AQ129" s="111">
        <v>0</v>
      </c>
      <c r="AR129" s="111">
        <v>0</v>
      </c>
      <c r="AS129" s="111">
        <v>0</v>
      </c>
      <c r="AT129" s="111">
        <v>0</v>
      </c>
      <c r="AU129" s="111">
        <v>0</v>
      </c>
      <c r="AV129" s="111">
        <v>0</v>
      </c>
      <c r="AW129" s="111">
        <v>0</v>
      </c>
      <c r="AX129" s="111">
        <v>0</v>
      </c>
      <c r="AY129" s="111">
        <v>0</v>
      </c>
    </row>
    <row r="130" spans="1:51" x14ac:dyDescent="0.2">
      <c r="A130" s="114"/>
      <c r="B130" s="124">
        <v>9</v>
      </c>
      <c r="C130" s="111">
        <v>0</v>
      </c>
      <c r="D130" s="111">
        <v>0</v>
      </c>
      <c r="E130" s="111">
        <v>0</v>
      </c>
      <c r="F130" s="111">
        <v>0</v>
      </c>
      <c r="G130" s="111">
        <v>0</v>
      </c>
      <c r="H130" s="111">
        <v>0</v>
      </c>
      <c r="I130" s="111">
        <v>0</v>
      </c>
      <c r="J130" s="111">
        <v>0</v>
      </c>
      <c r="K130" s="111">
        <v>0</v>
      </c>
      <c r="L130" s="111">
        <v>0</v>
      </c>
      <c r="M130" s="111">
        <v>0</v>
      </c>
      <c r="N130" s="111">
        <v>0</v>
      </c>
      <c r="O130" s="111">
        <v>0</v>
      </c>
      <c r="P130" s="111">
        <v>0</v>
      </c>
      <c r="Q130" s="111">
        <v>0</v>
      </c>
      <c r="R130" s="111">
        <v>0</v>
      </c>
      <c r="S130" s="111">
        <v>0</v>
      </c>
      <c r="T130" s="111">
        <v>0</v>
      </c>
      <c r="U130" s="111">
        <v>0</v>
      </c>
      <c r="V130" s="111">
        <v>0</v>
      </c>
      <c r="W130" s="111">
        <v>0</v>
      </c>
      <c r="X130" s="111">
        <v>0</v>
      </c>
      <c r="Y130" s="111">
        <v>0</v>
      </c>
      <c r="Z130" s="111">
        <v>0</v>
      </c>
      <c r="AA130" s="111">
        <v>0</v>
      </c>
      <c r="AB130" s="111">
        <v>0</v>
      </c>
      <c r="AC130" s="111">
        <v>0</v>
      </c>
      <c r="AD130" s="111">
        <v>0</v>
      </c>
      <c r="AE130" s="111">
        <v>0</v>
      </c>
      <c r="AF130" s="111">
        <v>0</v>
      </c>
      <c r="AG130" s="111">
        <v>0</v>
      </c>
      <c r="AH130" s="111">
        <v>0</v>
      </c>
      <c r="AI130" s="111">
        <v>0</v>
      </c>
      <c r="AJ130" s="111">
        <v>0</v>
      </c>
      <c r="AK130" s="111">
        <v>0</v>
      </c>
      <c r="AL130" s="111">
        <v>0</v>
      </c>
      <c r="AM130" s="111">
        <v>0</v>
      </c>
      <c r="AN130" s="111">
        <v>0</v>
      </c>
      <c r="AO130" s="111">
        <v>0</v>
      </c>
      <c r="AP130" s="111">
        <v>0</v>
      </c>
      <c r="AQ130" s="111">
        <v>0</v>
      </c>
      <c r="AR130" s="111">
        <v>0</v>
      </c>
      <c r="AS130" s="111">
        <v>0</v>
      </c>
      <c r="AT130" s="111">
        <v>0</v>
      </c>
      <c r="AU130" s="111">
        <v>0</v>
      </c>
      <c r="AV130" s="111">
        <v>0</v>
      </c>
      <c r="AW130" s="111">
        <v>0</v>
      </c>
      <c r="AX130" s="111">
        <v>0</v>
      </c>
      <c r="AY130" s="111">
        <v>0</v>
      </c>
    </row>
    <row r="131" spans="1:51" x14ac:dyDescent="0.2">
      <c r="A131" s="114"/>
      <c r="B131" s="124">
        <v>10</v>
      </c>
      <c r="C131" s="111">
        <v>0</v>
      </c>
      <c r="D131" s="111">
        <v>0</v>
      </c>
      <c r="E131" s="111">
        <v>0</v>
      </c>
      <c r="F131" s="111">
        <v>0</v>
      </c>
      <c r="G131" s="111">
        <v>0</v>
      </c>
      <c r="H131" s="111">
        <v>0</v>
      </c>
      <c r="I131" s="111">
        <v>0</v>
      </c>
      <c r="J131" s="111">
        <v>0</v>
      </c>
      <c r="K131" s="111">
        <v>0</v>
      </c>
      <c r="L131" s="111">
        <v>0</v>
      </c>
      <c r="M131" s="111">
        <v>0</v>
      </c>
      <c r="N131" s="111">
        <v>0</v>
      </c>
      <c r="O131" s="111">
        <v>0</v>
      </c>
      <c r="P131" s="111">
        <v>0</v>
      </c>
      <c r="Q131" s="111">
        <v>0</v>
      </c>
      <c r="R131" s="111">
        <v>0</v>
      </c>
      <c r="S131" s="111">
        <v>0</v>
      </c>
      <c r="T131" s="111">
        <v>0</v>
      </c>
      <c r="U131" s="111">
        <v>0</v>
      </c>
      <c r="V131" s="111">
        <v>0</v>
      </c>
      <c r="W131" s="111">
        <v>0</v>
      </c>
      <c r="X131" s="111">
        <v>0</v>
      </c>
      <c r="Y131" s="111">
        <v>0</v>
      </c>
      <c r="Z131" s="111">
        <v>0</v>
      </c>
      <c r="AA131" s="111">
        <v>0</v>
      </c>
      <c r="AB131" s="111">
        <v>0</v>
      </c>
      <c r="AC131" s="111">
        <v>0</v>
      </c>
      <c r="AD131" s="111">
        <v>0</v>
      </c>
      <c r="AE131" s="111">
        <v>0</v>
      </c>
      <c r="AF131" s="111">
        <v>0</v>
      </c>
      <c r="AG131" s="111">
        <v>0</v>
      </c>
      <c r="AH131" s="111">
        <v>0</v>
      </c>
      <c r="AI131" s="111">
        <v>0</v>
      </c>
      <c r="AJ131" s="111">
        <v>0</v>
      </c>
      <c r="AK131" s="111">
        <v>0</v>
      </c>
      <c r="AL131" s="111">
        <v>0</v>
      </c>
      <c r="AM131" s="111">
        <v>0</v>
      </c>
      <c r="AN131" s="111">
        <v>0</v>
      </c>
      <c r="AO131" s="111">
        <v>0</v>
      </c>
      <c r="AP131" s="111">
        <v>0</v>
      </c>
      <c r="AQ131" s="111">
        <v>0</v>
      </c>
      <c r="AR131" s="111">
        <v>0</v>
      </c>
      <c r="AS131" s="111">
        <v>0</v>
      </c>
      <c r="AT131" s="111">
        <v>0</v>
      </c>
      <c r="AU131" s="111">
        <v>0</v>
      </c>
      <c r="AV131" s="111">
        <v>0</v>
      </c>
      <c r="AW131" s="111">
        <v>0</v>
      </c>
      <c r="AX131" s="111">
        <v>0</v>
      </c>
      <c r="AY131" s="111">
        <v>0</v>
      </c>
    </row>
    <row r="132" spans="1:51" x14ac:dyDescent="0.2">
      <c r="A132" s="114"/>
      <c r="B132" s="124">
        <v>11</v>
      </c>
      <c r="C132" s="111">
        <v>0</v>
      </c>
      <c r="D132" s="111">
        <v>0</v>
      </c>
      <c r="E132" s="111">
        <v>0</v>
      </c>
      <c r="F132" s="111">
        <v>0</v>
      </c>
      <c r="G132" s="111">
        <v>0</v>
      </c>
      <c r="H132" s="111">
        <v>0</v>
      </c>
      <c r="I132" s="111">
        <v>0</v>
      </c>
      <c r="J132" s="111">
        <v>0</v>
      </c>
      <c r="K132" s="111">
        <v>0</v>
      </c>
      <c r="L132" s="111">
        <v>0</v>
      </c>
      <c r="M132" s="111">
        <v>0</v>
      </c>
      <c r="N132" s="111">
        <v>0</v>
      </c>
      <c r="O132" s="111">
        <v>0</v>
      </c>
      <c r="P132" s="111">
        <v>0</v>
      </c>
      <c r="Q132" s="111">
        <v>0</v>
      </c>
      <c r="R132" s="111">
        <v>0</v>
      </c>
      <c r="S132" s="111">
        <v>0</v>
      </c>
      <c r="T132" s="111">
        <v>0</v>
      </c>
      <c r="U132" s="111">
        <v>0</v>
      </c>
      <c r="V132" s="111">
        <v>0</v>
      </c>
      <c r="W132" s="111">
        <v>0</v>
      </c>
      <c r="X132" s="111">
        <v>0</v>
      </c>
      <c r="Y132" s="111">
        <v>0</v>
      </c>
      <c r="Z132" s="111">
        <v>0</v>
      </c>
      <c r="AA132" s="111">
        <v>0</v>
      </c>
      <c r="AB132" s="111">
        <v>0</v>
      </c>
      <c r="AC132" s="111">
        <v>0</v>
      </c>
      <c r="AD132" s="111">
        <v>0</v>
      </c>
      <c r="AE132" s="111">
        <v>0</v>
      </c>
      <c r="AF132" s="111">
        <v>0</v>
      </c>
      <c r="AG132" s="111">
        <v>0</v>
      </c>
      <c r="AH132" s="111">
        <v>0</v>
      </c>
      <c r="AI132" s="111">
        <v>0</v>
      </c>
      <c r="AJ132" s="111">
        <v>0</v>
      </c>
      <c r="AK132" s="111">
        <v>0</v>
      </c>
      <c r="AL132" s="111">
        <v>0</v>
      </c>
      <c r="AM132" s="111">
        <v>0</v>
      </c>
      <c r="AN132" s="111">
        <v>0</v>
      </c>
      <c r="AO132" s="111">
        <v>0</v>
      </c>
      <c r="AP132" s="111">
        <v>0</v>
      </c>
      <c r="AQ132" s="111">
        <v>0</v>
      </c>
      <c r="AR132" s="111">
        <v>0</v>
      </c>
      <c r="AS132" s="111">
        <v>0</v>
      </c>
      <c r="AT132" s="111">
        <v>0</v>
      </c>
      <c r="AU132" s="111">
        <v>0</v>
      </c>
      <c r="AV132" s="111">
        <v>0</v>
      </c>
      <c r="AW132" s="111">
        <v>0</v>
      </c>
      <c r="AX132" s="111">
        <v>0</v>
      </c>
      <c r="AY132" s="111">
        <v>0</v>
      </c>
    </row>
    <row r="133" spans="1:51" x14ac:dyDescent="0.2">
      <c r="A133" s="114"/>
      <c r="B133" s="124">
        <v>12</v>
      </c>
      <c r="C133" s="111">
        <v>0</v>
      </c>
      <c r="D133" s="111">
        <v>0</v>
      </c>
      <c r="E133" s="111">
        <v>0</v>
      </c>
      <c r="F133" s="111">
        <v>0</v>
      </c>
      <c r="G133" s="111">
        <v>0</v>
      </c>
      <c r="H133" s="111">
        <v>0</v>
      </c>
      <c r="I133" s="111">
        <v>0</v>
      </c>
      <c r="J133" s="111">
        <v>0</v>
      </c>
      <c r="K133" s="111">
        <v>0</v>
      </c>
      <c r="L133" s="111">
        <v>0</v>
      </c>
      <c r="M133" s="111">
        <v>0</v>
      </c>
      <c r="N133" s="111">
        <v>0</v>
      </c>
      <c r="O133" s="111">
        <v>0</v>
      </c>
      <c r="P133" s="111">
        <v>0</v>
      </c>
      <c r="Q133" s="111">
        <v>0</v>
      </c>
      <c r="R133" s="111">
        <v>0</v>
      </c>
      <c r="S133" s="111">
        <v>0</v>
      </c>
      <c r="T133" s="111">
        <v>0</v>
      </c>
      <c r="U133" s="111">
        <v>0</v>
      </c>
      <c r="V133" s="111">
        <v>0</v>
      </c>
      <c r="W133" s="111">
        <v>0</v>
      </c>
      <c r="X133" s="111">
        <v>0</v>
      </c>
      <c r="Y133" s="111">
        <v>0</v>
      </c>
      <c r="Z133" s="111">
        <v>0</v>
      </c>
      <c r="AA133" s="111">
        <v>0</v>
      </c>
      <c r="AB133" s="111">
        <v>0</v>
      </c>
      <c r="AC133" s="111">
        <v>0</v>
      </c>
      <c r="AD133" s="111">
        <v>0</v>
      </c>
      <c r="AE133" s="111">
        <v>0</v>
      </c>
      <c r="AF133" s="111">
        <v>0</v>
      </c>
      <c r="AG133" s="111">
        <v>0</v>
      </c>
      <c r="AH133" s="111">
        <v>0</v>
      </c>
      <c r="AI133" s="111">
        <v>0</v>
      </c>
      <c r="AJ133" s="111">
        <v>0</v>
      </c>
      <c r="AK133" s="111">
        <v>0</v>
      </c>
      <c r="AL133" s="111">
        <v>0</v>
      </c>
      <c r="AM133" s="111">
        <v>0</v>
      </c>
      <c r="AN133" s="111">
        <v>0</v>
      </c>
      <c r="AO133" s="111">
        <v>0</v>
      </c>
      <c r="AP133" s="111">
        <v>0</v>
      </c>
      <c r="AQ133" s="111">
        <v>0</v>
      </c>
      <c r="AR133" s="111">
        <v>0</v>
      </c>
      <c r="AS133" s="111">
        <v>0</v>
      </c>
      <c r="AT133" s="111">
        <v>0</v>
      </c>
      <c r="AU133" s="111">
        <v>0</v>
      </c>
      <c r="AV133" s="111">
        <v>0</v>
      </c>
      <c r="AW133" s="111">
        <v>0</v>
      </c>
      <c r="AX133" s="111">
        <v>0</v>
      </c>
      <c r="AY133" s="111">
        <v>0</v>
      </c>
    </row>
    <row r="134" spans="1:51" x14ac:dyDescent="0.2">
      <c r="A134" s="114"/>
      <c r="B134" s="125">
        <v>13</v>
      </c>
      <c r="C134" s="111">
        <v>0</v>
      </c>
      <c r="D134" s="111">
        <v>0</v>
      </c>
      <c r="E134" s="111">
        <v>0</v>
      </c>
      <c r="F134" s="111">
        <v>0</v>
      </c>
      <c r="G134" s="111">
        <v>0</v>
      </c>
      <c r="H134" s="111">
        <v>0</v>
      </c>
      <c r="I134" s="111">
        <v>0</v>
      </c>
      <c r="J134" s="111">
        <v>0</v>
      </c>
      <c r="K134" s="111">
        <v>0</v>
      </c>
      <c r="L134" s="111">
        <v>0</v>
      </c>
      <c r="M134" s="111">
        <v>0</v>
      </c>
      <c r="N134" s="111">
        <v>0</v>
      </c>
      <c r="O134" s="111">
        <v>0</v>
      </c>
      <c r="P134" s="111">
        <v>0</v>
      </c>
      <c r="Q134" s="111">
        <v>0</v>
      </c>
      <c r="R134" s="111">
        <v>0</v>
      </c>
      <c r="S134" s="111">
        <v>0</v>
      </c>
      <c r="T134" s="111">
        <v>0</v>
      </c>
      <c r="U134" s="111">
        <v>0</v>
      </c>
      <c r="V134" s="111">
        <v>0</v>
      </c>
      <c r="W134" s="111">
        <v>0</v>
      </c>
      <c r="X134" s="111">
        <v>0</v>
      </c>
      <c r="Y134" s="111">
        <v>0</v>
      </c>
      <c r="Z134" s="111">
        <v>0</v>
      </c>
      <c r="AA134" s="111">
        <v>0</v>
      </c>
      <c r="AB134" s="111">
        <v>0</v>
      </c>
      <c r="AC134" s="111">
        <v>0</v>
      </c>
      <c r="AD134" s="111">
        <v>0</v>
      </c>
      <c r="AE134" s="111">
        <v>0</v>
      </c>
      <c r="AF134" s="111">
        <v>0</v>
      </c>
      <c r="AG134" s="111">
        <v>0</v>
      </c>
      <c r="AH134" s="111">
        <v>0</v>
      </c>
      <c r="AI134" s="111">
        <v>0</v>
      </c>
      <c r="AJ134" s="111">
        <v>0</v>
      </c>
      <c r="AK134" s="111">
        <v>0</v>
      </c>
      <c r="AL134" s="111">
        <v>0</v>
      </c>
      <c r="AM134" s="111">
        <v>0</v>
      </c>
      <c r="AN134" s="111">
        <v>0</v>
      </c>
      <c r="AO134" s="111">
        <v>0</v>
      </c>
      <c r="AP134" s="111">
        <v>0</v>
      </c>
      <c r="AQ134" s="111">
        <v>0</v>
      </c>
      <c r="AR134" s="111">
        <v>0</v>
      </c>
      <c r="AS134" s="111">
        <v>0</v>
      </c>
      <c r="AT134" s="111">
        <v>0</v>
      </c>
      <c r="AU134" s="111">
        <v>0</v>
      </c>
      <c r="AV134" s="111">
        <v>0</v>
      </c>
      <c r="AW134" s="111">
        <v>0</v>
      </c>
      <c r="AX134" s="111">
        <v>0</v>
      </c>
      <c r="AY134" s="111">
        <v>0</v>
      </c>
    </row>
    <row r="135" spans="1:51" x14ac:dyDescent="0.2">
      <c r="A135" s="114"/>
      <c r="B135" s="125">
        <v>14</v>
      </c>
      <c r="C135" s="111">
        <v>0</v>
      </c>
      <c r="D135" s="111">
        <v>0</v>
      </c>
      <c r="E135" s="111">
        <v>0</v>
      </c>
      <c r="F135" s="111">
        <v>0</v>
      </c>
      <c r="G135" s="111">
        <v>0</v>
      </c>
      <c r="H135" s="111">
        <v>0</v>
      </c>
      <c r="I135" s="111">
        <v>0</v>
      </c>
      <c r="J135" s="111">
        <v>0</v>
      </c>
      <c r="K135" s="111">
        <v>0</v>
      </c>
      <c r="L135" s="111">
        <v>0</v>
      </c>
      <c r="M135" s="111">
        <v>0</v>
      </c>
      <c r="N135" s="111">
        <v>0</v>
      </c>
      <c r="O135" s="111">
        <v>0</v>
      </c>
      <c r="P135" s="111">
        <v>0</v>
      </c>
      <c r="Q135" s="111">
        <v>0</v>
      </c>
      <c r="R135" s="111">
        <v>0</v>
      </c>
      <c r="S135" s="111">
        <v>0</v>
      </c>
      <c r="T135" s="111">
        <v>0</v>
      </c>
      <c r="U135" s="111">
        <v>0</v>
      </c>
      <c r="V135" s="111">
        <v>0</v>
      </c>
      <c r="W135" s="111">
        <v>0</v>
      </c>
      <c r="X135" s="111">
        <v>0</v>
      </c>
      <c r="Y135" s="111">
        <v>0</v>
      </c>
      <c r="Z135" s="111">
        <v>0</v>
      </c>
      <c r="AA135" s="111">
        <v>0</v>
      </c>
      <c r="AB135" s="111">
        <v>0</v>
      </c>
      <c r="AC135" s="111">
        <v>0</v>
      </c>
      <c r="AD135" s="111">
        <v>0</v>
      </c>
      <c r="AE135" s="111">
        <v>0</v>
      </c>
      <c r="AF135" s="111">
        <v>0</v>
      </c>
      <c r="AG135" s="111">
        <v>0</v>
      </c>
      <c r="AH135" s="111">
        <v>0</v>
      </c>
      <c r="AI135" s="111">
        <v>0</v>
      </c>
      <c r="AJ135" s="111">
        <v>0</v>
      </c>
      <c r="AK135" s="111">
        <v>0</v>
      </c>
      <c r="AL135" s="111">
        <v>0</v>
      </c>
      <c r="AM135" s="111">
        <v>0</v>
      </c>
      <c r="AN135" s="111">
        <v>0</v>
      </c>
      <c r="AO135" s="111">
        <v>0</v>
      </c>
      <c r="AP135" s="111">
        <v>0</v>
      </c>
      <c r="AQ135" s="111">
        <v>0</v>
      </c>
      <c r="AR135" s="111">
        <v>0</v>
      </c>
      <c r="AS135" s="111">
        <v>0</v>
      </c>
      <c r="AT135" s="111">
        <v>0</v>
      </c>
      <c r="AU135" s="111">
        <v>0</v>
      </c>
      <c r="AV135" s="111">
        <v>0</v>
      </c>
      <c r="AW135" s="111">
        <v>0</v>
      </c>
      <c r="AX135" s="111">
        <v>0</v>
      </c>
      <c r="AY135" s="111">
        <v>0</v>
      </c>
    </row>
    <row r="136" spans="1:51" x14ac:dyDescent="0.2">
      <c r="A136" s="114"/>
      <c r="B136" s="125">
        <v>15</v>
      </c>
      <c r="C136" s="111">
        <v>0</v>
      </c>
      <c r="D136" s="111">
        <v>0</v>
      </c>
      <c r="E136" s="111">
        <v>0</v>
      </c>
      <c r="F136" s="111">
        <v>0</v>
      </c>
      <c r="G136" s="111">
        <v>0</v>
      </c>
      <c r="H136" s="111">
        <v>0</v>
      </c>
      <c r="I136" s="111">
        <v>0</v>
      </c>
      <c r="J136" s="111">
        <v>0</v>
      </c>
      <c r="K136" s="111">
        <v>0</v>
      </c>
      <c r="L136" s="111">
        <v>0</v>
      </c>
      <c r="M136" s="111">
        <v>0</v>
      </c>
      <c r="N136" s="111">
        <v>0</v>
      </c>
      <c r="O136" s="111">
        <v>0</v>
      </c>
      <c r="P136" s="111">
        <v>0</v>
      </c>
      <c r="Q136" s="111">
        <v>0</v>
      </c>
      <c r="R136" s="111">
        <v>0</v>
      </c>
      <c r="S136" s="111">
        <v>0</v>
      </c>
      <c r="T136" s="111">
        <v>0</v>
      </c>
      <c r="U136" s="111">
        <v>0</v>
      </c>
      <c r="V136" s="111">
        <v>0</v>
      </c>
      <c r="W136" s="111">
        <v>0</v>
      </c>
      <c r="X136" s="111">
        <v>0</v>
      </c>
      <c r="Y136" s="111">
        <v>0</v>
      </c>
      <c r="Z136" s="111">
        <v>0</v>
      </c>
      <c r="AA136" s="111">
        <v>0</v>
      </c>
      <c r="AB136" s="111">
        <v>0</v>
      </c>
      <c r="AC136" s="111">
        <v>0</v>
      </c>
      <c r="AD136" s="111">
        <v>0</v>
      </c>
      <c r="AE136" s="111">
        <v>0</v>
      </c>
      <c r="AF136" s="111">
        <v>0</v>
      </c>
      <c r="AG136" s="111">
        <v>0</v>
      </c>
      <c r="AH136" s="111">
        <v>0</v>
      </c>
      <c r="AI136" s="111">
        <v>0</v>
      </c>
      <c r="AJ136" s="111">
        <v>0</v>
      </c>
      <c r="AK136" s="111">
        <v>0</v>
      </c>
      <c r="AL136" s="111">
        <v>0</v>
      </c>
      <c r="AM136" s="111">
        <v>0</v>
      </c>
      <c r="AN136" s="111">
        <v>0</v>
      </c>
      <c r="AO136" s="111">
        <v>0</v>
      </c>
      <c r="AP136" s="111">
        <v>0</v>
      </c>
      <c r="AQ136" s="111">
        <v>0</v>
      </c>
      <c r="AR136" s="111">
        <v>0</v>
      </c>
      <c r="AS136" s="111">
        <v>0</v>
      </c>
      <c r="AT136" s="111">
        <v>0</v>
      </c>
      <c r="AU136" s="111">
        <v>0</v>
      </c>
      <c r="AV136" s="111">
        <v>0</v>
      </c>
      <c r="AW136" s="111">
        <v>0</v>
      </c>
      <c r="AX136" s="111">
        <v>0</v>
      </c>
      <c r="AY136" s="111">
        <v>0</v>
      </c>
    </row>
    <row r="137" spans="1:51" x14ac:dyDescent="0.2">
      <c r="A137" s="114"/>
      <c r="B137" s="125">
        <v>16</v>
      </c>
      <c r="C137" s="111">
        <v>0</v>
      </c>
      <c r="D137" s="111">
        <v>0</v>
      </c>
      <c r="E137" s="111">
        <v>0</v>
      </c>
      <c r="F137" s="111">
        <v>0</v>
      </c>
      <c r="G137" s="111">
        <v>0</v>
      </c>
      <c r="H137" s="111">
        <v>0</v>
      </c>
      <c r="I137" s="111">
        <v>0</v>
      </c>
      <c r="J137" s="111">
        <v>0</v>
      </c>
      <c r="K137" s="111">
        <v>0</v>
      </c>
      <c r="L137" s="111">
        <v>0</v>
      </c>
      <c r="M137" s="111">
        <v>0</v>
      </c>
      <c r="N137" s="111">
        <v>0</v>
      </c>
      <c r="O137" s="111">
        <v>0</v>
      </c>
      <c r="P137" s="111">
        <v>0</v>
      </c>
      <c r="Q137" s="111">
        <v>0</v>
      </c>
      <c r="R137" s="111">
        <v>0</v>
      </c>
      <c r="S137" s="111">
        <v>0</v>
      </c>
      <c r="T137" s="111">
        <v>0</v>
      </c>
      <c r="U137" s="111">
        <v>0</v>
      </c>
      <c r="V137" s="111">
        <v>0</v>
      </c>
      <c r="W137" s="111">
        <v>0</v>
      </c>
      <c r="X137" s="111">
        <v>0</v>
      </c>
      <c r="Y137" s="111">
        <v>0</v>
      </c>
      <c r="Z137" s="111">
        <v>0</v>
      </c>
      <c r="AA137" s="111">
        <v>0</v>
      </c>
      <c r="AB137" s="111">
        <v>0</v>
      </c>
      <c r="AC137" s="111">
        <v>0</v>
      </c>
      <c r="AD137" s="111">
        <v>0</v>
      </c>
      <c r="AE137" s="111">
        <v>0</v>
      </c>
      <c r="AF137" s="111">
        <v>0</v>
      </c>
      <c r="AG137" s="111">
        <v>0</v>
      </c>
      <c r="AH137" s="111">
        <v>0</v>
      </c>
      <c r="AI137" s="111">
        <v>0</v>
      </c>
      <c r="AJ137" s="111">
        <v>0</v>
      </c>
      <c r="AK137" s="111">
        <v>0</v>
      </c>
      <c r="AL137" s="111">
        <v>0</v>
      </c>
      <c r="AM137" s="111">
        <v>0</v>
      </c>
      <c r="AN137" s="111">
        <v>0</v>
      </c>
      <c r="AO137" s="111">
        <v>0</v>
      </c>
      <c r="AP137" s="111">
        <v>0</v>
      </c>
      <c r="AQ137" s="111">
        <v>0</v>
      </c>
      <c r="AR137" s="111">
        <v>0</v>
      </c>
      <c r="AS137" s="111">
        <v>0</v>
      </c>
      <c r="AT137" s="111">
        <v>0</v>
      </c>
      <c r="AU137" s="111">
        <v>0</v>
      </c>
      <c r="AV137" s="111">
        <v>0</v>
      </c>
      <c r="AW137" s="111">
        <v>0</v>
      </c>
      <c r="AX137" s="111">
        <v>0</v>
      </c>
      <c r="AY137" s="111">
        <v>0</v>
      </c>
    </row>
    <row r="138" spans="1:51" x14ac:dyDescent="0.2">
      <c r="A138" s="114"/>
      <c r="B138" s="125">
        <v>17</v>
      </c>
      <c r="C138" s="111">
        <v>0</v>
      </c>
      <c r="D138" s="111">
        <v>0</v>
      </c>
      <c r="E138" s="111">
        <v>0</v>
      </c>
      <c r="F138" s="111">
        <v>0</v>
      </c>
      <c r="G138" s="111">
        <v>0</v>
      </c>
      <c r="H138" s="111">
        <v>0</v>
      </c>
      <c r="I138" s="111">
        <v>0</v>
      </c>
      <c r="J138" s="111">
        <v>0</v>
      </c>
      <c r="K138" s="111">
        <v>0</v>
      </c>
      <c r="L138" s="111">
        <v>0</v>
      </c>
      <c r="M138" s="111">
        <v>0</v>
      </c>
      <c r="N138" s="111">
        <v>0</v>
      </c>
      <c r="O138" s="111">
        <v>0</v>
      </c>
      <c r="P138" s="111">
        <v>0</v>
      </c>
      <c r="Q138" s="111">
        <v>0</v>
      </c>
      <c r="R138" s="111">
        <v>0</v>
      </c>
      <c r="S138" s="111">
        <v>0</v>
      </c>
      <c r="T138" s="111">
        <v>0</v>
      </c>
      <c r="U138" s="111">
        <v>0</v>
      </c>
      <c r="V138" s="111">
        <v>0</v>
      </c>
      <c r="W138" s="111">
        <v>0</v>
      </c>
      <c r="X138" s="111">
        <v>0</v>
      </c>
      <c r="Y138" s="111">
        <v>0</v>
      </c>
      <c r="Z138" s="111">
        <v>0</v>
      </c>
      <c r="AA138" s="111">
        <v>0</v>
      </c>
      <c r="AB138" s="111">
        <v>0</v>
      </c>
      <c r="AC138" s="111">
        <v>0</v>
      </c>
      <c r="AD138" s="111">
        <v>0</v>
      </c>
      <c r="AE138" s="111">
        <v>0</v>
      </c>
      <c r="AF138" s="111">
        <v>0</v>
      </c>
      <c r="AG138" s="111">
        <v>0</v>
      </c>
      <c r="AH138" s="111">
        <v>0</v>
      </c>
      <c r="AI138" s="111">
        <v>0</v>
      </c>
      <c r="AJ138" s="111">
        <v>0</v>
      </c>
      <c r="AK138" s="111">
        <v>0</v>
      </c>
      <c r="AL138" s="111">
        <v>0</v>
      </c>
      <c r="AM138" s="111">
        <v>0</v>
      </c>
      <c r="AN138" s="111">
        <v>0</v>
      </c>
      <c r="AO138" s="111">
        <v>0</v>
      </c>
      <c r="AP138" s="111">
        <v>0</v>
      </c>
      <c r="AQ138" s="111">
        <v>0</v>
      </c>
      <c r="AR138" s="111">
        <v>0</v>
      </c>
      <c r="AS138" s="111">
        <v>0</v>
      </c>
      <c r="AT138" s="111">
        <v>0</v>
      </c>
      <c r="AU138" s="111">
        <v>0</v>
      </c>
      <c r="AV138" s="111">
        <v>0</v>
      </c>
      <c r="AW138" s="111">
        <v>0</v>
      </c>
      <c r="AX138" s="111">
        <v>0</v>
      </c>
      <c r="AY138" s="111">
        <v>0</v>
      </c>
    </row>
    <row r="139" spans="1:51" x14ac:dyDescent="0.2">
      <c r="A139" s="114"/>
      <c r="B139" s="125">
        <v>18</v>
      </c>
      <c r="C139" s="111">
        <v>0</v>
      </c>
      <c r="D139" s="111">
        <v>0</v>
      </c>
      <c r="E139" s="111">
        <v>0</v>
      </c>
      <c r="F139" s="111">
        <v>0</v>
      </c>
      <c r="G139" s="111">
        <v>0</v>
      </c>
      <c r="H139" s="111">
        <v>0</v>
      </c>
      <c r="I139" s="111">
        <v>0</v>
      </c>
      <c r="J139" s="111">
        <v>0</v>
      </c>
      <c r="K139" s="111">
        <v>0</v>
      </c>
      <c r="L139" s="111">
        <v>0</v>
      </c>
      <c r="M139" s="111">
        <v>0</v>
      </c>
      <c r="N139" s="111">
        <v>0</v>
      </c>
      <c r="O139" s="111">
        <v>0</v>
      </c>
      <c r="P139" s="111">
        <v>0</v>
      </c>
      <c r="Q139" s="111">
        <v>0</v>
      </c>
      <c r="R139" s="111">
        <v>0</v>
      </c>
      <c r="S139" s="111">
        <v>0</v>
      </c>
      <c r="T139" s="111">
        <v>0</v>
      </c>
      <c r="U139" s="111">
        <v>0</v>
      </c>
      <c r="V139" s="111">
        <v>0</v>
      </c>
      <c r="W139" s="111">
        <v>0</v>
      </c>
      <c r="X139" s="111">
        <v>0</v>
      </c>
      <c r="Y139" s="111">
        <v>0</v>
      </c>
      <c r="Z139" s="111">
        <v>0</v>
      </c>
      <c r="AA139" s="111">
        <v>0</v>
      </c>
      <c r="AB139" s="111">
        <v>0</v>
      </c>
      <c r="AC139" s="111">
        <v>0</v>
      </c>
      <c r="AD139" s="111">
        <v>0</v>
      </c>
      <c r="AE139" s="111">
        <v>0</v>
      </c>
      <c r="AF139" s="111">
        <v>0</v>
      </c>
      <c r="AG139" s="111">
        <v>0</v>
      </c>
      <c r="AH139" s="111">
        <v>0</v>
      </c>
      <c r="AI139" s="111">
        <v>0</v>
      </c>
      <c r="AJ139" s="111">
        <v>0</v>
      </c>
      <c r="AK139" s="111">
        <v>0</v>
      </c>
      <c r="AL139" s="111">
        <v>0</v>
      </c>
      <c r="AM139" s="111">
        <v>0</v>
      </c>
      <c r="AN139" s="111">
        <v>0</v>
      </c>
      <c r="AO139" s="111">
        <v>0</v>
      </c>
      <c r="AP139" s="111">
        <v>0</v>
      </c>
      <c r="AQ139" s="111">
        <v>0</v>
      </c>
      <c r="AR139" s="111">
        <v>0</v>
      </c>
      <c r="AS139" s="111">
        <v>0</v>
      </c>
      <c r="AT139" s="111">
        <v>0</v>
      </c>
      <c r="AU139" s="111">
        <v>0</v>
      </c>
      <c r="AV139" s="111">
        <v>0</v>
      </c>
      <c r="AW139" s="111">
        <v>0</v>
      </c>
      <c r="AX139" s="111">
        <v>0</v>
      </c>
      <c r="AY139" s="111">
        <v>0</v>
      </c>
    </row>
    <row r="140" spans="1:51" x14ac:dyDescent="0.2">
      <c r="A140" s="114"/>
      <c r="B140" s="125">
        <v>19</v>
      </c>
      <c r="C140" s="111">
        <v>0</v>
      </c>
      <c r="D140" s="111">
        <v>0</v>
      </c>
      <c r="E140" s="111">
        <v>0</v>
      </c>
      <c r="F140" s="111">
        <v>0</v>
      </c>
      <c r="G140" s="111">
        <v>0</v>
      </c>
      <c r="H140" s="111">
        <v>0</v>
      </c>
      <c r="I140" s="111">
        <v>0</v>
      </c>
      <c r="J140" s="111">
        <v>0</v>
      </c>
      <c r="K140" s="111">
        <v>0</v>
      </c>
      <c r="L140" s="111">
        <v>0</v>
      </c>
      <c r="M140" s="111">
        <v>0</v>
      </c>
      <c r="N140" s="111">
        <v>0</v>
      </c>
      <c r="O140" s="111">
        <v>0</v>
      </c>
      <c r="P140" s="111">
        <v>0</v>
      </c>
      <c r="Q140" s="111">
        <v>0</v>
      </c>
      <c r="R140" s="111">
        <v>0</v>
      </c>
      <c r="S140" s="111">
        <v>0</v>
      </c>
      <c r="T140" s="111">
        <v>0</v>
      </c>
      <c r="U140" s="111">
        <v>0</v>
      </c>
      <c r="V140" s="111">
        <v>0</v>
      </c>
      <c r="W140" s="111">
        <v>0</v>
      </c>
      <c r="X140" s="111">
        <v>0</v>
      </c>
      <c r="Y140" s="111">
        <v>0</v>
      </c>
      <c r="Z140" s="111">
        <v>0</v>
      </c>
      <c r="AA140" s="111">
        <v>0</v>
      </c>
      <c r="AB140" s="111">
        <v>0</v>
      </c>
      <c r="AC140" s="111">
        <v>0</v>
      </c>
      <c r="AD140" s="111">
        <v>0</v>
      </c>
      <c r="AE140" s="111">
        <v>0</v>
      </c>
      <c r="AF140" s="111">
        <v>0</v>
      </c>
      <c r="AG140" s="111">
        <v>0</v>
      </c>
      <c r="AH140" s="111">
        <v>0</v>
      </c>
      <c r="AI140" s="111">
        <v>0</v>
      </c>
      <c r="AJ140" s="111">
        <v>0</v>
      </c>
      <c r="AK140" s="111">
        <v>0</v>
      </c>
      <c r="AL140" s="111">
        <v>0</v>
      </c>
      <c r="AM140" s="111">
        <v>0</v>
      </c>
      <c r="AN140" s="111">
        <v>0</v>
      </c>
      <c r="AO140" s="111">
        <v>0</v>
      </c>
      <c r="AP140" s="111">
        <v>0</v>
      </c>
      <c r="AQ140" s="111">
        <v>0</v>
      </c>
      <c r="AR140" s="111">
        <v>0</v>
      </c>
      <c r="AS140" s="111">
        <v>0</v>
      </c>
      <c r="AT140" s="111">
        <v>0</v>
      </c>
      <c r="AU140" s="111">
        <v>0</v>
      </c>
      <c r="AV140" s="111">
        <v>0</v>
      </c>
      <c r="AW140" s="111">
        <v>0</v>
      </c>
      <c r="AX140" s="111">
        <v>0</v>
      </c>
      <c r="AY140" s="111">
        <v>0</v>
      </c>
    </row>
    <row r="141" spans="1:51" x14ac:dyDescent="0.2">
      <c r="A141" s="114"/>
      <c r="B141" s="125">
        <v>20</v>
      </c>
      <c r="C141" s="111">
        <v>0</v>
      </c>
      <c r="D141" s="111">
        <v>0</v>
      </c>
      <c r="E141" s="111">
        <v>0</v>
      </c>
      <c r="F141" s="111">
        <v>0</v>
      </c>
      <c r="G141" s="111">
        <v>0</v>
      </c>
      <c r="H141" s="111">
        <v>0</v>
      </c>
      <c r="I141" s="111">
        <v>0</v>
      </c>
      <c r="J141" s="111">
        <v>0</v>
      </c>
      <c r="K141" s="111">
        <v>0</v>
      </c>
      <c r="L141" s="111">
        <v>0</v>
      </c>
      <c r="M141" s="111">
        <v>0</v>
      </c>
      <c r="N141" s="111">
        <v>0</v>
      </c>
      <c r="O141" s="111">
        <v>0</v>
      </c>
      <c r="P141" s="111">
        <v>0</v>
      </c>
      <c r="Q141" s="111">
        <v>0</v>
      </c>
      <c r="R141" s="111">
        <v>0</v>
      </c>
      <c r="S141" s="111">
        <v>0</v>
      </c>
      <c r="T141" s="111">
        <v>0</v>
      </c>
      <c r="U141" s="111">
        <v>0</v>
      </c>
      <c r="V141" s="111">
        <v>0</v>
      </c>
      <c r="W141" s="111">
        <v>0</v>
      </c>
      <c r="X141" s="111">
        <v>0</v>
      </c>
      <c r="Y141" s="111">
        <v>0</v>
      </c>
      <c r="Z141" s="111">
        <v>0</v>
      </c>
      <c r="AA141" s="111">
        <v>0</v>
      </c>
      <c r="AB141" s="111">
        <v>0</v>
      </c>
      <c r="AC141" s="111">
        <v>0</v>
      </c>
      <c r="AD141" s="111">
        <v>0</v>
      </c>
      <c r="AE141" s="111">
        <v>0</v>
      </c>
      <c r="AF141" s="111">
        <v>0</v>
      </c>
      <c r="AG141" s="111">
        <v>0</v>
      </c>
      <c r="AH141" s="111">
        <v>0</v>
      </c>
      <c r="AI141" s="111">
        <v>0</v>
      </c>
      <c r="AJ141" s="111">
        <v>0</v>
      </c>
      <c r="AK141" s="111">
        <v>0</v>
      </c>
      <c r="AL141" s="111">
        <v>0</v>
      </c>
      <c r="AM141" s="111">
        <v>0</v>
      </c>
      <c r="AN141" s="111">
        <v>0</v>
      </c>
      <c r="AO141" s="111">
        <v>0</v>
      </c>
      <c r="AP141" s="111">
        <v>0</v>
      </c>
      <c r="AQ141" s="111">
        <v>0</v>
      </c>
      <c r="AR141" s="111">
        <v>0</v>
      </c>
      <c r="AS141" s="111">
        <v>0</v>
      </c>
      <c r="AT141" s="111">
        <v>0</v>
      </c>
      <c r="AU141" s="111">
        <v>0</v>
      </c>
      <c r="AV141" s="111">
        <v>0</v>
      </c>
      <c r="AW141" s="111">
        <v>0</v>
      </c>
      <c r="AX141" s="111">
        <v>0</v>
      </c>
      <c r="AY141" s="111">
        <v>0</v>
      </c>
    </row>
    <row r="142" spans="1:51" x14ac:dyDescent="0.2">
      <c r="A142" s="114"/>
      <c r="B142" s="125">
        <v>21</v>
      </c>
      <c r="C142" s="111">
        <v>0</v>
      </c>
      <c r="D142" s="111">
        <v>0</v>
      </c>
      <c r="E142" s="111">
        <v>0</v>
      </c>
      <c r="F142" s="111">
        <v>0</v>
      </c>
      <c r="G142" s="111">
        <v>0</v>
      </c>
      <c r="H142" s="111">
        <v>0</v>
      </c>
      <c r="I142" s="111">
        <v>0</v>
      </c>
      <c r="J142" s="111">
        <v>0</v>
      </c>
      <c r="K142" s="111">
        <v>0</v>
      </c>
      <c r="L142" s="111">
        <v>0</v>
      </c>
      <c r="M142" s="111">
        <v>0</v>
      </c>
      <c r="N142" s="111">
        <v>0</v>
      </c>
      <c r="O142" s="111">
        <v>0</v>
      </c>
      <c r="P142" s="111">
        <v>0</v>
      </c>
      <c r="Q142" s="111">
        <v>0</v>
      </c>
      <c r="R142" s="111">
        <v>0</v>
      </c>
      <c r="S142" s="111">
        <v>0</v>
      </c>
      <c r="T142" s="111">
        <v>0</v>
      </c>
      <c r="U142" s="111">
        <v>0</v>
      </c>
      <c r="V142" s="111">
        <v>0</v>
      </c>
      <c r="W142" s="111">
        <v>0</v>
      </c>
      <c r="X142" s="111">
        <v>0</v>
      </c>
      <c r="Y142" s="111">
        <v>0</v>
      </c>
      <c r="Z142" s="111">
        <v>0</v>
      </c>
      <c r="AA142" s="111">
        <v>0</v>
      </c>
      <c r="AB142" s="111">
        <v>0</v>
      </c>
      <c r="AC142" s="111">
        <v>0</v>
      </c>
      <c r="AD142" s="111">
        <v>0</v>
      </c>
      <c r="AE142" s="111">
        <v>0</v>
      </c>
      <c r="AF142" s="111">
        <v>0</v>
      </c>
      <c r="AG142" s="111">
        <v>0</v>
      </c>
      <c r="AH142" s="111">
        <v>0</v>
      </c>
      <c r="AI142" s="111">
        <v>0</v>
      </c>
      <c r="AJ142" s="111">
        <v>0</v>
      </c>
      <c r="AK142" s="111">
        <v>0</v>
      </c>
      <c r="AL142" s="111">
        <v>0</v>
      </c>
      <c r="AM142" s="111">
        <v>0</v>
      </c>
      <c r="AN142" s="111">
        <v>0</v>
      </c>
      <c r="AO142" s="111">
        <v>0</v>
      </c>
      <c r="AP142" s="111">
        <v>0</v>
      </c>
      <c r="AQ142" s="111">
        <v>0</v>
      </c>
      <c r="AR142" s="111">
        <v>0</v>
      </c>
      <c r="AS142" s="111">
        <v>0</v>
      </c>
      <c r="AT142" s="111">
        <v>0</v>
      </c>
      <c r="AU142" s="111">
        <v>0</v>
      </c>
      <c r="AV142" s="111">
        <v>0</v>
      </c>
      <c r="AW142" s="111">
        <v>0</v>
      </c>
      <c r="AX142" s="111">
        <v>0</v>
      </c>
      <c r="AY142" s="111">
        <v>0</v>
      </c>
    </row>
    <row r="143" spans="1:51" x14ac:dyDescent="0.2">
      <c r="A143" s="114"/>
      <c r="B143" s="125">
        <v>22</v>
      </c>
      <c r="C143" s="111">
        <v>0</v>
      </c>
      <c r="D143" s="111">
        <v>0</v>
      </c>
      <c r="E143" s="111">
        <v>0</v>
      </c>
      <c r="F143" s="111">
        <v>0</v>
      </c>
      <c r="G143" s="111">
        <v>0</v>
      </c>
      <c r="H143" s="111">
        <v>0</v>
      </c>
      <c r="I143" s="111">
        <v>0</v>
      </c>
      <c r="J143" s="111">
        <v>0</v>
      </c>
      <c r="K143" s="111">
        <v>0</v>
      </c>
      <c r="L143" s="111">
        <v>0</v>
      </c>
      <c r="M143" s="111">
        <v>0</v>
      </c>
      <c r="N143" s="111">
        <v>0</v>
      </c>
      <c r="O143" s="111">
        <v>0</v>
      </c>
      <c r="P143" s="111">
        <v>0</v>
      </c>
      <c r="Q143" s="111">
        <v>0</v>
      </c>
      <c r="R143" s="111">
        <v>0</v>
      </c>
      <c r="S143" s="111">
        <v>0</v>
      </c>
      <c r="T143" s="111">
        <v>0</v>
      </c>
      <c r="U143" s="111">
        <v>0</v>
      </c>
      <c r="V143" s="111">
        <v>0</v>
      </c>
      <c r="W143" s="111">
        <v>0</v>
      </c>
      <c r="X143" s="111">
        <v>0</v>
      </c>
      <c r="Y143" s="111">
        <v>0</v>
      </c>
      <c r="Z143" s="111">
        <v>0</v>
      </c>
      <c r="AA143" s="111">
        <v>0</v>
      </c>
      <c r="AB143" s="111">
        <v>0</v>
      </c>
      <c r="AC143" s="111">
        <v>0</v>
      </c>
      <c r="AD143" s="111">
        <v>0</v>
      </c>
      <c r="AE143" s="111">
        <v>0</v>
      </c>
      <c r="AF143" s="111">
        <v>0</v>
      </c>
      <c r="AG143" s="111">
        <v>0</v>
      </c>
      <c r="AH143" s="111">
        <v>0</v>
      </c>
      <c r="AI143" s="111">
        <v>0</v>
      </c>
      <c r="AJ143" s="111">
        <v>0</v>
      </c>
      <c r="AK143" s="111">
        <v>0</v>
      </c>
      <c r="AL143" s="111">
        <v>0</v>
      </c>
      <c r="AM143" s="111">
        <v>0</v>
      </c>
      <c r="AN143" s="111">
        <v>0</v>
      </c>
      <c r="AO143" s="111">
        <v>0</v>
      </c>
      <c r="AP143" s="111">
        <v>0</v>
      </c>
      <c r="AQ143" s="111">
        <v>0</v>
      </c>
      <c r="AR143" s="111">
        <v>0</v>
      </c>
      <c r="AS143" s="111">
        <v>0</v>
      </c>
      <c r="AT143" s="111">
        <v>0</v>
      </c>
      <c r="AU143" s="111">
        <v>0</v>
      </c>
      <c r="AV143" s="111">
        <v>0</v>
      </c>
      <c r="AW143" s="111">
        <v>0</v>
      </c>
      <c r="AX143" s="111">
        <v>0</v>
      </c>
      <c r="AY143" s="111">
        <v>0</v>
      </c>
    </row>
    <row r="144" spans="1:51" x14ac:dyDescent="0.2">
      <c r="A144" s="114"/>
      <c r="B144" s="125">
        <v>23</v>
      </c>
      <c r="C144" s="111">
        <v>0</v>
      </c>
      <c r="D144" s="111">
        <v>0</v>
      </c>
      <c r="E144" s="111">
        <v>0</v>
      </c>
      <c r="F144" s="111">
        <v>0</v>
      </c>
      <c r="G144" s="111">
        <v>0</v>
      </c>
      <c r="H144" s="111">
        <v>0</v>
      </c>
      <c r="I144" s="111">
        <v>0</v>
      </c>
      <c r="J144" s="111">
        <v>0</v>
      </c>
      <c r="K144" s="111">
        <v>0</v>
      </c>
      <c r="L144" s="111">
        <v>0</v>
      </c>
      <c r="M144" s="111">
        <v>0</v>
      </c>
      <c r="N144" s="111">
        <v>0</v>
      </c>
      <c r="O144" s="111">
        <v>0</v>
      </c>
      <c r="P144" s="111">
        <v>0</v>
      </c>
      <c r="Q144" s="111">
        <v>0</v>
      </c>
      <c r="R144" s="111">
        <v>0</v>
      </c>
      <c r="S144" s="111">
        <v>0</v>
      </c>
      <c r="T144" s="111">
        <v>0</v>
      </c>
      <c r="U144" s="111">
        <v>0</v>
      </c>
      <c r="V144" s="111">
        <v>0</v>
      </c>
      <c r="W144" s="111">
        <v>0</v>
      </c>
      <c r="X144" s="111">
        <v>0</v>
      </c>
      <c r="Y144" s="111">
        <v>0</v>
      </c>
      <c r="Z144" s="111">
        <v>0</v>
      </c>
      <c r="AA144" s="111">
        <v>0</v>
      </c>
      <c r="AB144" s="111">
        <v>0</v>
      </c>
      <c r="AC144" s="111">
        <v>0</v>
      </c>
      <c r="AD144" s="111">
        <v>0</v>
      </c>
      <c r="AE144" s="111">
        <v>0</v>
      </c>
      <c r="AF144" s="111">
        <v>0</v>
      </c>
      <c r="AG144" s="111">
        <v>0</v>
      </c>
      <c r="AH144" s="111">
        <v>0</v>
      </c>
      <c r="AI144" s="111">
        <v>0</v>
      </c>
      <c r="AJ144" s="111">
        <v>0</v>
      </c>
      <c r="AK144" s="111">
        <v>0</v>
      </c>
      <c r="AL144" s="111">
        <v>0</v>
      </c>
      <c r="AM144" s="111">
        <v>0</v>
      </c>
      <c r="AN144" s="111">
        <v>0</v>
      </c>
      <c r="AO144" s="111">
        <v>0</v>
      </c>
      <c r="AP144" s="111">
        <v>0</v>
      </c>
      <c r="AQ144" s="111">
        <v>0</v>
      </c>
      <c r="AR144" s="111">
        <v>0</v>
      </c>
      <c r="AS144" s="111">
        <v>0</v>
      </c>
      <c r="AT144" s="111">
        <v>0</v>
      </c>
      <c r="AU144" s="111">
        <v>0</v>
      </c>
      <c r="AV144" s="111">
        <v>0</v>
      </c>
      <c r="AW144" s="111">
        <v>0</v>
      </c>
      <c r="AX144" s="111">
        <v>0</v>
      </c>
      <c r="AY144" s="111">
        <v>0</v>
      </c>
    </row>
    <row r="145" spans="1:51" x14ac:dyDescent="0.2">
      <c r="A145" s="114"/>
      <c r="B145" s="125">
        <v>24</v>
      </c>
      <c r="C145" s="111">
        <v>0</v>
      </c>
      <c r="D145" s="111">
        <v>0</v>
      </c>
      <c r="E145" s="111">
        <v>0</v>
      </c>
      <c r="F145" s="111">
        <v>0</v>
      </c>
      <c r="G145" s="111">
        <v>0</v>
      </c>
      <c r="H145" s="111">
        <v>0</v>
      </c>
      <c r="I145" s="111">
        <v>0</v>
      </c>
      <c r="J145" s="111">
        <v>0</v>
      </c>
      <c r="K145" s="111">
        <v>0</v>
      </c>
      <c r="L145" s="111">
        <v>0</v>
      </c>
      <c r="M145" s="111">
        <v>0</v>
      </c>
      <c r="N145" s="111">
        <v>0</v>
      </c>
      <c r="O145" s="111">
        <v>0</v>
      </c>
      <c r="P145" s="111">
        <v>0</v>
      </c>
      <c r="Q145" s="111">
        <v>0</v>
      </c>
      <c r="R145" s="111">
        <v>0</v>
      </c>
      <c r="S145" s="111">
        <v>0</v>
      </c>
      <c r="T145" s="111">
        <v>0</v>
      </c>
      <c r="U145" s="111">
        <v>0</v>
      </c>
      <c r="V145" s="111">
        <v>0</v>
      </c>
      <c r="W145" s="111">
        <v>0</v>
      </c>
      <c r="X145" s="111">
        <v>0</v>
      </c>
      <c r="Y145" s="111">
        <v>0</v>
      </c>
      <c r="Z145" s="111">
        <v>0</v>
      </c>
      <c r="AA145" s="111">
        <v>0</v>
      </c>
      <c r="AB145" s="111">
        <v>0</v>
      </c>
      <c r="AC145" s="111">
        <v>0</v>
      </c>
      <c r="AD145" s="111">
        <v>0</v>
      </c>
      <c r="AE145" s="111">
        <v>0</v>
      </c>
      <c r="AF145" s="111">
        <v>0</v>
      </c>
      <c r="AG145" s="111">
        <v>0</v>
      </c>
      <c r="AH145" s="111">
        <v>0</v>
      </c>
      <c r="AI145" s="111">
        <v>0</v>
      </c>
      <c r="AJ145" s="111">
        <v>0</v>
      </c>
      <c r="AK145" s="111">
        <v>0</v>
      </c>
      <c r="AL145" s="111">
        <v>0</v>
      </c>
      <c r="AM145" s="111">
        <v>0</v>
      </c>
      <c r="AN145" s="111">
        <v>0</v>
      </c>
      <c r="AO145" s="111">
        <v>0</v>
      </c>
      <c r="AP145" s="111">
        <v>0</v>
      </c>
      <c r="AQ145" s="111">
        <v>0</v>
      </c>
      <c r="AR145" s="111">
        <v>0</v>
      </c>
      <c r="AS145" s="111">
        <v>0</v>
      </c>
      <c r="AT145" s="111">
        <v>0</v>
      </c>
      <c r="AU145" s="111">
        <v>0</v>
      </c>
      <c r="AV145" s="111">
        <v>0</v>
      </c>
      <c r="AW145" s="111">
        <v>0</v>
      </c>
      <c r="AX145" s="111">
        <v>0</v>
      </c>
      <c r="AY145" s="111">
        <v>0</v>
      </c>
    </row>
    <row r="146" spans="1:51" x14ac:dyDescent="0.2">
      <c r="A146" s="114"/>
      <c r="B146" s="132">
        <v>25</v>
      </c>
      <c r="C146" s="111">
        <v>0</v>
      </c>
      <c r="D146" s="111">
        <v>0</v>
      </c>
      <c r="E146" s="111">
        <v>0</v>
      </c>
      <c r="F146" s="111">
        <v>0</v>
      </c>
      <c r="G146" s="111">
        <v>0</v>
      </c>
      <c r="H146" s="111">
        <v>0</v>
      </c>
      <c r="I146" s="111">
        <v>0</v>
      </c>
      <c r="J146" s="111">
        <v>0</v>
      </c>
      <c r="K146" s="111">
        <v>0</v>
      </c>
      <c r="L146" s="111">
        <v>0</v>
      </c>
      <c r="M146" s="111">
        <v>0</v>
      </c>
      <c r="N146" s="111">
        <v>0</v>
      </c>
      <c r="O146" s="111">
        <v>0</v>
      </c>
      <c r="P146" s="111">
        <v>0</v>
      </c>
      <c r="Q146" s="111">
        <v>0</v>
      </c>
      <c r="R146" s="111">
        <v>0</v>
      </c>
      <c r="S146" s="111">
        <v>0</v>
      </c>
      <c r="T146" s="111">
        <v>0</v>
      </c>
      <c r="U146" s="111">
        <v>0</v>
      </c>
      <c r="V146" s="111">
        <v>0</v>
      </c>
      <c r="W146" s="111">
        <v>0</v>
      </c>
      <c r="X146" s="111">
        <v>0</v>
      </c>
      <c r="Y146" s="111">
        <v>0</v>
      </c>
      <c r="Z146" s="111">
        <v>0</v>
      </c>
      <c r="AA146" s="111">
        <v>0</v>
      </c>
      <c r="AB146" s="111">
        <v>0</v>
      </c>
      <c r="AC146" s="111">
        <v>0</v>
      </c>
      <c r="AD146" s="111">
        <v>0</v>
      </c>
      <c r="AE146" s="111">
        <v>0</v>
      </c>
      <c r="AF146" s="111">
        <v>0</v>
      </c>
      <c r="AG146" s="111">
        <v>0</v>
      </c>
      <c r="AH146" s="111">
        <v>0</v>
      </c>
      <c r="AI146" s="111">
        <v>0</v>
      </c>
      <c r="AJ146" s="111">
        <v>0</v>
      </c>
      <c r="AK146" s="111">
        <v>0</v>
      </c>
      <c r="AL146" s="111">
        <v>0</v>
      </c>
      <c r="AM146" s="111">
        <v>0</v>
      </c>
      <c r="AN146" s="111">
        <v>0</v>
      </c>
      <c r="AO146" s="111">
        <v>0</v>
      </c>
      <c r="AP146" s="111">
        <v>0</v>
      </c>
      <c r="AQ146" s="111">
        <v>0</v>
      </c>
      <c r="AR146" s="111">
        <v>0</v>
      </c>
      <c r="AS146" s="111">
        <v>0</v>
      </c>
      <c r="AT146" s="111">
        <v>0</v>
      </c>
      <c r="AU146" s="111">
        <v>0</v>
      </c>
      <c r="AV146" s="111">
        <v>0</v>
      </c>
      <c r="AW146" s="111">
        <v>0</v>
      </c>
      <c r="AX146" s="111">
        <v>0</v>
      </c>
      <c r="AY146" s="111">
        <v>0</v>
      </c>
    </row>
    <row r="147" spans="1:51" x14ac:dyDescent="0.2">
      <c r="A147" s="114"/>
      <c r="B147" s="132">
        <v>26</v>
      </c>
      <c r="C147" s="111">
        <v>0</v>
      </c>
      <c r="D147" s="111">
        <v>0</v>
      </c>
      <c r="E147" s="111">
        <v>0</v>
      </c>
      <c r="F147" s="111">
        <v>0</v>
      </c>
      <c r="G147" s="111">
        <v>0</v>
      </c>
      <c r="H147" s="111">
        <v>0</v>
      </c>
      <c r="I147" s="111">
        <v>0</v>
      </c>
      <c r="J147" s="111">
        <v>0</v>
      </c>
      <c r="K147" s="111">
        <v>0</v>
      </c>
      <c r="L147" s="111">
        <v>0</v>
      </c>
      <c r="M147" s="111">
        <v>0</v>
      </c>
      <c r="N147" s="111">
        <v>0</v>
      </c>
      <c r="O147" s="111">
        <v>0</v>
      </c>
      <c r="P147" s="111">
        <v>0</v>
      </c>
      <c r="Q147" s="111">
        <v>0</v>
      </c>
      <c r="R147" s="111">
        <v>0</v>
      </c>
      <c r="S147" s="111">
        <v>0</v>
      </c>
      <c r="T147" s="111">
        <v>0</v>
      </c>
      <c r="U147" s="111">
        <v>0</v>
      </c>
      <c r="V147" s="111">
        <v>0</v>
      </c>
      <c r="W147" s="111">
        <v>0</v>
      </c>
      <c r="X147" s="111">
        <v>0</v>
      </c>
      <c r="Y147" s="111">
        <v>0</v>
      </c>
      <c r="Z147" s="111">
        <v>0</v>
      </c>
      <c r="AA147" s="111">
        <v>0</v>
      </c>
      <c r="AB147" s="111">
        <v>0</v>
      </c>
      <c r="AC147" s="111">
        <v>0</v>
      </c>
      <c r="AD147" s="111">
        <v>0</v>
      </c>
      <c r="AE147" s="111">
        <v>0</v>
      </c>
      <c r="AF147" s="111">
        <v>0</v>
      </c>
      <c r="AG147" s="111">
        <v>0</v>
      </c>
      <c r="AH147" s="111">
        <v>0</v>
      </c>
      <c r="AI147" s="111">
        <v>0</v>
      </c>
      <c r="AJ147" s="111">
        <v>0</v>
      </c>
      <c r="AK147" s="111">
        <v>0</v>
      </c>
      <c r="AL147" s="111">
        <v>0</v>
      </c>
      <c r="AM147" s="111">
        <v>0</v>
      </c>
      <c r="AN147" s="111">
        <v>0</v>
      </c>
      <c r="AO147" s="111">
        <v>0</v>
      </c>
      <c r="AP147" s="111">
        <v>0</v>
      </c>
      <c r="AQ147" s="111">
        <v>0</v>
      </c>
      <c r="AR147" s="111">
        <v>0</v>
      </c>
      <c r="AS147" s="111">
        <v>0</v>
      </c>
      <c r="AT147" s="111">
        <v>0</v>
      </c>
      <c r="AU147" s="111">
        <v>0</v>
      </c>
      <c r="AV147" s="111">
        <v>0</v>
      </c>
      <c r="AW147" s="111">
        <v>0</v>
      </c>
      <c r="AX147" s="111">
        <v>0</v>
      </c>
      <c r="AY147" s="111">
        <v>0</v>
      </c>
    </row>
    <row r="148" spans="1:51" x14ac:dyDescent="0.2">
      <c r="A148" s="114"/>
      <c r="B148" s="132">
        <v>27</v>
      </c>
      <c r="C148" s="111">
        <v>0</v>
      </c>
      <c r="D148" s="111">
        <v>0</v>
      </c>
      <c r="E148" s="111">
        <v>0</v>
      </c>
      <c r="F148" s="111">
        <v>0</v>
      </c>
      <c r="G148" s="111">
        <v>0</v>
      </c>
      <c r="H148" s="111">
        <v>0</v>
      </c>
      <c r="I148" s="111">
        <v>0</v>
      </c>
      <c r="J148" s="111">
        <v>0</v>
      </c>
      <c r="K148" s="111">
        <v>0</v>
      </c>
      <c r="L148" s="111">
        <v>0</v>
      </c>
      <c r="M148" s="111">
        <v>0</v>
      </c>
      <c r="N148" s="111">
        <v>0</v>
      </c>
      <c r="O148" s="111">
        <v>0</v>
      </c>
      <c r="P148" s="111">
        <v>0</v>
      </c>
      <c r="Q148" s="111">
        <v>0</v>
      </c>
      <c r="R148" s="111">
        <v>0</v>
      </c>
      <c r="S148" s="111">
        <v>0</v>
      </c>
      <c r="T148" s="111">
        <v>0</v>
      </c>
      <c r="U148" s="111">
        <v>0</v>
      </c>
      <c r="V148" s="111">
        <v>0</v>
      </c>
      <c r="W148" s="111">
        <v>0</v>
      </c>
      <c r="X148" s="111">
        <v>0</v>
      </c>
      <c r="Y148" s="111">
        <v>0</v>
      </c>
      <c r="Z148" s="111">
        <v>0</v>
      </c>
      <c r="AA148" s="111">
        <v>0</v>
      </c>
      <c r="AB148" s="111">
        <v>0</v>
      </c>
      <c r="AC148" s="111">
        <v>0</v>
      </c>
      <c r="AD148" s="111">
        <v>0</v>
      </c>
      <c r="AE148" s="111">
        <v>0</v>
      </c>
      <c r="AF148" s="111">
        <v>0</v>
      </c>
      <c r="AG148" s="111">
        <v>0</v>
      </c>
      <c r="AH148" s="111">
        <v>0</v>
      </c>
      <c r="AI148" s="111">
        <v>0</v>
      </c>
      <c r="AJ148" s="111">
        <v>0</v>
      </c>
      <c r="AK148" s="111">
        <v>0</v>
      </c>
      <c r="AL148" s="111">
        <v>0</v>
      </c>
      <c r="AM148" s="111">
        <v>0</v>
      </c>
      <c r="AN148" s="111">
        <v>0</v>
      </c>
      <c r="AO148" s="111">
        <v>0</v>
      </c>
      <c r="AP148" s="111">
        <v>0</v>
      </c>
      <c r="AQ148" s="111">
        <v>0</v>
      </c>
      <c r="AR148" s="111">
        <v>0</v>
      </c>
      <c r="AS148" s="111">
        <v>0</v>
      </c>
      <c r="AT148" s="111">
        <v>0</v>
      </c>
      <c r="AU148" s="111">
        <v>0</v>
      </c>
      <c r="AV148" s="111">
        <v>0</v>
      </c>
      <c r="AW148" s="111">
        <v>0</v>
      </c>
      <c r="AX148" s="111">
        <v>0</v>
      </c>
      <c r="AY148" s="111">
        <v>0</v>
      </c>
    </row>
    <row r="149" spans="1:51" x14ac:dyDescent="0.2">
      <c r="A149" s="114"/>
      <c r="B149" s="132">
        <v>28</v>
      </c>
      <c r="C149" s="111">
        <v>0</v>
      </c>
      <c r="D149" s="111">
        <v>0</v>
      </c>
      <c r="E149" s="111">
        <v>0</v>
      </c>
      <c r="F149" s="111">
        <v>0</v>
      </c>
      <c r="G149" s="111">
        <v>0</v>
      </c>
      <c r="H149" s="111">
        <v>0</v>
      </c>
      <c r="I149" s="111">
        <v>0</v>
      </c>
      <c r="J149" s="111">
        <v>0</v>
      </c>
      <c r="K149" s="111">
        <v>0</v>
      </c>
      <c r="L149" s="111">
        <v>0</v>
      </c>
      <c r="M149" s="111">
        <v>0</v>
      </c>
      <c r="N149" s="111">
        <v>0</v>
      </c>
      <c r="O149" s="111">
        <v>0</v>
      </c>
      <c r="P149" s="111">
        <v>0</v>
      </c>
      <c r="Q149" s="111">
        <v>0</v>
      </c>
      <c r="R149" s="111">
        <v>0</v>
      </c>
      <c r="S149" s="111">
        <v>0</v>
      </c>
      <c r="T149" s="111">
        <v>0</v>
      </c>
      <c r="U149" s="111">
        <v>0</v>
      </c>
      <c r="V149" s="111">
        <v>0</v>
      </c>
      <c r="W149" s="111">
        <v>0</v>
      </c>
      <c r="X149" s="111">
        <v>0</v>
      </c>
      <c r="Y149" s="111">
        <v>0</v>
      </c>
      <c r="Z149" s="111">
        <v>0</v>
      </c>
      <c r="AA149" s="111">
        <v>0</v>
      </c>
      <c r="AB149" s="111">
        <v>0</v>
      </c>
      <c r="AC149" s="111">
        <v>0</v>
      </c>
      <c r="AD149" s="111">
        <v>0</v>
      </c>
      <c r="AE149" s="111">
        <v>0</v>
      </c>
      <c r="AF149" s="111">
        <v>0</v>
      </c>
      <c r="AG149" s="111">
        <v>0</v>
      </c>
      <c r="AH149" s="111">
        <v>0</v>
      </c>
      <c r="AI149" s="111">
        <v>0</v>
      </c>
      <c r="AJ149" s="111">
        <v>0</v>
      </c>
      <c r="AK149" s="111">
        <v>0</v>
      </c>
      <c r="AL149" s="111">
        <v>0</v>
      </c>
      <c r="AM149" s="111">
        <v>0</v>
      </c>
      <c r="AN149" s="111">
        <v>0</v>
      </c>
      <c r="AO149" s="111">
        <v>0</v>
      </c>
      <c r="AP149" s="111">
        <v>0</v>
      </c>
      <c r="AQ149" s="111">
        <v>0</v>
      </c>
      <c r="AR149" s="111">
        <v>0</v>
      </c>
      <c r="AS149" s="111">
        <v>0</v>
      </c>
      <c r="AT149" s="111">
        <v>0</v>
      </c>
      <c r="AU149" s="111">
        <v>0</v>
      </c>
      <c r="AV149" s="111">
        <v>0</v>
      </c>
      <c r="AW149" s="111">
        <v>0</v>
      </c>
      <c r="AX149" s="111">
        <v>0</v>
      </c>
      <c r="AY149" s="111">
        <v>0</v>
      </c>
    </row>
    <row r="150" spans="1:51" x14ac:dyDescent="0.2">
      <c r="A150" s="114"/>
      <c r="B150" s="132">
        <v>29</v>
      </c>
      <c r="C150" s="111">
        <v>0</v>
      </c>
      <c r="D150" s="111">
        <v>0</v>
      </c>
      <c r="E150" s="111">
        <v>0</v>
      </c>
      <c r="F150" s="111">
        <v>0</v>
      </c>
      <c r="G150" s="111">
        <v>0</v>
      </c>
      <c r="H150" s="111">
        <v>0</v>
      </c>
      <c r="I150" s="111">
        <v>0</v>
      </c>
      <c r="J150" s="111">
        <v>0</v>
      </c>
      <c r="K150" s="111">
        <v>0</v>
      </c>
      <c r="L150" s="111">
        <v>0</v>
      </c>
      <c r="M150" s="111">
        <v>0</v>
      </c>
      <c r="N150" s="111">
        <v>0</v>
      </c>
      <c r="O150" s="111">
        <v>0</v>
      </c>
      <c r="P150" s="111">
        <v>0</v>
      </c>
      <c r="Q150" s="111">
        <v>0</v>
      </c>
      <c r="R150" s="111">
        <v>0</v>
      </c>
      <c r="S150" s="111">
        <v>0</v>
      </c>
      <c r="T150" s="111">
        <v>0</v>
      </c>
      <c r="U150" s="111">
        <v>0</v>
      </c>
      <c r="V150" s="111">
        <v>0</v>
      </c>
      <c r="W150" s="111">
        <v>0</v>
      </c>
      <c r="X150" s="111">
        <v>0</v>
      </c>
      <c r="Y150" s="111">
        <v>0</v>
      </c>
      <c r="Z150" s="111">
        <v>0</v>
      </c>
      <c r="AA150" s="111">
        <v>0</v>
      </c>
      <c r="AB150" s="111">
        <v>0</v>
      </c>
      <c r="AC150" s="111">
        <v>0</v>
      </c>
      <c r="AD150" s="111">
        <v>0</v>
      </c>
      <c r="AE150" s="111">
        <v>0</v>
      </c>
      <c r="AF150" s="111">
        <v>0</v>
      </c>
      <c r="AG150" s="111">
        <v>0</v>
      </c>
      <c r="AH150" s="111">
        <v>0</v>
      </c>
      <c r="AI150" s="111">
        <v>0</v>
      </c>
      <c r="AJ150" s="111">
        <v>0</v>
      </c>
      <c r="AK150" s="111">
        <v>0</v>
      </c>
      <c r="AL150" s="111">
        <v>0</v>
      </c>
      <c r="AM150" s="111">
        <v>0</v>
      </c>
      <c r="AN150" s="111">
        <v>0</v>
      </c>
      <c r="AO150" s="111">
        <v>0</v>
      </c>
      <c r="AP150" s="111">
        <v>0</v>
      </c>
      <c r="AQ150" s="111">
        <v>0</v>
      </c>
      <c r="AR150" s="111">
        <v>0</v>
      </c>
      <c r="AS150" s="111">
        <v>0</v>
      </c>
      <c r="AT150" s="111">
        <v>0</v>
      </c>
      <c r="AU150" s="111">
        <v>0</v>
      </c>
      <c r="AV150" s="111">
        <v>0</v>
      </c>
      <c r="AW150" s="111">
        <v>0</v>
      </c>
      <c r="AX150" s="111">
        <v>0</v>
      </c>
      <c r="AY150" s="111">
        <v>0</v>
      </c>
    </row>
    <row r="151" spans="1:51" x14ac:dyDescent="0.2">
      <c r="A151" s="114"/>
      <c r="B151" s="132">
        <v>30</v>
      </c>
      <c r="C151" s="111">
        <v>0</v>
      </c>
      <c r="D151" s="111">
        <v>0</v>
      </c>
      <c r="E151" s="111">
        <v>0</v>
      </c>
      <c r="F151" s="111">
        <v>0</v>
      </c>
      <c r="G151" s="111">
        <v>0</v>
      </c>
      <c r="H151" s="111">
        <v>0</v>
      </c>
      <c r="I151" s="111">
        <v>0</v>
      </c>
      <c r="J151" s="111">
        <v>0</v>
      </c>
      <c r="K151" s="111">
        <v>0</v>
      </c>
      <c r="L151" s="111">
        <v>0</v>
      </c>
      <c r="M151" s="111">
        <v>0</v>
      </c>
      <c r="N151" s="111">
        <v>0</v>
      </c>
      <c r="O151" s="111">
        <v>0</v>
      </c>
      <c r="P151" s="111">
        <v>0</v>
      </c>
      <c r="Q151" s="111">
        <v>0</v>
      </c>
      <c r="R151" s="111">
        <v>0</v>
      </c>
      <c r="S151" s="111">
        <v>0</v>
      </c>
      <c r="T151" s="111">
        <v>0</v>
      </c>
      <c r="U151" s="111">
        <v>0</v>
      </c>
      <c r="V151" s="111">
        <v>0</v>
      </c>
      <c r="W151" s="111">
        <v>0</v>
      </c>
      <c r="X151" s="111">
        <v>0</v>
      </c>
      <c r="Y151" s="111">
        <v>0</v>
      </c>
      <c r="Z151" s="111">
        <v>0</v>
      </c>
      <c r="AA151" s="111">
        <v>0</v>
      </c>
      <c r="AB151" s="111">
        <v>0</v>
      </c>
      <c r="AC151" s="111">
        <v>0</v>
      </c>
      <c r="AD151" s="111">
        <v>0</v>
      </c>
      <c r="AE151" s="111">
        <v>0</v>
      </c>
      <c r="AF151" s="111">
        <v>0</v>
      </c>
      <c r="AG151" s="111">
        <v>0</v>
      </c>
      <c r="AH151" s="111">
        <v>0</v>
      </c>
      <c r="AI151" s="111">
        <v>0</v>
      </c>
      <c r="AJ151" s="111">
        <v>0</v>
      </c>
      <c r="AK151" s="111">
        <v>0</v>
      </c>
      <c r="AL151" s="111">
        <v>0</v>
      </c>
      <c r="AM151" s="111">
        <v>0</v>
      </c>
      <c r="AN151" s="111">
        <v>0</v>
      </c>
      <c r="AO151" s="111">
        <v>0</v>
      </c>
      <c r="AP151" s="111">
        <v>0</v>
      </c>
      <c r="AQ151" s="111">
        <v>0</v>
      </c>
      <c r="AR151" s="111">
        <v>0</v>
      </c>
      <c r="AS151" s="111">
        <v>0</v>
      </c>
      <c r="AT151" s="111">
        <v>0</v>
      </c>
      <c r="AU151" s="111">
        <v>0</v>
      </c>
      <c r="AV151" s="111">
        <v>0</v>
      </c>
      <c r="AW151" s="111">
        <v>0</v>
      </c>
      <c r="AX151" s="111">
        <v>0</v>
      </c>
      <c r="AY151" s="111">
        <v>0</v>
      </c>
    </row>
    <row r="152" spans="1:51" x14ac:dyDescent="0.2">
      <c r="A152" s="114"/>
      <c r="B152" s="132">
        <v>31</v>
      </c>
      <c r="C152" s="111">
        <v>0</v>
      </c>
      <c r="D152" s="111">
        <v>0</v>
      </c>
      <c r="E152" s="111">
        <v>0</v>
      </c>
      <c r="F152" s="111">
        <v>0</v>
      </c>
      <c r="G152" s="111">
        <v>0</v>
      </c>
      <c r="H152" s="111">
        <v>0</v>
      </c>
      <c r="I152" s="111">
        <v>0</v>
      </c>
      <c r="J152" s="111">
        <v>0</v>
      </c>
      <c r="K152" s="111">
        <v>0</v>
      </c>
      <c r="L152" s="111">
        <v>0</v>
      </c>
      <c r="M152" s="111">
        <v>0</v>
      </c>
      <c r="N152" s="111">
        <v>0</v>
      </c>
      <c r="O152" s="111">
        <v>0</v>
      </c>
      <c r="P152" s="111">
        <v>0</v>
      </c>
      <c r="Q152" s="111">
        <v>0</v>
      </c>
      <c r="R152" s="111">
        <v>0</v>
      </c>
      <c r="S152" s="111">
        <v>0</v>
      </c>
      <c r="T152" s="111">
        <v>0</v>
      </c>
      <c r="U152" s="111">
        <v>0</v>
      </c>
      <c r="V152" s="111">
        <v>0</v>
      </c>
      <c r="W152" s="111">
        <v>0</v>
      </c>
      <c r="X152" s="111">
        <v>0</v>
      </c>
      <c r="Y152" s="111">
        <v>0</v>
      </c>
      <c r="Z152" s="111">
        <v>0</v>
      </c>
      <c r="AA152" s="111">
        <v>0</v>
      </c>
      <c r="AB152" s="111">
        <v>0</v>
      </c>
      <c r="AC152" s="111">
        <v>0</v>
      </c>
      <c r="AD152" s="111">
        <v>0</v>
      </c>
      <c r="AE152" s="111">
        <v>0</v>
      </c>
      <c r="AF152" s="111">
        <v>0</v>
      </c>
      <c r="AG152" s="111">
        <v>0</v>
      </c>
      <c r="AH152" s="111">
        <v>0</v>
      </c>
      <c r="AI152" s="111">
        <v>0</v>
      </c>
      <c r="AJ152" s="111">
        <v>0</v>
      </c>
      <c r="AK152" s="111">
        <v>0</v>
      </c>
      <c r="AL152" s="111">
        <v>0</v>
      </c>
      <c r="AM152" s="111">
        <v>0</v>
      </c>
      <c r="AN152" s="111">
        <v>0</v>
      </c>
      <c r="AO152" s="111">
        <v>0</v>
      </c>
      <c r="AP152" s="111">
        <v>0</v>
      </c>
      <c r="AQ152" s="111">
        <v>0</v>
      </c>
      <c r="AR152" s="111">
        <v>0</v>
      </c>
      <c r="AS152" s="111">
        <v>0</v>
      </c>
      <c r="AT152" s="111">
        <v>0</v>
      </c>
      <c r="AU152" s="111">
        <v>0</v>
      </c>
      <c r="AV152" s="111">
        <v>0</v>
      </c>
      <c r="AW152" s="111">
        <v>0</v>
      </c>
      <c r="AX152" s="111">
        <v>0</v>
      </c>
      <c r="AY152" s="111">
        <v>0</v>
      </c>
    </row>
    <row r="153" spans="1:51" x14ac:dyDescent="0.2">
      <c r="A153" s="114"/>
      <c r="B153" s="132">
        <v>32</v>
      </c>
      <c r="C153" s="111">
        <v>0</v>
      </c>
      <c r="D153" s="111">
        <v>0</v>
      </c>
      <c r="E153" s="111">
        <v>0</v>
      </c>
      <c r="F153" s="111">
        <v>0</v>
      </c>
      <c r="G153" s="111">
        <v>0</v>
      </c>
      <c r="H153" s="111">
        <v>0</v>
      </c>
      <c r="I153" s="111">
        <v>0</v>
      </c>
      <c r="J153" s="111">
        <v>0</v>
      </c>
      <c r="K153" s="111">
        <v>0</v>
      </c>
      <c r="L153" s="111">
        <v>0</v>
      </c>
      <c r="M153" s="111">
        <v>0</v>
      </c>
      <c r="N153" s="111">
        <v>0</v>
      </c>
      <c r="O153" s="111">
        <v>0</v>
      </c>
      <c r="P153" s="111">
        <v>0</v>
      </c>
      <c r="Q153" s="111">
        <v>0</v>
      </c>
      <c r="R153" s="111">
        <v>0</v>
      </c>
      <c r="S153" s="111">
        <v>0</v>
      </c>
      <c r="T153" s="111">
        <v>0</v>
      </c>
      <c r="U153" s="111">
        <v>0</v>
      </c>
      <c r="V153" s="111">
        <v>0</v>
      </c>
      <c r="W153" s="111">
        <v>0</v>
      </c>
      <c r="X153" s="111">
        <v>0</v>
      </c>
      <c r="Y153" s="111">
        <v>0</v>
      </c>
      <c r="Z153" s="111">
        <v>0</v>
      </c>
      <c r="AA153" s="111">
        <v>0</v>
      </c>
      <c r="AB153" s="111">
        <v>0</v>
      </c>
      <c r="AC153" s="111">
        <v>0</v>
      </c>
      <c r="AD153" s="111">
        <v>0</v>
      </c>
      <c r="AE153" s="111">
        <v>0</v>
      </c>
      <c r="AF153" s="111">
        <v>0</v>
      </c>
      <c r="AG153" s="111">
        <v>0</v>
      </c>
      <c r="AH153" s="111">
        <v>0</v>
      </c>
      <c r="AI153" s="111">
        <v>0</v>
      </c>
      <c r="AJ153" s="111">
        <v>0</v>
      </c>
      <c r="AK153" s="111">
        <v>0</v>
      </c>
      <c r="AL153" s="111">
        <v>0</v>
      </c>
      <c r="AM153" s="111">
        <v>0</v>
      </c>
      <c r="AN153" s="111">
        <v>0</v>
      </c>
      <c r="AO153" s="111">
        <v>0</v>
      </c>
      <c r="AP153" s="111">
        <v>0</v>
      </c>
      <c r="AQ153" s="111">
        <v>0</v>
      </c>
      <c r="AR153" s="111">
        <v>0</v>
      </c>
      <c r="AS153" s="111">
        <v>0</v>
      </c>
      <c r="AT153" s="111">
        <v>0</v>
      </c>
      <c r="AU153" s="111">
        <v>0</v>
      </c>
      <c r="AV153" s="111">
        <v>0</v>
      </c>
      <c r="AW153" s="111">
        <v>0</v>
      </c>
      <c r="AX153" s="111">
        <v>0</v>
      </c>
      <c r="AY153" s="111">
        <v>0</v>
      </c>
    </row>
    <row r="154" spans="1:51" x14ac:dyDescent="0.2">
      <c r="A154" s="114"/>
      <c r="B154" s="132">
        <v>33</v>
      </c>
      <c r="C154" s="111">
        <v>0</v>
      </c>
      <c r="D154" s="111">
        <v>0</v>
      </c>
      <c r="E154" s="111">
        <v>0</v>
      </c>
      <c r="F154" s="111">
        <v>0</v>
      </c>
      <c r="G154" s="111">
        <v>0</v>
      </c>
      <c r="H154" s="111">
        <v>0</v>
      </c>
      <c r="I154" s="111">
        <v>0</v>
      </c>
      <c r="J154" s="111">
        <v>0</v>
      </c>
      <c r="K154" s="111">
        <v>0</v>
      </c>
      <c r="L154" s="111">
        <v>0</v>
      </c>
      <c r="M154" s="111">
        <v>0</v>
      </c>
      <c r="N154" s="111">
        <v>0</v>
      </c>
      <c r="O154" s="111">
        <v>0</v>
      </c>
      <c r="P154" s="111">
        <v>0</v>
      </c>
      <c r="Q154" s="111">
        <v>0</v>
      </c>
      <c r="R154" s="111">
        <v>0</v>
      </c>
      <c r="S154" s="111">
        <v>0</v>
      </c>
      <c r="T154" s="111">
        <v>0</v>
      </c>
      <c r="U154" s="111">
        <v>0</v>
      </c>
      <c r="V154" s="111">
        <v>0</v>
      </c>
      <c r="W154" s="111">
        <v>0</v>
      </c>
      <c r="X154" s="111">
        <v>0</v>
      </c>
      <c r="Y154" s="111">
        <v>0</v>
      </c>
      <c r="Z154" s="111">
        <v>0</v>
      </c>
      <c r="AA154" s="111">
        <v>0</v>
      </c>
      <c r="AB154" s="111">
        <v>0</v>
      </c>
      <c r="AC154" s="111">
        <v>0</v>
      </c>
      <c r="AD154" s="111">
        <v>0</v>
      </c>
      <c r="AE154" s="111">
        <v>0</v>
      </c>
      <c r="AF154" s="111">
        <v>0</v>
      </c>
      <c r="AG154" s="111">
        <v>0</v>
      </c>
      <c r="AH154" s="111">
        <v>0</v>
      </c>
      <c r="AI154" s="111">
        <v>0</v>
      </c>
      <c r="AJ154" s="111">
        <v>0</v>
      </c>
      <c r="AK154" s="111">
        <v>0</v>
      </c>
      <c r="AL154" s="111">
        <v>0</v>
      </c>
      <c r="AM154" s="111">
        <v>0</v>
      </c>
      <c r="AN154" s="111">
        <v>0</v>
      </c>
      <c r="AO154" s="111">
        <v>0</v>
      </c>
      <c r="AP154" s="111">
        <v>0</v>
      </c>
      <c r="AQ154" s="111">
        <v>0</v>
      </c>
      <c r="AR154" s="111">
        <v>0</v>
      </c>
      <c r="AS154" s="111">
        <v>0</v>
      </c>
      <c r="AT154" s="111">
        <v>0</v>
      </c>
      <c r="AU154" s="111">
        <v>0</v>
      </c>
      <c r="AV154" s="111">
        <v>0</v>
      </c>
      <c r="AW154" s="111">
        <v>0</v>
      </c>
      <c r="AX154" s="111">
        <v>0</v>
      </c>
      <c r="AY154" s="111">
        <v>0</v>
      </c>
    </row>
    <row r="155" spans="1:51" x14ac:dyDescent="0.2">
      <c r="A155" s="114"/>
      <c r="B155" s="132">
        <v>34</v>
      </c>
      <c r="C155" s="111">
        <v>0</v>
      </c>
      <c r="D155" s="111">
        <v>0</v>
      </c>
      <c r="E155" s="111">
        <v>0</v>
      </c>
      <c r="F155" s="111">
        <v>0</v>
      </c>
      <c r="G155" s="111">
        <v>0</v>
      </c>
      <c r="H155" s="111">
        <v>0</v>
      </c>
      <c r="I155" s="111">
        <v>0</v>
      </c>
      <c r="J155" s="111">
        <v>0</v>
      </c>
      <c r="K155" s="111">
        <v>0</v>
      </c>
      <c r="L155" s="111">
        <v>0</v>
      </c>
      <c r="M155" s="111">
        <v>0</v>
      </c>
      <c r="N155" s="111">
        <v>0</v>
      </c>
      <c r="O155" s="111">
        <v>0</v>
      </c>
      <c r="P155" s="111">
        <v>0</v>
      </c>
      <c r="Q155" s="111">
        <v>0</v>
      </c>
      <c r="R155" s="111">
        <v>0</v>
      </c>
      <c r="S155" s="111">
        <v>0</v>
      </c>
      <c r="T155" s="111">
        <v>0</v>
      </c>
      <c r="U155" s="111">
        <v>0</v>
      </c>
      <c r="V155" s="111">
        <v>0</v>
      </c>
      <c r="W155" s="111">
        <v>0</v>
      </c>
      <c r="X155" s="111">
        <v>0</v>
      </c>
      <c r="Y155" s="111">
        <v>0</v>
      </c>
      <c r="Z155" s="111">
        <v>0</v>
      </c>
      <c r="AA155" s="111">
        <v>0</v>
      </c>
      <c r="AB155" s="111">
        <v>0</v>
      </c>
      <c r="AC155" s="111">
        <v>0</v>
      </c>
      <c r="AD155" s="111">
        <v>0</v>
      </c>
      <c r="AE155" s="111">
        <v>0</v>
      </c>
      <c r="AF155" s="111">
        <v>0</v>
      </c>
      <c r="AG155" s="111">
        <v>0</v>
      </c>
      <c r="AH155" s="111">
        <v>0</v>
      </c>
      <c r="AI155" s="111">
        <v>0</v>
      </c>
      <c r="AJ155" s="111">
        <v>0</v>
      </c>
      <c r="AK155" s="111">
        <v>0</v>
      </c>
      <c r="AL155" s="111">
        <v>0</v>
      </c>
      <c r="AM155" s="111">
        <v>0</v>
      </c>
      <c r="AN155" s="111">
        <v>0</v>
      </c>
      <c r="AO155" s="111">
        <v>0</v>
      </c>
      <c r="AP155" s="111">
        <v>0</v>
      </c>
      <c r="AQ155" s="111">
        <v>0</v>
      </c>
      <c r="AR155" s="111">
        <v>0</v>
      </c>
      <c r="AS155" s="111">
        <v>0</v>
      </c>
      <c r="AT155" s="111">
        <v>0</v>
      </c>
      <c r="AU155" s="111">
        <v>0</v>
      </c>
      <c r="AV155" s="111">
        <v>0</v>
      </c>
      <c r="AW155" s="111">
        <v>0</v>
      </c>
      <c r="AX155" s="111">
        <v>0</v>
      </c>
      <c r="AY155" s="111">
        <v>0</v>
      </c>
    </row>
    <row r="156" spans="1:51" x14ac:dyDescent="0.2">
      <c r="A156" s="114"/>
      <c r="B156" s="132">
        <v>35</v>
      </c>
      <c r="C156" s="111">
        <v>0</v>
      </c>
      <c r="D156" s="111">
        <v>0</v>
      </c>
      <c r="E156" s="111">
        <v>0</v>
      </c>
      <c r="F156" s="111">
        <v>0</v>
      </c>
      <c r="G156" s="111">
        <v>0</v>
      </c>
      <c r="H156" s="111">
        <v>0</v>
      </c>
      <c r="I156" s="111">
        <v>0</v>
      </c>
      <c r="J156" s="111">
        <v>0</v>
      </c>
      <c r="K156" s="111">
        <v>0</v>
      </c>
      <c r="L156" s="111">
        <v>0</v>
      </c>
      <c r="M156" s="111">
        <v>0</v>
      </c>
      <c r="N156" s="111">
        <v>0</v>
      </c>
      <c r="O156" s="111">
        <v>0</v>
      </c>
      <c r="P156" s="111">
        <v>0</v>
      </c>
      <c r="Q156" s="111">
        <v>0</v>
      </c>
      <c r="R156" s="111">
        <v>0</v>
      </c>
      <c r="S156" s="111">
        <v>0</v>
      </c>
      <c r="T156" s="111">
        <v>0</v>
      </c>
      <c r="U156" s="111">
        <v>0</v>
      </c>
      <c r="V156" s="111">
        <v>0</v>
      </c>
      <c r="W156" s="111">
        <v>0</v>
      </c>
      <c r="X156" s="111">
        <v>0</v>
      </c>
      <c r="Y156" s="111">
        <v>0</v>
      </c>
      <c r="Z156" s="111">
        <v>0</v>
      </c>
      <c r="AA156" s="111">
        <v>0</v>
      </c>
      <c r="AB156" s="111">
        <v>0</v>
      </c>
      <c r="AC156" s="111">
        <v>0</v>
      </c>
      <c r="AD156" s="111">
        <v>0</v>
      </c>
      <c r="AE156" s="111">
        <v>0</v>
      </c>
      <c r="AF156" s="111">
        <v>0</v>
      </c>
      <c r="AG156" s="111">
        <v>0</v>
      </c>
      <c r="AH156" s="111">
        <v>0</v>
      </c>
      <c r="AI156" s="111">
        <v>0</v>
      </c>
      <c r="AJ156" s="111">
        <v>0</v>
      </c>
      <c r="AK156" s="111">
        <v>0</v>
      </c>
      <c r="AL156" s="111">
        <v>0</v>
      </c>
      <c r="AM156" s="111">
        <v>0</v>
      </c>
      <c r="AN156" s="111">
        <v>0</v>
      </c>
      <c r="AO156" s="111">
        <v>0</v>
      </c>
      <c r="AP156" s="111">
        <v>0</v>
      </c>
      <c r="AQ156" s="111">
        <v>0</v>
      </c>
      <c r="AR156" s="111">
        <v>0</v>
      </c>
      <c r="AS156" s="111">
        <v>0</v>
      </c>
      <c r="AT156" s="111">
        <v>0</v>
      </c>
      <c r="AU156" s="111">
        <v>0</v>
      </c>
      <c r="AV156" s="111">
        <v>0</v>
      </c>
      <c r="AW156" s="111">
        <v>0</v>
      </c>
      <c r="AX156" s="111">
        <v>0</v>
      </c>
      <c r="AY156" s="111">
        <v>0</v>
      </c>
    </row>
    <row r="157" spans="1:51" x14ac:dyDescent="0.2">
      <c r="A157" s="114"/>
      <c r="B157" s="132">
        <v>36</v>
      </c>
      <c r="C157" s="111">
        <v>0</v>
      </c>
      <c r="D157" s="111">
        <v>0</v>
      </c>
      <c r="E157" s="111">
        <v>0</v>
      </c>
      <c r="F157" s="111">
        <v>0</v>
      </c>
      <c r="G157" s="111">
        <v>0</v>
      </c>
      <c r="H157" s="111">
        <v>0</v>
      </c>
      <c r="I157" s="111">
        <v>0</v>
      </c>
      <c r="J157" s="111">
        <v>0</v>
      </c>
      <c r="K157" s="111">
        <v>0</v>
      </c>
      <c r="L157" s="111">
        <v>0</v>
      </c>
      <c r="M157" s="111">
        <v>0</v>
      </c>
      <c r="N157" s="111">
        <v>0</v>
      </c>
      <c r="O157" s="111">
        <v>0</v>
      </c>
      <c r="P157" s="111">
        <v>0</v>
      </c>
      <c r="Q157" s="111">
        <v>0</v>
      </c>
      <c r="R157" s="111">
        <v>0</v>
      </c>
      <c r="S157" s="111">
        <v>0</v>
      </c>
      <c r="T157" s="111">
        <v>0</v>
      </c>
      <c r="U157" s="111">
        <v>0</v>
      </c>
      <c r="V157" s="111">
        <v>0</v>
      </c>
      <c r="W157" s="111">
        <v>0</v>
      </c>
      <c r="X157" s="111">
        <v>0</v>
      </c>
      <c r="Y157" s="111">
        <v>0</v>
      </c>
      <c r="Z157" s="111">
        <v>0</v>
      </c>
      <c r="AA157" s="111">
        <v>0</v>
      </c>
      <c r="AB157" s="111">
        <v>0</v>
      </c>
      <c r="AC157" s="111">
        <v>0</v>
      </c>
      <c r="AD157" s="111">
        <v>0</v>
      </c>
      <c r="AE157" s="111">
        <v>0</v>
      </c>
      <c r="AF157" s="111">
        <v>0</v>
      </c>
      <c r="AG157" s="111">
        <v>0</v>
      </c>
      <c r="AH157" s="111">
        <v>0</v>
      </c>
      <c r="AI157" s="111">
        <v>0</v>
      </c>
      <c r="AJ157" s="111">
        <v>0</v>
      </c>
      <c r="AK157" s="111">
        <v>0</v>
      </c>
      <c r="AL157" s="111">
        <v>0</v>
      </c>
      <c r="AM157" s="111">
        <v>0</v>
      </c>
      <c r="AN157" s="111">
        <v>0</v>
      </c>
      <c r="AO157" s="111">
        <v>0</v>
      </c>
      <c r="AP157" s="111">
        <v>0</v>
      </c>
      <c r="AQ157" s="111">
        <v>0</v>
      </c>
      <c r="AR157" s="111">
        <v>0</v>
      </c>
      <c r="AS157" s="111">
        <v>0</v>
      </c>
      <c r="AT157" s="111">
        <v>0</v>
      </c>
      <c r="AU157" s="111">
        <v>0</v>
      </c>
      <c r="AV157" s="111">
        <v>0</v>
      </c>
      <c r="AW157" s="111">
        <v>0</v>
      </c>
      <c r="AX157" s="111">
        <v>0</v>
      </c>
      <c r="AY157" s="111">
        <v>0</v>
      </c>
    </row>
    <row r="158" spans="1:51" x14ac:dyDescent="0.2">
      <c r="A158" s="114"/>
      <c r="B158" s="135">
        <v>37</v>
      </c>
      <c r="C158" s="111">
        <v>0</v>
      </c>
      <c r="D158" s="111">
        <v>0</v>
      </c>
      <c r="E158" s="111">
        <v>0</v>
      </c>
      <c r="F158" s="111">
        <v>0</v>
      </c>
      <c r="G158" s="111">
        <v>0</v>
      </c>
      <c r="H158" s="111">
        <v>0</v>
      </c>
      <c r="I158" s="111">
        <v>0</v>
      </c>
      <c r="J158" s="111">
        <v>0</v>
      </c>
      <c r="K158" s="111">
        <v>0</v>
      </c>
      <c r="L158" s="111">
        <v>0</v>
      </c>
      <c r="M158" s="111">
        <v>0</v>
      </c>
      <c r="N158" s="111">
        <v>0</v>
      </c>
      <c r="O158" s="111">
        <v>0</v>
      </c>
      <c r="P158" s="111">
        <v>0</v>
      </c>
      <c r="Q158" s="111">
        <v>0</v>
      </c>
      <c r="R158" s="111">
        <v>0</v>
      </c>
      <c r="S158" s="111">
        <v>0</v>
      </c>
      <c r="T158" s="111">
        <v>0</v>
      </c>
      <c r="U158" s="111">
        <v>0</v>
      </c>
      <c r="V158" s="111">
        <v>0</v>
      </c>
      <c r="W158" s="111">
        <v>0</v>
      </c>
      <c r="X158" s="111">
        <v>0</v>
      </c>
      <c r="Y158" s="111">
        <v>0</v>
      </c>
      <c r="Z158" s="111">
        <v>0</v>
      </c>
      <c r="AA158" s="111">
        <v>0</v>
      </c>
      <c r="AB158" s="111">
        <v>0</v>
      </c>
      <c r="AC158" s="111">
        <v>0</v>
      </c>
      <c r="AD158" s="111">
        <v>0</v>
      </c>
      <c r="AE158" s="111">
        <v>0</v>
      </c>
      <c r="AF158" s="111">
        <v>0</v>
      </c>
      <c r="AG158" s="111">
        <v>0</v>
      </c>
      <c r="AH158" s="111">
        <v>0</v>
      </c>
      <c r="AI158" s="111">
        <v>0</v>
      </c>
      <c r="AJ158" s="111">
        <v>0</v>
      </c>
      <c r="AK158" s="111">
        <v>0</v>
      </c>
      <c r="AL158" s="111">
        <v>0</v>
      </c>
      <c r="AM158" s="111">
        <v>0</v>
      </c>
      <c r="AN158" s="111">
        <v>0</v>
      </c>
      <c r="AO158" s="111">
        <v>0</v>
      </c>
      <c r="AP158" s="111">
        <v>0</v>
      </c>
      <c r="AQ158" s="111">
        <v>0</v>
      </c>
      <c r="AR158" s="111">
        <v>0</v>
      </c>
      <c r="AS158" s="111">
        <v>0</v>
      </c>
      <c r="AT158" s="111">
        <v>0</v>
      </c>
      <c r="AU158" s="111">
        <v>0</v>
      </c>
      <c r="AV158" s="111">
        <v>0</v>
      </c>
      <c r="AW158" s="111">
        <v>0</v>
      </c>
      <c r="AX158" s="111">
        <v>0</v>
      </c>
      <c r="AY158" s="111">
        <v>0</v>
      </c>
    </row>
    <row r="159" spans="1:51" x14ac:dyDescent="0.2">
      <c r="A159" s="114"/>
      <c r="B159" s="135">
        <v>38</v>
      </c>
      <c r="C159" s="111">
        <v>0</v>
      </c>
      <c r="D159" s="111">
        <v>0</v>
      </c>
      <c r="E159" s="111">
        <v>0</v>
      </c>
      <c r="F159" s="111">
        <v>0</v>
      </c>
      <c r="G159" s="111">
        <v>0</v>
      </c>
      <c r="H159" s="111">
        <v>0</v>
      </c>
      <c r="I159" s="111">
        <v>0</v>
      </c>
      <c r="J159" s="111">
        <v>0</v>
      </c>
      <c r="K159" s="111">
        <v>0</v>
      </c>
      <c r="L159" s="111">
        <v>0</v>
      </c>
      <c r="M159" s="111">
        <v>0</v>
      </c>
      <c r="N159" s="111">
        <v>0</v>
      </c>
      <c r="O159" s="111">
        <v>0</v>
      </c>
      <c r="P159" s="111">
        <v>0</v>
      </c>
      <c r="Q159" s="111">
        <v>0</v>
      </c>
      <c r="R159" s="111">
        <v>0</v>
      </c>
      <c r="S159" s="111">
        <v>0</v>
      </c>
      <c r="T159" s="111">
        <v>0</v>
      </c>
      <c r="U159" s="111">
        <v>0</v>
      </c>
      <c r="V159" s="111">
        <v>0</v>
      </c>
      <c r="W159" s="111">
        <v>0</v>
      </c>
      <c r="X159" s="111">
        <v>0</v>
      </c>
      <c r="Y159" s="111">
        <v>0</v>
      </c>
      <c r="Z159" s="111">
        <v>0</v>
      </c>
      <c r="AA159" s="111">
        <v>0</v>
      </c>
      <c r="AB159" s="111">
        <v>0</v>
      </c>
      <c r="AC159" s="111">
        <v>0</v>
      </c>
      <c r="AD159" s="111">
        <v>0</v>
      </c>
      <c r="AE159" s="111">
        <v>0</v>
      </c>
      <c r="AF159" s="111">
        <v>0</v>
      </c>
      <c r="AG159" s="111">
        <v>0</v>
      </c>
      <c r="AH159" s="111">
        <v>0</v>
      </c>
      <c r="AI159" s="111">
        <v>0</v>
      </c>
      <c r="AJ159" s="111">
        <v>0</v>
      </c>
      <c r="AK159" s="111">
        <v>0</v>
      </c>
      <c r="AL159" s="111">
        <v>0</v>
      </c>
      <c r="AM159" s="111">
        <v>0</v>
      </c>
      <c r="AN159" s="111">
        <v>0</v>
      </c>
      <c r="AO159" s="111">
        <v>0</v>
      </c>
      <c r="AP159" s="111">
        <v>0</v>
      </c>
      <c r="AQ159" s="111">
        <v>0</v>
      </c>
      <c r="AR159" s="111">
        <v>0</v>
      </c>
      <c r="AS159" s="111">
        <v>0</v>
      </c>
      <c r="AT159" s="111">
        <v>0</v>
      </c>
      <c r="AU159" s="111">
        <v>0</v>
      </c>
      <c r="AV159" s="111">
        <v>0</v>
      </c>
      <c r="AW159" s="111">
        <v>0</v>
      </c>
      <c r="AX159" s="111">
        <v>0</v>
      </c>
      <c r="AY159" s="111">
        <v>0</v>
      </c>
    </row>
    <row r="160" spans="1:51" x14ac:dyDescent="0.2">
      <c r="A160" s="114"/>
      <c r="B160" s="135">
        <v>39</v>
      </c>
      <c r="C160" s="111">
        <v>0</v>
      </c>
      <c r="D160" s="111">
        <v>0</v>
      </c>
      <c r="E160" s="111">
        <v>0</v>
      </c>
      <c r="F160" s="111">
        <v>0</v>
      </c>
      <c r="G160" s="111">
        <v>0</v>
      </c>
      <c r="H160" s="111">
        <v>0</v>
      </c>
      <c r="I160" s="111">
        <v>0</v>
      </c>
      <c r="J160" s="111">
        <v>0</v>
      </c>
      <c r="K160" s="111">
        <v>0</v>
      </c>
      <c r="L160" s="111">
        <v>0</v>
      </c>
      <c r="M160" s="111">
        <v>0</v>
      </c>
      <c r="N160" s="111">
        <v>0</v>
      </c>
      <c r="O160" s="111">
        <v>0</v>
      </c>
      <c r="P160" s="111">
        <v>0</v>
      </c>
      <c r="Q160" s="111">
        <v>0</v>
      </c>
      <c r="R160" s="111">
        <v>0</v>
      </c>
      <c r="S160" s="111">
        <v>0</v>
      </c>
      <c r="T160" s="111">
        <v>0</v>
      </c>
      <c r="U160" s="111">
        <v>0</v>
      </c>
      <c r="V160" s="111">
        <v>0</v>
      </c>
      <c r="W160" s="111">
        <v>0</v>
      </c>
      <c r="X160" s="111">
        <v>0</v>
      </c>
      <c r="Y160" s="111">
        <v>0</v>
      </c>
      <c r="Z160" s="111">
        <v>0</v>
      </c>
      <c r="AA160" s="111">
        <v>0</v>
      </c>
      <c r="AB160" s="111">
        <v>0</v>
      </c>
      <c r="AC160" s="111">
        <v>0</v>
      </c>
      <c r="AD160" s="111">
        <v>0</v>
      </c>
      <c r="AE160" s="111">
        <v>0</v>
      </c>
      <c r="AF160" s="111">
        <v>0</v>
      </c>
      <c r="AG160" s="111">
        <v>0</v>
      </c>
      <c r="AH160" s="111">
        <v>0</v>
      </c>
      <c r="AI160" s="111">
        <v>0</v>
      </c>
      <c r="AJ160" s="111">
        <v>0</v>
      </c>
      <c r="AK160" s="111">
        <v>0</v>
      </c>
      <c r="AL160" s="111">
        <v>0</v>
      </c>
      <c r="AM160" s="111">
        <v>0</v>
      </c>
      <c r="AN160" s="111">
        <v>0</v>
      </c>
      <c r="AO160" s="111">
        <v>0</v>
      </c>
      <c r="AP160" s="111">
        <v>0</v>
      </c>
      <c r="AQ160" s="111">
        <v>0</v>
      </c>
      <c r="AR160" s="111">
        <v>0</v>
      </c>
      <c r="AS160" s="111">
        <v>0</v>
      </c>
      <c r="AT160" s="111">
        <v>0</v>
      </c>
      <c r="AU160" s="111">
        <v>0</v>
      </c>
      <c r="AV160" s="111">
        <v>0</v>
      </c>
      <c r="AW160" s="111">
        <v>0</v>
      </c>
      <c r="AX160" s="111">
        <v>0</v>
      </c>
      <c r="AY160" s="111">
        <v>0</v>
      </c>
    </row>
    <row r="161" spans="1:52" x14ac:dyDescent="0.2">
      <c r="A161" s="114"/>
      <c r="B161" s="135">
        <v>40</v>
      </c>
      <c r="C161" s="111">
        <v>0</v>
      </c>
      <c r="D161" s="111">
        <v>0</v>
      </c>
      <c r="E161" s="111">
        <v>0</v>
      </c>
      <c r="F161" s="111">
        <v>0</v>
      </c>
      <c r="G161" s="111">
        <v>0</v>
      </c>
      <c r="H161" s="111">
        <v>0</v>
      </c>
      <c r="I161" s="111">
        <v>0</v>
      </c>
      <c r="J161" s="111">
        <v>0</v>
      </c>
      <c r="K161" s="111">
        <v>0</v>
      </c>
      <c r="L161" s="111">
        <v>0</v>
      </c>
      <c r="M161" s="111">
        <v>0</v>
      </c>
      <c r="N161" s="111">
        <v>0</v>
      </c>
      <c r="O161" s="111">
        <v>0</v>
      </c>
      <c r="P161" s="111">
        <v>0</v>
      </c>
      <c r="Q161" s="111">
        <v>0</v>
      </c>
      <c r="R161" s="111">
        <v>0</v>
      </c>
      <c r="S161" s="111">
        <v>0</v>
      </c>
      <c r="T161" s="111">
        <v>0</v>
      </c>
      <c r="U161" s="111">
        <v>0</v>
      </c>
      <c r="V161" s="111">
        <v>0</v>
      </c>
      <c r="W161" s="111">
        <v>0</v>
      </c>
      <c r="X161" s="111">
        <v>0</v>
      </c>
      <c r="Y161" s="111">
        <v>0</v>
      </c>
      <c r="Z161" s="111">
        <v>0</v>
      </c>
      <c r="AA161" s="111">
        <v>0</v>
      </c>
      <c r="AB161" s="111">
        <v>0</v>
      </c>
      <c r="AC161" s="111">
        <v>0</v>
      </c>
      <c r="AD161" s="111">
        <v>0</v>
      </c>
      <c r="AE161" s="111">
        <v>0</v>
      </c>
      <c r="AF161" s="111">
        <v>0</v>
      </c>
      <c r="AG161" s="111">
        <v>0</v>
      </c>
      <c r="AH161" s="111">
        <v>0</v>
      </c>
      <c r="AI161" s="111">
        <v>0</v>
      </c>
      <c r="AJ161" s="111">
        <v>0</v>
      </c>
      <c r="AK161" s="111">
        <v>0</v>
      </c>
      <c r="AL161" s="111">
        <v>0</v>
      </c>
      <c r="AM161" s="111">
        <v>0</v>
      </c>
      <c r="AN161" s="111">
        <v>0</v>
      </c>
      <c r="AO161" s="111">
        <v>0</v>
      </c>
      <c r="AP161" s="111">
        <v>0</v>
      </c>
      <c r="AQ161" s="111">
        <v>0</v>
      </c>
      <c r="AR161" s="111">
        <v>0</v>
      </c>
      <c r="AS161" s="111">
        <v>0</v>
      </c>
      <c r="AT161" s="111">
        <v>0</v>
      </c>
      <c r="AU161" s="111">
        <v>0</v>
      </c>
      <c r="AV161" s="111">
        <v>0</v>
      </c>
      <c r="AW161" s="111">
        <v>0</v>
      </c>
      <c r="AX161" s="111">
        <v>0</v>
      </c>
      <c r="AY161" s="111">
        <v>0</v>
      </c>
    </row>
    <row r="162" spans="1:52" x14ac:dyDescent="0.2">
      <c r="A162" s="114"/>
      <c r="B162" s="135">
        <v>41</v>
      </c>
      <c r="C162" s="111">
        <v>0</v>
      </c>
      <c r="D162" s="111">
        <v>0</v>
      </c>
      <c r="E162" s="111">
        <v>0</v>
      </c>
      <c r="F162" s="111">
        <v>0</v>
      </c>
      <c r="G162" s="111">
        <v>0</v>
      </c>
      <c r="H162" s="111">
        <v>0</v>
      </c>
      <c r="I162" s="111">
        <v>0</v>
      </c>
      <c r="J162" s="111">
        <v>0</v>
      </c>
      <c r="K162" s="111">
        <v>0</v>
      </c>
      <c r="L162" s="111">
        <v>0</v>
      </c>
      <c r="M162" s="111">
        <v>0</v>
      </c>
      <c r="N162" s="111">
        <v>0</v>
      </c>
      <c r="O162" s="111">
        <v>0</v>
      </c>
      <c r="P162" s="111">
        <v>0</v>
      </c>
      <c r="Q162" s="111">
        <v>0</v>
      </c>
      <c r="R162" s="111">
        <v>0</v>
      </c>
      <c r="S162" s="111">
        <v>0</v>
      </c>
      <c r="T162" s="111">
        <v>0</v>
      </c>
      <c r="U162" s="111">
        <v>0</v>
      </c>
      <c r="V162" s="111">
        <v>0</v>
      </c>
      <c r="W162" s="111">
        <v>0</v>
      </c>
      <c r="X162" s="111">
        <v>0</v>
      </c>
      <c r="Y162" s="111">
        <v>0</v>
      </c>
      <c r="Z162" s="111">
        <v>0</v>
      </c>
      <c r="AA162" s="111">
        <v>0</v>
      </c>
      <c r="AB162" s="111">
        <v>0</v>
      </c>
      <c r="AC162" s="111">
        <v>0</v>
      </c>
      <c r="AD162" s="111">
        <v>0</v>
      </c>
      <c r="AE162" s="111">
        <v>0</v>
      </c>
      <c r="AF162" s="111">
        <v>0</v>
      </c>
      <c r="AG162" s="111">
        <v>0</v>
      </c>
      <c r="AH162" s="111">
        <v>0</v>
      </c>
      <c r="AI162" s="111">
        <v>0</v>
      </c>
      <c r="AJ162" s="111">
        <v>0</v>
      </c>
      <c r="AK162" s="111">
        <v>0</v>
      </c>
      <c r="AL162" s="111">
        <v>0</v>
      </c>
      <c r="AM162" s="111">
        <v>0</v>
      </c>
      <c r="AN162" s="111">
        <v>0</v>
      </c>
      <c r="AO162" s="111">
        <v>0</v>
      </c>
      <c r="AP162" s="111">
        <v>0</v>
      </c>
      <c r="AQ162" s="111">
        <v>0</v>
      </c>
      <c r="AR162" s="111">
        <v>0</v>
      </c>
      <c r="AS162" s="111">
        <v>0</v>
      </c>
      <c r="AT162" s="111">
        <v>0</v>
      </c>
      <c r="AU162" s="111">
        <v>0</v>
      </c>
      <c r="AV162" s="111">
        <v>0</v>
      </c>
      <c r="AW162" s="111">
        <v>0</v>
      </c>
      <c r="AX162" s="111">
        <v>0</v>
      </c>
      <c r="AY162" s="111">
        <v>0</v>
      </c>
    </row>
    <row r="163" spans="1:52" x14ac:dyDescent="0.2">
      <c r="A163" s="114"/>
      <c r="B163" s="135">
        <v>42</v>
      </c>
      <c r="C163" s="111">
        <v>0</v>
      </c>
      <c r="D163" s="111">
        <v>0</v>
      </c>
      <c r="E163" s="111">
        <v>0</v>
      </c>
      <c r="F163" s="111">
        <v>0</v>
      </c>
      <c r="G163" s="111">
        <v>0</v>
      </c>
      <c r="H163" s="111">
        <v>0</v>
      </c>
      <c r="I163" s="111">
        <v>0</v>
      </c>
      <c r="J163" s="111">
        <v>0</v>
      </c>
      <c r="K163" s="111">
        <v>0</v>
      </c>
      <c r="L163" s="111">
        <v>0</v>
      </c>
      <c r="M163" s="111">
        <v>0</v>
      </c>
      <c r="N163" s="111">
        <v>0</v>
      </c>
      <c r="O163" s="111">
        <v>0</v>
      </c>
      <c r="P163" s="111">
        <v>0</v>
      </c>
      <c r="Q163" s="111">
        <v>0</v>
      </c>
      <c r="R163" s="111">
        <v>0</v>
      </c>
      <c r="S163" s="111">
        <v>0</v>
      </c>
      <c r="T163" s="111">
        <v>0</v>
      </c>
      <c r="U163" s="111">
        <v>0</v>
      </c>
      <c r="V163" s="111">
        <v>0</v>
      </c>
      <c r="W163" s="111">
        <v>0</v>
      </c>
      <c r="X163" s="111">
        <v>0</v>
      </c>
      <c r="Y163" s="111">
        <v>0</v>
      </c>
      <c r="Z163" s="111">
        <v>0</v>
      </c>
      <c r="AA163" s="111">
        <v>0</v>
      </c>
      <c r="AB163" s="111">
        <v>0</v>
      </c>
      <c r="AC163" s="111">
        <v>0</v>
      </c>
      <c r="AD163" s="111">
        <v>0</v>
      </c>
      <c r="AE163" s="111">
        <v>0</v>
      </c>
      <c r="AF163" s="111">
        <v>0</v>
      </c>
      <c r="AG163" s="111">
        <v>0</v>
      </c>
      <c r="AH163" s="111">
        <v>0</v>
      </c>
      <c r="AI163" s="111">
        <v>0</v>
      </c>
      <c r="AJ163" s="111">
        <v>0</v>
      </c>
      <c r="AK163" s="111">
        <v>0</v>
      </c>
      <c r="AL163" s="111">
        <v>0</v>
      </c>
      <c r="AM163" s="111">
        <v>0</v>
      </c>
      <c r="AN163" s="111">
        <v>0</v>
      </c>
      <c r="AO163" s="111">
        <v>0</v>
      </c>
      <c r="AP163" s="111">
        <v>0</v>
      </c>
      <c r="AQ163" s="111">
        <v>0</v>
      </c>
      <c r="AR163" s="111">
        <v>0</v>
      </c>
      <c r="AS163" s="111">
        <v>0</v>
      </c>
      <c r="AT163" s="111">
        <v>0</v>
      </c>
      <c r="AU163" s="111">
        <v>0</v>
      </c>
      <c r="AV163" s="111">
        <v>0</v>
      </c>
      <c r="AW163" s="111">
        <v>0</v>
      </c>
      <c r="AX163" s="111">
        <v>0</v>
      </c>
      <c r="AY163" s="111">
        <v>0</v>
      </c>
    </row>
    <row r="164" spans="1:52" x14ac:dyDescent="0.2">
      <c r="A164" s="114"/>
      <c r="B164" s="135">
        <v>43</v>
      </c>
      <c r="C164" s="111">
        <v>0</v>
      </c>
      <c r="D164" s="111">
        <v>0</v>
      </c>
      <c r="E164" s="111">
        <v>0</v>
      </c>
      <c r="F164" s="111">
        <v>0</v>
      </c>
      <c r="G164" s="111">
        <v>0</v>
      </c>
      <c r="H164" s="111">
        <v>0</v>
      </c>
      <c r="I164" s="111">
        <v>0</v>
      </c>
      <c r="J164" s="111">
        <v>0</v>
      </c>
      <c r="K164" s="111">
        <v>0</v>
      </c>
      <c r="L164" s="111">
        <v>0</v>
      </c>
      <c r="M164" s="111">
        <v>0</v>
      </c>
      <c r="N164" s="111">
        <v>0</v>
      </c>
      <c r="O164" s="111">
        <v>0</v>
      </c>
      <c r="P164" s="111">
        <v>0</v>
      </c>
      <c r="Q164" s="111">
        <v>0</v>
      </c>
      <c r="R164" s="111">
        <v>0</v>
      </c>
      <c r="S164" s="111">
        <v>0</v>
      </c>
      <c r="T164" s="111">
        <v>0</v>
      </c>
      <c r="U164" s="111">
        <v>0</v>
      </c>
      <c r="V164" s="111">
        <v>0</v>
      </c>
      <c r="W164" s="111">
        <v>0</v>
      </c>
      <c r="X164" s="111">
        <v>0</v>
      </c>
      <c r="Y164" s="111">
        <v>0</v>
      </c>
      <c r="Z164" s="111">
        <v>0</v>
      </c>
      <c r="AA164" s="111">
        <v>0</v>
      </c>
      <c r="AB164" s="111">
        <v>0</v>
      </c>
      <c r="AC164" s="111">
        <v>0</v>
      </c>
      <c r="AD164" s="111">
        <v>0</v>
      </c>
      <c r="AE164" s="111">
        <v>0</v>
      </c>
      <c r="AF164" s="111">
        <v>0</v>
      </c>
      <c r="AG164" s="111">
        <v>0</v>
      </c>
      <c r="AH164" s="111">
        <v>0</v>
      </c>
      <c r="AI164" s="111">
        <v>0</v>
      </c>
      <c r="AJ164" s="111">
        <v>0</v>
      </c>
      <c r="AK164" s="111">
        <v>0</v>
      </c>
      <c r="AL164" s="111">
        <v>0</v>
      </c>
      <c r="AM164" s="111">
        <v>0</v>
      </c>
      <c r="AN164" s="111">
        <v>0</v>
      </c>
      <c r="AO164" s="111">
        <v>0</v>
      </c>
      <c r="AP164" s="111">
        <v>0</v>
      </c>
      <c r="AQ164" s="111">
        <v>0</v>
      </c>
      <c r="AR164" s="111">
        <v>0</v>
      </c>
      <c r="AS164" s="111">
        <v>0</v>
      </c>
      <c r="AT164" s="111">
        <v>0</v>
      </c>
      <c r="AU164" s="111">
        <v>0</v>
      </c>
      <c r="AV164" s="111">
        <v>0</v>
      </c>
      <c r="AW164" s="111">
        <v>0</v>
      </c>
      <c r="AX164" s="111">
        <v>0</v>
      </c>
      <c r="AY164" s="111">
        <v>0</v>
      </c>
    </row>
    <row r="165" spans="1:52" x14ac:dyDescent="0.2">
      <c r="A165" s="114"/>
      <c r="B165" s="135">
        <v>44</v>
      </c>
      <c r="C165" s="111">
        <v>0</v>
      </c>
      <c r="D165" s="111">
        <v>0</v>
      </c>
      <c r="E165" s="111">
        <v>0</v>
      </c>
      <c r="F165" s="111">
        <v>0</v>
      </c>
      <c r="G165" s="111">
        <v>0</v>
      </c>
      <c r="H165" s="111">
        <v>0</v>
      </c>
      <c r="I165" s="111">
        <v>0</v>
      </c>
      <c r="J165" s="111">
        <v>0</v>
      </c>
      <c r="K165" s="111">
        <v>0</v>
      </c>
      <c r="L165" s="111">
        <v>0</v>
      </c>
      <c r="M165" s="111">
        <v>0</v>
      </c>
      <c r="N165" s="111">
        <v>0</v>
      </c>
      <c r="O165" s="111">
        <v>0</v>
      </c>
      <c r="P165" s="111">
        <v>0</v>
      </c>
      <c r="Q165" s="111">
        <v>0</v>
      </c>
      <c r="R165" s="111">
        <v>0</v>
      </c>
      <c r="S165" s="111">
        <v>0</v>
      </c>
      <c r="T165" s="111">
        <v>0</v>
      </c>
      <c r="U165" s="111">
        <v>0</v>
      </c>
      <c r="V165" s="111">
        <v>0</v>
      </c>
      <c r="W165" s="111">
        <v>0</v>
      </c>
      <c r="X165" s="111">
        <v>0</v>
      </c>
      <c r="Y165" s="111">
        <v>0</v>
      </c>
      <c r="Z165" s="111">
        <v>0</v>
      </c>
      <c r="AA165" s="111">
        <v>0</v>
      </c>
      <c r="AB165" s="111">
        <v>0</v>
      </c>
      <c r="AC165" s="111">
        <v>0</v>
      </c>
      <c r="AD165" s="111">
        <v>0</v>
      </c>
      <c r="AE165" s="111">
        <v>0</v>
      </c>
      <c r="AF165" s="111">
        <v>0</v>
      </c>
      <c r="AG165" s="111">
        <v>0</v>
      </c>
      <c r="AH165" s="111">
        <v>0</v>
      </c>
      <c r="AI165" s="111">
        <v>0</v>
      </c>
      <c r="AJ165" s="111">
        <v>0</v>
      </c>
      <c r="AK165" s="111">
        <v>0</v>
      </c>
      <c r="AL165" s="111">
        <v>0</v>
      </c>
      <c r="AM165" s="111">
        <v>0</v>
      </c>
      <c r="AN165" s="111">
        <v>0</v>
      </c>
      <c r="AO165" s="111">
        <v>0</v>
      </c>
      <c r="AP165" s="111">
        <v>0</v>
      </c>
      <c r="AQ165" s="111">
        <v>0</v>
      </c>
      <c r="AR165" s="111">
        <v>0</v>
      </c>
      <c r="AS165" s="111">
        <v>0</v>
      </c>
      <c r="AT165" s="111">
        <v>0</v>
      </c>
      <c r="AU165" s="111">
        <v>0</v>
      </c>
      <c r="AV165" s="111">
        <v>0</v>
      </c>
      <c r="AW165" s="111">
        <v>0</v>
      </c>
      <c r="AX165" s="111">
        <v>0</v>
      </c>
      <c r="AY165" s="111">
        <v>0</v>
      </c>
    </row>
    <row r="166" spans="1:52" x14ac:dyDescent="0.2">
      <c r="A166" s="114"/>
      <c r="B166" s="135">
        <v>45</v>
      </c>
      <c r="C166" s="111">
        <v>0</v>
      </c>
      <c r="D166" s="111">
        <v>0</v>
      </c>
      <c r="E166" s="111">
        <v>0</v>
      </c>
      <c r="F166" s="111">
        <v>0</v>
      </c>
      <c r="G166" s="111">
        <v>0</v>
      </c>
      <c r="H166" s="111">
        <v>0</v>
      </c>
      <c r="I166" s="111">
        <v>0</v>
      </c>
      <c r="J166" s="111">
        <v>0</v>
      </c>
      <c r="K166" s="111">
        <v>0</v>
      </c>
      <c r="L166" s="111">
        <v>0</v>
      </c>
      <c r="M166" s="111">
        <v>0</v>
      </c>
      <c r="N166" s="111">
        <v>0</v>
      </c>
      <c r="O166" s="111">
        <v>0</v>
      </c>
      <c r="P166" s="111">
        <v>0</v>
      </c>
      <c r="Q166" s="111">
        <v>0</v>
      </c>
      <c r="R166" s="111">
        <v>0</v>
      </c>
      <c r="S166" s="111">
        <v>0</v>
      </c>
      <c r="T166" s="111">
        <v>0</v>
      </c>
      <c r="U166" s="111">
        <v>0</v>
      </c>
      <c r="V166" s="111">
        <v>0</v>
      </c>
      <c r="W166" s="111">
        <v>0</v>
      </c>
      <c r="X166" s="111">
        <v>0</v>
      </c>
      <c r="Y166" s="111">
        <v>0</v>
      </c>
      <c r="Z166" s="111">
        <v>0</v>
      </c>
      <c r="AA166" s="111">
        <v>0</v>
      </c>
      <c r="AB166" s="111">
        <v>0</v>
      </c>
      <c r="AC166" s="111">
        <v>0</v>
      </c>
      <c r="AD166" s="111">
        <v>0</v>
      </c>
      <c r="AE166" s="111">
        <v>0</v>
      </c>
      <c r="AF166" s="111">
        <v>0</v>
      </c>
      <c r="AG166" s="111">
        <v>0</v>
      </c>
      <c r="AH166" s="111">
        <v>0</v>
      </c>
      <c r="AI166" s="111">
        <v>0</v>
      </c>
      <c r="AJ166" s="111">
        <v>0</v>
      </c>
      <c r="AK166" s="111">
        <v>0</v>
      </c>
      <c r="AL166" s="111">
        <v>0</v>
      </c>
      <c r="AM166" s="111">
        <v>0</v>
      </c>
      <c r="AN166" s="111">
        <v>0</v>
      </c>
      <c r="AO166" s="111">
        <v>0</v>
      </c>
      <c r="AP166" s="111">
        <v>0</v>
      </c>
      <c r="AQ166" s="111">
        <v>0</v>
      </c>
      <c r="AR166" s="111">
        <v>0</v>
      </c>
      <c r="AS166" s="111">
        <v>0</v>
      </c>
      <c r="AT166" s="111">
        <v>0</v>
      </c>
      <c r="AU166" s="111">
        <v>0</v>
      </c>
      <c r="AV166" s="111">
        <v>0</v>
      </c>
      <c r="AW166" s="111">
        <v>0</v>
      </c>
      <c r="AX166" s="111">
        <v>0</v>
      </c>
      <c r="AY166" s="111">
        <v>0</v>
      </c>
    </row>
    <row r="167" spans="1:52" x14ac:dyDescent="0.2">
      <c r="A167" s="114"/>
      <c r="B167" s="135">
        <v>46</v>
      </c>
      <c r="C167" s="111">
        <v>0</v>
      </c>
      <c r="D167" s="111">
        <v>0</v>
      </c>
      <c r="E167" s="111">
        <v>0</v>
      </c>
      <c r="F167" s="111">
        <v>0</v>
      </c>
      <c r="G167" s="111">
        <v>0</v>
      </c>
      <c r="H167" s="111">
        <v>0</v>
      </c>
      <c r="I167" s="111">
        <v>0</v>
      </c>
      <c r="J167" s="111">
        <v>0</v>
      </c>
      <c r="K167" s="111">
        <v>0</v>
      </c>
      <c r="L167" s="111">
        <v>0</v>
      </c>
      <c r="M167" s="111">
        <v>0</v>
      </c>
      <c r="N167" s="111">
        <v>0</v>
      </c>
      <c r="O167" s="111">
        <v>0</v>
      </c>
      <c r="P167" s="111">
        <v>0</v>
      </c>
      <c r="Q167" s="111">
        <v>0</v>
      </c>
      <c r="R167" s="111">
        <v>0</v>
      </c>
      <c r="S167" s="111">
        <v>0</v>
      </c>
      <c r="T167" s="111">
        <v>0</v>
      </c>
      <c r="U167" s="111">
        <v>0</v>
      </c>
      <c r="V167" s="111">
        <v>0</v>
      </c>
      <c r="W167" s="111">
        <v>0</v>
      </c>
      <c r="X167" s="111">
        <v>0</v>
      </c>
      <c r="Y167" s="111">
        <v>0</v>
      </c>
      <c r="Z167" s="111">
        <v>0</v>
      </c>
      <c r="AA167" s="111">
        <v>0</v>
      </c>
      <c r="AB167" s="111">
        <v>0</v>
      </c>
      <c r="AC167" s="111">
        <v>0</v>
      </c>
      <c r="AD167" s="111">
        <v>0</v>
      </c>
      <c r="AE167" s="111">
        <v>0</v>
      </c>
      <c r="AF167" s="111">
        <v>0</v>
      </c>
      <c r="AG167" s="111">
        <v>0</v>
      </c>
      <c r="AH167" s="111">
        <v>0</v>
      </c>
      <c r="AI167" s="111">
        <v>0</v>
      </c>
      <c r="AJ167" s="111">
        <v>0</v>
      </c>
      <c r="AK167" s="111">
        <v>0</v>
      </c>
      <c r="AL167" s="111">
        <v>0</v>
      </c>
      <c r="AM167" s="111">
        <v>0</v>
      </c>
      <c r="AN167" s="111">
        <v>0</v>
      </c>
      <c r="AO167" s="111">
        <v>0</v>
      </c>
      <c r="AP167" s="111">
        <v>0</v>
      </c>
      <c r="AQ167" s="111">
        <v>0</v>
      </c>
      <c r="AR167" s="111">
        <v>0</v>
      </c>
      <c r="AS167" s="111">
        <v>0</v>
      </c>
      <c r="AT167" s="111">
        <v>0</v>
      </c>
      <c r="AU167" s="111">
        <v>0</v>
      </c>
      <c r="AV167" s="111">
        <v>0</v>
      </c>
      <c r="AW167" s="111">
        <v>0</v>
      </c>
      <c r="AX167" s="111">
        <v>0</v>
      </c>
      <c r="AY167" s="111">
        <v>0</v>
      </c>
    </row>
    <row r="168" spans="1:52" x14ac:dyDescent="0.2">
      <c r="A168" s="114"/>
      <c r="B168" s="135">
        <v>47</v>
      </c>
      <c r="C168" s="111">
        <v>0</v>
      </c>
      <c r="D168" s="111">
        <v>0</v>
      </c>
      <c r="E168" s="111">
        <v>0</v>
      </c>
      <c r="F168" s="111">
        <v>0</v>
      </c>
      <c r="G168" s="111">
        <v>0</v>
      </c>
      <c r="H168" s="111">
        <v>0</v>
      </c>
      <c r="I168" s="111">
        <v>0</v>
      </c>
      <c r="J168" s="111">
        <v>0</v>
      </c>
      <c r="K168" s="111">
        <v>0</v>
      </c>
      <c r="L168" s="111">
        <v>0</v>
      </c>
      <c r="M168" s="111">
        <v>0</v>
      </c>
      <c r="N168" s="111">
        <v>0</v>
      </c>
      <c r="O168" s="111">
        <v>0</v>
      </c>
      <c r="P168" s="111">
        <v>0</v>
      </c>
      <c r="Q168" s="111">
        <v>0</v>
      </c>
      <c r="R168" s="111">
        <v>0</v>
      </c>
      <c r="S168" s="111">
        <v>0</v>
      </c>
      <c r="T168" s="111">
        <v>0</v>
      </c>
      <c r="U168" s="111">
        <v>0</v>
      </c>
      <c r="V168" s="111">
        <v>0</v>
      </c>
      <c r="W168" s="111">
        <v>0</v>
      </c>
      <c r="X168" s="111">
        <v>0</v>
      </c>
      <c r="Y168" s="111">
        <v>0</v>
      </c>
      <c r="Z168" s="111">
        <v>0</v>
      </c>
      <c r="AA168" s="111">
        <v>0</v>
      </c>
      <c r="AB168" s="111">
        <v>0</v>
      </c>
      <c r="AC168" s="111">
        <v>0</v>
      </c>
      <c r="AD168" s="111">
        <v>0</v>
      </c>
      <c r="AE168" s="111">
        <v>0</v>
      </c>
      <c r="AF168" s="111">
        <v>0</v>
      </c>
      <c r="AG168" s="111">
        <v>0</v>
      </c>
      <c r="AH168" s="111">
        <v>0</v>
      </c>
      <c r="AI168" s="111">
        <v>0</v>
      </c>
      <c r="AJ168" s="111">
        <v>0</v>
      </c>
      <c r="AK168" s="111">
        <v>0</v>
      </c>
      <c r="AL168" s="111">
        <v>0</v>
      </c>
      <c r="AM168" s="111">
        <v>0</v>
      </c>
      <c r="AN168" s="111">
        <v>0</v>
      </c>
      <c r="AO168" s="111">
        <v>0</v>
      </c>
      <c r="AP168" s="111">
        <v>0</v>
      </c>
      <c r="AQ168" s="111">
        <v>0</v>
      </c>
      <c r="AR168" s="111">
        <v>0</v>
      </c>
      <c r="AS168" s="111">
        <v>0</v>
      </c>
      <c r="AT168" s="111">
        <v>0</v>
      </c>
      <c r="AU168" s="111">
        <v>0</v>
      </c>
      <c r="AV168" s="111">
        <v>0</v>
      </c>
      <c r="AW168" s="111">
        <v>0</v>
      </c>
      <c r="AX168" s="111">
        <v>0</v>
      </c>
      <c r="AY168" s="111">
        <v>0</v>
      </c>
    </row>
    <row r="169" spans="1:52" x14ac:dyDescent="0.2">
      <c r="A169" s="114"/>
      <c r="B169" s="135">
        <v>48</v>
      </c>
      <c r="C169" s="111">
        <v>0</v>
      </c>
      <c r="D169" s="111">
        <v>0</v>
      </c>
      <c r="E169" s="111">
        <v>0</v>
      </c>
      <c r="F169" s="111">
        <v>0</v>
      </c>
      <c r="G169" s="111">
        <v>0</v>
      </c>
      <c r="H169" s="111">
        <v>0</v>
      </c>
      <c r="I169" s="111">
        <v>0</v>
      </c>
      <c r="J169" s="111">
        <v>0</v>
      </c>
      <c r="K169" s="111">
        <v>0</v>
      </c>
      <c r="L169" s="111">
        <v>0</v>
      </c>
      <c r="M169" s="111">
        <v>0</v>
      </c>
      <c r="N169" s="111">
        <v>0</v>
      </c>
      <c r="O169" s="111">
        <v>0</v>
      </c>
      <c r="P169" s="111">
        <v>0</v>
      </c>
      <c r="Q169" s="111">
        <v>0</v>
      </c>
      <c r="R169" s="111">
        <v>0</v>
      </c>
      <c r="S169" s="111">
        <v>0</v>
      </c>
      <c r="T169" s="111">
        <v>0</v>
      </c>
      <c r="U169" s="111">
        <v>0</v>
      </c>
      <c r="V169" s="111">
        <v>0</v>
      </c>
      <c r="W169" s="111">
        <v>0</v>
      </c>
      <c r="X169" s="111">
        <v>0</v>
      </c>
      <c r="Y169" s="111">
        <v>0</v>
      </c>
      <c r="Z169" s="111">
        <v>0</v>
      </c>
      <c r="AA169" s="111">
        <v>0</v>
      </c>
      <c r="AB169" s="111">
        <v>0</v>
      </c>
      <c r="AC169" s="111">
        <v>0</v>
      </c>
      <c r="AD169" s="111">
        <v>0</v>
      </c>
      <c r="AE169" s="111">
        <v>0</v>
      </c>
      <c r="AF169" s="111">
        <v>0</v>
      </c>
      <c r="AG169" s="111">
        <v>0</v>
      </c>
      <c r="AH169" s="111">
        <v>0</v>
      </c>
      <c r="AI169" s="111">
        <v>0</v>
      </c>
      <c r="AJ169" s="111">
        <v>0</v>
      </c>
      <c r="AK169" s="111">
        <v>0</v>
      </c>
      <c r="AL169" s="111">
        <v>0</v>
      </c>
      <c r="AM169" s="111">
        <v>0</v>
      </c>
      <c r="AN169" s="111">
        <v>0</v>
      </c>
      <c r="AO169" s="111">
        <v>0</v>
      </c>
      <c r="AP169" s="111">
        <v>0</v>
      </c>
      <c r="AQ169" s="111">
        <v>0</v>
      </c>
      <c r="AR169" s="111">
        <v>0</v>
      </c>
      <c r="AS169" s="111">
        <v>0</v>
      </c>
      <c r="AT169" s="111">
        <v>0</v>
      </c>
      <c r="AU169" s="111">
        <v>0</v>
      </c>
      <c r="AV169" s="111">
        <v>0</v>
      </c>
      <c r="AW169" s="111">
        <v>0</v>
      </c>
      <c r="AX169" s="111">
        <v>0</v>
      </c>
      <c r="AY169" s="111">
        <v>0</v>
      </c>
    </row>
    <row r="170" spans="1:52" x14ac:dyDescent="0.2">
      <c r="A170" s="133"/>
      <c r="B170" s="137" t="s">
        <v>296</v>
      </c>
      <c r="C170" s="119">
        <v>0</v>
      </c>
      <c r="D170" s="130">
        <v>0</v>
      </c>
      <c r="E170" s="130">
        <v>0</v>
      </c>
      <c r="F170" s="130">
        <v>0</v>
      </c>
      <c r="G170" s="130">
        <v>0</v>
      </c>
      <c r="H170" s="130">
        <v>0</v>
      </c>
      <c r="I170" s="130">
        <v>0</v>
      </c>
      <c r="J170" s="130">
        <v>0</v>
      </c>
      <c r="K170" s="130">
        <v>0</v>
      </c>
      <c r="L170" s="130">
        <v>0</v>
      </c>
      <c r="M170" s="130">
        <v>0</v>
      </c>
      <c r="N170" s="130">
        <v>0</v>
      </c>
      <c r="O170" s="130">
        <v>0</v>
      </c>
      <c r="P170" s="130">
        <v>0</v>
      </c>
      <c r="Q170" s="130">
        <v>0</v>
      </c>
      <c r="R170" s="130">
        <v>0</v>
      </c>
      <c r="S170" s="130">
        <v>0</v>
      </c>
      <c r="T170" s="130">
        <v>0</v>
      </c>
      <c r="U170" s="130">
        <v>0</v>
      </c>
      <c r="V170" s="130">
        <v>0</v>
      </c>
      <c r="W170" s="130">
        <v>0</v>
      </c>
      <c r="X170" s="130">
        <v>0</v>
      </c>
      <c r="Y170" s="130">
        <v>0</v>
      </c>
      <c r="Z170" s="130">
        <v>0</v>
      </c>
      <c r="AA170" s="130">
        <v>0</v>
      </c>
      <c r="AB170" s="130">
        <v>0</v>
      </c>
      <c r="AC170" s="130">
        <v>0</v>
      </c>
      <c r="AD170" s="130">
        <v>0</v>
      </c>
      <c r="AE170" s="130">
        <v>0</v>
      </c>
      <c r="AF170" s="130">
        <v>0</v>
      </c>
      <c r="AG170" s="130">
        <v>0</v>
      </c>
      <c r="AH170" s="130">
        <v>0</v>
      </c>
      <c r="AI170" s="130">
        <v>0</v>
      </c>
      <c r="AJ170" s="130">
        <v>0</v>
      </c>
      <c r="AK170" s="130">
        <v>0</v>
      </c>
      <c r="AL170" s="130">
        <v>0</v>
      </c>
      <c r="AM170" s="130">
        <v>0</v>
      </c>
      <c r="AN170" s="130">
        <v>0</v>
      </c>
      <c r="AO170" s="130">
        <v>0</v>
      </c>
      <c r="AP170" s="130">
        <v>0</v>
      </c>
      <c r="AQ170" s="130">
        <v>0</v>
      </c>
      <c r="AR170" s="130">
        <v>0</v>
      </c>
      <c r="AS170" s="130">
        <v>0</v>
      </c>
      <c r="AT170" s="130">
        <v>0</v>
      </c>
      <c r="AU170" s="130">
        <v>0</v>
      </c>
      <c r="AV170" s="130">
        <v>0</v>
      </c>
      <c r="AW170" s="130">
        <v>0</v>
      </c>
      <c r="AX170" s="130">
        <v>0</v>
      </c>
      <c r="AY170" s="130">
        <v>0</v>
      </c>
      <c r="AZ170" s="112">
        <f>SUM($D170:$AY170)</f>
        <v>0</v>
      </c>
    </row>
    <row r="172" spans="1:52" x14ac:dyDescent="0.2">
      <c r="A172" s="107" t="s">
        <v>124</v>
      </c>
      <c r="B172" s="138" t="s">
        <v>297</v>
      </c>
      <c r="C172" s="139">
        <v>0.23</v>
      </c>
      <c r="D172" s="139">
        <v>0</v>
      </c>
      <c r="E172" s="139">
        <v>0</v>
      </c>
      <c r="F172" s="139">
        <v>0</v>
      </c>
      <c r="G172" s="139">
        <v>0</v>
      </c>
      <c r="H172" s="139">
        <v>0.22368370000000001</v>
      </c>
      <c r="I172" s="139">
        <v>0.22368370000000001</v>
      </c>
      <c r="J172" s="139">
        <v>0.22368370000000001</v>
      </c>
      <c r="K172" s="139">
        <v>0.22368370000000001</v>
      </c>
      <c r="L172" s="139">
        <v>0.22368370000000001</v>
      </c>
      <c r="M172" s="139">
        <v>0.22368370000000001</v>
      </c>
      <c r="N172" s="139">
        <v>0.22368370000000001</v>
      </c>
      <c r="O172" s="139">
        <v>0.22368370000000001</v>
      </c>
      <c r="P172" s="139">
        <v>0.22368370000000001</v>
      </c>
      <c r="Q172" s="139">
        <v>0.22368370000000001</v>
      </c>
      <c r="R172" s="139">
        <v>0.22368370000000001</v>
      </c>
      <c r="S172" s="139">
        <v>0.22368370000000001</v>
      </c>
      <c r="T172" s="139">
        <v>0.22368370000000001</v>
      </c>
      <c r="U172" s="139">
        <v>0.22368370000000001</v>
      </c>
      <c r="V172" s="139">
        <v>0.22368370000000001</v>
      </c>
      <c r="W172" s="139">
        <v>0.22368370000000001</v>
      </c>
      <c r="X172" s="139">
        <v>0.22368370000000001</v>
      </c>
      <c r="Y172" s="139">
        <v>0.22368370000000001</v>
      </c>
      <c r="Z172" s="139">
        <v>0.22368370000000001</v>
      </c>
      <c r="AA172" s="139">
        <v>0.22368370000000001</v>
      </c>
      <c r="AB172" s="139">
        <v>0.22368370000000001</v>
      </c>
      <c r="AC172" s="139">
        <v>0.22368370000000001</v>
      </c>
      <c r="AD172" s="139">
        <v>0.22368370000000001</v>
      </c>
      <c r="AE172" s="139">
        <v>0.22368370000000001</v>
      </c>
      <c r="AF172" s="139">
        <v>0.22368370000000001</v>
      </c>
      <c r="AG172" s="139">
        <v>0.22368370000000001</v>
      </c>
      <c r="AH172" s="139">
        <v>0.22368370000000001</v>
      </c>
      <c r="AI172" s="139">
        <v>0.22368370000000001</v>
      </c>
      <c r="AJ172" s="139">
        <v>0.22368370000000001</v>
      </c>
      <c r="AK172" s="139">
        <v>0.22368370000000001</v>
      </c>
      <c r="AL172" s="139">
        <v>0.22368370000000001</v>
      </c>
      <c r="AM172" s="139">
        <v>0.22368370000000001</v>
      </c>
      <c r="AN172" s="139">
        <v>0.22368370000000001</v>
      </c>
      <c r="AO172" s="139">
        <v>0.22368370000000001</v>
      </c>
      <c r="AP172" s="139">
        <v>0.22368370000000001</v>
      </c>
      <c r="AQ172" s="139">
        <v>0.22368370000000001</v>
      </c>
      <c r="AR172" s="139">
        <v>0.22368370000000001</v>
      </c>
      <c r="AS172" s="139">
        <v>0.22368370000000001</v>
      </c>
      <c r="AT172" s="139">
        <v>0.22368370000000001</v>
      </c>
      <c r="AU172" s="139">
        <v>0.22368370000000001</v>
      </c>
      <c r="AV172" s="139">
        <v>0.22368370000000001</v>
      </c>
      <c r="AW172" s="139">
        <v>0.22368370000000001</v>
      </c>
      <c r="AX172" s="139">
        <v>0.22368370000000001</v>
      </c>
      <c r="AY172" s="139">
        <v>0.22368370000000001</v>
      </c>
    </row>
    <row r="174" spans="1:52" x14ac:dyDescent="0.2">
      <c r="A174" s="107" t="s">
        <v>272</v>
      </c>
    </row>
    <row r="175" spans="1:52" x14ac:dyDescent="0.2">
      <c r="A175" s="140" t="s">
        <v>125</v>
      </c>
      <c r="B175" s="140" t="s">
        <v>298</v>
      </c>
      <c r="C175" s="129" t="s">
        <v>293</v>
      </c>
      <c r="D175" s="129">
        <f t="shared" ref="D175:AY175" si="1">SUM(D95:D98)</f>
        <v>0</v>
      </c>
      <c r="E175" s="129">
        <f t="shared" si="1"/>
        <v>0</v>
      </c>
      <c r="F175" s="129">
        <f t="shared" si="1"/>
        <v>0</v>
      </c>
      <c r="G175" s="129">
        <f t="shared" si="1"/>
        <v>0</v>
      </c>
      <c r="H175" s="129">
        <f t="shared" si="1"/>
        <v>221.27895515439999</v>
      </c>
      <c r="I175" s="129">
        <f t="shared" si="1"/>
        <v>221.27895515439999</v>
      </c>
      <c r="J175" s="129">
        <f t="shared" si="1"/>
        <v>221.27895515439999</v>
      </c>
      <c r="K175" s="129">
        <f t="shared" si="1"/>
        <v>221.27895515439999</v>
      </c>
      <c r="L175" s="129">
        <f t="shared" si="1"/>
        <v>221.27895515439999</v>
      </c>
      <c r="M175" s="129">
        <f t="shared" si="1"/>
        <v>221.27895515439999</v>
      </c>
      <c r="N175" s="129">
        <f t="shared" si="1"/>
        <v>221.27895515439999</v>
      </c>
      <c r="O175" s="129">
        <f t="shared" si="1"/>
        <v>221.27895515439999</v>
      </c>
      <c r="P175" s="129">
        <f t="shared" si="1"/>
        <v>221.27895515439999</v>
      </c>
      <c r="Q175" s="129">
        <f t="shared" si="1"/>
        <v>221.27895515439999</v>
      </c>
      <c r="R175" s="129">
        <f t="shared" si="1"/>
        <v>221.27895515439999</v>
      </c>
      <c r="S175" s="129">
        <f t="shared" si="1"/>
        <v>221.27895515439999</v>
      </c>
      <c r="T175" s="129">
        <f t="shared" si="1"/>
        <v>221.27895515439999</v>
      </c>
      <c r="U175" s="129">
        <f t="shared" si="1"/>
        <v>221.27895515439999</v>
      </c>
      <c r="V175" s="129">
        <f t="shared" si="1"/>
        <v>221.27895515439999</v>
      </c>
      <c r="W175" s="129">
        <f t="shared" si="1"/>
        <v>221.27895515439999</v>
      </c>
      <c r="X175" s="129">
        <f t="shared" si="1"/>
        <v>221.27895515439999</v>
      </c>
      <c r="Y175" s="129">
        <f t="shared" si="1"/>
        <v>221.27895515439999</v>
      </c>
      <c r="Z175" s="129">
        <f t="shared" si="1"/>
        <v>221.27895515439999</v>
      </c>
      <c r="AA175" s="129">
        <f t="shared" si="1"/>
        <v>221.27895515439999</v>
      </c>
      <c r="AB175" s="129">
        <f t="shared" si="1"/>
        <v>221.27895515439999</v>
      </c>
      <c r="AC175" s="129">
        <f t="shared" si="1"/>
        <v>221.27895515439999</v>
      </c>
      <c r="AD175" s="129">
        <f t="shared" si="1"/>
        <v>221.27895515439999</v>
      </c>
      <c r="AE175" s="129">
        <f t="shared" si="1"/>
        <v>221.27895515439999</v>
      </c>
      <c r="AF175" s="129">
        <f t="shared" si="1"/>
        <v>221.27895515439999</v>
      </c>
      <c r="AG175" s="129">
        <f t="shared" si="1"/>
        <v>221.27895515439999</v>
      </c>
      <c r="AH175" s="129">
        <f t="shared" si="1"/>
        <v>221.27895515439999</v>
      </c>
      <c r="AI175" s="129">
        <f t="shared" si="1"/>
        <v>221.27895515439999</v>
      </c>
      <c r="AJ175" s="129">
        <f t="shared" si="1"/>
        <v>221.27895515439999</v>
      </c>
      <c r="AK175" s="129">
        <f t="shared" si="1"/>
        <v>221.27895515439999</v>
      </c>
      <c r="AL175" s="129">
        <f t="shared" si="1"/>
        <v>221.27895515439999</v>
      </c>
      <c r="AM175" s="129">
        <f t="shared" si="1"/>
        <v>221.27895515439999</v>
      </c>
      <c r="AN175" s="129">
        <f t="shared" si="1"/>
        <v>221.27895515439999</v>
      </c>
      <c r="AO175" s="129">
        <f t="shared" si="1"/>
        <v>221.27895515439999</v>
      </c>
      <c r="AP175" s="129">
        <f t="shared" si="1"/>
        <v>221.27895515439999</v>
      </c>
      <c r="AQ175" s="129">
        <f t="shared" si="1"/>
        <v>221.27895515439999</v>
      </c>
      <c r="AR175" s="129">
        <f t="shared" si="1"/>
        <v>221.27895515439999</v>
      </c>
      <c r="AS175" s="129">
        <f t="shared" si="1"/>
        <v>221.27895515439999</v>
      </c>
      <c r="AT175" s="129">
        <f t="shared" si="1"/>
        <v>221.27895515439999</v>
      </c>
      <c r="AU175" s="129">
        <f t="shared" si="1"/>
        <v>221.27895515439999</v>
      </c>
      <c r="AV175" s="129">
        <f t="shared" si="1"/>
        <v>221.27895515439999</v>
      </c>
      <c r="AW175" s="129">
        <f t="shared" si="1"/>
        <v>221.27895515439999</v>
      </c>
      <c r="AX175" s="129">
        <f t="shared" si="1"/>
        <v>221.27895515439999</v>
      </c>
      <c r="AY175" s="129">
        <f t="shared" si="1"/>
        <v>221.27895515439999</v>
      </c>
    </row>
    <row r="176" spans="1:52" x14ac:dyDescent="0.2">
      <c r="A176" s="130"/>
      <c r="B176" s="141" t="s">
        <v>299</v>
      </c>
      <c r="C176" s="130" t="s">
        <v>293</v>
      </c>
      <c r="D176" s="130">
        <v>0</v>
      </c>
      <c r="E176" s="130">
        <v>0</v>
      </c>
      <c r="F176" s="130">
        <v>0</v>
      </c>
      <c r="G176" s="130">
        <v>0</v>
      </c>
      <c r="H176" s="130">
        <v>221.27895515439999</v>
      </c>
      <c r="I176" s="130">
        <v>221.27895515439999</v>
      </c>
      <c r="J176" s="130">
        <v>221.27895515439999</v>
      </c>
      <c r="K176" s="130">
        <v>221.27895515439999</v>
      </c>
      <c r="L176" s="130">
        <v>221.27895515439999</v>
      </c>
      <c r="M176" s="130">
        <v>221.27895515439999</v>
      </c>
      <c r="N176" s="130">
        <v>221.27895515439999</v>
      </c>
      <c r="O176" s="130">
        <v>221.27895515439999</v>
      </c>
      <c r="P176" s="130">
        <v>221.27895515439999</v>
      </c>
      <c r="Q176" s="130">
        <v>221.27895515439999</v>
      </c>
      <c r="R176" s="130">
        <v>221.27895515439999</v>
      </c>
      <c r="S176" s="130">
        <v>221.27895515439999</v>
      </c>
      <c r="T176" s="130">
        <v>221.27895515439999</v>
      </c>
      <c r="U176" s="130">
        <v>221.27895515439999</v>
      </c>
      <c r="V176" s="130">
        <v>221.27895515439999</v>
      </c>
      <c r="W176" s="130">
        <v>221.27895515439999</v>
      </c>
      <c r="X176" s="130">
        <v>221.27895515439999</v>
      </c>
      <c r="Y176" s="130">
        <v>221.27895515439999</v>
      </c>
      <c r="Z176" s="130">
        <v>221.27895515439999</v>
      </c>
      <c r="AA176" s="130">
        <v>221.27895515439999</v>
      </c>
      <c r="AB176" s="130">
        <v>221.27895515439999</v>
      </c>
      <c r="AC176" s="130">
        <v>221.27895515439999</v>
      </c>
      <c r="AD176" s="130">
        <v>221.27895515439999</v>
      </c>
      <c r="AE176" s="130">
        <v>221.27895515439999</v>
      </c>
      <c r="AF176" s="130">
        <v>221.27895515439999</v>
      </c>
      <c r="AG176" s="130">
        <v>221.27895515439999</v>
      </c>
      <c r="AH176" s="130">
        <v>221.27895515439999</v>
      </c>
      <c r="AI176" s="130">
        <v>221.27895515439999</v>
      </c>
      <c r="AJ176" s="130">
        <v>221.27895515439999</v>
      </c>
      <c r="AK176" s="130">
        <v>221.27895515439999</v>
      </c>
      <c r="AL176" s="130">
        <v>221.27895515439999</v>
      </c>
      <c r="AM176" s="130">
        <v>221.27895515439999</v>
      </c>
      <c r="AN176" s="130">
        <v>221.27895515439999</v>
      </c>
      <c r="AO176" s="130">
        <v>221.27895515439999</v>
      </c>
      <c r="AP176" s="130">
        <v>221.27895515439999</v>
      </c>
      <c r="AQ176" s="130">
        <v>221.27895515439999</v>
      </c>
      <c r="AR176" s="130">
        <v>221.27895515439999</v>
      </c>
      <c r="AS176" s="130">
        <v>221.27895515439999</v>
      </c>
      <c r="AT176" s="130">
        <v>221.27895515439999</v>
      </c>
      <c r="AU176" s="130">
        <v>221.27895515439999</v>
      </c>
      <c r="AV176" s="130">
        <v>221.27895515439999</v>
      </c>
      <c r="AW176" s="130">
        <v>221.27895515439999</v>
      </c>
      <c r="AX176" s="130">
        <v>221.27895515439999</v>
      </c>
      <c r="AY176" s="130">
        <v>221.27895515439999</v>
      </c>
    </row>
    <row r="177" spans="1:51" x14ac:dyDescent="0.2">
      <c r="A177" s="140" t="s">
        <v>133</v>
      </c>
      <c r="B177" s="140" t="s">
        <v>298</v>
      </c>
      <c r="C177" s="129" t="s">
        <v>293</v>
      </c>
      <c r="D177" s="129">
        <f t="shared" ref="D177:AY177" si="2">SUM(D100:D107)</f>
        <v>103.34177215189874</v>
      </c>
      <c r="E177" s="129">
        <f t="shared" si="2"/>
        <v>28.341772151898738</v>
      </c>
      <c r="F177" s="129">
        <f t="shared" si="2"/>
        <v>93.384405668354432</v>
      </c>
      <c r="G177" s="129">
        <f t="shared" si="2"/>
        <v>19.384405668354432</v>
      </c>
      <c r="H177" s="129">
        <f t="shared" si="2"/>
        <v>0</v>
      </c>
      <c r="I177" s="129">
        <f t="shared" si="2"/>
        <v>0</v>
      </c>
      <c r="J177" s="129">
        <f t="shared" si="2"/>
        <v>82.316090235082243</v>
      </c>
      <c r="K177" s="129">
        <f t="shared" si="2"/>
        <v>82.316090235082243</v>
      </c>
      <c r="L177" s="129">
        <f t="shared" si="2"/>
        <v>0</v>
      </c>
      <c r="M177" s="129">
        <f t="shared" si="2"/>
        <v>128.3869</v>
      </c>
      <c r="N177" s="129">
        <f t="shared" si="2"/>
        <v>82.316090235082243</v>
      </c>
      <c r="O177" s="129">
        <f t="shared" si="2"/>
        <v>82.316090235082243</v>
      </c>
      <c r="P177" s="129">
        <f t="shared" si="2"/>
        <v>82.316090235082243</v>
      </c>
      <c r="Q177" s="129">
        <f t="shared" si="2"/>
        <v>82.316090235082243</v>
      </c>
      <c r="R177" s="129">
        <f t="shared" si="2"/>
        <v>0</v>
      </c>
      <c r="S177" s="129">
        <f t="shared" si="2"/>
        <v>128.3869</v>
      </c>
      <c r="T177" s="129">
        <f t="shared" si="2"/>
        <v>82.316090235082243</v>
      </c>
      <c r="U177" s="129">
        <f t="shared" si="2"/>
        <v>82.316090235082243</v>
      </c>
      <c r="V177" s="129">
        <f t="shared" si="2"/>
        <v>82.316090235082243</v>
      </c>
      <c r="W177" s="129">
        <f t="shared" si="2"/>
        <v>82.316090235082243</v>
      </c>
      <c r="X177" s="129">
        <f t="shared" si="2"/>
        <v>82.316090235082243</v>
      </c>
      <c r="Y177" s="129">
        <f t="shared" si="2"/>
        <v>82.316090235082243</v>
      </c>
      <c r="Z177" s="129">
        <f t="shared" si="2"/>
        <v>82.316090235082243</v>
      </c>
      <c r="AA177" s="129">
        <f t="shared" si="2"/>
        <v>82.316090235082243</v>
      </c>
      <c r="AB177" s="129">
        <f t="shared" si="2"/>
        <v>82.316090235082243</v>
      </c>
      <c r="AC177" s="129">
        <f t="shared" si="2"/>
        <v>82.316090235082243</v>
      </c>
      <c r="AD177" s="129">
        <f t="shared" si="2"/>
        <v>82.316090235082243</v>
      </c>
      <c r="AE177" s="129">
        <f t="shared" si="2"/>
        <v>82.316090235082243</v>
      </c>
      <c r="AF177" s="129">
        <f t="shared" si="2"/>
        <v>82.316090235082243</v>
      </c>
      <c r="AG177" s="129">
        <f t="shared" si="2"/>
        <v>82.316090235082243</v>
      </c>
      <c r="AH177" s="129">
        <f t="shared" si="2"/>
        <v>82.316090235082243</v>
      </c>
      <c r="AI177" s="129">
        <f t="shared" si="2"/>
        <v>82.316090235082243</v>
      </c>
      <c r="AJ177" s="129">
        <f t="shared" si="2"/>
        <v>82.316090235082243</v>
      </c>
      <c r="AK177" s="129">
        <f t="shared" si="2"/>
        <v>82.316090235082243</v>
      </c>
      <c r="AL177" s="129">
        <f t="shared" si="2"/>
        <v>82.316090235082243</v>
      </c>
      <c r="AM177" s="129">
        <f t="shared" si="2"/>
        <v>0</v>
      </c>
      <c r="AN177" s="129">
        <f t="shared" si="2"/>
        <v>128.3869</v>
      </c>
      <c r="AO177" s="129">
        <f t="shared" si="2"/>
        <v>82.316090235082243</v>
      </c>
      <c r="AP177" s="129">
        <f t="shared" si="2"/>
        <v>82.316090235082243</v>
      </c>
      <c r="AQ177" s="129">
        <f t="shared" si="2"/>
        <v>82.316090235082243</v>
      </c>
      <c r="AR177" s="129">
        <f t="shared" si="2"/>
        <v>82.316090235082243</v>
      </c>
      <c r="AS177" s="129">
        <f t="shared" si="2"/>
        <v>82.316090235082243</v>
      </c>
      <c r="AT177" s="129">
        <f t="shared" si="2"/>
        <v>82.316090235082243</v>
      </c>
      <c r="AU177" s="129">
        <f t="shared" si="2"/>
        <v>82.316090235082243</v>
      </c>
      <c r="AV177" s="129">
        <f t="shared" si="2"/>
        <v>82.316090235082243</v>
      </c>
      <c r="AW177" s="129">
        <f t="shared" si="2"/>
        <v>82.316090235082243</v>
      </c>
      <c r="AX177" s="129">
        <f t="shared" si="2"/>
        <v>82.316090235082243</v>
      </c>
      <c r="AY177" s="129">
        <f t="shared" si="2"/>
        <v>82.316090235082243</v>
      </c>
    </row>
    <row r="178" spans="1:51" x14ac:dyDescent="0.2">
      <c r="A178" s="130"/>
      <c r="B178" s="141" t="s">
        <v>299</v>
      </c>
      <c r="C178" s="130" t="s">
        <v>293</v>
      </c>
      <c r="D178" s="130">
        <v>75</v>
      </c>
      <c r="E178" s="130">
        <v>28.341772151898738</v>
      </c>
      <c r="F178" s="130">
        <v>74</v>
      </c>
      <c r="G178" s="130">
        <v>19.384405668354432</v>
      </c>
      <c r="H178" s="130">
        <v>0</v>
      </c>
      <c r="I178" s="130">
        <v>0</v>
      </c>
      <c r="J178" s="130">
        <v>82.316090235082243</v>
      </c>
      <c r="K178" s="130">
        <v>82.316090235082243</v>
      </c>
      <c r="L178" s="130">
        <v>0</v>
      </c>
      <c r="M178" s="130">
        <v>128.3869</v>
      </c>
      <c r="N178" s="130">
        <v>82.316090235082243</v>
      </c>
      <c r="O178" s="130">
        <v>82.316090235082243</v>
      </c>
      <c r="P178" s="130">
        <v>82.316090235082243</v>
      </c>
      <c r="Q178" s="130">
        <v>82.316090235082243</v>
      </c>
      <c r="R178" s="130">
        <v>0</v>
      </c>
      <c r="S178" s="130">
        <v>128.3869</v>
      </c>
      <c r="T178" s="130">
        <v>82.316090235082243</v>
      </c>
      <c r="U178" s="130">
        <v>82.316090235082243</v>
      </c>
      <c r="V178" s="130">
        <v>82.316090235082243</v>
      </c>
      <c r="W178" s="130">
        <v>82.316090235082243</v>
      </c>
      <c r="X178" s="130">
        <v>82.316090235082243</v>
      </c>
      <c r="Y178" s="130">
        <v>82.316090235082243</v>
      </c>
      <c r="Z178" s="130">
        <v>82.316090235082243</v>
      </c>
      <c r="AA178" s="130">
        <v>82.316090235082243</v>
      </c>
      <c r="AB178" s="130">
        <v>82.316090235082243</v>
      </c>
      <c r="AC178" s="130">
        <v>82.316090235082243</v>
      </c>
      <c r="AD178" s="130">
        <v>82.316090235082243</v>
      </c>
      <c r="AE178" s="130">
        <v>82.316090235082243</v>
      </c>
      <c r="AF178" s="130">
        <v>82.316090235082243</v>
      </c>
      <c r="AG178" s="130">
        <v>82.316090235082243</v>
      </c>
      <c r="AH178" s="130">
        <v>82.316090235082243</v>
      </c>
      <c r="AI178" s="130">
        <v>82.316090235082243</v>
      </c>
      <c r="AJ178" s="130">
        <v>82.316090235082243</v>
      </c>
      <c r="AK178" s="130">
        <v>82.316090235082243</v>
      </c>
      <c r="AL178" s="130">
        <v>82.316090235082243</v>
      </c>
      <c r="AM178" s="130">
        <v>0</v>
      </c>
      <c r="AN178" s="130">
        <v>128.3869</v>
      </c>
      <c r="AO178" s="130">
        <v>82.316090235082243</v>
      </c>
      <c r="AP178" s="130">
        <v>82.316090235082243</v>
      </c>
      <c r="AQ178" s="130">
        <v>82.316090235082243</v>
      </c>
      <c r="AR178" s="130">
        <v>82.316090235082243</v>
      </c>
      <c r="AS178" s="130">
        <v>82.316090235082243</v>
      </c>
      <c r="AT178" s="130">
        <v>82.316090235082243</v>
      </c>
      <c r="AU178" s="130">
        <v>82.316090235082243</v>
      </c>
      <c r="AV178" s="130">
        <v>82.316090235082243</v>
      </c>
      <c r="AW178" s="130">
        <v>82.316090235082243</v>
      </c>
      <c r="AX178" s="130">
        <v>82.316090235082243</v>
      </c>
      <c r="AY178" s="130">
        <v>82.316090235082243</v>
      </c>
    </row>
    <row r="179" spans="1:51" x14ac:dyDescent="0.2">
      <c r="A179" s="140" t="s">
        <v>134</v>
      </c>
      <c r="B179" s="140" t="s">
        <v>298</v>
      </c>
      <c r="C179" s="129" t="s">
        <v>293</v>
      </c>
      <c r="D179" s="129">
        <f t="shared" ref="D179:AY179" si="3">SUM(D109:D120)</f>
        <v>354.89120869417417</v>
      </c>
      <c r="E179" s="129">
        <f t="shared" si="3"/>
        <v>272.89120869417417</v>
      </c>
      <c r="F179" s="129">
        <f t="shared" si="3"/>
        <v>181.89120869417417</v>
      </c>
      <c r="G179" s="129">
        <f t="shared" si="3"/>
        <v>80.891208694174153</v>
      </c>
      <c r="H179" s="129">
        <f t="shared" si="3"/>
        <v>15.891208694174153</v>
      </c>
      <c r="I179" s="129">
        <f t="shared" si="3"/>
        <v>50.614148379907462</v>
      </c>
      <c r="J179" s="129">
        <f t="shared" si="3"/>
        <v>50.614148379907462</v>
      </c>
      <c r="K179" s="129">
        <f t="shared" si="3"/>
        <v>68.055443024979127</v>
      </c>
      <c r="L179" s="129">
        <f t="shared" si="3"/>
        <v>68.055443024979127</v>
      </c>
      <c r="M179" s="129">
        <f t="shared" si="3"/>
        <v>50.614148379907462</v>
      </c>
      <c r="N179" s="129">
        <f t="shared" si="3"/>
        <v>77.817016556377467</v>
      </c>
      <c r="O179" s="129">
        <f t="shared" si="3"/>
        <v>68.055443024979127</v>
      </c>
      <c r="P179" s="129">
        <f t="shared" si="3"/>
        <v>68.055443024979127</v>
      </c>
      <c r="Q179" s="129">
        <f t="shared" si="3"/>
        <v>68.055443024979127</v>
      </c>
      <c r="R179" s="129">
        <f t="shared" si="3"/>
        <v>68.055443024979127</v>
      </c>
      <c r="S179" s="129">
        <f t="shared" si="3"/>
        <v>50.614148379907462</v>
      </c>
      <c r="T179" s="129">
        <f t="shared" si="3"/>
        <v>77.817016556377467</v>
      </c>
      <c r="U179" s="129">
        <f t="shared" si="3"/>
        <v>68.055443024979127</v>
      </c>
      <c r="V179" s="129">
        <f t="shared" si="3"/>
        <v>68.055443024979127</v>
      </c>
      <c r="W179" s="129">
        <f t="shared" si="3"/>
        <v>68.055443024979127</v>
      </c>
      <c r="X179" s="129">
        <f t="shared" si="3"/>
        <v>68.055443024979127</v>
      </c>
      <c r="Y179" s="129">
        <f t="shared" si="3"/>
        <v>68.055443024979127</v>
      </c>
      <c r="Z179" s="129">
        <f t="shared" si="3"/>
        <v>68.055443024979127</v>
      </c>
      <c r="AA179" s="129">
        <f t="shared" si="3"/>
        <v>68.055443024979127</v>
      </c>
      <c r="AB179" s="129">
        <f t="shared" si="3"/>
        <v>68.055443024979127</v>
      </c>
      <c r="AC179" s="129">
        <f t="shared" si="3"/>
        <v>68.055443024979127</v>
      </c>
      <c r="AD179" s="129">
        <f t="shared" si="3"/>
        <v>68.055443024979127</v>
      </c>
      <c r="AE179" s="129">
        <f t="shared" si="3"/>
        <v>68.055443024979127</v>
      </c>
      <c r="AF179" s="129">
        <f t="shared" si="3"/>
        <v>68.055443024979127</v>
      </c>
      <c r="AG179" s="129">
        <f t="shared" si="3"/>
        <v>68.055443024979127</v>
      </c>
      <c r="AH179" s="129">
        <f t="shared" si="3"/>
        <v>68.055443024979127</v>
      </c>
      <c r="AI179" s="129">
        <f t="shared" si="3"/>
        <v>68.055443024979127</v>
      </c>
      <c r="AJ179" s="129">
        <f t="shared" si="3"/>
        <v>68.055443024979127</v>
      </c>
      <c r="AK179" s="129">
        <f t="shared" si="3"/>
        <v>68.055443024979127</v>
      </c>
      <c r="AL179" s="129">
        <f t="shared" si="3"/>
        <v>68.055443024979127</v>
      </c>
      <c r="AM179" s="129">
        <f t="shared" si="3"/>
        <v>68.055443024979127</v>
      </c>
      <c r="AN179" s="129">
        <f t="shared" si="3"/>
        <v>50.614148379907462</v>
      </c>
      <c r="AO179" s="129">
        <f t="shared" si="3"/>
        <v>77.817016556377467</v>
      </c>
      <c r="AP179" s="129">
        <f t="shared" si="3"/>
        <v>68.055443024979127</v>
      </c>
      <c r="AQ179" s="129">
        <f t="shared" si="3"/>
        <v>68.055443024979127</v>
      </c>
      <c r="AR179" s="129">
        <f t="shared" si="3"/>
        <v>68.055443024979127</v>
      </c>
      <c r="AS179" s="129">
        <f t="shared" si="3"/>
        <v>68.055443024979127</v>
      </c>
      <c r="AT179" s="129">
        <f t="shared" si="3"/>
        <v>68.055443024979127</v>
      </c>
      <c r="AU179" s="129">
        <f t="shared" si="3"/>
        <v>68.055443024979127</v>
      </c>
      <c r="AV179" s="129">
        <f t="shared" si="3"/>
        <v>68.055443024979127</v>
      </c>
      <c r="AW179" s="129">
        <f t="shared" si="3"/>
        <v>68.055443024979127</v>
      </c>
      <c r="AX179" s="129">
        <f t="shared" si="3"/>
        <v>68.055443024979127</v>
      </c>
      <c r="AY179" s="129">
        <f t="shared" si="3"/>
        <v>68.055443024979127</v>
      </c>
    </row>
    <row r="180" spans="1:51" x14ac:dyDescent="0.2">
      <c r="A180" s="130"/>
      <c r="B180" s="141" t="s">
        <v>299</v>
      </c>
      <c r="C180" s="130" t="s">
        <v>293</v>
      </c>
      <c r="D180" s="130">
        <v>82</v>
      </c>
      <c r="E180" s="130">
        <v>91</v>
      </c>
      <c r="F180" s="130">
        <v>101</v>
      </c>
      <c r="G180" s="130">
        <v>65</v>
      </c>
      <c r="H180" s="130">
        <v>15.891208694174153</v>
      </c>
      <c r="I180" s="130">
        <v>50.614148379907462</v>
      </c>
      <c r="J180" s="130">
        <v>50.614148379907462</v>
      </c>
      <c r="K180" s="130">
        <v>68.055443024979127</v>
      </c>
      <c r="L180" s="130">
        <v>68.055443024979127</v>
      </c>
      <c r="M180" s="130">
        <v>50.614148379907462</v>
      </c>
      <c r="N180" s="130">
        <v>77.817016556377467</v>
      </c>
      <c r="O180" s="130">
        <v>68.055443024979127</v>
      </c>
      <c r="P180" s="130">
        <v>68.055443024979127</v>
      </c>
      <c r="Q180" s="130">
        <v>68.055443024979127</v>
      </c>
      <c r="R180" s="130">
        <v>68.055443024979127</v>
      </c>
      <c r="S180" s="130">
        <v>50.614148379907462</v>
      </c>
      <c r="T180" s="130">
        <v>77.817016556377467</v>
      </c>
      <c r="U180" s="130">
        <v>68.055443024979127</v>
      </c>
      <c r="V180" s="130">
        <v>68.055443024979127</v>
      </c>
      <c r="W180" s="130">
        <v>68.055443024979127</v>
      </c>
      <c r="X180" s="130">
        <v>68.055443024979127</v>
      </c>
      <c r="Y180" s="130">
        <v>68.055443024979127</v>
      </c>
      <c r="Z180" s="130">
        <v>68.055443024979127</v>
      </c>
      <c r="AA180" s="130">
        <v>68.055443024979127</v>
      </c>
      <c r="AB180" s="130">
        <v>68.055443024979127</v>
      </c>
      <c r="AC180" s="130">
        <v>68.055443024979127</v>
      </c>
      <c r="AD180" s="130">
        <v>68.055443024979127</v>
      </c>
      <c r="AE180" s="130">
        <v>68.055443024979127</v>
      </c>
      <c r="AF180" s="130">
        <v>68.055443024979127</v>
      </c>
      <c r="AG180" s="130">
        <v>68.055443024979127</v>
      </c>
      <c r="AH180" s="130">
        <v>68.055443024979127</v>
      </c>
      <c r="AI180" s="130">
        <v>68.055443024979127</v>
      </c>
      <c r="AJ180" s="130">
        <v>68.055443024979127</v>
      </c>
      <c r="AK180" s="130">
        <v>68.055443024979127</v>
      </c>
      <c r="AL180" s="130">
        <v>68.055443024979127</v>
      </c>
      <c r="AM180" s="130">
        <v>68.055443024979127</v>
      </c>
      <c r="AN180" s="130">
        <v>50.614148379907462</v>
      </c>
      <c r="AO180" s="130">
        <v>77.817016556377467</v>
      </c>
      <c r="AP180" s="130">
        <v>68.055443024979127</v>
      </c>
      <c r="AQ180" s="130">
        <v>68.055443024979127</v>
      </c>
      <c r="AR180" s="130">
        <v>68.055443024979127</v>
      </c>
      <c r="AS180" s="130">
        <v>68.055443024979127</v>
      </c>
      <c r="AT180" s="130">
        <v>68.055443024979127</v>
      </c>
      <c r="AU180" s="130">
        <v>68.055443024979127</v>
      </c>
      <c r="AV180" s="130">
        <v>68.055443024979127</v>
      </c>
      <c r="AW180" s="130">
        <v>68.055443024979127</v>
      </c>
      <c r="AX180" s="130">
        <v>68.055443024979127</v>
      </c>
      <c r="AY180" s="130">
        <v>68.055443024979127</v>
      </c>
    </row>
    <row r="181" spans="1:51" x14ac:dyDescent="0.2">
      <c r="A181" s="140" t="s">
        <v>123</v>
      </c>
      <c r="B181" s="140" t="s">
        <v>298</v>
      </c>
      <c r="C181" s="129" t="s">
        <v>293</v>
      </c>
      <c r="D181" s="129">
        <f t="shared" ref="D181:AY181" si="4">(1-D172)*SUM(D122:D169)</f>
        <v>78.500000000000014</v>
      </c>
      <c r="E181" s="129">
        <f t="shared" si="4"/>
        <v>4.5000000000000142</v>
      </c>
      <c r="F181" s="129">
        <f t="shared" si="4"/>
        <v>88.457366483544305</v>
      </c>
      <c r="G181" s="129">
        <f t="shared" si="4"/>
        <v>33.457366483544305</v>
      </c>
      <c r="H181" s="129">
        <f t="shared" si="4"/>
        <v>175.66138434736527</v>
      </c>
      <c r="I181" s="129">
        <f t="shared" si="4"/>
        <v>175.66138434736527</v>
      </c>
      <c r="J181" s="129">
        <f t="shared" si="4"/>
        <v>236.19311431281136</v>
      </c>
      <c r="K181" s="129">
        <f t="shared" si="4"/>
        <v>236.19311431281136</v>
      </c>
      <c r="L181" s="129">
        <f t="shared" si="4"/>
        <v>175.66138434736527</v>
      </c>
      <c r="M181" s="129">
        <f t="shared" si="4"/>
        <v>270.07161617089525</v>
      </c>
      <c r="N181" s="129">
        <f t="shared" si="4"/>
        <v>236.19311431281136</v>
      </c>
      <c r="O181" s="129">
        <f t="shared" si="4"/>
        <v>236.19311431281136</v>
      </c>
      <c r="P181" s="129">
        <f t="shared" si="4"/>
        <v>236.19311431281136</v>
      </c>
      <c r="Q181" s="129">
        <f t="shared" si="4"/>
        <v>236.19311431281136</v>
      </c>
      <c r="R181" s="129">
        <f t="shared" si="4"/>
        <v>175.66138434736527</v>
      </c>
      <c r="S181" s="129">
        <f t="shared" si="4"/>
        <v>270.07161617089525</v>
      </c>
      <c r="T181" s="129">
        <f t="shared" si="4"/>
        <v>236.19311431281136</v>
      </c>
      <c r="U181" s="129">
        <f t="shared" si="4"/>
        <v>236.19311431281136</v>
      </c>
      <c r="V181" s="129">
        <f t="shared" si="4"/>
        <v>236.19311431281136</v>
      </c>
      <c r="W181" s="129">
        <f t="shared" si="4"/>
        <v>236.19311431281136</v>
      </c>
      <c r="X181" s="129">
        <f t="shared" si="4"/>
        <v>236.19311431281136</v>
      </c>
      <c r="Y181" s="129">
        <f t="shared" si="4"/>
        <v>236.19311431281136</v>
      </c>
      <c r="Z181" s="129">
        <f t="shared" si="4"/>
        <v>236.19311431281136</v>
      </c>
      <c r="AA181" s="129">
        <f t="shared" si="4"/>
        <v>236.19311431281136</v>
      </c>
      <c r="AB181" s="129">
        <f t="shared" si="4"/>
        <v>236.19311431281136</v>
      </c>
      <c r="AC181" s="129">
        <f t="shared" si="4"/>
        <v>236.19311431281136</v>
      </c>
      <c r="AD181" s="129">
        <f t="shared" si="4"/>
        <v>236.19311431281136</v>
      </c>
      <c r="AE181" s="129">
        <f t="shared" si="4"/>
        <v>236.19311431281136</v>
      </c>
      <c r="AF181" s="129">
        <f t="shared" si="4"/>
        <v>236.19311431281136</v>
      </c>
      <c r="AG181" s="129">
        <f t="shared" si="4"/>
        <v>236.19311431281136</v>
      </c>
      <c r="AH181" s="129">
        <f t="shared" si="4"/>
        <v>236.19311431281136</v>
      </c>
      <c r="AI181" s="129">
        <f t="shared" si="4"/>
        <v>236.19311431281136</v>
      </c>
      <c r="AJ181" s="129">
        <f t="shared" si="4"/>
        <v>236.19311431281136</v>
      </c>
      <c r="AK181" s="129">
        <f t="shared" si="4"/>
        <v>236.19311431281136</v>
      </c>
      <c r="AL181" s="129">
        <f t="shared" si="4"/>
        <v>236.19311431281136</v>
      </c>
      <c r="AM181" s="129">
        <f t="shared" si="4"/>
        <v>175.66138434736527</v>
      </c>
      <c r="AN181" s="129">
        <f t="shared" si="4"/>
        <v>270.07161617089525</v>
      </c>
      <c r="AO181" s="129">
        <f t="shared" si="4"/>
        <v>236.19311431281136</v>
      </c>
      <c r="AP181" s="129">
        <f t="shared" si="4"/>
        <v>236.19311431281136</v>
      </c>
      <c r="AQ181" s="129">
        <f t="shared" si="4"/>
        <v>236.19311431281136</v>
      </c>
      <c r="AR181" s="129">
        <f t="shared" si="4"/>
        <v>236.19311431281136</v>
      </c>
      <c r="AS181" s="129">
        <f t="shared" si="4"/>
        <v>236.19311431281136</v>
      </c>
      <c r="AT181" s="129">
        <f t="shared" si="4"/>
        <v>236.19311431281136</v>
      </c>
      <c r="AU181" s="129">
        <f t="shared" si="4"/>
        <v>236.19311431281136</v>
      </c>
      <c r="AV181" s="129">
        <f t="shared" si="4"/>
        <v>236.19311431281136</v>
      </c>
      <c r="AW181" s="129">
        <f t="shared" si="4"/>
        <v>236.19311431281136</v>
      </c>
      <c r="AX181" s="129">
        <f t="shared" si="4"/>
        <v>236.19311431281136</v>
      </c>
      <c r="AY181" s="129">
        <f t="shared" si="4"/>
        <v>236.19311431281136</v>
      </c>
    </row>
    <row r="182" spans="1:51" x14ac:dyDescent="0.2">
      <c r="A182" s="130"/>
      <c r="B182" s="141" t="s">
        <v>299</v>
      </c>
      <c r="C182" s="130" t="s">
        <v>293</v>
      </c>
      <c r="D182" s="130">
        <v>74</v>
      </c>
      <c r="E182" s="130">
        <v>4.5000000000000142</v>
      </c>
      <c r="F182" s="130">
        <v>55</v>
      </c>
      <c r="G182" s="130">
        <v>33.457366483544305</v>
      </c>
      <c r="H182" s="130">
        <v>175.66138434736527</v>
      </c>
      <c r="I182" s="130">
        <v>175.66138434736527</v>
      </c>
      <c r="J182" s="130">
        <v>236.19311431281136</v>
      </c>
      <c r="K182" s="130">
        <v>236.19311431281136</v>
      </c>
      <c r="L182" s="130">
        <v>175.66138434736527</v>
      </c>
      <c r="M182" s="130">
        <v>270.07161617089525</v>
      </c>
      <c r="N182" s="130">
        <v>236.19311431281136</v>
      </c>
      <c r="O182" s="130">
        <v>236.19311431281136</v>
      </c>
      <c r="P182" s="130">
        <v>236.19311431281136</v>
      </c>
      <c r="Q182" s="130">
        <v>236.19311431281136</v>
      </c>
      <c r="R182" s="130">
        <v>175.66138434736527</v>
      </c>
      <c r="S182" s="130">
        <v>270.07161617089525</v>
      </c>
      <c r="T182" s="130">
        <v>236.19311431281136</v>
      </c>
      <c r="U182" s="130">
        <v>236.19311431281136</v>
      </c>
      <c r="V182" s="130">
        <v>236.19311431281136</v>
      </c>
      <c r="W182" s="130">
        <v>236.19311431281136</v>
      </c>
      <c r="X182" s="130">
        <v>236.19311431281136</v>
      </c>
      <c r="Y182" s="130">
        <v>236.19311431281136</v>
      </c>
      <c r="Z182" s="130">
        <v>236.19311431281136</v>
      </c>
      <c r="AA182" s="130">
        <v>236.19311431281136</v>
      </c>
      <c r="AB182" s="130">
        <v>236.19311431281136</v>
      </c>
      <c r="AC182" s="130">
        <v>236.19311431281136</v>
      </c>
      <c r="AD182" s="130">
        <v>236.19311431281136</v>
      </c>
      <c r="AE182" s="130">
        <v>236.19311431281136</v>
      </c>
      <c r="AF182" s="130">
        <v>236.19311431281136</v>
      </c>
      <c r="AG182" s="130">
        <v>236.19311431281136</v>
      </c>
      <c r="AH182" s="130">
        <v>236.19311431281136</v>
      </c>
      <c r="AI182" s="130">
        <v>236.19311431281136</v>
      </c>
      <c r="AJ182" s="130">
        <v>236.19311431281136</v>
      </c>
      <c r="AK182" s="130">
        <v>236.19311431281136</v>
      </c>
      <c r="AL182" s="130">
        <v>236.19311431281136</v>
      </c>
      <c r="AM182" s="130">
        <v>175.66138434736527</v>
      </c>
      <c r="AN182" s="130">
        <v>270.07161617089525</v>
      </c>
      <c r="AO182" s="130">
        <v>236.19311431281136</v>
      </c>
      <c r="AP182" s="130">
        <v>236.19311431281136</v>
      </c>
      <c r="AQ182" s="130">
        <v>236.19311431281136</v>
      </c>
      <c r="AR182" s="130">
        <v>236.19311431281136</v>
      </c>
      <c r="AS182" s="130">
        <v>236.19311431281136</v>
      </c>
      <c r="AT182" s="130">
        <v>236.19311431281136</v>
      </c>
      <c r="AU182" s="130">
        <v>236.19311431281136</v>
      </c>
      <c r="AV182" s="130">
        <v>236.19311431281136</v>
      </c>
      <c r="AW182" s="130">
        <v>236.19311431281136</v>
      </c>
      <c r="AX182" s="130">
        <v>236.19311431281136</v>
      </c>
      <c r="AY182" s="130">
        <v>236.19311431281136</v>
      </c>
    </row>
    <row r="184" spans="1:51" x14ac:dyDescent="0.2">
      <c r="A184" s="107" t="s">
        <v>300</v>
      </c>
    </row>
    <row r="185" spans="1:51" x14ac:dyDescent="0.2">
      <c r="A185" s="131" t="s">
        <v>125</v>
      </c>
      <c r="B185" s="128">
        <v>1</v>
      </c>
      <c r="C185" s="129">
        <v>0</v>
      </c>
      <c r="D185" s="129">
        <v>0</v>
      </c>
      <c r="E185" s="129">
        <v>0</v>
      </c>
      <c r="F185" s="129">
        <v>0</v>
      </c>
      <c r="G185" s="129">
        <v>0</v>
      </c>
      <c r="H185" s="129">
        <v>221.27895515439999</v>
      </c>
      <c r="I185" s="129">
        <v>221.27895515439999</v>
      </c>
      <c r="J185" s="129">
        <v>221.27895515439999</v>
      </c>
      <c r="K185" s="129">
        <v>221.27895515439999</v>
      </c>
      <c r="L185" s="129">
        <v>221.27895515439999</v>
      </c>
      <c r="M185" s="129">
        <v>221.27895515439999</v>
      </c>
      <c r="N185" s="129">
        <v>221.27895515439999</v>
      </c>
      <c r="O185" s="129">
        <v>221.27895515439999</v>
      </c>
      <c r="P185" s="129">
        <v>221.27895515439999</v>
      </c>
      <c r="Q185" s="129">
        <v>221.27895515439999</v>
      </c>
      <c r="R185" s="129">
        <v>221.27895515439999</v>
      </c>
      <c r="S185" s="129">
        <v>221.27895515439999</v>
      </c>
      <c r="T185" s="129">
        <v>221.27895515439999</v>
      </c>
      <c r="U185" s="129">
        <v>221.27895515439999</v>
      </c>
      <c r="V185" s="129">
        <v>221.27895515439999</v>
      </c>
      <c r="W185" s="129">
        <v>221.27895515439999</v>
      </c>
      <c r="X185" s="129">
        <v>221.27895515439999</v>
      </c>
      <c r="Y185" s="129">
        <v>221.27895515439999</v>
      </c>
      <c r="Z185" s="129">
        <v>221.27895515439999</v>
      </c>
      <c r="AA185" s="129">
        <v>221.27895515439999</v>
      </c>
      <c r="AB185" s="129">
        <v>221.27895515439999</v>
      </c>
      <c r="AC185" s="129">
        <v>221.27895515439999</v>
      </c>
      <c r="AD185" s="129">
        <v>221.27895515439999</v>
      </c>
      <c r="AE185" s="129">
        <v>221.27895515439999</v>
      </c>
      <c r="AF185" s="129">
        <v>221.27895515439999</v>
      </c>
      <c r="AG185" s="129">
        <v>221.27895515439999</v>
      </c>
      <c r="AH185" s="129">
        <v>221.27895515439999</v>
      </c>
      <c r="AI185" s="129">
        <v>221.27895515439999</v>
      </c>
      <c r="AJ185" s="129">
        <v>221.27895515439999</v>
      </c>
      <c r="AK185" s="129">
        <v>221.27895515439999</v>
      </c>
      <c r="AL185" s="129">
        <v>221.27895515439999</v>
      </c>
      <c r="AM185" s="129">
        <v>221.27895515439999</v>
      </c>
      <c r="AN185" s="129">
        <v>221.27895515439999</v>
      </c>
      <c r="AO185" s="129">
        <v>221.27895515439999</v>
      </c>
      <c r="AP185" s="129">
        <v>221.27895515439999</v>
      </c>
      <c r="AQ185" s="129">
        <v>221.27895515439999</v>
      </c>
      <c r="AR185" s="129">
        <v>221.27895515439999</v>
      </c>
      <c r="AS185" s="129">
        <v>221.27895515439999</v>
      </c>
      <c r="AT185" s="129">
        <v>221.27895515439999</v>
      </c>
      <c r="AU185" s="129">
        <v>221.27895515439999</v>
      </c>
      <c r="AV185" s="129">
        <v>221.27895515439999</v>
      </c>
      <c r="AW185" s="129">
        <v>221.27895515439999</v>
      </c>
      <c r="AX185" s="129">
        <v>221.27895515439999</v>
      </c>
      <c r="AY185" s="129">
        <v>221.27895515439999</v>
      </c>
    </row>
    <row r="186" spans="1:51" x14ac:dyDescent="0.2">
      <c r="A186" s="114"/>
      <c r="B186" s="125">
        <v>2</v>
      </c>
      <c r="C186" s="111">
        <v>0</v>
      </c>
      <c r="D186" s="111">
        <v>0</v>
      </c>
      <c r="E186" s="111">
        <v>0</v>
      </c>
      <c r="F186" s="111">
        <v>0</v>
      </c>
      <c r="G186" s="111">
        <v>0</v>
      </c>
      <c r="H186" s="111">
        <v>0</v>
      </c>
      <c r="I186" s="111">
        <v>0</v>
      </c>
      <c r="J186" s="111">
        <v>0</v>
      </c>
      <c r="K186" s="111">
        <v>0</v>
      </c>
      <c r="L186" s="111">
        <v>0</v>
      </c>
      <c r="M186" s="111">
        <v>0</v>
      </c>
      <c r="N186" s="111">
        <v>0</v>
      </c>
      <c r="O186" s="111">
        <v>0</v>
      </c>
      <c r="P186" s="111">
        <v>0</v>
      </c>
      <c r="Q186" s="111">
        <v>0</v>
      </c>
      <c r="R186" s="111">
        <v>0</v>
      </c>
      <c r="S186" s="111">
        <v>0</v>
      </c>
      <c r="T186" s="111">
        <v>0</v>
      </c>
      <c r="U186" s="111">
        <v>0</v>
      </c>
      <c r="V186" s="111">
        <v>0</v>
      </c>
      <c r="W186" s="111">
        <v>0</v>
      </c>
      <c r="X186" s="111">
        <v>0</v>
      </c>
      <c r="Y186" s="111">
        <v>0</v>
      </c>
      <c r="Z186" s="111">
        <v>0</v>
      </c>
      <c r="AA186" s="111">
        <v>0</v>
      </c>
      <c r="AB186" s="111">
        <v>0</v>
      </c>
      <c r="AC186" s="111">
        <v>0</v>
      </c>
      <c r="AD186" s="111">
        <v>0</v>
      </c>
      <c r="AE186" s="111">
        <v>0</v>
      </c>
      <c r="AF186" s="111">
        <v>0</v>
      </c>
      <c r="AG186" s="111">
        <v>0</v>
      </c>
      <c r="AH186" s="111">
        <v>0</v>
      </c>
      <c r="AI186" s="111">
        <v>0</v>
      </c>
      <c r="AJ186" s="111">
        <v>0</v>
      </c>
      <c r="AK186" s="111">
        <v>0</v>
      </c>
      <c r="AL186" s="111">
        <v>0</v>
      </c>
      <c r="AM186" s="111">
        <v>0</v>
      </c>
      <c r="AN186" s="111">
        <v>0</v>
      </c>
      <c r="AO186" s="111">
        <v>0</v>
      </c>
      <c r="AP186" s="111">
        <v>0</v>
      </c>
      <c r="AQ186" s="111">
        <v>0</v>
      </c>
      <c r="AR186" s="111">
        <v>0</v>
      </c>
      <c r="AS186" s="111">
        <v>0</v>
      </c>
      <c r="AT186" s="111">
        <v>0</v>
      </c>
      <c r="AU186" s="111">
        <v>0</v>
      </c>
      <c r="AV186" s="111">
        <v>0</v>
      </c>
      <c r="AW186" s="111">
        <v>0</v>
      </c>
      <c r="AX186" s="111">
        <v>0</v>
      </c>
      <c r="AY186" s="111">
        <v>0</v>
      </c>
    </row>
    <row r="187" spans="1:51" x14ac:dyDescent="0.2">
      <c r="A187" s="114"/>
      <c r="B187" s="132">
        <v>3</v>
      </c>
      <c r="C187" s="111">
        <v>0</v>
      </c>
      <c r="D187" s="111">
        <v>0</v>
      </c>
      <c r="E187" s="111">
        <v>0</v>
      </c>
      <c r="F187" s="111">
        <v>0</v>
      </c>
      <c r="G187" s="111">
        <v>0</v>
      </c>
      <c r="H187" s="111">
        <v>0</v>
      </c>
      <c r="I187" s="111">
        <v>0</v>
      </c>
      <c r="J187" s="111">
        <v>0</v>
      </c>
      <c r="K187" s="111">
        <v>0</v>
      </c>
      <c r="L187" s="111">
        <v>0</v>
      </c>
      <c r="M187" s="111">
        <v>0</v>
      </c>
      <c r="N187" s="111">
        <v>0</v>
      </c>
      <c r="O187" s="111">
        <v>0</v>
      </c>
      <c r="P187" s="111">
        <v>0</v>
      </c>
      <c r="Q187" s="111">
        <v>0</v>
      </c>
      <c r="R187" s="111">
        <v>0</v>
      </c>
      <c r="S187" s="111">
        <v>0</v>
      </c>
      <c r="T187" s="111">
        <v>0</v>
      </c>
      <c r="U187" s="111">
        <v>0</v>
      </c>
      <c r="V187" s="111">
        <v>0</v>
      </c>
      <c r="W187" s="111">
        <v>0</v>
      </c>
      <c r="X187" s="111">
        <v>0</v>
      </c>
      <c r="Y187" s="111">
        <v>0</v>
      </c>
      <c r="Z187" s="111">
        <v>0</v>
      </c>
      <c r="AA187" s="111">
        <v>0</v>
      </c>
      <c r="AB187" s="111">
        <v>0</v>
      </c>
      <c r="AC187" s="111">
        <v>0</v>
      </c>
      <c r="AD187" s="111">
        <v>0</v>
      </c>
      <c r="AE187" s="111">
        <v>0</v>
      </c>
      <c r="AF187" s="111">
        <v>0</v>
      </c>
      <c r="AG187" s="111">
        <v>0</v>
      </c>
      <c r="AH187" s="111">
        <v>0</v>
      </c>
      <c r="AI187" s="111">
        <v>0</v>
      </c>
      <c r="AJ187" s="111">
        <v>0</v>
      </c>
      <c r="AK187" s="111">
        <v>0</v>
      </c>
      <c r="AL187" s="111">
        <v>0</v>
      </c>
      <c r="AM187" s="111">
        <v>0</v>
      </c>
      <c r="AN187" s="111">
        <v>0</v>
      </c>
      <c r="AO187" s="111">
        <v>0</v>
      </c>
      <c r="AP187" s="111">
        <v>0</v>
      </c>
      <c r="AQ187" s="111">
        <v>0</v>
      </c>
      <c r="AR187" s="111">
        <v>0</v>
      </c>
      <c r="AS187" s="111">
        <v>0</v>
      </c>
      <c r="AT187" s="111">
        <v>0</v>
      </c>
      <c r="AU187" s="111">
        <v>0</v>
      </c>
      <c r="AV187" s="111">
        <v>0</v>
      </c>
      <c r="AW187" s="111">
        <v>0</v>
      </c>
      <c r="AX187" s="111">
        <v>0</v>
      </c>
      <c r="AY187" s="111">
        <v>0</v>
      </c>
    </row>
    <row r="188" spans="1:51" x14ac:dyDescent="0.2">
      <c r="A188" s="133"/>
      <c r="B188" s="134">
        <v>4</v>
      </c>
      <c r="C188" s="111">
        <v>0</v>
      </c>
      <c r="D188" s="111">
        <v>0</v>
      </c>
      <c r="E188" s="111">
        <v>0</v>
      </c>
      <c r="F188" s="111">
        <v>0</v>
      </c>
      <c r="G188" s="111">
        <v>0</v>
      </c>
      <c r="H188" s="111">
        <v>0</v>
      </c>
      <c r="I188" s="111">
        <v>0</v>
      </c>
      <c r="J188" s="111">
        <v>0</v>
      </c>
      <c r="K188" s="111">
        <v>0</v>
      </c>
      <c r="L188" s="111">
        <v>0</v>
      </c>
      <c r="M188" s="111">
        <v>0</v>
      </c>
      <c r="N188" s="111">
        <v>0</v>
      </c>
      <c r="O188" s="111">
        <v>0</v>
      </c>
      <c r="P188" s="111">
        <v>0</v>
      </c>
      <c r="Q188" s="111">
        <v>0</v>
      </c>
      <c r="R188" s="111">
        <v>0</v>
      </c>
      <c r="S188" s="111">
        <v>0</v>
      </c>
      <c r="T188" s="111">
        <v>0</v>
      </c>
      <c r="U188" s="111">
        <v>0</v>
      </c>
      <c r="V188" s="111">
        <v>0</v>
      </c>
      <c r="W188" s="111">
        <v>0</v>
      </c>
      <c r="X188" s="111">
        <v>0</v>
      </c>
      <c r="Y188" s="111">
        <v>0</v>
      </c>
      <c r="Z188" s="111">
        <v>0</v>
      </c>
      <c r="AA188" s="111">
        <v>0</v>
      </c>
      <c r="AB188" s="111">
        <v>0</v>
      </c>
      <c r="AC188" s="111">
        <v>0</v>
      </c>
      <c r="AD188" s="111">
        <v>0</v>
      </c>
      <c r="AE188" s="111">
        <v>0</v>
      </c>
      <c r="AF188" s="111">
        <v>0</v>
      </c>
      <c r="AG188" s="111">
        <v>0</v>
      </c>
      <c r="AH188" s="111">
        <v>0</v>
      </c>
      <c r="AI188" s="111">
        <v>0</v>
      </c>
      <c r="AJ188" s="111">
        <v>0</v>
      </c>
      <c r="AK188" s="111">
        <v>0</v>
      </c>
      <c r="AL188" s="111">
        <v>0</v>
      </c>
      <c r="AM188" s="111">
        <v>0</v>
      </c>
      <c r="AN188" s="111">
        <v>0</v>
      </c>
      <c r="AO188" s="111">
        <v>0</v>
      </c>
      <c r="AP188" s="111">
        <v>0</v>
      </c>
      <c r="AQ188" s="111">
        <v>0</v>
      </c>
      <c r="AR188" s="111">
        <v>0</v>
      </c>
      <c r="AS188" s="111">
        <v>0</v>
      </c>
      <c r="AT188" s="111">
        <v>0</v>
      </c>
      <c r="AU188" s="111">
        <v>0</v>
      </c>
      <c r="AV188" s="111">
        <v>0</v>
      </c>
      <c r="AW188" s="111">
        <v>0</v>
      </c>
      <c r="AX188" s="111">
        <v>0</v>
      </c>
      <c r="AY188" s="111">
        <v>0</v>
      </c>
    </row>
    <row r="189" spans="1:51" x14ac:dyDescent="0.2">
      <c r="A189" s="131" t="s">
        <v>133</v>
      </c>
      <c r="B189" s="128">
        <v>1</v>
      </c>
      <c r="C189" s="129">
        <v>28.507001443101402</v>
      </c>
      <c r="D189" s="129">
        <v>75</v>
      </c>
      <c r="E189" s="129">
        <v>0</v>
      </c>
      <c r="F189" s="129">
        <v>74</v>
      </c>
      <c r="G189" s="129">
        <v>0</v>
      </c>
      <c r="H189" s="129">
        <v>0</v>
      </c>
      <c r="I189" s="129">
        <v>0</v>
      </c>
      <c r="J189" s="129">
        <v>82.316090235082243</v>
      </c>
      <c r="K189" s="129">
        <v>82.316090235082243</v>
      </c>
      <c r="L189" s="129">
        <v>0</v>
      </c>
      <c r="M189" s="129">
        <v>128.3869</v>
      </c>
      <c r="N189" s="129">
        <v>82.316090235082243</v>
      </c>
      <c r="O189" s="129">
        <v>82.316090235082243</v>
      </c>
      <c r="P189" s="129">
        <v>82.316090235082243</v>
      </c>
      <c r="Q189" s="129">
        <v>82.316090235082243</v>
      </c>
      <c r="R189" s="129">
        <v>0</v>
      </c>
      <c r="S189" s="129">
        <v>128.3869</v>
      </c>
      <c r="T189" s="129">
        <v>82.316090235082243</v>
      </c>
      <c r="U189" s="129">
        <v>82.316090235082243</v>
      </c>
      <c r="V189" s="129">
        <v>82.316090235082243</v>
      </c>
      <c r="W189" s="129">
        <v>82.316090235082243</v>
      </c>
      <c r="X189" s="129">
        <v>82.316090235082243</v>
      </c>
      <c r="Y189" s="129">
        <v>82.316090235082243</v>
      </c>
      <c r="Z189" s="129">
        <v>82.316090235082243</v>
      </c>
      <c r="AA189" s="129">
        <v>82.316090235082243</v>
      </c>
      <c r="AB189" s="129">
        <v>82.316090235082243</v>
      </c>
      <c r="AC189" s="129">
        <v>82.316090235082243</v>
      </c>
      <c r="AD189" s="129">
        <v>82.316090235082243</v>
      </c>
      <c r="AE189" s="129">
        <v>82.316090235082243</v>
      </c>
      <c r="AF189" s="129">
        <v>82.316090235082243</v>
      </c>
      <c r="AG189" s="129">
        <v>82.316090235082243</v>
      </c>
      <c r="AH189" s="129">
        <v>82.316090235082243</v>
      </c>
      <c r="AI189" s="129">
        <v>82.316090235082243</v>
      </c>
      <c r="AJ189" s="129">
        <v>82.316090235082243</v>
      </c>
      <c r="AK189" s="129">
        <v>82.316090235082243</v>
      </c>
      <c r="AL189" s="129">
        <v>82.316090235082243</v>
      </c>
      <c r="AM189" s="129">
        <v>0</v>
      </c>
      <c r="AN189" s="129">
        <v>128.3869</v>
      </c>
      <c r="AO189" s="129">
        <v>82.316090235082243</v>
      </c>
      <c r="AP189" s="129">
        <v>82.316090235082243</v>
      </c>
      <c r="AQ189" s="129">
        <v>82.316090235082243</v>
      </c>
      <c r="AR189" s="129">
        <v>82.316090235082243</v>
      </c>
      <c r="AS189" s="129">
        <v>82.316090235082243</v>
      </c>
      <c r="AT189" s="129">
        <v>82.316090235082243</v>
      </c>
      <c r="AU189" s="129">
        <v>82.316090235082243</v>
      </c>
      <c r="AV189" s="129">
        <v>82.316090235082243</v>
      </c>
      <c r="AW189" s="129">
        <v>82.316090235082243</v>
      </c>
      <c r="AX189" s="129">
        <v>82.316090235082243</v>
      </c>
      <c r="AY189" s="129">
        <v>82.316090235082243</v>
      </c>
    </row>
    <row r="190" spans="1:51" x14ac:dyDescent="0.2">
      <c r="A190" s="114"/>
      <c r="B190" s="124">
        <v>2</v>
      </c>
      <c r="C190" s="111">
        <v>0</v>
      </c>
      <c r="D190" s="111">
        <v>0</v>
      </c>
      <c r="E190" s="111">
        <v>28.341772151898738</v>
      </c>
      <c r="F190" s="111">
        <v>0</v>
      </c>
      <c r="G190" s="111">
        <v>19.384405668354432</v>
      </c>
      <c r="H190" s="111">
        <v>0</v>
      </c>
      <c r="I190" s="111">
        <v>0</v>
      </c>
      <c r="J190" s="111">
        <v>0</v>
      </c>
      <c r="K190" s="111">
        <v>0</v>
      </c>
      <c r="L190" s="111">
        <v>0</v>
      </c>
      <c r="M190" s="111">
        <v>0</v>
      </c>
      <c r="N190" s="111">
        <v>0</v>
      </c>
      <c r="O190" s="111">
        <v>0</v>
      </c>
      <c r="P190" s="111">
        <v>0</v>
      </c>
      <c r="Q190" s="111">
        <v>0</v>
      </c>
      <c r="R190" s="111">
        <v>0</v>
      </c>
      <c r="S190" s="111">
        <v>0</v>
      </c>
      <c r="T190" s="111">
        <v>0</v>
      </c>
      <c r="U190" s="111">
        <v>0</v>
      </c>
      <c r="V190" s="111">
        <v>0</v>
      </c>
      <c r="W190" s="111">
        <v>0</v>
      </c>
      <c r="X190" s="111">
        <v>0</v>
      </c>
      <c r="Y190" s="111">
        <v>0</v>
      </c>
      <c r="Z190" s="111">
        <v>0</v>
      </c>
      <c r="AA190" s="111">
        <v>0</v>
      </c>
      <c r="AB190" s="111">
        <v>0</v>
      </c>
      <c r="AC190" s="111">
        <v>0</v>
      </c>
      <c r="AD190" s="111">
        <v>0</v>
      </c>
      <c r="AE190" s="111">
        <v>0</v>
      </c>
      <c r="AF190" s="111">
        <v>0</v>
      </c>
      <c r="AG190" s="111">
        <v>0</v>
      </c>
      <c r="AH190" s="111">
        <v>0</v>
      </c>
      <c r="AI190" s="111">
        <v>0</v>
      </c>
      <c r="AJ190" s="111">
        <v>0</v>
      </c>
      <c r="AK190" s="111">
        <v>0</v>
      </c>
      <c r="AL190" s="111">
        <v>0</v>
      </c>
      <c r="AM190" s="111">
        <v>0</v>
      </c>
      <c r="AN190" s="111">
        <v>0</v>
      </c>
      <c r="AO190" s="111">
        <v>0</v>
      </c>
      <c r="AP190" s="111">
        <v>0</v>
      </c>
      <c r="AQ190" s="111">
        <v>0</v>
      </c>
      <c r="AR190" s="111">
        <v>0</v>
      </c>
      <c r="AS190" s="111">
        <v>0</v>
      </c>
      <c r="AT190" s="111">
        <v>0</v>
      </c>
      <c r="AU190" s="111">
        <v>0</v>
      </c>
      <c r="AV190" s="111">
        <v>0</v>
      </c>
      <c r="AW190" s="111">
        <v>0</v>
      </c>
      <c r="AX190" s="111">
        <v>0</v>
      </c>
      <c r="AY190" s="111">
        <v>0</v>
      </c>
    </row>
    <row r="191" spans="1:51" x14ac:dyDescent="0.2">
      <c r="A191" s="114"/>
      <c r="B191" s="125">
        <v>3</v>
      </c>
      <c r="C191" s="111">
        <v>0</v>
      </c>
      <c r="D191" s="111">
        <v>0</v>
      </c>
      <c r="E191" s="111">
        <v>0</v>
      </c>
      <c r="F191" s="111">
        <v>0</v>
      </c>
      <c r="G191" s="111">
        <v>0</v>
      </c>
      <c r="H191" s="111">
        <v>0</v>
      </c>
      <c r="I191" s="111">
        <v>0</v>
      </c>
      <c r="J191" s="111">
        <v>0</v>
      </c>
      <c r="K191" s="111">
        <v>0</v>
      </c>
      <c r="L191" s="111">
        <v>0</v>
      </c>
      <c r="M191" s="111">
        <v>0</v>
      </c>
      <c r="N191" s="111">
        <v>0</v>
      </c>
      <c r="O191" s="111">
        <v>0</v>
      </c>
      <c r="P191" s="111">
        <v>0</v>
      </c>
      <c r="Q191" s="111">
        <v>0</v>
      </c>
      <c r="R191" s="111">
        <v>0</v>
      </c>
      <c r="S191" s="111">
        <v>0</v>
      </c>
      <c r="T191" s="111">
        <v>0</v>
      </c>
      <c r="U191" s="111">
        <v>0</v>
      </c>
      <c r="V191" s="111">
        <v>0</v>
      </c>
      <c r="W191" s="111">
        <v>0</v>
      </c>
      <c r="X191" s="111">
        <v>0</v>
      </c>
      <c r="Y191" s="111">
        <v>0</v>
      </c>
      <c r="Z191" s="111">
        <v>0</v>
      </c>
      <c r="AA191" s="111">
        <v>0</v>
      </c>
      <c r="AB191" s="111">
        <v>0</v>
      </c>
      <c r="AC191" s="111">
        <v>0</v>
      </c>
      <c r="AD191" s="111">
        <v>0</v>
      </c>
      <c r="AE191" s="111">
        <v>0</v>
      </c>
      <c r="AF191" s="111">
        <v>0</v>
      </c>
      <c r="AG191" s="111">
        <v>0</v>
      </c>
      <c r="AH191" s="111">
        <v>0</v>
      </c>
      <c r="AI191" s="111">
        <v>0</v>
      </c>
      <c r="AJ191" s="111">
        <v>0</v>
      </c>
      <c r="AK191" s="111">
        <v>0</v>
      </c>
      <c r="AL191" s="111">
        <v>0</v>
      </c>
      <c r="AM191" s="111">
        <v>0</v>
      </c>
      <c r="AN191" s="111">
        <v>0</v>
      </c>
      <c r="AO191" s="111">
        <v>0</v>
      </c>
      <c r="AP191" s="111">
        <v>0</v>
      </c>
      <c r="AQ191" s="111">
        <v>0</v>
      </c>
      <c r="AR191" s="111">
        <v>0</v>
      </c>
      <c r="AS191" s="111">
        <v>0</v>
      </c>
      <c r="AT191" s="111">
        <v>0</v>
      </c>
      <c r="AU191" s="111">
        <v>0</v>
      </c>
      <c r="AV191" s="111">
        <v>0</v>
      </c>
      <c r="AW191" s="111">
        <v>0</v>
      </c>
      <c r="AX191" s="111">
        <v>0</v>
      </c>
      <c r="AY191" s="111">
        <v>0</v>
      </c>
    </row>
    <row r="192" spans="1:51" x14ac:dyDescent="0.2">
      <c r="A192" s="114"/>
      <c r="B192" s="125">
        <v>4</v>
      </c>
      <c r="C192" s="111">
        <v>0</v>
      </c>
      <c r="D192" s="111">
        <v>0</v>
      </c>
      <c r="E192" s="111">
        <v>0</v>
      </c>
      <c r="F192" s="111">
        <v>0</v>
      </c>
      <c r="G192" s="111">
        <v>0</v>
      </c>
      <c r="H192" s="111">
        <v>0</v>
      </c>
      <c r="I192" s="111">
        <v>0</v>
      </c>
      <c r="J192" s="111">
        <v>0</v>
      </c>
      <c r="K192" s="111">
        <v>0</v>
      </c>
      <c r="L192" s="111">
        <v>0</v>
      </c>
      <c r="M192" s="111">
        <v>0</v>
      </c>
      <c r="N192" s="111">
        <v>0</v>
      </c>
      <c r="O192" s="111">
        <v>0</v>
      </c>
      <c r="P192" s="111">
        <v>0</v>
      </c>
      <c r="Q192" s="111">
        <v>0</v>
      </c>
      <c r="R192" s="111">
        <v>0</v>
      </c>
      <c r="S192" s="111">
        <v>0</v>
      </c>
      <c r="T192" s="111">
        <v>0</v>
      </c>
      <c r="U192" s="111">
        <v>0</v>
      </c>
      <c r="V192" s="111">
        <v>0</v>
      </c>
      <c r="W192" s="111">
        <v>0</v>
      </c>
      <c r="X192" s="111">
        <v>0</v>
      </c>
      <c r="Y192" s="111">
        <v>0</v>
      </c>
      <c r="Z192" s="111">
        <v>0</v>
      </c>
      <c r="AA192" s="111">
        <v>0</v>
      </c>
      <c r="AB192" s="111">
        <v>0</v>
      </c>
      <c r="AC192" s="111">
        <v>0</v>
      </c>
      <c r="AD192" s="111">
        <v>0</v>
      </c>
      <c r="AE192" s="111">
        <v>0</v>
      </c>
      <c r="AF192" s="111">
        <v>0</v>
      </c>
      <c r="AG192" s="111">
        <v>0</v>
      </c>
      <c r="AH192" s="111">
        <v>0</v>
      </c>
      <c r="AI192" s="111">
        <v>0</v>
      </c>
      <c r="AJ192" s="111">
        <v>0</v>
      </c>
      <c r="AK192" s="111">
        <v>0</v>
      </c>
      <c r="AL192" s="111">
        <v>0</v>
      </c>
      <c r="AM192" s="111">
        <v>0</v>
      </c>
      <c r="AN192" s="111">
        <v>0</v>
      </c>
      <c r="AO192" s="111">
        <v>0</v>
      </c>
      <c r="AP192" s="111">
        <v>0</v>
      </c>
      <c r="AQ192" s="111">
        <v>0</v>
      </c>
      <c r="AR192" s="111">
        <v>0</v>
      </c>
      <c r="AS192" s="111">
        <v>0</v>
      </c>
      <c r="AT192" s="111">
        <v>0</v>
      </c>
      <c r="AU192" s="111">
        <v>0</v>
      </c>
      <c r="AV192" s="111">
        <v>0</v>
      </c>
      <c r="AW192" s="111">
        <v>0</v>
      </c>
      <c r="AX192" s="111">
        <v>0</v>
      </c>
      <c r="AY192" s="111">
        <v>0</v>
      </c>
    </row>
    <row r="193" spans="1:51" x14ac:dyDescent="0.2">
      <c r="A193" s="114"/>
      <c r="B193" s="132">
        <v>5</v>
      </c>
      <c r="C193" s="111">
        <v>0</v>
      </c>
      <c r="D193" s="111">
        <v>0</v>
      </c>
      <c r="E193" s="111">
        <v>0</v>
      </c>
      <c r="F193" s="111">
        <v>0</v>
      </c>
      <c r="G193" s="111">
        <v>0</v>
      </c>
      <c r="H193" s="111">
        <v>0</v>
      </c>
      <c r="I193" s="111">
        <v>0</v>
      </c>
      <c r="J193" s="111">
        <v>0</v>
      </c>
      <c r="K193" s="111">
        <v>0</v>
      </c>
      <c r="L193" s="111">
        <v>0</v>
      </c>
      <c r="M193" s="111">
        <v>0</v>
      </c>
      <c r="N193" s="111">
        <v>0</v>
      </c>
      <c r="O193" s="111">
        <v>0</v>
      </c>
      <c r="P193" s="111">
        <v>0</v>
      </c>
      <c r="Q193" s="111">
        <v>0</v>
      </c>
      <c r="R193" s="111">
        <v>0</v>
      </c>
      <c r="S193" s="111">
        <v>0</v>
      </c>
      <c r="T193" s="111">
        <v>0</v>
      </c>
      <c r="U193" s="111">
        <v>0</v>
      </c>
      <c r="V193" s="111">
        <v>0</v>
      </c>
      <c r="W193" s="111">
        <v>0</v>
      </c>
      <c r="X193" s="111">
        <v>0</v>
      </c>
      <c r="Y193" s="111">
        <v>0</v>
      </c>
      <c r="Z193" s="111">
        <v>0</v>
      </c>
      <c r="AA193" s="111">
        <v>0</v>
      </c>
      <c r="AB193" s="111">
        <v>0</v>
      </c>
      <c r="AC193" s="111">
        <v>0</v>
      </c>
      <c r="AD193" s="111">
        <v>0</v>
      </c>
      <c r="AE193" s="111">
        <v>0</v>
      </c>
      <c r="AF193" s="111">
        <v>0</v>
      </c>
      <c r="AG193" s="111">
        <v>0</v>
      </c>
      <c r="AH193" s="111">
        <v>0</v>
      </c>
      <c r="AI193" s="111">
        <v>0</v>
      </c>
      <c r="AJ193" s="111">
        <v>0</v>
      </c>
      <c r="AK193" s="111">
        <v>0</v>
      </c>
      <c r="AL193" s="111">
        <v>0</v>
      </c>
      <c r="AM193" s="111">
        <v>0</v>
      </c>
      <c r="AN193" s="111">
        <v>0</v>
      </c>
      <c r="AO193" s="111">
        <v>0</v>
      </c>
      <c r="AP193" s="111">
        <v>0</v>
      </c>
      <c r="AQ193" s="111">
        <v>0</v>
      </c>
      <c r="AR193" s="111">
        <v>0</v>
      </c>
      <c r="AS193" s="111">
        <v>0</v>
      </c>
      <c r="AT193" s="111">
        <v>0</v>
      </c>
      <c r="AU193" s="111">
        <v>0</v>
      </c>
      <c r="AV193" s="111">
        <v>0</v>
      </c>
      <c r="AW193" s="111">
        <v>0</v>
      </c>
      <c r="AX193" s="111">
        <v>0</v>
      </c>
      <c r="AY193" s="111">
        <v>0</v>
      </c>
    </row>
    <row r="194" spans="1:51" x14ac:dyDescent="0.2">
      <c r="A194" s="114"/>
      <c r="B194" s="132">
        <v>6</v>
      </c>
      <c r="C194" s="111">
        <v>0</v>
      </c>
      <c r="D194" s="111">
        <v>0</v>
      </c>
      <c r="E194" s="111">
        <v>0</v>
      </c>
      <c r="F194" s="111">
        <v>0</v>
      </c>
      <c r="G194" s="111">
        <v>0</v>
      </c>
      <c r="H194" s="111">
        <v>0</v>
      </c>
      <c r="I194" s="111">
        <v>0</v>
      </c>
      <c r="J194" s="111">
        <v>0</v>
      </c>
      <c r="K194" s="111">
        <v>0</v>
      </c>
      <c r="L194" s="111">
        <v>0</v>
      </c>
      <c r="M194" s="111">
        <v>0</v>
      </c>
      <c r="N194" s="111">
        <v>0</v>
      </c>
      <c r="O194" s="111">
        <v>0</v>
      </c>
      <c r="P194" s="111">
        <v>0</v>
      </c>
      <c r="Q194" s="111">
        <v>0</v>
      </c>
      <c r="R194" s="111">
        <v>0</v>
      </c>
      <c r="S194" s="111">
        <v>0</v>
      </c>
      <c r="T194" s="111">
        <v>0</v>
      </c>
      <c r="U194" s="111">
        <v>0</v>
      </c>
      <c r="V194" s="111">
        <v>0</v>
      </c>
      <c r="W194" s="111">
        <v>0</v>
      </c>
      <c r="X194" s="111">
        <v>0</v>
      </c>
      <c r="Y194" s="111">
        <v>0</v>
      </c>
      <c r="Z194" s="111">
        <v>0</v>
      </c>
      <c r="AA194" s="111">
        <v>0</v>
      </c>
      <c r="AB194" s="111">
        <v>0</v>
      </c>
      <c r="AC194" s="111">
        <v>0</v>
      </c>
      <c r="AD194" s="111">
        <v>0</v>
      </c>
      <c r="AE194" s="111">
        <v>0</v>
      </c>
      <c r="AF194" s="111">
        <v>0</v>
      </c>
      <c r="AG194" s="111">
        <v>0</v>
      </c>
      <c r="AH194" s="111">
        <v>0</v>
      </c>
      <c r="AI194" s="111">
        <v>0</v>
      </c>
      <c r="AJ194" s="111">
        <v>0</v>
      </c>
      <c r="AK194" s="111">
        <v>0</v>
      </c>
      <c r="AL194" s="111">
        <v>0</v>
      </c>
      <c r="AM194" s="111">
        <v>0</v>
      </c>
      <c r="AN194" s="111">
        <v>0</v>
      </c>
      <c r="AO194" s="111">
        <v>0</v>
      </c>
      <c r="AP194" s="111">
        <v>0</v>
      </c>
      <c r="AQ194" s="111">
        <v>0</v>
      </c>
      <c r="AR194" s="111">
        <v>0</v>
      </c>
      <c r="AS194" s="111">
        <v>0</v>
      </c>
      <c r="AT194" s="111">
        <v>0</v>
      </c>
      <c r="AU194" s="111">
        <v>0</v>
      </c>
      <c r="AV194" s="111">
        <v>0</v>
      </c>
      <c r="AW194" s="111">
        <v>0</v>
      </c>
      <c r="AX194" s="111">
        <v>0</v>
      </c>
      <c r="AY194" s="111">
        <v>0</v>
      </c>
    </row>
    <row r="195" spans="1:51" x14ac:dyDescent="0.2">
      <c r="A195" s="114"/>
      <c r="B195" s="135">
        <v>7</v>
      </c>
      <c r="C195" s="111">
        <v>0</v>
      </c>
      <c r="D195" s="111">
        <v>0</v>
      </c>
      <c r="E195" s="111">
        <v>0</v>
      </c>
      <c r="F195" s="111">
        <v>0</v>
      </c>
      <c r="G195" s="111">
        <v>0</v>
      </c>
      <c r="H195" s="111">
        <v>0</v>
      </c>
      <c r="I195" s="111">
        <v>0</v>
      </c>
      <c r="J195" s="111">
        <v>0</v>
      </c>
      <c r="K195" s="111">
        <v>0</v>
      </c>
      <c r="L195" s="111">
        <v>0</v>
      </c>
      <c r="M195" s="111">
        <v>0</v>
      </c>
      <c r="N195" s="111">
        <v>0</v>
      </c>
      <c r="O195" s="111">
        <v>0</v>
      </c>
      <c r="P195" s="111">
        <v>0</v>
      </c>
      <c r="Q195" s="111">
        <v>0</v>
      </c>
      <c r="R195" s="111">
        <v>0</v>
      </c>
      <c r="S195" s="111">
        <v>0</v>
      </c>
      <c r="T195" s="111">
        <v>0</v>
      </c>
      <c r="U195" s="111">
        <v>0</v>
      </c>
      <c r="V195" s="111">
        <v>0</v>
      </c>
      <c r="W195" s="111">
        <v>0</v>
      </c>
      <c r="X195" s="111">
        <v>0</v>
      </c>
      <c r="Y195" s="111">
        <v>0</v>
      </c>
      <c r="Z195" s="111">
        <v>0</v>
      </c>
      <c r="AA195" s="111">
        <v>0</v>
      </c>
      <c r="AB195" s="111">
        <v>0</v>
      </c>
      <c r="AC195" s="111">
        <v>0</v>
      </c>
      <c r="AD195" s="111">
        <v>0</v>
      </c>
      <c r="AE195" s="111">
        <v>0</v>
      </c>
      <c r="AF195" s="111">
        <v>0</v>
      </c>
      <c r="AG195" s="111">
        <v>0</v>
      </c>
      <c r="AH195" s="111">
        <v>0</v>
      </c>
      <c r="AI195" s="111">
        <v>0</v>
      </c>
      <c r="AJ195" s="111">
        <v>0</v>
      </c>
      <c r="AK195" s="111">
        <v>0</v>
      </c>
      <c r="AL195" s="111">
        <v>0</v>
      </c>
      <c r="AM195" s="111">
        <v>0</v>
      </c>
      <c r="AN195" s="111">
        <v>0</v>
      </c>
      <c r="AO195" s="111">
        <v>0</v>
      </c>
      <c r="AP195" s="111">
        <v>0</v>
      </c>
      <c r="AQ195" s="111">
        <v>0</v>
      </c>
      <c r="AR195" s="111">
        <v>0</v>
      </c>
      <c r="AS195" s="111">
        <v>0</v>
      </c>
      <c r="AT195" s="111">
        <v>0</v>
      </c>
      <c r="AU195" s="111">
        <v>0</v>
      </c>
      <c r="AV195" s="111">
        <v>0</v>
      </c>
      <c r="AW195" s="111">
        <v>0</v>
      </c>
      <c r="AX195" s="111">
        <v>0</v>
      </c>
      <c r="AY195" s="111">
        <v>0</v>
      </c>
    </row>
    <row r="196" spans="1:51" x14ac:dyDescent="0.2">
      <c r="A196" s="133"/>
      <c r="B196" s="134">
        <v>8</v>
      </c>
      <c r="C196" s="119">
        <v>0</v>
      </c>
      <c r="D196" s="119">
        <v>0</v>
      </c>
      <c r="E196" s="119">
        <v>0</v>
      </c>
      <c r="F196" s="119">
        <v>0</v>
      </c>
      <c r="G196" s="119">
        <v>0</v>
      </c>
      <c r="H196" s="119">
        <v>0</v>
      </c>
      <c r="I196" s="119">
        <v>0</v>
      </c>
      <c r="J196" s="119">
        <v>0</v>
      </c>
      <c r="K196" s="119">
        <v>0</v>
      </c>
      <c r="L196" s="119">
        <v>0</v>
      </c>
      <c r="M196" s="119">
        <v>0</v>
      </c>
      <c r="N196" s="119">
        <v>0</v>
      </c>
      <c r="O196" s="119">
        <v>0</v>
      </c>
      <c r="P196" s="119">
        <v>0</v>
      </c>
      <c r="Q196" s="119">
        <v>0</v>
      </c>
      <c r="R196" s="119">
        <v>0</v>
      </c>
      <c r="S196" s="119">
        <v>0</v>
      </c>
      <c r="T196" s="119">
        <v>0</v>
      </c>
      <c r="U196" s="119">
        <v>0</v>
      </c>
      <c r="V196" s="119">
        <v>0</v>
      </c>
      <c r="W196" s="119">
        <v>0</v>
      </c>
      <c r="X196" s="119">
        <v>0</v>
      </c>
      <c r="Y196" s="119">
        <v>0</v>
      </c>
      <c r="Z196" s="119">
        <v>0</v>
      </c>
      <c r="AA196" s="119">
        <v>0</v>
      </c>
      <c r="AB196" s="119">
        <v>0</v>
      </c>
      <c r="AC196" s="119">
        <v>0</v>
      </c>
      <c r="AD196" s="119">
        <v>0</v>
      </c>
      <c r="AE196" s="119">
        <v>0</v>
      </c>
      <c r="AF196" s="119">
        <v>0</v>
      </c>
      <c r="AG196" s="119">
        <v>0</v>
      </c>
      <c r="AH196" s="119">
        <v>0</v>
      </c>
      <c r="AI196" s="119">
        <v>0</v>
      </c>
      <c r="AJ196" s="119">
        <v>0</v>
      </c>
      <c r="AK196" s="119">
        <v>0</v>
      </c>
      <c r="AL196" s="119">
        <v>0</v>
      </c>
      <c r="AM196" s="119">
        <v>0</v>
      </c>
      <c r="AN196" s="119">
        <v>0</v>
      </c>
      <c r="AO196" s="119">
        <v>0</v>
      </c>
      <c r="AP196" s="119">
        <v>0</v>
      </c>
      <c r="AQ196" s="119">
        <v>0</v>
      </c>
      <c r="AR196" s="119">
        <v>0</v>
      </c>
      <c r="AS196" s="119">
        <v>0</v>
      </c>
      <c r="AT196" s="119">
        <v>0</v>
      </c>
      <c r="AU196" s="119">
        <v>0</v>
      </c>
      <c r="AV196" s="119">
        <v>0</v>
      </c>
      <c r="AW196" s="119">
        <v>0</v>
      </c>
      <c r="AX196" s="119">
        <v>0</v>
      </c>
      <c r="AY196" s="119">
        <v>0</v>
      </c>
    </row>
    <row r="197" spans="1:51" x14ac:dyDescent="0.2">
      <c r="A197" s="136" t="s">
        <v>134</v>
      </c>
      <c r="B197" s="124">
        <v>1</v>
      </c>
      <c r="C197" s="111">
        <v>0</v>
      </c>
      <c r="D197" s="111">
        <v>0</v>
      </c>
      <c r="E197" s="111">
        <v>0</v>
      </c>
      <c r="F197" s="111">
        <v>0</v>
      </c>
      <c r="G197" s="111">
        <v>0</v>
      </c>
      <c r="H197" s="111">
        <v>0</v>
      </c>
      <c r="I197" s="111">
        <v>50.614148379907462</v>
      </c>
      <c r="J197" s="111">
        <v>50.614148379907462</v>
      </c>
      <c r="K197" s="111">
        <v>68.055443024979127</v>
      </c>
      <c r="L197" s="111">
        <v>68.055443024979127</v>
      </c>
      <c r="M197" s="111">
        <v>50.614148379907462</v>
      </c>
      <c r="N197" s="111">
        <v>77.817016556377467</v>
      </c>
      <c r="O197" s="111">
        <v>68.055443024979127</v>
      </c>
      <c r="P197" s="111">
        <v>68.055443024979127</v>
      </c>
      <c r="Q197" s="111">
        <v>68.055443024979127</v>
      </c>
      <c r="R197" s="111">
        <v>68.055443024979127</v>
      </c>
      <c r="S197" s="111">
        <v>50.614148379907462</v>
      </c>
      <c r="T197" s="111">
        <v>77.817016556377467</v>
      </c>
      <c r="U197" s="111">
        <v>68.055443024979127</v>
      </c>
      <c r="V197" s="111">
        <v>68.055443024979127</v>
      </c>
      <c r="W197" s="111">
        <v>68.055443024979127</v>
      </c>
      <c r="X197" s="111">
        <v>68.055443024979127</v>
      </c>
      <c r="Y197" s="111">
        <v>68.055443024979127</v>
      </c>
      <c r="Z197" s="111">
        <v>68.055443024979127</v>
      </c>
      <c r="AA197" s="111">
        <v>68.055443024979127</v>
      </c>
      <c r="AB197" s="111">
        <v>68.055443024979127</v>
      </c>
      <c r="AC197" s="111">
        <v>68.055443024979127</v>
      </c>
      <c r="AD197" s="111">
        <v>68.055443024979127</v>
      </c>
      <c r="AE197" s="111">
        <v>68.055443024979127</v>
      </c>
      <c r="AF197" s="111">
        <v>68.055443024979127</v>
      </c>
      <c r="AG197" s="111">
        <v>68.055443024979127</v>
      </c>
      <c r="AH197" s="111">
        <v>68.055443024979127</v>
      </c>
      <c r="AI197" s="111">
        <v>68.055443024979127</v>
      </c>
      <c r="AJ197" s="111">
        <v>68.055443024979127</v>
      </c>
      <c r="AK197" s="111">
        <v>68.055443024979127</v>
      </c>
      <c r="AL197" s="111">
        <v>68.055443024979127</v>
      </c>
      <c r="AM197" s="111">
        <v>68.055443024979127</v>
      </c>
      <c r="AN197" s="111">
        <v>50.614148379907462</v>
      </c>
      <c r="AO197" s="111">
        <v>77.817016556377467</v>
      </c>
      <c r="AP197" s="111">
        <v>68.055443024979127</v>
      </c>
      <c r="AQ197" s="111">
        <v>68.055443024979127</v>
      </c>
      <c r="AR197" s="111">
        <v>68.055443024979127</v>
      </c>
      <c r="AS197" s="111">
        <v>68.055443024979127</v>
      </c>
      <c r="AT197" s="111">
        <v>68.055443024979127</v>
      </c>
      <c r="AU197" s="111">
        <v>68.055443024979127</v>
      </c>
      <c r="AV197" s="111">
        <v>68.055443024979127</v>
      </c>
      <c r="AW197" s="111">
        <v>68.055443024979127</v>
      </c>
      <c r="AX197" s="111">
        <v>68.055443024979127</v>
      </c>
      <c r="AY197" s="111">
        <v>68.055443024979127</v>
      </c>
    </row>
    <row r="198" spans="1:51" x14ac:dyDescent="0.2">
      <c r="A198" s="114"/>
      <c r="B198" s="124">
        <v>2</v>
      </c>
      <c r="C198" s="111">
        <v>0</v>
      </c>
      <c r="D198" s="111">
        <v>0</v>
      </c>
      <c r="E198" s="111">
        <v>0</v>
      </c>
      <c r="F198" s="111">
        <v>0</v>
      </c>
      <c r="G198" s="111">
        <v>0</v>
      </c>
      <c r="H198" s="111">
        <v>0</v>
      </c>
      <c r="I198" s="111">
        <v>0</v>
      </c>
      <c r="J198" s="111">
        <v>0</v>
      </c>
      <c r="K198" s="111">
        <v>0</v>
      </c>
      <c r="L198" s="111">
        <v>0</v>
      </c>
      <c r="M198" s="111">
        <v>0</v>
      </c>
      <c r="N198" s="111">
        <v>0</v>
      </c>
      <c r="O198" s="111">
        <v>0</v>
      </c>
      <c r="P198" s="111">
        <v>0</v>
      </c>
      <c r="Q198" s="111">
        <v>0</v>
      </c>
      <c r="R198" s="111">
        <v>0</v>
      </c>
      <c r="S198" s="111">
        <v>0</v>
      </c>
      <c r="T198" s="111">
        <v>0</v>
      </c>
      <c r="U198" s="111">
        <v>0</v>
      </c>
      <c r="V198" s="111">
        <v>0</v>
      </c>
      <c r="W198" s="111">
        <v>0</v>
      </c>
      <c r="X198" s="111">
        <v>0</v>
      </c>
      <c r="Y198" s="111">
        <v>0</v>
      </c>
      <c r="Z198" s="111">
        <v>0</v>
      </c>
      <c r="AA198" s="111">
        <v>0</v>
      </c>
      <c r="AB198" s="111">
        <v>0</v>
      </c>
      <c r="AC198" s="111">
        <v>0</v>
      </c>
      <c r="AD198" s="111">
        <v>0</v>
      </c>
      <c r="AE198" s="111">
        <v>0</v>
      </c>
      <c r="AF198" s="111">
        <v>0</v>
      </c>
      <c r="AG198" s="111">
        <v>0</v>
      </c>
      <c r="AH198" s="111">
        <v>0</v>
      </c>
      <c r="AI198" s="111">
        <v>0</v>
      </c>
      <c r="AJ198" s="111">
        <v>0</v>
      </c>
      <c r="AK198" s="111">
        <v>0</v>
      </c>
      <c r="AL198" s="111">
        <v>0</v>
      </c>
      <c r="AM198" s="111">
        <v>0</v>
      </c>
      <c r="AN198" s="111">
        <v>0</v>
      </c>
      <c r="AO198" s="111">
        <v>0</v>
      </c>
      <c r="AP198" s="111">
        <v>0</v>
      </c>
      <c r="AQ198" s="111">
        <v>0</v>
      </c>
      <c r="AR198" s="111">
        <v>0</v>
      </c>
      <c r="AS198" s="111">
        <v>0</v>
      </c>
      <c r="AT198" s="111">
        <v>0</v>
      </c>
      <c r="AU198" s="111">
        <v>0</v>
      </c>
      <c r="AV198" s="111">
        <v>0</v>
      </c>
      <c r="AW198" s="111">
        <v>0</v>
      </c>
      <c r="AX198" s="111">
        <v>0</v>
      </c>
      <c r="AY198" s="111">
        <v>0</v>
      </c>
    </row>
    <row r="199" spans="1:51" x14ac:dyDescent="0.2">
      <c r="A199" s="114"/>
      <c r="B199" s="124">
        <v>3</v>
      </c>
      <c r="C199" s="111">
        <v>0</v>
      </c>
      <c r="D199" s="111">
        <v>0</v>
      </c>
      <c r="E199" s="111">
        <v>0</v>
      </c>
      <c r="F199" s="111">
        <v>3.5223129531331381</v>
      </c>
      <c r="G199" s="111">
        <v>0</v>
      </c>
      <c r="H199" s="111">
        <v>0</v>
      </c>
      <c r="I199" s="111">
        <v>0</v>
      </c>
      <c r="J199" s="111">
        <v>0</v>
      </c>
      <c r="K199" s="111">
        <v>0</v>
      </c>
      <c r="L199" s="111">
        <v>0</v>
      </c>
      <c r="M199" s="111">
        <v>0</v>
      </c>
      <c r="N199" s="111">
        <v>0</v>
      </c>
      <c r="O199" s="111">
        <v>0</v>
      </c>
      <c r="P199" s="111">
        <v>0</v>
      </c>
      <c r="Q199" s="111">
        <v>0</v>
      </c>
      <c r="R199" s="111">
        <v>0</v>
      </c>
      <c r="S199" s="111">
        <v>0</v>
      </c>
      <c r="T199" s="111">
        <v>0</v>
      </c>
      <c r="U199" s="111">
        <v>0</v>
      </c>
      <c r="V199" s="111">
        <v>0</v>
      </c>
      <c r="W199" s="111">
        <v>0</v>
      </c>
      <c r="X199" s="111">
        <v>0</v>
      </c>
      <c r="Y199" s="111">
        <v>0</v>
      </c>
      <c r="Z199" s="111">
        <v>0</v>
      </c>
      <c r="AA199" s="111">
        <v>0</v>
      </c>
      <c r="AB199" s="111">
        <v>0</v>
      </c>
      <c r="AC199" s="111">
        <v>0</v>
      </c>
      <c r="AD199" s="111">
        <v>0</v>
      </c>
      <c r="AE199" s="111">
        <v>0</v>
      </c>
      <c r="AF199" s="111">
        <v>0</v>
      </c>
      <c r="AG199" s="111">
        <v>0</v>
      </c>
      <c r="AH199" s="111">
        <v>0</v>
      </c>
      <c r="AI199" s="111">
        <v>0</v>
      </c>
      <c r="AJ199" s="111">
        <v>0</v>
      </c>
      <c r="AK199" s="111">
        <v>0</v>
      </c>
      <c r="AL199" s="111">
        <v>0</v>
      </c>
      <c r="AM199" s="111">
        <v>0</v>
      </c>
      <c r="AN199" s="111">
        <v>0</v>
      </c>
      <c r="AO199" s="111">
        <v>0</v>
      </c>
      <c r="AP199" s="111">
        <v>0</v>
      </c>
      <c r="AQ199" s="111">
        <v>0</v>
      </c>
      <c r="AR199" s="111">
        <v>0</v>
      </c>
      <c r="AS199" s="111">
        <v>0</v>
      </c>
      <c r="AT199" s="111">
        <v>0</v>
      </c>
      <c r="AU199" s="111">
        <v>0</v>
      </c>
      <c r="AV199" s="111">
        <v>0</v>
      </c>
      <c r="AW199" s="111">
        <v>0</v>
      </c>
      <c r="AX199" s="111">
        <v>0</v>
      </c>
      <c r="AY199" s="111">
        <v>0</v>
      </c>
    </row>
    <row r="200" spans="1:51" x14ac:dyDescent="0.2">
      <c r="A200" s="114"/>
      <c r="B200" s="125">
        <v>4</v>
      </c>
      <c r="C200" s="111">
        <v>74.522528221109795</v>
      </c>
      <c r="D200" s="111">
        <v>64.762877895055013</v>
      </c>
      <c r="E200" s="111">
        <v>71.349356247747721</v>
      </c>
      <c r="F200" s="111">
        <v>84.413521647307292</v>
      </c>
      <c r="G200" s="111">
        <v>65</v>
      </c>
      <c r="H200" s="111">
        <v>0</v>
      </c>
      <c r="I200" s="111">
        <v>0</v>
      </c>
      <c r="J200" s="111">
        <v>0</v>
      </c>
      <c r="K200" s="111">
        <v>0</v>
      </c>
      <c r="L200" s="111">
        <v>0</v>
      </c>
      <c r="M200" s="111">
        <v>0</v>
      </c>
      <c r="N200" s="111">
        <v>0</v>
      </c>
      <c r="O200" s="111">
        <v>0</v>
      </c>
      <c r="P200" s="111">
        <v>0</v>
      </c>
      <c r="Q200" s="111">
        <v>0</v>
      </c>
      <c r="R200" s="111">
        <v>0</v>
      </c>
      <c r="S200" s="111">
        <v>0</v>
      </c>
      <c r="T200" s="111">
        <v>0</v>
      </c>
      <c r="U200" s="111">
        <v>0</v>
      </c>
      <c r="V200" s="111">
        <v>0</v>
      </c>
      <c r="W200" s="111">
        <v>0</v>
      </c>
      <c r="X200" s="111">
        <v>0</v>
      </c>
      <c r="Y200" s="111">
        <v>0</v>
      </c>
      <c r="Z200" s="111">
        <v>0</v>
      </c>
      <c r="AA200" s="111">
        <v>0</v>
      </c>
      <c r="AB200" s="111">
        <v>0</v>
      </c>
      <c r="AC200" s="111">
        <v>0</v>
      </c>
      <c r="AD200" s="111">
        <v>0</v>
      </c>
      <c r="AE200" s="111">
        <v>0</v>
      </c>
      <c r="AF200" s="111">
        <v>0</v>
      </c>
      <c r="AG200" s="111">
        <v>0</v>
      </c>
      <c r="AH200" s="111">
        <v>0</v>
      </c>
      <c r="AI200" s="111">
        <v>0</v>
      </c>
      <c r="AJ200" s="111">
        <v>0</v>
      </c>
      <c r="AK200" s="111">
        <v>0</v>
      </c>
      <c r="AL200" s="111">
        <v>0</v>
      </c>
      <c r="AM200" s="111">
        <v>0</v>
      </c>
      <c r="AN200" s="111">
        <v>0</v>
      </c>
      <c r="AO200" s="111">
        <v>0</v>
      </c>
      <c r="AP200" s="111">
        <v>0</v>
      </c>
      <c r="AQ200" s="111">
        <v>0</v>
      </c>
      <c r="AR200" s="111">
        <v>0</v>
      </c>
      <c r="AS200" s="111">
        <v>0</v>
      </c>
      <c r="AT200" s="111">
        <v>0</v>
      </c>
      <c r="AU200" s="111">
        <v>0</v>
      </c>
      <c r="AV200" s="111">
        <v>0</v>
      </c>
      <c r="AW200" s="111">
        <v>0</v>
      </c>
      <c r="AX200" s="111">
        <v>0</v>
      </c>
      <c r="AY200" s="111">
        <v>0</v>
      </c>
    </row>
    <row r="201" spans="1:51" x14ac:dyDescent="0.2">
      <c r="A201" s="114"/>
      <c r="B201" s="125">
        <v>5</v>
      </c>
      <c r="C201" s="111">
        <v>9.4774717788902088</v>
      </c>
      <c r="D201" s="111">
        <v>17.237122104944987</v>
      </c>
      <c r="E201" s="111">
        <v>19.650643752252279</v>
      </c>
      <c r="F201" s="111">
        <v>13.06416539955957</v>
      </c>
      <c r="G201" s="111">
        <v>0</v>
      </c>
      <c r="H201" s="111">
        <v>15.891208694174153</v>
      </c>
      <c r="I201" s="111">
        <v>0</v>
      </c>
      <c r="J201" s="111">
        <v>0</v>
      </c>
      <c r="K201" s="111">
        <v>0</v>
      </c>
      <c r="L201" s="111">
        <v>0</v>
      </c>
      <c r="M201" s="111">
        <v>0</v>
      </c>
      <c r="N201" s="111">
        <v>0</v>
      </c>
      <c r="O201" s="111">
        <v>0</v>
      </c>
      <c r="P201" s="111">
        <v>0</v>
      </c>
      <c r="Q201" s="111">
        <v>0</v>
      </c>
      <c r="R201" s="111">
        <v>0</v>
      </c>
      <c r="S201" s="111">
        <v>0</v>
      </c>
      <c r="T201" s="111">
        <v>0</v>
      </c>
      <c r="U201" s="111">
        <v>0</v>
      </c>
      <c r="V201" s="111">
        <v>0</v>
      </c>
      <c r="W201" s="111">
        <v>0</v>
      </c>
      <c r="X201" s="111">
        <v>0</v>
      </c>
      <c r="Y201" s="111">
        <v>0</v>
      </c>
      <c r="Z201" s="111">
        <v>0</v>
      </c>
      <c r="AA201" s="111">
        <v>0</v>
      </c>
      <c r="AB201" s="111">
        <v>0</v>
      </c>
      <c r="AC201" s="111">
        <v>0</v>
      </c>
      <c r="AD201" s="111">
        <v>0</v>
      </c>
      <c r="AE201" s="111">
        <v>0</v>
      </c>
      <c r="AF201" s="111">
        <v>0</v>
      </c>
      <c r="AG201" s="111">
        <v>0</v>
      </c>
      <c r="AH201" s="111">
        <v>0</v>
      </c>
      <c r="AI201" s="111">
        <v>0</v>
      </c>
      <c r="AJ201" s="111">
        <v>0</v>
      </c>
      <c r="AK201" s="111">
        <v>0</v>
      </c>
      <c r="AL201" s="111">
        <v>0</v>
      </c>
      <c r="AM201" s="111">
        <v>0</v>
      </c>
      <c r="AN201" s="111">
        <v>0</v>
      </c>
      <c r="AO201" s="111">
        <v>0</v>
      </c>
      <c r="AP201" s="111">
        <v>0</v>
      </c>
      <c r="AQ201" s="111">
        <v>0</v>
      </c>
      <c r="AR201" s="111">
        <v>0</v>
      </c>
      <c r="AS201" s="111">
        <v>0</v>
      </c>
      <c r="AT201" s="111">
        <v>0</v>
      </c>
      <c r="AU201" s="111">
        <v>0</v>
      </c>
      <c r="AV201" s="111">
        <v>0</v>
      </c>
      <c r="AW201" s="111">
        <v>0</v>
      </c>
      <c r="AX201" s="111">
        <v>0</v>
      </c>
      <c r="AY201" s="111">
        <v>0</v>
      </c>
    </row>
    <row r="202" spans="1:51" x14ac:dyDescent="0.2">
      <c r="A202" s="114"/>
      <c r="B202" s="125">
        <v>6</v>
      </c>
      <c r="C202" s="111">
        <v>0</v>
      </c>
      <c r="D202" s="111">
        <v>0</v>
      </c>
      <c r="E202" s="111">
        <v>0</v>
      </c>
      <c r="F202" s="111">
        <v>0</v>
      </c>
      <c r="G202" s="111">
        <v>0</v>
      </c>
      <c r="H202" s="111">
        <v>0</v>
      </c>
      <c r="I202" s="111">
        <v>0</v>
      </c>
      <c r="J202" s="111">
        <v>0</v>
      </c>
      <c r="K202" s="111">
        <v>0</v>
      </c>
      <c r="L202" s="111">
        <v>0</v>
      </c>
      <c r="M202" s="111">
        <v>0</v>
      </c>
      <c r="N202" s="111">
        <v>0</v>
      </c>
      <c r="O202" s="111">
        <v>0</v>
      </c>
      <c r="P202" s="111">
        <v>0</v>
      </c>
      <c r="Q202" s="111">
        <v>0</v>
      </c>
      <c r="R202" s="111">
        <v>0</v>
      </c>
      <c r="S202" s="111">
        <v>0</v>
      </c>
      <c r="T202" s="111">
        <v>0</v>
      </c>
      <c r="U202" s="111">
        <v>0</v>
      </c>
      <c r="V202" s="111">
        <v>0</v>
      </c>
      <c r="W202" s="111">
        <v>0</v>
      </c>
      <c r="X202" s="111">
        <v>0</v>
      </c>
      <c r="Y202" s="111">
        <v>0</v>
      </c>
      <c r="Z202" s="111">
        <v>0</v>
      </c>
      <c r="AA202" s="111">
        <v>0</v>
      </c>
      <c r="AB202" s="111">
        <v>0</v>
      </c>
      <c r="AC202" s="111">
        <v>0</v>
      </c>
      <c r="AD202" s="111">
        <v>0</v>
      </c>
      <c r="AE202" s="111">
        <v>0</v>
      </c>
      <c r="AF202" s="111">
        <v>0</v>
      </c>
      <c r="AG202" s="111">
        <v>0</v>
      </c>
      <c r="AH202" s="111">
        <v>0</v>
      </c>
      <c r="AI202" s="111">
        <v>0</v>
      </c>
      <c r="AJ202" s="111">
        <v>0</v>
      </c>
      <c r="AK202" s="111">
        <v>0</v>
      </c>
      <c r="AL202" s="111">
        <v>0</v>
      </c>
      <c r="AM202" s="111">
        <v>0</v>
      </c>
      <c r="AN202" s="111">
        <v>0</v>
      </c>
      <c r="AO202" s="111">
        <v>0</v>
      </c>
      <c r="AP202" s="111">
        <v>0</v>
      </c>
      <c r="AQ202" s="111">
        <v>0</v>
      </c>
      <c r="AR202" s="111">
        <v>0</v>
      </c>
      <c r="AS202" s="111">
        <v>0</v>
      </c>
      <c r="AT202" s="111">
        <v>0</v>
      </c>
      <c r="AU202" s="111">
        <v>0</v>
      </c>
      <c r="AV202" s="111">
        <v>0</v>
      </c>
      <c r="AW202" s="111">
        <v>0</v>
      </c>
      <c r="AX202" s="111">
        <v>0</v>
      </c>
      <c r="AY202" s="111">
        <v>0</v>
      </c>
    </row>
    <row r="203" spans="1:51" x14ac:dyDescent="0.2">
      <c r="A203" s="114"/>
      <c r="B203" s="132">
        <v>7</v>
      </c>
      <c r="C203" s="111">
        <v>0</v>
      </c>
      <c r="D203" s="111">
        <v>0</v>
      </c>
      <c r="E203" s="111">
        <v>0</v>
      </c>
      <c r="F203" s="111">
        <v>0</v>
      </c>
      <c r="G203" s="111">
        <v>0</v>
      </c>
      <c r="H203" s="111">
        <v>0</v>
      </c>
      <c r="I203" s="111">
        <v>0</v>
      </c>
      <c r="J203" s="111">
        <v>0</v>
      </c>
      <c r="K203" s="111">
        <v>0</v>
      </c>
      <c r="L203" s="111">
        <v>0</v>
      </c>
      <c r="M203" s="111">
        <v>0</v>
      </c>
      <c r="N203" s="111">
        <v>0</v>
      </c>
      <c r="O203" s="111">
        <v>0</v>
      </c>
      <c r="P203" s="111">
        <v>0</v>
      </c>
      <c r="Q203" s="111">
        <v>0</v>
      </c>
      <c r="R203" s="111">
        <v>0</v>
      </c>
      <c r="S203" s="111">
        <v>0</v>
      </c>
      <c r="T203" s="111">
        <v>0</v>
      </c>
      <c r="U203" s="111">
        <v>0</v>
      </c>
      <c r="V203" s="111">
        <v>0</v>
      </c>
      <c r="W203" s="111">
        <v>0</v>
      </c>
      <c r="X203" s="111">
        <v>0</v>
      </c>
      <c r="Y203" s="111">
        <v>0</v>
      </c>
      <c r="Z203" s="111">
        <v>0</v>
      </c>
      <c r="AA203" s="111">
        <v>0</v>
      </c>
      <c r="AB203" s="111">
        <v>0</v>
      </c>
      <c r="AC203" s="111">
        <v>0</v>
      </c>
      <c r="AD203" s="111">
        <v>0</v>
      </c>
      <c r="AE203" s="111">
        <v>0</v>
      </c>
      <c r="AF203" s="111">
        <v>0</v>
      </c>
      <c r="AG203" s="111">
        <v>0</v>
      </c>
      <c r="AH203" s="111">
        <v>0</v>
      </c>
      <c r="AI203" s="111">
        <v>0</v>
      </c>
      <c r="AJ203" s="111">
        <v>0</v>
      </c>
      <c r="AK203" s="111">
        <v>0</v>
      </c>
      <c r="AL203" s="111">
        <v>0</v>
      </c>
      <c r="AM203" s="111">
        <v>0</v>
      </c>
      <c r="AN203" s="111">
        <v>0</v>
      </c>
      <c r="AO203" s="111">
        <v>0</v>
      </c>
      <c r="AP203" s="111">
        <v>0</v>
      </c>
      <c r="AQ203" s="111">
        <v>0</v>
      </c>
      <c r="AR203" s="111">
        <v>0</v>
      </c>
      <c r="AS203" s="111">
        <v>0</v>
      </c>
      <c r="AT203" s="111">
        <v>0</v>
      </c>
      <c r="AU203" s="111">
        <v>0</v>
      </c>
      <c r="AV203" s="111">
        <v>0</v>
      </c>
      <c r="AW203" s="111">
        <v>0</v>
      </c>
      <c r="AX203" s="111">
        <v>0</v>
      </c>
      <c r="AY203" s="111">
        <v>0</v>
      </c>
    </row>
    <row r="204" spans="1:51" x14ac:dyDescent="0.2">
      <c r="A204" s="114"/>
      <c r="B204" s="132">
        <v>8</v>
      </c>
      <c r="C204" s="111">
        <v>0</v>
      </c>
      <c r="D204" s="111">
        <v>0</v>
      </c>
      <c r="E204" s="111">
        <v>0</v>
      </c>
      <c r="F204" s="111">
        <v>0</v>
      </c>
      <c r="G204" s="111">
        <v>0</v>
      </c>
      <c r="H204" s="111">
        <v>0</v>
      </c>
      <c r="I204" s="111">
        <v>0</v>
      </c>
      <c r="J204" s="111">
        <v>0</v>
      </c>
      <c r="K204" s="111">
        <v>0</v>
      </c>
      <c r="L204" s="111">
        <v>0</v>
      </c>
      <c r="M204" s="111">
        <v>0</v>
      </c>
      <c r="N204" s="111">
        <v>0</v>
      </c>
      <c r="O204" s="111">
        <v>0</v>
      </c>
      <c r="P204" s="111">
        <v>0</v>
      </c>
      <c r="Q204" s="111">
        <v>0</v>
      </c>
      <c r="R204" s="111">
        <v>0</v>
      </c>
      <c r="S204" s="111">
        <v>0</v>
      </c>
      <c r="T204" s="111">
        <v>0</v>
      </c>
      <c r="U204" s="111">
        <v>0</v>
      </c>
      <c r="V204" s="111">
        <v>0</v>
      </c>
      <c r="W204" s="111">
        <v>0</v>
      </c>
      <c r="X204" s="111">
        <v>0</v>
      </c>
      <c r="Y204" s="111">
        <v>0</v>
      </c>
      <c r="Z204" s="111">
        <v>0</v>
      </c>
      <c r="AA204" s="111">
        <v>0</v>
      </c>
      <c r="AB204" s="111">
        <v>0</v>
      </c>
      <c r="AC204" s="111">
        <v>0</v>
      </c>
      <c r="AD204" s="111">
        <v>0</v>
      </c>
      <c r="AE204" s="111">
        <v>0</v>
      </c>
      <c r="AF204" s="111">
        <v>0</v>
      </c>
      <c r="AG204" s="111">
        <v>0</v>
      </c>
      <c r="AH204" s="111">
        <v>0</v>
      </c>
      <c r="AI204" s="111">
        <v>0</v>
      </c>
      <c r="AJ204" s="111">
        <v>0</v>
      </c>
      <c r="AK204" s="111">
        <v>0</v>
      </c>
      <c r="AL204" s="111">
        <v>0</v>
      </c>
      <c r="AM204" s="111">
        <v>0</v>
      </c>
      <c r="AN204" s="111">
        <v>0</v>
      </c>
      <c r="AO204" s="111">
        <v>0</v>
      </c>
      <c r="AP204" s="111">
        <v>0</v>
      </c>
      <c r="AQ204" s="111">
        <v>0</v>
      </c>
      <c r="AR204" s="111">
        <v>0</v>
      </c>
      <c r="AS204" s="111">
        <v>0</v>
      </c>
      <c r="AT204" s="111">
        <v>0</v>
      </c>
      <c r="AU204" s="111">
        <v>0</v>
      </c>
      <c r="AV204" s="111">
        <v>0</v>
      </c>
      <c r="AW204" s="111">
        <v>0</v>
      </c>
      <c r="AX204" s="111">
        <v>0</v>
      </c>
      <c r="AY204" s="111">
        <v>0</v>
      </c>
    </row>
    <row r="205" spans="1:51" x14ac:dyDescent="0.2">
      <c r="A205" s="114"/>
      <c r="B205" s="132">
        <v>9</v>
      </c>
      <c r="C205" s="111">
        <v>0</v>
      </c>
      <c r="D205" s="111">
        <v>0</v>
      </c>
      <c r="E205" s="111">
        <v>0</v>
      </c>
      <c r="F205" s="111">
        <v>0</v>
      </c>
      <c r="G205" s="111">
        <v>0</v>
      </c>
      <c r="H205" s="111">
        <v>0</v>
      </c>
      <c r="I205" s="111">
        <v>0</v>
      </c>
      <c r="J205" s="111">
        <v>0</v>
      </c>
      <c r="K205" s="111">
        <v>0</v>
      </c>
      <c r="L205" s="111">
        <v>0</v>
      </c>
      <c r="M205" s="111">
        <v>0</v>
      </c>
      <c r="N205" s="111">
        <v>0</v>
      </c>
      <c r="O205" s="111">
        <v>0</v>
      </c>
      <c r="P205" s="111">
        <v>0</v>
      </c>
      <c r="Q205" s="111">
        <v>0</v>
      </c>
      <c r="R205" s="111">
        <v>0</v>
      </c>
      <c r="S205" s="111">
        <v>0</v>
      </c>
      <c r="T205" s="111">
        <v>0</v>
      </c>
      <c r="U205" s="111">
        <v>0</v>
      </c>
      <c r="V205" s="111">
        <v>0</v>
      </c>
      <c r="W205" s="111">
        <v>0</v>
      </c>
      <c r="X205" s="111">
        <v>0</v>
      </c>
      <c r="Y205" s="111">
        <v>0</v>
      </c>
      <c r="Z205" s="111">
        <v>0</v>
      </c>
      <c r="AA205" s="111">
        <v>0</v>
      </c>
      <c r="AB205" s="111">
        <v>0</v>
      </c>
      <c r="AC205" s="111">
        <v>0</v>
      </c>
      <c r="AD205" s="111">
        <v>0</v>
      </c>
      <c r="AE205" s="111">
        <v>0</v>
      </c>
      <c r="AF205" s="111">
        <v>0</v>
      </c>
      <c r="AG205" s="111">
        <v>0</v>
      </c>
      <c r="AH205" s="111">
        <v>0</v>
      </c>
      <c r="AI205" s="111">
        <v>0</v>
      </c>
      <c r="AJ205" s="111">
        <v>0</v>
      </c>
      <c r="AK205" s="111">
        <v>0</v>
      </c>
      <c r="AL205" s="111">
        <v>0</v>
      </c>
      <c r="AM205" s="111">
        <v>0</v>
      </c>
      <c r="AN205" s="111">
        <v>0</v>
      </c>
      <c r="AO205" s="111">
        <v>0</v>
      </c>
      <c r="AP205" s="111">
        <v>0</v>
      </c>
      <c r="AQ205" s="111">
        <v>0</v>
      </c>
      <c r="AR205" s="111">
        <v>0</v>
      </c>
      <c r="AS205" s="111">
        <v>0</v>
      </c>
      <c r="AT205" s="111">
        <v>0</v>
      </c>
      <c r="AU205" s="111">
        <v>0</v>
      </c>
      <c r="AV205" s="111">
        <v>0</v>
      </c>
      <c r="AW205" s="111">
        <v>0</v>
      </c>
      <c r="AX205" s="111">
        <v>0</v>
      </c>
      <c r="AY205" s="111">
        <v>0</v>
      </c>
    </row>
    <row r="206" spans="1:51" x14ac:dyDescent="0.2">
      <c r="A206" s="114"/>
      <c r="B206" s="135">
        <v>10</v>
      </c>
      <c r="C206" s="111">
        <v>0</v>
      </c>
      <c r="D206" s="111">
        <v>0</v>
      </c>
      <c r="E206" s="111">
        <v>0</v>
      </c>
      <c r="F206" s="111">
        <v>0</v>
      </c>
      <c r="G206" s="111">
        <v>0</v>
      </c>
      <c r="H206" s="111">
        <v>0</v>
      </c>
      <c r="I206" s="111">
        <v>0</v>
      </c>
      <c r="J206" s="111">
        <v>0</v>
      </c>
      <c r="K206" s="111">
        <v>0</v>
      </c>
      <c r="L206" s="111">
        <v>0</v>
      </c>
      <c r="M206" s="111">
        <v>0</v>
      </c>
      <c r="N206" s="111">
        <v>0</v>
      </c>
      <c r="O206" s="111">
        <v>0</v>
      </c>
      <c r="P206" s="111">
        <v>0</v>
      </c>
      <c r="Q206" s="111">
        <v>0</v>
      </c>
      <c r="R206" s="111">
        <v>0</v>
      </c>
      <c r="S206" s="111">
        <v>0</v>
      </c>
      <c r="T206" s="111">
        <v>0</v>
      </c>
      <c r="U206" s="111">
        <v>0</v>
      </c>
      <c r="V206" s="111">
        <v>0</v>
      </c>
      <c r="W206" s="111">
        <v>0</v>
      </c>
      <c r="X206" s="111">
        <v>0</v>
      </c>
      <c r="Y206" s="111">
        <v>0</v>
      </c>
      <c r="Z206" s="111">
        <v>0</v>
      </c>
      <c r="AA206" s="111">
        <v>0</v>
      </c>
      <c r="AB206" s="111">
        <v>0</v>
      </c>
      <c r="AC206" s="111">
        <v>0</v>
      </c>
      <c r="AD206" s="111">
        <v>0</v>
      </c>
      <c r="AE206" s="111">
        <v>0</v>
      </c>
      <c r="AF206" s="111">
        <v>0</v>
      </c>
      <c r="AG206" s="111">
        <v>0</v>
      </c>
      <c r="AH206" s="111">
        <v>0</v>
      </c>
      <c r="AI206" s="111">
        <v>0</v>
      </c>
      <c r="AJ206" s="111">
        <v>0</v>
      </c>
      <c r="AK206" s="111">
        <v>0</v>
      </c>
      <c r="AL206" s="111">
        <v>0</v>
      </c>
      <c r="AM206" s="111">
        <v>0</v>
      </c>
      <c r="AN206" s="111">
        <v>0</v>
      </c>
      <c r="AO206" s="111">
        <v>0</v>
      </c>
      <c r="AP206" s="111">
        <v>0</v>
      </c>
      <c r="AQ206" s="111">
        <v>0</v>
      </c>
      <c r="AR206" s="111">
        <v>0</v>
      </c>
      <c r="AS206" s="111">
        <v>0</v>
      </c>
      <c r="AT206" s="111">
        <v>0</v>
      </c>
      <c r="AU206" s="111">
        <v>0</v>
      </c>
      <c r="AV206" s="111">
        <v>0</v>
      </c>
      <c r="AW206" s="111">
        <v>0</v>
      </c>
      <c r="AX206" s="111">
        <v>0</v>
      </c>
      <c r="AY206" s="111">
        <v>0</v>
      </c>
    </row>
    <row r="207" spans="1:51" x14ac:dyDescent="0.2">
      <c r="A207" s="114"/>
      <c r="B207" s="135">
        <v>11</v>
      </c>
      <c r="C207" s="111">
        <v>0</v>
      </c>
      <c r="D207" s="111">
        <v>0</v>
      </c>
      <c r="E207" s="111">
        <v>0</v>
      </c>
      <c r="F207" s="111">
        <v>0</v>
      </c>
      <c r="G207" s="111">
        <v>0</v>
      </c>
      <c r="H207" s="111">
        <v>0</v>
      </c>
      <c r="I207" s="111">
        <v>0</v>
      </c>
      <c r="J207" s="111">
        <v>0</v>
      </c>
      <c r="K207" s="111">
        <v>0</v>
      </c>
      <c r="L207" s="111">
        <v>0</v>
      </c>
      <c r="M207" s="111">
        <v>0</v>
      </c>
      <c r="N207" s="111">
        <v>0</v>
      </c>
      <c r="O207" s="111">
        <v>0</v>
      </c>
      <c r="P207" s="111">
        <v>0</v>
      </c>
      <c r="Q207" s="111">
        <v>0</v>
      </c>
      <c r="R207" s="111">
        <v>0</v>
      </c>
      <c r="S207" s="111">
        <v>0</v>
      </c>
      <c r="T207" s="111">
        <v>0</v>
      </c>
      <c r="U207" s="111">
        <v>0</v>
      </c>
      <c r="V207" s="111">
        <v>0</v>
      </c>
      <c r="W207" s="111">
        <v>0</v>
      </c>
      <c r="X207" s="111">
        <v>0</v>
      </c>
      <c r="Y207" s="111">
        <v>0</v>
      </c>
      <c r="Z207" s="111">
        <v>0</v>
      </c>
      <c r="AA207" s="111">
        <v>0</v>
      </c>
      <c r="AB207" s="111">
        <v>0</v>
      </c>
      <c r="AC207" s="111">
        <v>0</v>
      </c>
      <c r="AD207" s="111">
        <v>0</v>
      </c>
      <c r="AE207" s="111">
        <v>0</v>
      </c>
      <c r="AF207" s="111">
        <v>0</v>
      </c>
      <c r="AG207" s="111">
        <v>0</v>
      </c>
      <c r="AH207" s="111">
        <v>0</v>
      </c>
      <c r="AI207" s="111">
        <v>0</v>
      </c>
      <c r="AJ207" s="111">
        <v>0</v>
      </c>
      <c r="AK207" s="111">
        <v>0</v>
      </c>
      <c r="AL207" s="111">
        <v>0</v>
      </c>
      <c r="AM207" s="111">
        <v>0</v>
      </c>
      <c r="AN207" s="111">
        <v>0</v>
      </c>
      <c r="AO207" s="111">
        <v>0</v>
      </c>
      <c r="AP207" s="111">
        <v>0</v>
      </c>
      <c r="AQ207" s="111">
        <v>0</v>
      </c>
      <c r="AR207" s="111">
        <v>0</v>
      </c>
      <c r="AS207" s="111">
        <v>0</v>
      </c>
      <c r="AT207" s="111">
        <v>0</v>
      </c>
      <c r="AU207" s="111">
        <v>0</v>
      </c>
      <c r="AV207" s="111">
        <v>0</v>
      </c>
      <c r="AW207" s="111">
        <v>0</v>
      </c>
      <c r="AX207" s="111">
        <v>0</v>
      </c>
      <c r="AY207" s="111">
        <v>0</v>
      </c>
    </row>
    <row r="208" spans="1:51" x14ac:dyDescent="0.2">
      <c r="A208" s="114"/>
      <c r="B208" s="135">
        <v>12</v>
      </c>
      <c r="C208" s="111">
        <v>0</v>
      </c>
      <c r="D208" s="111">
        <v>0</v>
      </c>
      <c r="E208" s="111">
        <v>0</v>
      </c>
      <c r="F208" s="111">
        <v>0</v>
      </c>
      <c r="G208" s="111">
        <v>0</v>
      </c>
      <c r="H208" s="111">
        <v>0</v>
      </c>
      <c r="I208" s="111">
        <v>0</v>
      </c>
      <c r="J208" s="111">
        <v>0</v>
      </c>
      <c r="K208" s="111">
        <v>0</v>
      </c>
      <c r="L208" s="111">
        <v>0</v>
      </c>
      <c r="M208" s="111">
        <v>0</v>
      </c>
      <c r="N208" s="111">
        <v>0</v>
      </c>
      <c r="O208" s="111">
        <v>0</v>
      </c>
      <c r="P208" s="111">
        <v>0</v>
      </c>
      <c r="Q208" s="111">
        <v>0</v>
      </c>
      <c r="R208" s="111">
        <v>0</v>
      </c>
      <c r="S208" s="111">
        <v>0</v>
      </c>
      <c r="T208" s="111">
        <v>0</v>
      </c>
      <c r="U208" s="111">
        <v>0</v>
      </c>
      <c r="V208" s="111">
        <v>0</v>
      </c>
      <c r="W208" s="111">
        <v>0</v>
      </c>
      <c r="X208" s="111">
        <v>0</v>
      </c>
      <c r="Y208" s="111">
        <v>0</v>
      </c>
      <c r="Z208" s="111">
        <v>0</v>
      </c>
      <c r="AA208" s="111">
        <v>0</v>
      </c>
      <c r="AB208" s="111">
        <v>0</v>
      </c>
      <c r="AC208" s="111">
        <v>0</v>
      </c>
      <c r="AD208" s="111">
        <v>0</v>
      </c>
      <c r="AE208" s="111">
        <v>0</v>
      </c>
      <c r="AF208" s="111">
        <v>0</v>
      </c>
      <c r="AG208" s="111">
        <v>0</v>
      </c>
      <c r="AH208" s="111">
        <v>0</v>
      </c>
      <c r="AI208" s="111">
        <v>0</v>
      </c>
      <c r="AJ208" s="111">
        <v>0</v>
      </c>
      <c r="AK208" s="111">
        <v>0</v>
      </c>
      <c r="AL208" s="111">
        <v>0</v>
      </c>
      <c r="AM208" s="111">
        <v>0</v>
      </c>
      <c r="AN208" s="111">
        <v>0</v>
      </c>
      <c r="AO208" s="111">
        <v>0</v>
      </c>
      <c r="AP208" s="111">
        <v>0</v>
      </c>
      <c r="AQ208" s="111">
        <v>0</v>
      </c>
      <c r="AR208" s="111">
        <v>0</v>
      </c>
      <c r="AS208" s="111">
        <v>0</v>
      </c>
      <c r="AT208" s="111">
        <v>0</v>
      </c>
      <c r="AU208" s="111">
        <v>0</v>
      </c>
      <c r="AV208" s="111">
        <v>0</v>
      </c>
      <c r="AW208" s="111">
        <v>0</v>
      </c>
      <c r="AX208" s="111">
        <v>0</v>
      </c>
      <c r="AY208" s="111">
        <v>0</v>
      </c>
    </row>
    <row r="209" spans="1:51" x14ac:dyDescent="0.2">
      <c r="A209" s="131" t="s">
        <v>123</v>
      </c>
      <c r="B209" s="128">
        <v>1</v>
      </c>
      <c r="C209" s="129">
        <v>282.60178986272439</v>
      </c>
      <c r="D209" s="129">
        <v>74</v>
      </c>
      <c r="E209" s="129">
        <v>0</v>
      </c>
      <c r="F209" s="129">
        <v>55</v>
      </c>
      <c r="G209" s="129">
        <v>0</v>
      </c>
      <c r="H209" s="129">
        <v>175.66138434736527</v>
      </c>
      <c r="I209" s="129">
        <v>175.66138434736527</v>
      </c>
      <c r="J209" s="129">
        <v>236.19311431281136</v>
      </c>
      <c r="K209" s="129">
        <v>236.19311431281136</v>
      </c>
      <c r="L209" s="129">
        <v>175.66138434736527</v>
      </c>
      <c r="M209" s="129">
        <v>270.07161617089525</v>
      </c>
      <c r="N209" s="129">
        <v>236.19311431281136</v>
      </c>
      <c r="O209" s="129">
        <v>236.19311431281136</v>
      </c>
      <c r="P209" s="129">
        <v>236.19311431281136</v>
      </c>
      <c r="Q209" s="129">
        <v>236.19311431281136</v>
      </c>
      <c r="R209" s="129">
        <v>175.66138434736527</v>
      </c>
      <c r="S209" s="129">
        <v>270.07161617089525</v>
      </c>
      <c r="T209" s="129">
        <v>236.19311431281136</v>
      </c>
      <c r="U209" s="129">
        <v>236.19311431281136</v>
      </c>
      <c r="V209" s="129">
        <v>236.19311431281136</v>
      </c>
      <c r="W209" s="129">
        <v>236.19311431281136</v>
      </c>
      <c r="X209" s="129">
        <v>236.19311431281136</v>
      </c>
      <c r="Y209" s="129">
        <v>236.19311431281136</v>
      </c>
      <c r="Z209" s="129">
        <v>236.19311431281136</v>
      </c>
      <c r="AA209" s="129">
        <v>236.19311431281136</v>
      </c>
      <c r="AB209" s="129">
        <v>236.19311431281136</v>
      </c>
      <c r="AC209" s="129">
        <v>236.19311431281136</v>
      </c>
      <c r="AD209" s="129">
        <v>236.19311431281136</v>
      </c>
      <c r="AE209" s="129">
        <v>236.19311431281136</v>
      </c>
      <c r="AF209" s="129">
        <v>236.19311431281136</v>
      </c>
      <c r="AG209" s="129">
        <v>236.19311431281136</v>
      </c>
      <c r="AH209" s="129">
        <v>236.19311431281136</v>
      </c>
      <c r="AI209" s="129">
        <v>236.19311431281136</v>
      </c>
      <c r="AJ209" s="129">
        <v>236.19311431281136</v>
      </c>
      <c r="AK209" s="129">
        <v>236.19311431281136</v>
      </c>
      <c r="AL209" s="129">
        <v>236.19311431281136</v>
      </c>
      <c r="AM209" s="129">
        <v>175.66138434736527</v>
      </c>
      <c r="AN209" s="129">
        <v>270.07161617089525</v>
      </c>
      <c r="AO209" s="129">
        <v>236.19311431281136</v>
      </c>
      <c r="AP209" s="129">
        <v>236.19311431281136</v>
      </c>
      <c r="AQ209" s="129">
        <v>236.19311431281136</v>
      </c>
      <c r="AR209" s="129">
        <v>236.19311431281136</v>
      </c>
      <c r="AS209" s="129">
        <v>236.19311431281136</v>
      </c>
      <c r="AT209" s="129">
        <v>236.19311431281136</v>
      </c>
      <c r="AU209" s="129">
        <v>236.19311431281136</v>
      </c>
      <c r="AV209" s="129">
        <v>236.19311431281136</v>
      </c>
      <c r="AW209" s="129">
        <v>236.19311431281136</v>
      </c>
      <c r="AX209" s="129">
        <v>236.19311431281136</v>
      </c>
      <c r="AY209" s="129">
        <v>236.19311431281136</v>
      </c>
    </row>
    <row r="210" spans="1:51" x14ac:dyDescent="0.2">
      <c r="A210" s="114"/>
      <c r="B210" s="124">
        <v>2</v>
      </c>
      <c r="C210" s="111">
        <v>0</v>
      </c>
      <c r="D210" s="115">
        <v>0</v>
      </c>
      <c r="E210" s="115">
        <v>4.5000000000000142</v>
      </c>
      <c r="F210" s="115">
        <v>0</v>
      </c>
      <c r="G210" s="115">
        <v>33.457366483544305</v>
      </c>
      <c r="H210" s="115">
        <v>0</v>
      </c>
      <c r="I210" s="115">
        <v>0</v>
      </c>
      <c r="J210" s="115">
        <v>0</v>
      </c>
      <c r="K210" s="115">
        <v>0</v>
      </c>
      <c r="L210" s="115">
        <v>0</v>
      </c>
      <c r="M210" s="115">
        <v>0</v>
      </c>
      <c r="N210" s="115">
        <v>0</v>
      </c>
      <c r="O210" s="115">
        <v>0</v>
      </c>
      <c r="P210" s="115">
        <v>0</v>
      </c>
      <c r="Q210" s="115">
        <v>0</v>
      </c>
      <c r="R210" s="115">
        <v>0</v>
      </c>
      <c r="S210" s="115">
        <v>0</v>
      </c>
      <c r="T210" s="115">
        <v>0</v>
      </c>
      <c r="U210" s="115">
        <v>0</v>
      </c>
      <c r="V210" s="115">
        <v>0</v>
      </c>
      <c r="W210" s="115">
        <v>0</v>
      </c>
      <c r="X210" s="115">
        <v>0</v>
      </c>
      <c r="Y210" s="115">
        <v>0</v>
      </c>
      <c r="Z210" s="115">
        <v>0</v>
      </c>
      <c r="AA210" s="115">
        <v>0</v>
      </c>
      <c r="AB210" s="115">
        <v>0</v>
      </c>
      <c r="AC210" s="115">
        <v>0</v>
      </c>
      <c r="AD210" s="115">
        <v>0</v>
      </c>
      <c r="AE210" s="115">
        <v>0</v>
      </c>
      <c r="AF210" s="115">
        <v>0</v>
      </c>
      <c r="AG210" s="115">
        <v>0</v>
      </c>
      <c r="AH210" s="115">
        <v>0</v>
      </c>
      <c r="AI210" s="115">
        <v>0</v>
      </c>
      <c r="AJ210" s="115">
        <v>0</v>
      </c>
      <c r="AK210" s="115">
        <v>0</v>
      </c>
      <c r="AL210" s="115">
        <v>0</v>
      </c>
      <c r="AM210" s="115">
        <v>0</v>
      </c>
      <c r="AN210" s="115">
        <v>0</v>
      </c>
      <c r="AO210" s="115">
        <v>0</v>
      </c>
      <c r="AP210" s="115">
        <v>0</v>
      </c>
      <c r="AQ210" s="115">
        <v>0</v>
      </c>
      <c r="AR210" s="115">
        <v>0</v>
      </c>
      <c r="AS210" s="115">
        <v>0</v>
      </c>
      <c r="AT210" s="115">
        <v>0</v>
      </c>
      <c r="AU210" s="115">
        <v>0</v>
      </c>
      <c r="AV210" s="115">
        <v>0</v>
      </c>
      <c r="AW210" s="115">
        <v>0</v>
      </c>
      <c r="AX210" s="115">
        <v>0</v>
      </c>
      <c r="AY210" s="115">
        <v>0</v>
      </c>
    </row>
    <row r="211" spans="1:51" x14ac:dyDescent="0.2">
      <c r="A211" s="114"/>
      <c r="B211" s="124">
        <v>3</v>
      </c>
      <c r="C211" s="111">
        <v>0</v>
      </c>
      <c r="D211" s="115">
        <v>0</v>
      </c>
      <c r="E211" s="115">
        <v>0</v>
      </c>
      <c r="F211" s="115">
        <v>0</v>
      </c>
      <c r="G211" s="115">
        <v>0</v>
      </c>
      <c r="H211" s="115">
        <v>0</v>
      </c>
      <c r="I211" s="115">
        <v>0</v>
      </c>
      <c r="J211" s="115">
        <v>0</v>
      </c>
      <c r="K211" s="115">
        <v>0</v>
      </c>
      <c r="L211" s="115">
        <v>0</v>
      </c>
      <c r="M211" s="115">
        <v>0</v>
      </c>
      <c r="N211" s="115">
        <v>0</v>
      </c>
      <c r="O211" s="115">
        <v>0</v>
      </c>
      <c r="P211" s="115">
        <v>0</v>
      </c>
      <c r="Q211" s="115">
        <v>0</v>
      </c>
      <c r="R211" s="115">
        <v>0</v>
      </c>
      <c r="S211" s="115">
        <v>0</v>
      </c>
      <c r="T211" s="115">
        <v>0</v>
      </c>
      <c r="U211" s="115">
        <v>0</v>
      </c>
      <c r="V211" s="115">
        <v>0</v>
      </c>
      <c r="W211" s="115">
        <v>0</v>
      </c>
      <c r="X211" s="115">
        <v>0</v>
      </c>
      <c r="Y211" s="115">
        <v>0</v>
      </c>
      <c r="Z211" s="115">
        <v>0</v>
      </c>
      <c r="AA211" s="115">
        <v>0</v>
      </c>
      <c r="AB211" s="115">
        <v>0</v>
      </c>
      <c r="AC211" s="115">
        <v>0</v>
      </c>
      <c r="AD211" s="115">
        <v>0</v>
      </c>
      <c r="AE211" s="115">
        <v>0</v>
      </c>
      <c r="AF211" s="115">
        <v>0</v>
      </c>
      <c r="AG211" s="115">
        <v>0</v>
      </c>
      <c r="AH211" s="115">
        <v>0</v>
      </c>
      <c r="AI211" s="115">
        <v>0</v>
      </c>
      <c r="AJ211" s="115">
        <v>0</v>
      </c>
      <c r="AK211" s="115">
        <v>0</v>
      </c>
      <c r="AL211" s="115">
        <v>0</v>
      </c>
      <c r="AM211" s="115">
        <v>0</v>
      </c>
      <c r="AN211" s="115">
        <v>0</v>
      </c>
      <c r="AO211" s="115">
        <v>0</v>
      </c>
      <c r="AP211" s="115">
        <v>0</v>
      </c>
      <c r="AQ211" s="115">
        <v>0</v>
      </c>
      <c r="AR211" s="115">
        <v>0</v>
      </c>
      <c r="AS211" s="115">
        <v>0</v>
      </c>
      <c r="AT211" s="115">
        <v>0</v>
      </c>
      <c r="AU211" s="115">
        <v>0</v>
      </c>
      <c r="AV211" s="115">
        <v>0</v>
      </c>
      <c r="AW211" s="115">
        <v>0</v>
      </c>
      <c r="AX211" s="115">
        <v>0</v>
      </c>
      <c r="AY211" s="115">
        <v>0</v>
      </c>
    </row>
    <row r="212" spans="1:51" x14ac:dyDescent="0.2">
      <c r="A212" s="114"/>
      <c r="B212" s="124">
        <v>4</v>
      </c>
      <c r="C212" s="111">
        <v>0</v>
      </c>
      <c r="D212" s="115">
        <v>0</v>
      </c>
      <c r="E212" s="115">
        <v>0</v>
      </c>
      <c r="F212" s="115">
        <v>0</v>
      </c>
      <c r="G212" s="115">
        <v>0</v>
      </c>
      <c r="H212" s="115">
        <v>0</v>
      </c>
      <c r="I212" s="115">
        <v>0</v>
      </c>
      <c r="J212" s="115">
        <v>0</v>
      </c>
      <c r="K212" s="115">
        <v>0</v>
      </c>
      <c r="L212" s="115">
        <v>0</v>
      </c>
      <c r="M212" s="115">
        <v>0</v>
      </c>
      <c r="N212" s="115">
        <v>0</v>
      </c>
      <c r="O212" s="115">
        <v>0</v>
      </c>
      <c r="P212" s="115">
        <v>0</v>
      </c>
      <c r="Q212" s="115">
        <v>0</v>
      </c>
      <c r="R212" s="115">
        <v>0</v>
      </c>
      <c r="S212" s="115">
        <v>0</v>
      </c>
      <c r="T212" s="115">
        <v>0</v>
      </c>
      <c r="U212" s="115">
        <v>0</v>
      </c>
      <c r="V212" s="115">
        <v>0</v>
      </c>
      <c r="W212" s="115">
        <v>0</v>
      </c>
      <c r="X212" s="115">
        <v>0</v>
      </c>
      <c r="Y212" s="115">
        <v>0</v>
      </c>
      <c r="Z212" s="115">
        <v>0</v>
      </c>
      <c r="AA212" s="115">
        <v>0</v>
      </c>
      <c r="AB212" s="115">
        <v>0</v>
      </c>
      <c r="AC212" s="115">
        <v>0</v>
      </c>
      <c r="AD212" s="115">
        <v>0</v>
      </c>
      <c r="AE212" s="115">
        <v>0</v>
      </c>
      <c r="AF212" s="115">
        <v>0</v>
      </c>
      <c r="AG212" s="115">
        <v>0</v>
      </c>
      <c r="AH212" s="115">
        <v>0</v>
      </c>
      <c r="AI212" s="115">
        <v>0</v>
      </c>
      <c r="AJ212" s="115">
        <v>0</v>
      </c>
      <c r="AK212" s="115">
        <v>0</v>
      </c>
      <c r="AL212" s="115">
        <v>0</v>
      </c>
      <c r="AM212" s="115">
        <v>0</v>
      </c>
      <c r="AN212" s="115">
        <v>0</v>
      </c>
      <c r="AO212" s="115">
        <v>0</v>
      </c>
      <c r="AP212" s="115">
        <v>0</v>
      </c>
      <c r="AQ212" s="115">
        <v>0</v>
      </c>
      <c r="AR212" s="115">
        <v>0</v>
      </c>
      <c r="AS212" s="115">
        <v>0</v>
      </c>
      <c r="AT212" s="115">
        <v>0</v>
      </c>
      <c r="AU212" s="115">
        <v>0</v>
      </c>
      <c r="AV212" s="115">
        <v>0</v>
      </c>
      <c r="AW212" s="115">
        <v>0</v>
      </c>
      <c r="AX212" s="115">
        <v>0</v>
      </c>
      <c r="AY212" s="115">
        <v>0</v>
      </c>
    </row>
    <row r="213" spans="1:51" x14ac:dyDescent="0.2">
      <c r="A213" s="114"/>
      <c r="B213" s="124">
        <v>5</v>
      </c>
      <c r="C213" s="111">
        <v>0</v>
      </c>
      <c r="D213" s="115">
        <v>0</v>
      </c>
      <c r="E213" s="115">
        <v>0</v>
      </c>
      <c r="F213" s="115">
        <v>0</v>
      </c>
      <c r="G213" s="115">
        <v>0</v>
      </c>
      <c r="H213" s="115">
        <v>0</v>
      </c>
      <c r="I213" s="115">
        <v>0</v>
      </c>
      <c r="J213" s="115">
        <v>0</v>
      </c>
      <c r="K213" s="115">
        <v>0</v>
      </c>
      <c r="L213" s="115">
        <v>0</v>
      </c>
      <c r="M213" s="115">
        <v>0</v>
      </c>
      <c r="N213" s="115">
        <v>0</v>
      </c>
      <c r="O213" s="115">
        <v>0</v>
      </c>
      <c r="P213" s="115">
        <v>0</v>
      </c>
      <c r="Q213" s="115">
        <v>0</v>
      </c>
      <c r="R213" s="115">
        <v>0</v>
      </c>
      <c r="S213" s="115">
        <v>0</v>
      </c>
      <c r="T213" s="115">
        <v>0</v>
      </c>
      <c r="U213" s="115">
        <v>0</v>
      </c>
      <c r="V213" s="115">
        <v>0</v>
      </c>
      <c r="W213" s="115">
        <v>0</v>
      </c>
      <c r="X213" s="115">
        <v>0</v>
      </c>
      <c r="Y213" s="115">
        <v>0</v>
      </c>
      <c r="Z213" s="115">
        <v>0</v>
      </c>
      <c r="AA213" s="115">
        <v>0</v>
      </c>
      <c r="AB213" s="115">
        <v>0</v>
      </c>
      <c r="AC213" s="115">
        <v>0</v>
      </c>
      <c r="AD213" s="115">
        <v>0</v>
      </c>
      <c r="AE213" s="115">
        <v>0</v>
      </c>
      <c r="AF213" s="115">
        <v>0</v>
      </c>
      <c r="AG213" s="115">
        <v>0</v>
      </c>
      <c r="AH213" s="115">
        <v>0</v>
      </c>
      <c r="AI213" s="115">
        <v>0</v>
      </c>
      <c r="AJ213" s="115">
        <v>0</v>
      </c>
      <c r="AK213" s="115">
        <v>0</v>
      </c>
      <c r="AL213" s="115">
        <v>0</v>
      </c>
      <c r="AM213" s="115">
        <v>0</v>
      </c>
      <c r="AN213" s="115">
        <v>0</v>
      </c>
      <c r="AO213" s="115">
        <v>0</v>
      </c>
      <c r="AP213" s="115">
        <v>0</v>
      </c>
      <c r="AQ213" s="115">
        <v>0</v>
      </c>
      <c r="AR213" s="115">
        <v>0</v>
      </c>
      <c r="AS213" s="115">
        <v>0</v>
      </c>
      <c r="AT213" s="115">
        <v>0</v>
      </c>
      <c r="AU213" s="115">
        <v>0</v>
      </c>
      <c r="AV213" s="115">
        <v>0</v>
      </c>
      <c r="AW213" s="115">
        <v>0</v>
      </c>
      <c r="AX213" s="115">
        <v>0</v>
      </c>
      <c r="AY213" s="115">
        <v>0</v>
      </c>
    </row>
    <row r="214" spans="1:51" x14ac:dyDescent="0.2">
      <c r="A214" s="114"/>
      <c r="B214" s="124">
        <v>6</v>
      </c>
      <c r="C214" s="111">
        <v>0</v>
      </c>
      <c r="D214" s="115">
        <v>0</v>
      </c>
      <c r="E214" s="115">
        <v>0</v>
      </c>
      <c r="F214" s="115">
        <v>0</v>
      </c>
      <c r="G214" s="115">
        <v>0</v>
      </c>
      <c r="H214" s="115">
        <v>0</v>
      </c>
      <c r="I214" s="115">
        <v>0</v>
      </c>
      <c r="J214" s="115">
        <v>0</v>
      </c>
      <c r="K214" s="115">
        <v>0</v>
      </c>
      <c r="L214" s="115">
        <v>0</v>
      </c>
      <c r="M214" s="115">
        <v>0</v>
      </c>
      <c r="N214" s="115">
        <v>0</v>
      </c>
      <c r="O214" s="115">
        <v>0</v>
      </c>
      <c r="P214" s="115">
        <v>0</v>
      </c>
      <c r="Q214" s="115">
        <v>0</v>
      </c>
      <c r="R214" s="115">
        <v>0</v>
      </c>
      <c r="S214" s="115">
        <v>0</v>
      </c>
      <c r="T214" s="115">
        <v>0</v>
      </c>
      <c r="U214" s="115">
        <v>0</v>
      </c>
      <c r="V214" s="115">
        <v>0</v>
      </c>
      <c r="W214" s="115">
        <v>0</v>
      </c>
      <c r="X214" s="115">
        <v>0</v>
      </c>
      <c r="Y214" s="115">
        <v>0</v>
      </c>
      <c r="Z214" s="115">
        <v>0</v>
      </c>
      <c r="AA214" s="115">
        <v>0</v>
      </c>
      <c r="AB214" s="115">
        <v>0</v>
      </c>
      <c r="AC214" s="115">
        <v>0</v>
      </c>
      <c r="AD214" s="115">
        <v>0</v>
      </c>
      <c r="AE214" s="115">
        <v>0</v>
      </c>
      <c r="AF214" s="115">
        <v>0</v>
      </c>
      <c r="AG214" s="115">
        <v>0</v>
      </c>
      <c r="AH214" s="115">
        <v>0</v>
      </c>
      <c r="AI214" s="115">
        <v>0</v>
      </c>
      <c r="AJ214" s="115">
        <v>0</v>
      </c>
      <c r="AK214" s="115">
        <v>0</v>
      </c>
      <c r="AL214" s="115">
        <v>0</v>
      </c>
      <c r="AM214" s="115">
        <v>0</v>
      </c>
      <c r="AN214" s="115">
        <v>0</v>
      </c>
      <c r="AO214" s="115">
        <v>0</v>
      </c>
      <c r="AP214" s="115">
        <v>0</v>
      </c>
      <c r="AQ214" s="115">
        <v>0</v>
      </c>
      <c r="AR214" s="115">
        <v>0</v>
      </c>
      <c r="AS214" s="115">
        <v>0</v>
      </c>
      <c r="AT214" s="115">
        <v>0</v>
      </c>
      <c r="AU214" s="115">
        <v>0</v>
      </c>
      <c r="AV214" s="115">
        <v>0</v>
      </c>
      <c r="AW214" s="115">
        <v>0</v>
      </c>
      <c r="AX214" s="115">
        <v>0</v>
      </c>
      <c r="AY214" s="115">
        <v>0</v>
      </c>
    </row>
    <row r="215" spans="1:51" x14ac:dyDescent="0.2">
      <c r="A215" s="114"/>
      <c r="B215" s="124">
        <v>7</v>
      </c>
      <c r="C215" s="111">
        <v>0</v>
      </c>
      <c r="D215" s="115">
        <v>0</v>
      </c>
      <c r="E215" s="115">
        <v>0</v>
      </c>
      <c r="F215" s="115">
        <v>0</v>
      </c>
      <c r="G215" s="115">
        <v>0</v>
      </c>
      <c r="H215" s="115">
        <v>0</v>
      </c>
      <c r="I215" s="115">
        <v>0</v>
      </c>
      <c r="J215" s="115">
        <v>0</v>
      </c>
      <c r="K215" s="115">
        <v>0</v>
      </c>
      <c r="L215" s="115">
        <v>0</v>
      </c>
      <c r="M215" s="115">
        <v>0</v>
      </c>
      <c r="N215" s="115">
        <v>0</v>
      </c>
      <c r="O215" s="115">
        <v>0</v>
      </c>
      <c r="P215" s="115">
        <v>0</v>
      </c>
      <c r="Q215" s="115">
        <v>0</v>
      </c>
      <c r="R215" s="115">
        <v>0</v>
      </c>
      <c r="S215" s="115">
        <v>0</v>
      </c>
      <c r="T215" s="115">
        <v>0</v>
      </c>
      <c r="U215" s="115">
        <v>0</v>
      </c>
      <c r="V215" s="115">
        <v>0</v>
      </c>
      <c r="W215" s="115">
        <v>0</v>
      </c>
      <c r="X215" s="115">
        <v>0</v>
      </c>
      <c r="Y215" s="115">
        <v>0</v>
      </c>
      <c r="Z215" s="115">
        <v>0</v>
      </c>
      <c r="AA215" s="115">
        <v>0</v>
      </c>
      <c r="AB215" s="115">
        <v>0</v>
      </c>
      <c r="AC215" s="115">
        <v>0</v>
      </c>
      <c r="AD215" s="115">
        <v>0</v>
      </c>
      <c r="AE215" s="115">
        <v>0</v>
      </c>
      <c r="AF215" s="115">
        <v>0</v>
      </c>
      <c r="AG215" s="115">
        <v>0</v>
      </c>
      <c r="AH215" s="115">
        <v>0</v>
      </c>
      <c r="AI215" s="115">
        <v>0</v>
      </c>
      <c r="AJ215" s="115">
        <v>0</v>
      </c>
      <c r="AK215" s="115">
        <v>0</v>
      </c>
      <c r="AL215" s="115">
        <v>0</v>
      </c>
      <c r="AM215" s="115">
        <v>0</v>
      </c>
      <c r="AN215" s="115">
        <v>0</v>
      </c>
      <c r="AO215" s="115">
        <v>0</v>
      </c>
      <c r="AP215" s="115">
        <v>0</v>
      </c>
      <c r="AQ215" s="115">
        <v>0</v>
      </c>
      <c r="AR215" s="115">
        <v>0</v>
      </c>
      <c r="AS215" s="115">
        <v>0</v>
      </c>
      <c r="AT215" s="115">
        <v>0</v>
      </c>
      <c r="AU215" s="115">
        <v>0</v>
      </c>
      <c r="AV215" s="115">
        <v>0</v>
      </c>
      <c r="AW215" s="115">
        <v>0</v>
      </c>
      <c r="AX215" s="115">
        <v>0</v>
      </c>
      <c r="AY215" s="115">
        <v>0</v>
      </c>
    </row>
    <row r="216" spans="1:51" x14ac:dyDescent="0.2">
      <c r="A216" s="114"/>
      <c r="B216" s="124">
        <v>8</v>
      </c>
      <c r="C216" s="111">
        <v>0</v>
      </c>
      <c r="D216" s="115">
        <v>0</v>
      </c>
      <c r="E216" s="115">
        <v>0</v>
      </c>
      <c r="F216" s="115">
        <v>0</v>
      </c>
      <c r="G216" s="115">
        <v>0</v>
      </c>
      <c r="H216" s="115">
        <v>0</v>
      </c>
      <c r="I216" s="115">
        <v>0</v>
      </c>
      <c r="J216" s="115">
        <v>0</v>
      </c>
      <c r="K216" s="115">
        <v>0</v>
      </c>
      <c r="L216" s="115">
        <v>0</v>
      </c>
      <c r="M216" s="115">
        <v>0</v>
      </c>
      <c r="N216" s="115">
        <v>0</v>
      </c>
      <c r="O216" s="115">
        <v>0</v>
      </c>
      <c r="P216" s="115">
        <v>0</v>
      </c>
      <c r="Q216" s="115">
        <v>0</v>
      </c>
      <c r="R216" s="115">
        <v>0</v>
      </c>
      <c r="S216" s="115">
        <v>0</v>
      </c>
      <c r="T216" s="115">
        <v>0</v>
      </c>
      <c r="U216" s="115">
        <v>0</v>
      </c>
      <c r="V216" s="115">
        <v>0</v>
      </c>
      <c r="W216" s="115">
        <v>0</v>
      </c>
      <c r="X216" s="115">
        <v>0</v>
      </c>
      <c r="Y216" s="115">
        <v>0</v>
      </c>
      <c r="Z216" s="115">
        <v>0</v>
      </c>
      <c r="AA216" s="115">
        <v>0</v>
      </c>
      <c r="AB216" s="115">
        <v>0</v>
      </c>
      <c r="AC216" s="115">
        <v>0</v>
      </c>
      <c r="AD216" s="115">
        <v>0</v>
      </c>
      <c r="AE216" s="115">
        <v>0</v>
      </c>
      <c r="AF216" s="115">
        <v>0</v>
      </c>
      <c r="AG216" s="115">
        <v>0</v>
      </c>
      <c r="AH216" s="115">
        <v>0</v>
      </c>
      <c r="AI216" s="115">
        <v>0</v>
      </c>
      <c r="AJ216" s="115">
        <v>0</v>
      </c>
      <c r="AK216" s="115">
        <v>0</v>
      </c>
      <c r="AL216" s="115">
        <v>0</v>
      </c>
      <c r="AM216" s="115">
        <v>0</v>
      </c>
      <c r="AN216" s="115">
        <v>0</v>
      </c>
      <c r="AO216" s="115">
        <v>0</v>
      </c>
      <c r="AP216" s="115">
        <v>0</v>
      </c>
      <c r="AQ216" s="115">
        <v>0</v>
      </c>
      <c r="AR216" s="115">
        <v>0</v>
      </c>
      <c r="AS216" s="115">
        <v>0</v>
      </c>
      <c r="AT216" s="115">
        <v>0</v>
      </c>
      <c r="AU216" s="115">
        <v>0</v>
      </c>
      <c r="AV216" s="115">
        <v>0</v>
      </c>
      <c r="AW216" s="115">
        <v>0</v>
      </c>
      <c r="AX216" s="115">
        <v>0</v>
      </c>
      <c r="AY216" s="115">
        <v>0</v>
      </c>
    </row>
    <row r="217" spans="1:51" x14ac:dyDescent="0.2">
      <c r="A217" s="114"/>
      <c r="B217" s="124">
        <v>9</v>
      </c>
      <c r="C217" s="111">
        <v>0</v>
      </c>
      <c r="D217" s="115">
        <v>0</v>
      </c>
      <c r="E217" s="115">
        <v>0</v>
      </c>
      <c r="F217" s="115">
        <v>0</v>
      </c>
      <c r="G217" s="115">
        <v>0</v>
      </c>
      <c r="H217" s="115">
        <v>0</v>
      </c>
      <c r="I217" s="115">
        <v>0</v>
      </c>
      <c r="J217" s="115">
        <v>0</v>
      </c>
      <c r="K217" s="115">
        <v>0</v>
      </c>
      <c r="L217" s="115">
        <v>0</v>
      </c>
      <c r="M217" s="115">
        <v>0</v>
      </c>
      <c r="N217" s="115">
        <v>0</v>
      </c>
      <c r="O217" s="115">
        <v>0</v>
      </c>
      <c r="P217" s="115">
        <v>0</v>
      </c>
      <c r="Q217" s="115">
        <v>0</v>
      </c>
      <c r="R217" s="115">
        <v>0</v>
      </c>
      <c r="S217" s="115">
        <v>0</v>
      </c>
      <c r="T217" s="115">
        <v>0</v>
      </c>
      <c r="U217" s="115">
        <v>0</v>
      </c>
      <c r="V217" s="115">
        <v>0</v>
      </c>
      <c r="W217" s="115">
        <v>0</v>
      </c>
      <c r="X217" s="115">
        <v>0</v>
      </c>
      <c r="Y217" s="115">
        <v>0</v>
      </c>
      <c r="Z217" s="115">
        <v>0</v>
      </c>
      <c r="AA217" s="115">
        <v>0</v>
      </c>
      <c r="AB217" s="115">
        <v>0</v>
      </c>
      <c r="AC217" s="115">
        <v>0</v>
      </c>
      <c r="AD217" s="115">
        <v>0</v>
      </c>
      <c r="AE217" s="115">
        <v>0</v>
      </c>
      <c r="AF217" s="115">
        <v>0</v>
      </c>
      <c r="AG217" s="115">
        <v>0</v>
      </c>
      <c r="AH217" s="115">
        <v>0</v>
      </c>
      <c r="AI217" s="115">
        <v>0</v>
      </c>
      <c r="AJ217" s="115">
        <v>0</v>
      </c>
      <c r="AK217" s="115">
        <v>0</v>
      </c>
      <c r="AL217" s="115">
        <v>0</v>
      </c>
      <c r="AM217" s="115">
        <v>0</v>
      </c>
      <c r="AN217" s="115">
        <v>0</v>
      </c>
      <c r="AO217" s="115">
        <v>0</v>
      </c>
      <c r="AP217" s="115">
        <v>0</v>
      </c>
      <c r="AQ217" s="115">
        <v>0</v>
      </c>
      <c r="AR217" s="115">
        <v>0</v>
      </c>
      <c r="AS217" s="115">
        <v>0</v>
      </c>
      <c r="AT217" s="115">
        <v>0</v>
      </c>
      <c r="AU217" s="115">
        <v>0</v>
      </c>
      <c r="AV217" s="115">
        <v>0</v>
      </c>
      <c r="AW217" s="115">
        <v>0</v>
      </c>
      <c r="AX217" s="115">
        <v>0</v>
      </c>
      <c r="AY217" s="115">
        <v>0</v>
      </c>
    </row>
    <row r="218" spans="1:51" x14ac:dyDescent="0.2">
      <c r="A218" s="114"/>
      <c r="B218" s="124">
        <v>10</v>
      </c>
      <c r="C218" s="111">
        <v>0</v>
      </c>
      <c r="D218" s="115">
        <v>0</v>
      </c>
      <c r="E218" s="115">
        <v>0</v>
      </c>
      <c r="F218" s="115">
        <v>0</v>
      </c>
      <c r="G218" s="115">
        <v>0</v>
      </c>
      <c r="H218" s="115">
        <v>0</v>
      </c>
      <c r="I218" s="115">
        <v>0</v>
      </c>
      <c r="J218" s="115">
        <v>0</v>
      </c>
      <c r="K218" s="115">
        <v>0</v>
      </c>
      <c r="L218" s="115">
        <v>0</v>
      </c>
      <c r="M218" s="115">
        <v>0</v>
      </c>
      <c r="N218" s="115">
        <v>0</v>
      </c>
      <c r="O218" s="115">
        <v>0</v>
      </c>
      <c r="P218" s="115">
        <v>0</v>
      </c>
      <c r="Q218" s="115">
        <v>0</v>
      </c>
      <c r="R218" s="115">
        <v>0</v>
      </c>
      <c r="S218" s="115">
        <v>0</v>
      </c>
      <c r="T218" s="115">
        <v>0</v>
      </c>
      <c r="U218" s="115">
        <v>0</v>
      </c>
      <c r="V218" s="115">
        <v>0</v>
      </c>
      <c r="W218" s="115">
        <v>0</v>
      </c>
      <c r="X218" s="115">
        <v>0</v>
      </c>
      <c r="Y218" s="115">
        <v>0</v>
      </c>
      <c r="Z218" s="115">
        <v>0</v>
      </c>
      <c r="AA218" s="115">
        <v>0</v>
      </c>
      <c r="AB218" s="115">
        <v>0</v>
      </c>
      <c r="AC218" s="115">
        <v>0</v>
      </c>
      <c r="AD218" s="115">
        <v>0</v>
      </c>
      <c r="AE218" s="115">
        <v>0</v>
      </c>
      <c r="AF218" s="115">
        <v>0</v>
      </c>
      <c r="AG218" s="115">
        <v>0</v>
      </c>
      <c r="AH218" s="115">
        <v>0</v>
      </c>
      <c r="AI218" s="115">
        <v>0</v>
      </c>
      <c r="AJ218" s="115">
        <v>0</v>
      </c>
      <c r="AK218" s="115">
        <v>0</v>
      </c>
      <c r="AL218" s="115">
        <v>0</v>
      </c>
      <c r="AM218" s="115">
        <v>0</v>
      </c>
      <c r="AN218" s="115">
        <v>0</v>
      </c>
      <c r="AO218" s="115">
        <v>0</v>
      </c>
      <c r="AP218" s="115">
        <v>0</v>
      </c>
      <c r="AQ218" s="115">
        <v>0</v>
      </c>
      <c r="AR218" s="115">
        <v>0</v>
      </c>
      <c r="AS218" s="115">
        <v>0</v>
      </c>
      <c r="AT218" s="115">
        <v>0</v>
      </c>
      <c r="AU218" s="115">
        <v>0</v>
      </c>
      <c r="AV218" s="115">
        <v>0</v>
      </c>
      <c r="AW218" s="115">
        <v>0</v>
      </c>
      <c r="AX218" s="115">
        <v>0</v>
      </c>
      <c r="AY218" s="115">
        <v>0</v>
      </c>
    </row>
    <row r="219" spans="1:51" x14ac:dyDescent="0.2">
      <c r="A219" s="114"/>
      <c r="B219" s="124">
        <v>11</v>
      </c>
      <c r="C219" s="111">
        <v>0</v>
      </c>
      <c r="D219" s="115">
        <v>0</v>
      </c>
      <c r="E219" s="115">
        <v>0</v>
      </c>
      <c r="F219" s="115">
        <v>0</v>
      </c>
      <c r="G219" s="115">
        <v>0</v>
      </c>
      <c r="H219" s="115">
        <v>0</v>
      </c>
      <c r="I219" s="115">
        <v>0</v>
      </c>
      <c r="J219" s="115">
        <v>0</v>
      </c>
      <c r="K219" s="115">
        <v>0</v>
      </c>
      <c r="L219" s="115">
        <v>0</v>
      </c>
      <c r="M219" s="115">
        <v>0</v>
      </c>
      <c r="N219" s="115">
        <v>0</v>
      </c>
      <c r="O219" s="115">
        <v>0</v>
      </c>
      <c r="P219" s="115">
        <v>0</v>
      </c>
      <c r="Q219" s="115">
        <v>0</v>
      </c>
      <c r="R219" s="115">
        <v>0</v>
      </c>
      <c r="S219" s="115">
        <v>0</v>
      </c>
      <c r="T219" s="115">
        <v>0</v>
      </c>
      <c r="U219" s="115">
        <v>0</v>
      </c>
      <c r="V219" s="115">
        <v>0</v>
      </c>
      <c r="W219" s="115">
        <v>0</v>
      </c>
      <c r="X219" s="115">
        <v>0</v>
      </c>
      <c r="Y219" s="115">
        <v>0</v>
      </c>
      <c r="Z219" s="115">
        <v>0</v>
      </c>
      <c r="AA219" s="115">
        <v>0</v>
      </c>
      <c r="AB219" s="115">
        <v>0</v>
      </c>
      <c r="AC219" s="115">
        <v>0</v>
      </c>
      <c r="AD219" s="115">
        <v>0</v>
      </c>
      <c r="AE219" s="115">
        <v>0</v>
      </c>
      <c r="AF219" s="115">
        <v>0</v>
      </c>
      <c r="AG219" s="115">
        <v>0</v>
      </c>
      <c r="AH219" s="115">
        <v>0</v>
      </c>
      <c r="AI219" s="115">
        <v>0</v>
      </c>
      <c r="AJ219" s="115">
        <v>0</v>
      </c>
      <c r="AK219" s="115">
        <v>0</v>
      </c>
      <c r="AL219" s="115">
        <v>0</v>
      </c>
      <c r="AM219" s="115">
        <v>0</v>
      </c>
      <c r="AN219" s="115">
        <v>0</v>
      </c>
      <c r="AO219" s="115">
        <v>0</v>
      </c>
      <c r="AP219" s="115">
        <v>0</v>
      </c>
      <c r="AQ219" s="115">
        <v>0</v>
      </c>
      <c r="AR219" s="115">
        <v>0</v>
      </c>
      <c r="AS219" s="115">
        <v>0</v>
      </c>
      <c r="AT219" s="115">
        <v>0</v>
      </c>
      <c r="AU219" s="115">
        <v>0</v>
      </c>
      <c r="AV219" s="115">
        <v>0</v>
      </c>
      <c r="AW219" s="115">
        <v>0</v>
      </c>
      <c r="AX219" s="115">
        <v>0</v>
      </c>
      <c r="AY219" s="115">
        <v>0</v>
      </c>
    </row>
    <row r="220" spans="1:51" x14ac:dyDescent="0.2">
      <c r="A220" s="114"/>
      <c r="B220" s="124">
        <v>12</v>
      </c>
      <c r="C220" s="111">
        <v>0</v>
      </c>
      <c r="D220" s="115">
        <v>0</v>
      </c>
      <c r="E220" s="115">
        <v>0</v>
      </c>
      <c r="F220" s="115">
        <v>0</v>
      </c>
      <c r="G220" s="115">
        <v>0</v>
      </c>
      <c r="H220" s="115">
        <v>0</v>
      </c>
      <c r="I220" s="115">
        <v>0</v>
      </c>
      <c r="J220" s="115">
        <v>0</v>
      </c>
      <c r="K220" s="115">
        <v>0</v>
      </c>
      <c r="L220" s="115">
        <v>0</v>
      </c>
      <c r="M220" s="115">
        <v>0</v>
      </c>
      <c r="N220" s="115">
        <v>0</v>
      </c>
      <c r="O220" s="115">
        <v>0</v>
      </c>
      <c r="P220" s="115">
        <v>0</v>
      </c>
      <c r="Q220" s="115">
        <v>0</v>
      </c>
      <c r="R220" s="115">
        <v>0</v>
      </c>
      <c r="S220" s="115">
        <v>0</v>
      </c>
      <c r="T220" s="115">
        <v>0</v>
      </c>
      <c r="U220" s="115">
        <v>0</v>
      </c>
      <c r="V220" s="115">
        <v>0</v>
      </c>
      <c r="W220" s="115">
        <v>0</v>
      </c>
      <c r="X220" s="115">
        <v>0</v>
      </c>
      <c r="Y220" s="115">
        <v>0</v>
      </c>
      <c r="Z220" s="115">
        <v>0</v>
      </c>
      <c r="AA220" s="115">
        <v>0</v>
      </c>
      <c r="AB220" s="115">
        <v>0</v>
      </c>
      <c r="AC220" s="115">
        <v>0</v>
      </c>
      <c r="AD220" s="115">
        <v>0</v>
      </c>
      <c r="AE220" s="115">
        <v>0</v>
      </c>
      <c r="AF220" s="115">
        <v>0</v>
      </c>
      <c r="AG220" s="115">
        <v>0</v>
      </c>
      <c r="AH220" s="115">
        <v>0</v>
      </c>
      <c r="AI220" s="115">
        <v>0</v>
      </c>
      <c r="AJ220" s="115">
        <v>0</v>
      </c>
      <c r="AK220" s="115">
        <v>0</v>
      </c>
      <c r="AL220" s="115">
        <v>0</v>
      </c>
      <c r="AM220" s="115">
        <v>0</v>
      </c>
      <c r="AN220" s="115">
        <v>0</v>
      </c>
      <c r="AO220" s="115">
        <v>0</v>
      </c>
      <c r="AP220" s="115">
        <v>0</v>
      </c>
      <c r="AQ220" s="115">
        <v>0</v>
      </c>
      <c r="AR220" s="115">
        <v>0</v>
      </c>
      <c r="AS220" s="115">
        <v>0</v>
      </c>
      <c r="AT220" s="115">
        <v>0</v>
      </c>
      <c r="AU220" s="115">
        <v>0</v>
      </c>
      <c r="AV220" s="115">
        <v>0</v>
      </c>
      <c r="AW220" s="115">
        <v>0</v>
      </c>
      <c r="AX220" s="115">
        <v>0</v>
      </c>
      <c r="AY220" s="115">
        <v>0</v>
      </c>
    </row>
    <row r="221" spans="1:51" x14ac:dyDescent="0.2">
      <c r="A221" s="114"/>
      <c r="B221" s="125">
        <v>13</v>
      </c>
      <c r="C221" s="111">
        <v>0</v>
      </c>
      <c r="D221" s="115">
        <v>0</v>
      </c>
      <c r="E221" s="115">
        <v>0</v>
      </c>
      <c r="F221" s="115">
        <v>0</v>
      </c>
      <c r="G221" s="115">
        <v>0</v>
      </c>
      <c r="H221" s="115">
        <v>0</v>
      </c>
      <c r="I221" s="115">
        <v>0</v>
      </c>
      <c r="J221" s="115">
        <v>0</v>
      </c>
      <c r="K221" s="115">
        <v>0</v>
      </c>
      <c r="L221" s="115">
        <v>0</v>
      </c>
      <c r="M221" s="115">
        <v>0</v>
      </c>
      <c r="N221" s="115">
        <v>0</v>
      </c>
      <c r="O221" s="115">
        <v>0</v>
      </c>
      <c r="P221" s="115">
        <v>0</v>
      </c>
      <c r="Q221" s="115">
        <v>0</v>
      </c>
      <c r="R221" s="115">
        <v>0</v>
      </c>
      <c r="S221" s="115">
        <v>0</v>
      </c>
      <c r="T221" s="115">
        <v>0</v>
      </c>
      <c r="U221" s="115">
        <v>0</v>
      </c>
      <c r="V221" s="115">
        <v>0</v>
      </c>
      <c r="W221" s="115">
        <v>0</v>
      </c>
      <c r="X221" s="115">
        <v>0</v>
      </c>
      <c r="Y221" s="115">
        <v>0</v>
      </c>
      <c r="Z221" s="115">
        <v>0</v>
      </c>
      <c r="AA221" s="115">
        <v>0</v>
      </c>
      <c r="AB221" s="115">
        <v>0</v>
      </c>
      <c r="AC221" s="115">
        <v>0</v>
      </c>
      <c r="AD221" s="115">
        <v>0</v>
      </c>
      <c r="AE221" s="115">
        <v>0</v>
      </c>
      <c r="AF221" s="115">
        <v>0</v>
      </c>
      <c r="AG221" s="115">
        <v>0</v>
      </c>
      <c r="AH221" s="115">
        <v>0</v>
      </c>
      <c r="AI221" s="115">
        <v>0</v>
      </c>
      <c r="AJ221" s="115">
        <v>0</v>
      </c>
      <c r="AK221" s="115">
        <v>0</v>
      </c>
      <c r="AL221" s="115">
        <v>0</v>
      </c>
      <c r="AM221" s="115">
        <v>0</v>
      </c>
      <c r="AN221" s="115">
        <v>0</v>
      </c>
      <c r="AO221" s="115">
        <v>0</v>
      </c>
      <c r="AP221" s="115">
        <v>0</v>
      </c>
      <c r="AQ221" s="115">
        <v>0</v>
      </c>
      <c r="AR221" s="115">
        <v>0</v>
      </c>
      <c r="AS221" s="115">
        <v>0</v>
      </c>
      <c r="AT221" s="115">
        <v>0</v>
      </c>
      <c r="AU221" s="115">
        <v>0</v>
      </c>
      <c r="AV221" s="115">
        <v>0</v>
      </c>
      <c r="AW221" s="115">
        <v>0</v>
      </c>
      <c r="AX221" s="115">
        <v>0</v>
      </c>
      <c r="AY221" s="115">
        <v>0</v>
      </c>
    </row>
    <row r="222" spans="1:51" x14ac:dyDescent="0.2">
      <c r="A222" s="114"/>
      <c r="B222" s="125">
        <v>14</v>
      </c>
      <c r="C222" s="111">
        <v>0</v>
      </c>
      <c r="D222" s="115">
        <v>0</v>
      </c>
      <c r="E222" s="115">
        <v>0</v>
      </c>
      <c r="F222" s="115">
        <v>0</v>
      </c>
      <c r="G222" s="115">
        <v>0</v>
      </c>
      <c r="H222" s="115">
        <v>0</v>
      </c>
      <c r="I222" s="115">
        <v>0</v>
      </c>
      <c r="J222" s="115">
        <v>0</v>
      </c>
      <c r="K222" s="115">
        <v>0</v>
      </c>
      <c r="L222" s="115">
        <v>0</v>
      </c>
      <c r="M222" s="115">
        <v>0</v>
      </c>
      <c r="N222" s="115">
        <v>0</v>
      </c>
      <c r="O222" s="115">
        <v>0</v>
      </c>
      <c r="P222" s="115">
        <v>0</v>
      </c>
      <c r="Q222" s="115">
        <v>0</v>
      </c>
      <c r="R222" s="115">
        <v>0</v>
      </c>
      <c r="S222" s="115">
        <v>0</v>
      </c>
      <c r="T222" s="115">
        <v>0</v>
      </c>
      <c r="U222" s="115">
        <v>0</v>
      </c>
      <c r="V222" s="115">
        <v>0</v>
      </c>
      <c r="W222" s="115">
        <v>0</v>
      </c>
      <c r="X222" s="115">
        <v>0</v>
      </c>
      <c r="Y222" s="115">
        <v>0</v>
      </c>
      <c r="Z222" s="115">
        <v>0</v>
      </c>
      <c r="AA222" s="115">
        <v>0</v>
      </c>
      <c r="AB222" s="115">
        <v>0</v>
      </c>
      <c r="AC222" s="115">
        <v>0</v>
      </c>
      <c r="AD222" s="115">
        <v>0</v>
      </c>
      <c r="AE222" s="115">
        <v>0</v>
      </c>
      <c r="AF222" s="115">
        <v>0</v>
      </c>
      <c r="AG222" s="115">
        <v>0</v>
      </c>
      <c r="AH222" s="115">
        <v>0</v>
      </c>
      <c r="AI222" s="115">
        <v>0</v>
      </c>
      <c r="AJ222" s="115">
        <v>0</v>
      </c>
      <c r="AK222" s="115">
        <v>0</v>
      </c>
      <c r="AL222" s="115">
        <v>0</v>
      </c>
      <c r="AM222" s="115">
        <v>0</v>
      </c>
      <c r="AN222" s="115">
        <v>0</v>
      </c>
      <c r="AO222" s="115">
        <v>0</v>
      </c>
      <c r="AP222" s="115">
        <v>0</v>
      </c>
      <c r="AQ222" s="115">
        <v>0</v>
      </c>
      <c r="AR222" s="115">
        <v>0</v>
      </c>
      <c r="AS222" s="115">
        <v>0</v>
      </c>
      <c r="AT222" s="115">
        <v>0</v>
      </c>
      <c r="AU222" s="115">
        <v>0</v>
      </c>
      <c r="AV222" s="115">
        <v>0</v>
      </c>
      <c r="AW222" s="115">
        <v>0</v>
      </c>
      <c r="AX222" s="115">
        <v>0</v>
      </c>
      <c r="AY222" s="115">
        <v>0</v>
      </c>
    </row>
    <row r="223" spans="1:51" x14ac:dyDescent="0.2">
      <c r="A223" s="114"/>
      <c r="B223" s="125">
        <v>15</v>
      </c>
      <c r="C223" s="111">
        <v>0</v>
      </c>
      <c r="D223" s="115">
        <v>0</v>
      </c>
      <c r="E223" s="115">
        <v>0</v>
      </c>
      <c r="F223" s="115">
        <v>0</v>
      </c>
      <c r="G223" s="115">
        <v>0</v>
      </c>
      <c r="H223" s="115">
        <v>0</v>
      </c>
      <c r="I223" s="115">
        <v>0</v>
      </c>
      <c r="J223" s="115">
        <v>0</v>
      </c>
      <c r="K223" s="115">
        <v>0</v>
      </c>
      <c r="L223" s="115">
        <v>0</v>
      </c>
      <c r="M223" s="115">
        <v>0</v>
      </c>
      <c r="N223" s="115">
        <v>0</v>
      </c>
      <c r="O223" s="115">
        <v>0</v>
      </c>
      <c r="P223" s="115">
        <v>0</v>
      </c>
      <c r="Q223" s="115">
        <v>0</v>
      </c>
      <c r="R223" s="115">
        <v>0</v>
      </c>
      <c r="S223" s="115">
        <v>0</v>
      </c>
      <c r="T223" s="115">
        <v>0</v>
      </c>
      <c r="U223" s="115">
        <v>0</v>
      </c>
      <c r="V223" s="115">
        <v>0</v>
      </c>
      <c r="W223" s="115">
        <v>0</v>
      </c>
      <c r="X223" s="115">
        <v>0</v>
      </c>
      <c r="Y223" s="115">
        <v>0</v>
      </c>
      <c r="Z223" s="115">
        <v>0</v>
      </c>
      <c r="AA223" s="115">
        <v>0</v>
      </c>
      <c r="AB223" s="115">
        <v>0</v>
      </c>
      <c r="AC223" s="115">
        <v>0</v>
      </c>
      <c r="AD223" s="115">
        <v>0</v>
      </c>
      <c r="AE223" s="115">
        <v>0</v>
      </c>
      <c r="AF223" s="115">
        <v>0</v>
      </c>
      <c r="AG223" s="115">
        <v>0</v>
      </c>
      <c r="AH223" s="115">
        <v>0</v>
      </c>
      <c r="AI223" s="115">
        <v>0</v>
      </c>
      <c r="AJ223" s="115">
        <v>0</v>
      </c>
      <c r="AK223" s="115">
        <v>0</v>
      </c>
      <c r="AL223" s="115">
        <v>0</v>
      </c>
      <c r="AM223" s="115">
        <v>0</v>
      </c>
      <c r="AN223" s="115">
        <v>0</v>
      </c>
      <c r="AO223" s="115">
        <v>0</v>
      </c>
      <c r="AP223" s="115">
        <v>0</v>
      </c>
      <c r="AQ223" s="115">
        <v>0</v>
      </c>
      <c r="AR223" s="115">
        <v>0</v>
      </c>
      <c r="AS223" s="115">
        <v>0</v>
      </c>
      <c r="AT223" s="115">
        <v>0</v>
      </c>
      <c r="AU223" s="115">
        <v>0</v>
      </c>
      <c r="AV223" s="115">
        <v>0</v>
      </c>
      <c r="AW223" s="115">
        <v>0</v>
      </c>
      <c r="AX223" s="115">
        <v>0</v>
      </c>
      <c r="AY223" s="115">
        <v>0</v>
      </c>
    </row>
    <row r="224" spans="1:51" x14ac:dyDescent="0.2">
      <c r="A224" s="114"/>
      <c r="B224" s="125">
        <v>16</v>
      </c>
      <c r="C224" s="111">
        <v>0</v>
      </c>
      <c r="D224" s="115">
        <v>0</v>
      </c>
      <c r="E224" s="115">
        <v>0</v>
      </c>
      <c r="F224" s="115">
        <v>0</v>
      </c>
      <c r="G224" s="115">
        <v>0</v>
      </c>
      <c r="H224" s="115">
        <v>0</v>
      </c>
      <c r="I224" s="115">
        <v>0</v>
      </c>
      <c r="J224" s="115">
        <v>0</v>
      </c>
      <c r="K224" s="115">
        <v>0</v>
      </c>
      <c r="L224" s="115">
        <v>0</v>
      </c>
      <c r="M224" s="115">
        <v>0</v>
      </c>
      <c r="N224" s="115">
        <v>0</v>
      </c>
      <c r="O224" s="115">
        <v>0</v>
      </c>
      <c r="P224" s="115">
        <v>0</v>
      </c>
      <c r="Q224" s="115">
        <v>0</v>
      </c>
      <c r="R224" s="115">
        <v>0</v>
      </c>
      <c r="S224" s="115">
        <v>0</v>
      </c>
      <c r="T224" s="115">
        <v>0</v>
      </c>
      <c r="U224" s="115">
        <v>0</v>
      </c>
      <c r="V224" s="115">
        <v>0</v>
      </c>
      <c r="W224" s="115">
        <v>0</v>
      </c>
      <c r="X224" s="115">
        <v>0</v>
      </c>
      <c r="Y224" s="115">
        <v>0</v>
      </c>
      <c r="Z224" s="115">
        <v>0</v>
      </c>
      <c r="AA224" s="115">
        <v>0</v>
      </c>
      <c r="AB224" s="115">
        <v>0</v>
      </c>
      <c r="AC224" s="115">
        <v>0</v>
      </c>
      <c r="AD224" s="115">
        <v>0</v>
      </c>
      <c r="AE224" s="115">
        <v>0</v>
      </c>
      <c r="AF224" s="115">
        <v>0</v>
      </c>
      <c r="AG224" s="115">
        <v>0</v>
      </c>
      <c r="AH224" s="115">
        <v>0</v>
      </c>
      <c r="AI224" s="115">
        <v>0</v>
      </c>
      <c r="AJ224" s="115">
        <v>0</v>
      </c>
      <c r="AK224" s="115">
        <v>0</v>
      </c>
      <c r="AL224" s="115">
        <v>0</v>
      </c>
      <c r="AM224" s="115">
        <v>0</v>
      </c>
      <c r="AN224" s="115">
        <v>0</v>
      </c>
      <c r="AO224" s="115">
        <v>0</v>
      </c>
      <c r="AP224" s="115">
        <v>0</v>
      </c>
      <c r="AQ224" s="115">
        <v>0</v>
      </c>
      <c r="AR224" s="115">
        <v>0</v>
      </c>
      <c r="AS224" s="115">
        <v>0</v>
      </c>
      <c r="AT224" s="115">
        <v>0</v>
      </c>
      <c r="AU224" s="115">
        <v>0</v>
      </c>
      <c r="AV224" s="115">
        <v>0</v>
      </c>
      <c r="AW224" s="115">
        <v>0</v>
      </c>
      <c r="AX224" s="115">
        <v>0</v>
      </c>
      <c r="AY224" s="115">
        <v>0</v>
      </c>
    </row>
    <row r="225" spans="1:51" x14ac:dyDescent="0.2">
      <c r="A225" s="114"/>
      <c r="B225" s="125">
        <v>17</v>
      </c>
      <c r="C225" s="111">
        <v>0</v>
      </c>
      <c r="D225" s="115">
        <v>0</v>
      </c>
      <c r="E225" s="115">
        <v>0</v>
      </c>
      <c r="F225" s="115">
        <v>0</v>
      </c>
      <c r="G225" s="115">
        <v>0</v>
      </c>
      <c r="H225" s="115">
        <v>0</v>
      </c>
      <c r="I225" s="115">
        <v>0</v>
      </c>
      <c r="J225" s="115">
        <v>0</v>
      </c>
      <c r="K225" s="115">
        <v>0</v>
      </c>
      <c r="L225" s="115">
        <v>0</v>
      </c>
      <c r="M225" s="115">
        <v>0</v>
      </c>
      <c r="N225" s="115">
        <v>0</v>
      </c>
      <c r="O225" s="115">
        <v>0</v>
      </c>
      <c r="P225" s="115">
        <v>0</v>
      </c>
      <c r="Q225" s="115">
        <v>0</v>
      </c>
      <c r="R225" s="115">
        <v>0</v>
      </c>
      <c r="S225" s="115">
        <v>0</v>
      </c>
      <c r="T225" s="115">
        <v>0</v>
      </c>
      <c r="U225" s="115">
        <v>0</v>
      </c>
      <c r="V225" s="115">
        <v>0</v>
      </c>
      <c r="W225" s="115">
        <v>0</v>
      </c>
      <c r="X225" s="115">
        <v>0</v>
      </c>
      <c r="Y225" s="115">
        <v>0</v>
      </c>
      <c r="Z225" s="115">
        <v>0</v>
      </c>
      <c r="AA225" s="115">
        <v>0</v>
      </c>
      <c r="AB225" s="115">
        <v>0</v>
      </c>
      <c r="AC225" s="115">
        <v>0</v>
      </c>
      <c r="AD225" s="115">
        <v>0</v>
      </c>
      <c r="AE225" s="115">
        <v>0</v>
      </c>
      <c r="AF225" s="115">
        <v>0</v>
      </c>
      <c r="AG225" s="115">
        <v>0</v>
      </c>
      <c r="AH225" s="115">
        <v>0</v>
      </c>
      <c r="AI225" s="115">
        <v>0</v>
      </c>
      <c r="AJ225" s="115">
        <v>0</v>
      </c>
      <c r="AK225" s="115">
        <v>0</v>
      </c>
      <c r="AL225" s="115">
        <v>0</v>
      </c>
      <c r="AM225" s="115">
        <v>0</v>
      </c>
      <c r="AN225" s="115">
        <v>0</v>
      </c>
      <c r="AO225" s="115">
        <v>0</v>
      </c>
      <c r="AP225" s="115">
        <v>0</v>
      </c>
      <c r="AQ225" s="115">
        <v>0</v>
      </c>
      <c r="AR225" s="115">
        <v>0</v>
      </c>
      <c r="AS225" s="115">
        <v>0</v>
      </c>
      <c r="AT225" s="115">
        <v>0</v>
      </c>
      <c r="AU225" s="115">
        <v>0</v>
      </c>
      <c r="AV225" s="115">
        <v>0</v>
      </c>
      <c r="AW225" s="115">
        <v>0</v>
      </c>
      <c r="AX225" s="115">
        <v>0</v>
      </c>
      <c r="AY225" s="115">
        <v>0</v>
      </c>
    </row>
    <row r="226" spans="1:51" x14ac:dyDescent="0.2">
      <c r="A226" s="114"/>
      <c r="B226" s="125">
        <v>18</v>
      </c>
      <c r="C226" s="111">
        <v>0</v>
      </c>
      <c r="D226" s="115">
        <v>0</v>
      </c>
      <c r="E226" s="115">
        <v>0</v>
      </c>
      <c r="F226" s="115">
        <v>0</v>
      </c>
      <c r="G226" s="115">
        <v>0</v>
      </c>
      <c r="H226" s="115">
        <v>0</v>
      </c>
      <c r="I226" s="115">
        <v>0</v>
      </c>
      <c r="J226" s="115">
        <v>0</v>
      </c>
      <c r="K226" s="115">
        <v>0</v>
      </c>
      <c r="L226" s="115">
        <v>0</v>
      </c>
      <c r="M226" s="115">
        <v>0</v>
      </c>
      <c r="N226" s="115">
        <v>0</v>
      </c>
      <c r="O226" s="115">
        <v>0</v>
      </c>
      <c r="P226" s="115">
        <v>0</v>
      </c>
      <c r="Q226" s="115">
        <v>0</v>
      </c>
      <c r="R226" s="115">
        <v>0</v>
      </c>
      <c r="S226" s="115">
        <v>0</v>
      </c>
      <c r="T226" s="115">
        <v>0</v>
      </c>
      <c r="U226" s="115">
        <v>0</v>
      </c>
      <c r="V226" s="115">
        <v>0</v>
      </c>
      <c r="W226" s="115">
        <v>0</v>
      </c>
      <c r="X226" s="115">
        <v>0</v>
      </c>
      <c r="Y226" s="115">
        <v>0</v>
      </c>
      <c r="Z226" s="115">
        <v>0</v>
      </c>
      <c r="AA226" s="115">
        <v>0</v>
      </c>
      <c r="AB226" s="115">
        <v>0</v>
      </c>
      <c r="AC226" s="115">
        <v>0</v>
      </c>
      <c r="AD226" s="115">
        <v>0</v>
      </c>
      <c r="AE226" s="115">
        <v>0</v>
      </c>
      <c r="AF226" s="115">
        <v>0</v>
      </c>
      <c r="AG226" s="115">
        <v>0</v>
      </c>
      <c r="AH226" s="115">
        <v>0</v>
      </c>
      <c r="AI226" s="115">
        <v>0</v>
      </c>
      <c r="AJ226" s="115">
        <v>0</v>
      </c>
      <c r="AK226" s="115">
        <v>0</v>
      </c>
      <c r="AL226" s="115">
        <v>0</v>
      </c>
      <c r="AM226" s="115">
        <v>0</v>
      </c>
      <c r="AN226" s="115">
        <v>0</v>
      </c>
      <c r="AO226" s="115">
        <v>0</v>
      </c>
      <c r="AP226" s="115">
        <v>0</v>
      </c>
      <c r="AQ226" s="115">
        <v>0</v>
      </c>
      <c r="AR226" s="115">
        <v>0</v>
      </c>
      <c r="AS226" s="115">
        <v>0</v>
      </c>
      <c r="AT226" s="115">
        <v>0</v>
      </c>
      <c r="AU226" s="115">
        <v>0</v>
      </c>
      <c r="AV226" s="115">
        <v>0</v>
      </c>
      <c r="AW226" s="115">
        <v>0</v>
      </c>
      <c r="AX226" s="115">
        <v>0</v>
      </c>
      <c r="AY226" s="115">
        <v>0</v>
      </c>
    </row>
    <row r="227" spans="1:51" x14ac:dyDescent="0.2">
      <c r="A227" s="114"/>
      <c r="B227" s="125">
        <v>19</v>
      </c>
      <c r="C227" s="111">
        <v>0</v>
      </c>
      <c r="D227" s="115">
        <v>0</v>
      </c>
      <c r="E227" s="115">
        <v>0</v>
      </c>
      <c r="F227" s="115">
        <v>0</v>
      </c>
      <c r="G227" s="115">
        <v>0</v>
      </c>
      <c r="H227" s="115">
        <v>0</v>
      </c>
      <c r="I227" s="115">
        <v>0</v>
      </c>
      <c r="J227" s="115">
        <v>0</v>
      </c>
      <c r="K227" s="115">
        <v>0</v>
      </c>
      <c r="L227" s="115">
        <v>0</v>
      </c>
      <c r="M227" s="115">
        <v>0</v>
      </c>
      <c r="N227" s="115">
        <v>0</v>
      </c>
      <c r="O227" s="115">
        <v>0</v>
      </c>
      <c r="P227" s="115">
        <v>0</v>
      </c>
      <c r="Q227" s="115">
        <v>0</v>
      </c>
      <c r="R227" s="115">
        <v>0</v>
      </c>
      <c r="S227" s="115">
        <v>0</v>
      </c>
      <c r="T227" s="115">
        <v>0</v>
      </c>
      <c r="U227" s="115">
        <v>0</v>
      </c>
      <c r="V227" s="115">
        <v>0</v>
      </c>
      <c r="W227" s="115">
        <v>0</v>
      </c>
      <c r="X227" s="115">
        <v>0</v>
      </c>
      <c r="Y227" s="115">
        <v>0</v>
      </c>
      <c r="Z227" s="115">
        <v>0</v>
      </c>
      <c r="AA227" s="115">
        <v>0</v>
      </c>
      <c r="AB227" s="115">
        <v>0</v>
      </c>
      <c r="AC227" s="115">
        <v>0</v>
      </c>
      <c r="AD227" s="115">
        <v>0</v>
      </c>
      <c r="AE227" s="115">
        <v>0</v>
      </c>
      <c r="AF227" s="115">
        <v>0</v>
      </c>
      <c r="AG227" s="115">
        <v>0</v>
      </c>
      <c r="AH227" s="115">
        <v>0</v>
      </c>
      <c r="AI227" s="115">
        <v>0</v>
      </c>
      <c r="AJ227" s="115">
        <v>0</v>
      </c>
      <c r="AK227" s="115">
        <v>0</v>
      </c>
      <c r="AL227" s="115">
        <v>0</v>
      </c>
      <c r="AM227" s="115">
        <v>0</v>
      </c>
      <c r="AN227" s="115">
        <v>0</v>
      </c>
      <c r="AO227" s="115">
        <v>0</v>
      </c>
      <c r="AP227" s="115">
        <v>0</v>
      </c>
      <c r="AQ227" s="115">
        <v>0</v>
      </c>
      <c r="AR227" s="115">
        <v>0</v>
      </c>
      <c r="AS227" s="115">
        <v>0</v>
      </c>
      <c r="AT227" s="115">
        <v>0</v>
      </c>
      <c r="AU227" s="115">
        <v>0</v>
      </c>
      <c r="AV227" s="115">
        <v>0</v>
      </c>
      <c r="AW227" s="115">
        <v>0</v>
      </c>
      <c r="AX227" s="115">
        <v>0</v>
      </c>
      <c r="AY227" s="115">
        <v>0</v>
      </c>
    </row>
    <row r="228" spans="1:51" x14ac:dyDescent="0.2">
      <c r="A228" s="114"/>
      <c r="B228" s="125">
        <v>20</v>
      </c>
      <c r="C228" s="111">
        <v>0</v>
      </c>
      <c r="D228" s="115">
        <v>0</v>
      </c>
      <c r="E228" s="115">
        <v>0</v>
      </c>
      <c r="F228" s="115">
        <v>0</v>
      </c>
      <c r="G228" s="115">
        <v>0</v>
      </c>
      <c r="H228" s="115">
        <v>0</v>
      </c>
      <c r="I228" s="115">
        <v>0</v>
      </c>
      <c r="J228" s="115">
        <v>0</v>
      </c>
      <c r="K228" s="115">
        <v>0</v>
      </c>
      <c r="L228" s="115">
        <v>0</v>
      </c>
      <c r="M228" s="115">
        <v>0</v>
      </c>
      <c r="N228" s="115">
        <v>0</v>
      </c>
      <c r="O228" s="115">
        <v>0</v>
      </c>
      <c r="P228" s="115">
        <v>0</v>
      </c>
      <c r="Q228" s="115">
        <v>0</v>
      </c>
      <c r="R228" s="115">
        <v>0</v>
      </c>
      <c r="S228" s="115">
        <v>0</v>
      </c>
      <c r="T228" s="115">
        <v>0</v>
      </c>
      <c r="U228" s="115">
        <v>0</v>
      </c>
      <c r="V228" s="115">
        <v>0</v>
      </c>
      <c r="W228" s="115">
        <v>0</v>
      </c>
      <c r="X228" s="115">
        <v>0</v>
      </c>
      <c r="Y228" s="115">
        <v>0</v>
      </c>
      <c r="Z228" s="115">
        <v>0</v>
      </c>
      <c r="AA228" s="115">
        <v>0</v>
      </c>
      <c r="AB228" s="115">
        <v>0</v>
      </c>
      <c r="AC228" s="115">
        <v>0</v>
      </c>
      <c r="AD228" s="115">
        <v>0</v>
      </c>
      <c r="AE228" s="115">
        <v>0</v>
      </c>
      <c r="AF228" s="115">
        <v>0</v>
      </c>
      <c r="AG228" s="115">
        <v>0</v>
      </c>
      <c r="AH228" s="115">
        <v>0</v>
      </c>
      <c r="AI228" s="115">
        <v>0</v>
      </c>
      <c r="AJ228" s="115">
        <v>0</v>
      </c>
      <c r="AK228" s="115">
        <v>0</v>
      </c>
      <c r="AL228" s="115">
        <v>0</v>
      </c>
      <c r="AM228" s="115">
        <v>0</v>
      </c>
      <c r="AN228" s="115">
        <v>0</v>
      </c>
      <c r="AO228" s="115">
        <v>0</v>
      </c>
      <c r="AP228" s="115">
        <v>0</v>
      </c>
      <c r="AQ228" s="115">
        <v>0</v>
      </c>
      <c r="AR228" s="115">
        <v>0</v>
      </c>
      <c r="AS228" s="115">
        <v>0</v>
      </c>
      <c r="AT228" s="115">
        <v>0</v>
      </c>
      <c r="AU228" s="115">
        <v>0</v>
      </c>
      <c r="AV228" s="115">
        <v>0</v>
      </c>
      <c r="AW228" s="115">
        <v>0</v>
      </c>
      <c r="AX228" s="115">
        <v>0</v>
      </c>
      <c r="AY228" s="115">
        <v>0</v>
      </c>
    </row>
    <row r="229" spans="1:51" x14ac:dyDescent="0.2">
      <c r="A229" s="114"/>
      <c r="B229" s="125">
        <v>21</v>
      </c>
      <c r="C229" s="111">
        <v>0</v>
      </c>
      <c r="D229" s="115">
        <v>0</v>
      </c>
      <c r="E229" s="115">
        <v>0</v>
      </c>
      <c r="F229" s="115">
        <v>0</v>
      </c>
      <c r="G229" s="115">
        <v>0</v>
      </c>
      <c r="H229" s="115">
        <v>0</v>
      </c>
      <c r="I229" s="115">
        <v>0</v>
      </c>
      <c r="J229" s="115">
        <v>0</v>
      </c>
      <c r="K229" s="115">
        <v>0</v>
      </c>
      <c r="L229" s="115">
        <v>0</v>
      </c>
      <c r="M229" s="115">
        <v>0</v>
      </c>
      <c r="N229" s="115">
        <v>0</v>
      </c>
      <c r="O229" s="115">
        <v>0</v>
      </c>
      <c r="P229" s="115">
        <v>0</v>
      </c>
      <c r="Q229" s="115">
        <v>0</v>
      </c>
      <c r="R229" s="115">
        <v>0</v>
      </c>
      <c r="S229" s="115">
        <v>0</v>
      </c>
      <c r="T229" s="115">
        <v>0</v>
      </c>
      <c r="U229" s="115">
        <v>0</v>
      </c>
      <c r="V229" s="115">
        <v>0</v>
      </c>
      <c r="W229" s="115">
        <v>0</v>
      </c>
      <c r="X229" s="115">
        <v>0</v>
      </c>
      <c r="Y229" s="115">
        <v>0</v>
      </c>
      <c r="Z229" s="115">
        <v>0</v>
      </c>
      <c r="AA229" s="115">
        <v>0</v>
      </c>
      <c r="AB229" s="115">
        <v>0</v>
      </c>
      <c r="AC229" s="115">
        <v>0</v>
      </c>
      <c r="AD229" s="115">
        <v>0</v>
      </c>
      <c r="AE229" s="115">
        <v>0</v>
      </c>
      <c r="AF229" s="115">
        <v>0</v>
      </c>
      <c r="AG229" s="115">
        <v>0</v>
      </c>
      <c r="AH229" s="115">
        <v>0</v>
      </c>
      <c r="AI229" s="115">
        <v>0</v>
      </c>
      <c r="AJ229" s="115">
        <v>0</v>
      </c>
      <c r="AK229" s="115">
        <v>0</v>
      </c>
      <c r="AL229" s="115">
        <v>0</v>
      </c>
      <c r="AM229" s="115">
        <v>0</v>
      </c>
      <c r="AN229" s="115">
        <v>0</v>
      </c>
      <c r="AO229" s="115">
        <v>0</v>
      </c>
      <c r="AP229" s="115">
        <v>0</v>
      </c>
      <c r="AQ229" s="115">
        <v>0</v>
      </c>
      <c r="AR229" s="115">
        <v>0</v>
      </c>
      <c r="AS229" s="115">
        <v>0</v>
      </c>
      <c r="AT229" s="115">
        <v>0</v>
      </c>
      <c r="AU229" s="115">
        <v>0</v>
      </c>
      <c r="AV229" s="115">
        <v>0</v>
      </c>
      <c r="AW229" s="115">
        <v>0</v>
      </c>
      <c r="AX229" s="115">
        <v>0</v>
      </c>
      <c r="AY229" s="115">
        <v>0</v>
      </c>
    </row>
    <row r="230" spans="1:51" x14ac:dyDescent="0.2">
      <c r="A230" s="114"/>
      <c r="B230" s="125">
        <v>22</v>
      </c>
      <c r="C230" s="111">
        <v>0</v>
      </c>
      <c r="D230" s="115">
        <v>0</v>
      </c>
      <c r="E230" s="115">
        <v>0</v>
      </c>
      <c r="F230" s="115">
        <v>0</v>
      </c>
      <c r="G230" s="115">
        <v>0</v>
      </c>
      <c r="H230" s="115">
        <v>0</v>
      </c>
      <c r="I230" s="115">
        <v>0</v>
      </c>
      <c r="J230" s="115">
        <v>0</v>
      </c>
      <c r="K230" s="115">
        <v>0</v>
      </c>
      <c r="L230" s="115">
        <v>0</v>
      </c>
      <c r="M230" s="115">
        <v>0</v>
      </c>
      <c r="N230" s="115">
        <v>0</v>
      </c>
      <c r="O230" s="115">
        <v>0</v>
      </c>
      <c r="P230" s="115">
        <v>0</v>
      </c>
      <c r="Q230" s="115">
        <v>0</v>
      </c>
      <c r="R230" s="115">
        <v>0</v>
      </c>
      <c r="S230" s="115">
        <v>0</v>
      </c>
      <c r="T230" s="115">
        <v>0</v>
      </c>
      <c r="U230" s="115">
        <v>0</v>
      </c>
      <c r="V230" s="115">
        <v>0</v>
      </c>
      <c r="W230" s="115">
        <v>0</v>
      </c>
      <c r="X230" s="115">
        <v>0</v>
      </c>
      <c r="Y230" s="115">
        <v>0</v>
      </c>
      <c r="Z230" s="115">
        <v>0</v>
      </c>
      <c r="AA230" s="115">
        <v>0</v>
      </c>
      <c r="AB230" s="115">
        <v>0</v>
      </c>
      <c r="AC230" s="115">
        <v>0</v>
      </c>
      <c r="AD230" s="115">
        <v>0</v>
      </c>
      <c r="AE230" s="115">
        <v>0</v>
      </c>
      <c r="AF230" s="115">
        <v>0</v>
      </c>
      <c r="AG230" s="115">
        <v>0</v>
      </c>
      <c r="AH230" s="115">
        <v>0</v>
      </c>
      <c r="AI230" s="115">
        <v>0</v>
      </c>
      <c r="AJ230" s="115">
        <v>0</v>
      </c>
      <c r="AK230" s="115">
        <v>0</v>
      </c>
      <c r="AL230" s="115">
        <v>0</v>
      </c>
      <c r="AM230" s="115">
        <v>0</v>
      </c>
      <c r="AN230" s="115">
        <v>0</v>
      </c>
      <c r="AO230" s="115">
        <v>0</v>
      </c>
      <c r="AP230" s="115">
        <v>0</v>
      </c>
      <c r="AQ230" s="115">
        <v>0</v>
      </c>
      <c r="AR230" s="115">
        <v>0</v>
      </c>
      <c r="AS230" s="115">
        <v>0</v>
      </c>
      <c r="AT230" s="115">
        <v>0</v>
      </c>
      <c r="AU230" s="115">
        <v>0</v>
      </c>
      <c r="AV230" s="115">
        <v>0</v>
      </c>
      <c r="AW230" s="115">
        <v>0</v>
      </c>
      <c r="AX230" s="115">
        <v>0</v>
      </c>
      <c r="AY230" s="115">
        <v>0</v>
      </c>
    </row>
    <row r="231" spans="1:51" x14ac:dyDescent="0.2">
      <c r="A231" s="114"/>
      <c r="B231" s="125">
        <v>23</v>
      </c>
      <c r="C231" s="111">
        <v>0</v>
      </c>
      <c r="D231" s="115">
        <v>0</v>
      </c>
      <c r="E231" s="115">
        <v>0</v>
      </c>
      <c r="F231" s="115">
        <v>0</v>
      </c>
      <c r="G231" s="115">
        <v>0</v>
      </c>
      <c r="H231" s="115">
        <v>0</v>
      </c>
      <c r="I231" s="115">
        <v>0</v>
      </c>
      <c r="J231" s="115">
        <v>0</v>
      </c>
      <c r="K231" s="115">
        <v>0</v>
      </c>
      <c r="L231" s="115">
        <v>0</v>
      </c>
      <c r="M231" s="115">
        <v>0</v>
      </c>
      <c r="N231" s="115">
        <v>0</v>
      </c>
      <c r="O231" s="115">
        <v>0</v>
      </c>
      <c r="P231" s="115">
        <v>0</v>
      </c>
      <c r="Q231" s="115">
        <v>0</v>
      </c>
      <c r="R231" s="115">
        <v>0</v>
      </c>
      <c r="S231" s="115">
        <v>0</v>
      </c>
      <c r="T231" s="115">
        <v>0</v>
      </c>
      <c r="U231" s="115">
        <v>0</v>
      </c>
      <c r="V231" s="115">
        <v>0</v>
      </c>
      <c r="W231" s="115">
        <v>0</v>
      </c>
      <c r="X231" s="115">
        <v>0</v>
      </c>
      <c r="Y231" s="115">
        <v>0</v>
      </c>
      <c r="Z231" s="115">
        <v>0</v>
      </c>
      <c r="AA231" s="115">
        <v>0</v>
      </c>
      <c r="AB231" s="115">
        <v>0</v>
      </c>
      <c r="AC231" s="115">
        <v>0</v>
      </c>
      <c r="AD231" s="115">
        <v>0</v>
      </c>
      <c r="AE231" s="115">
        <v>0</v>
      </c>
      <c r="AF231" s="115">
        <v>0</v>
      </c>
      <c r="AG231" s="115">
        <v>0</v>
      </c>
      <c r="AH231" s="115">
        <v>0</v>
      </c>
      <c r="AI231" s="115">
        <v>0</v>
      </c>
      <c r="AJ231" s="115">
        <v>0</v>
      </c>
      <c r="AK231" s="115">
        <v>0</v>
      </c>
      <c r="AL231" s="115">
        <v>0</v>
      </c>
      <c r="AM231" s="115">
        <v>0</v>
      </c>
      <c r="AN231" s="115">
        <v>0</v>
      </c>
      <c r="AO231" s="115">
        <v>0</v>
      </c>
      <c r="AP231" s="115">
        <v>0</v>
      </c>
      <c r="AQ231" s="115">
        <v>0</v>
      </c>
      <c r="AR231" s="115">
        <v>0</v>
      </c>
      <c r="AS231" s="115">
        <v>0</v>
      </c>
      <c r="AT231" s="115">
        <v>0</v>
      </c>
      <c r="AU231" s="115">
        <v>0</v>
      </c>
      <c r="AV231" s="115">
        <v>0</v>
      </c>
      <c r="AW231" s="115">
        <v>0</v>
      </c>
      <c r="AX231" s="115">
        <v>0</v>
      </c>
      <c r="AY231" s="115">
        <v>0</v>
      </c>
    </row>
    <row r="232" spans="1:51" x14ac:dyDescent="0.2">
      <c r="A232" s="114"/>
      <c r="B232" s="125">
        <v>24</v>
      </c>
      <c r="C232" s="111">
        <v>0</v>
      </c>
      <c r="D232" s="115">
        <v>0</v>
      </c>
      <c r="E232" s="115">
        <v>0</v>
      </c>
      <c r="F232" s="115">
        <v>0</v>
      </c>
      <c r="G232" s="115">
        <v>0</v>
      </c>
      <c r="H232" s="115">
        <v>0</v>
      </c>
      <c r="I232" s="115">
        <v>0</v>
      </c>
      <c r="J232" s="115">
        <v>0</v>
      </c>
      <c r="K232" s="115">
        <v>0</v>
      </c>
      <c r="L232" s="115">
        <v>0</v>
      </c>
      <c r="M232" s="115">
        <v>0</v>
      </c>
      <c r="N232" s="115">
        <v>0</v>
      </c>
      <c r="O232" s="115">
        <v>0</v>
      </c>
      <c r="P232" s="115">
        <v>0</v>
      </c>
      <c r="Q232" s="115">
        <v>0</v>
      </c>
      <c r="R232" s="115">
        <v>0</v>
      </c>
      <c r="S232" s="115">
        <v>0</v>
      </c>
      <c r="T232" s="115">
        <v>0</v>
      </c>
      <c r="U232" s="115">
        <v>0</v>
      </c>
      <c r="V232" s="115">
        <v>0</v>
      </c>
      <c r="W232" s="115">
        <v>0</v>
      </c>
      <c r="X232" s="115">
        <v>0</v>
      </c>
      <c r="Y232" s="115">
        <v>0</v>
      </c>
      <c r="Z232" s="115">
        <v>0</v>
      </c>
      <c r="AA232" s="115">
        <v>0</v>
      </c>
      <c r="AB232" s="115">
        <v>0</v>
      </c>
      <c r="AC232" s="115">
        <v>0</v>
      </c>
      <c r="AD232" s="115">
        <v>0</v>
      </c>
      <c r="AE232" s="115">
        <v>0</v>
      </c>
      <c r="AF232" s="115">
        <v>0</v>
      </c>
      <c r="AG232" s="115">
        <v>0</v>
      </c>
      <c r="AH232" s="115">
        <v>0</v>
      </c>
      <c r="AI232" s="115">
        <v>0</v>
      </c>
      <c r="AJ232" s="115">
        <v>0</v>
      </c>
      <c r="AK232" s="115">
        <v>0</v>
      </c>
      <c r="AL232" s="115">
        <v>0</v>
      </c>
      <c r="AM232" s="115">
        <v>0</v>
      </c>
      <c r="AN232" s="115">
        <v>0</v>
      </c>
      <c r="AO232" s="115">
        <v>0</v>
      </c>
      <c r="AP232" s="115">
        <v>0</v>
      </c>
      <c r="AQ232" s="115">
        <v>0</v>
      </c>
      <c r="AR232" s="115">
        <v>0</v>
      </c>
      <c r="AS232" s="115">
        <v>0</v>
      </c>
      <c r="AT232" s="115">
        <v>0</v>
      </c>
      <c r="AU232" s="115">
        <v>0</v>
      </c>
      <c r="AV232" s="115">
        <v>0</v>
      </c>
      <c r="AW232" s="115">
        <v>0</v>
      </c>
      <c r="AX232" s="115">
        <v>0</v>
      </c>
      <c r="AY232" s="115">
        <v>0</v>
      </c>
    </row>
    <row r="233" spans="1:51" x14ac:dyDescent="0.2">
      <c r="A233" s="114"/>
      <c r="B233" s="132">
        <v>25</v>
      </c>
      <c r="C233" s="111">
        <v>0</v>
      </c>
      <c r="D233" s="115">
        <v>0</v>
      </c>
      <c r="E233" s="115">
        <v>0</v>
      </c>
      <c r="F233" s="115">
        <v>0</v>
      </c>
      <c r="G233" s="115">
        <v>0</v>
      </c>
      <c r="H233" s="115">
        <v>0</v>
      </c>
      <c r="I233" s="115">
        <v>0</v>
      </c>
      <c r="J233" s="115">
        <v>0</v>
      </c>
      <c r="K233" s="115">
        <v>0</v>
      </c>
      <c r="L233" s="115">
        <v>0</v>
      </c>
      <c r="M233" s="115">
        <v>0</v>
      </c>
      <c r="N233" s="115">
        <v>0</v>
      </c>
      <c r="O233" s="115">
        <v>0</v>
      </c>
      <c r="P233" s="115">
        <v>0</v>
      </c>
      <c r="Q233" s="115">
        <v>0</v>
      </c>
      <c r="R233" s="115">
        <v>0</v>
      </c>
      <c r="S233" s="115">
        <v>0</v>
      </c>
      <c r="T233" s="115">
        <v>0</v>
      </c>
      <c r="U233" s="115">
        <v>0</v>
      </c>
      <c r="V233" s="115">
        <v>0</v>
      </c>
      <c r="W233" s="115">
        <v>0</v>
      </c>
      <c r="X233" s="115">
        <v>0</v>
      </c>
      <c r="Y233" s="115">
        <v>0</v>
      </c>
      <c r="Z233" s="115">
        <v>0</v>
      </c>
      <c r="AA233" s="115">
        <v>0</v>
      </c>
      <c r="AB233" s="115">
        <v>0</v>
      </c>
      <c r="AC233" s="115">
        <v>0</v>
      </c>
      <c r="AD233" s="115">
        <v>0</v>
      </c>
      <c r="AE233" s="115">
        <v>0</v>
      </c>
      <c r="AF233" s="115">
        <v>0</v>
      </c>
      <c r="AG233" s="115">
        <v>0</v>
      </c>
      <c r="AH233" s="115">
        <v>0</v>
      </c>
      <c r="AI233" s="115">
        <v>0</v>
      </c>
      <c r="AJ233" s="115">
        <v>0</v>
      </c>
      <c r="AK233" s="115">
        <v>0</v>
      </c>
      <c r="AL233" s="115">
        <v>0</v>
      </c>
      <c r="AM233" s="115">
        <v>0</v>
      </c>
      <c r="AN233" s="115">
        <v>0</v>
      </c>
      <c r="AO233" s="115">
        <v>0</v>
      </c>
      <c r="AP233" s="115">
        <v>0</v>
      </c>
      <c r="AQ233" s="115">
        <v>0</v>
      </c>
      <c r="AR233" s="115">
        <v>0</v>
      </c>
      <c r="AS233" s="115">
        <v>0</v>
      </c>
      <c r="AT233" s="115">
        <v>0</v>
      </c>
      <c r="AU233" s="115">
        <v>0</v>
      </c>
      <c r="AV233" s="115">
        <v>0</v>
      </c>
      <c r="AW233" s="115">
        <v>0</v>
      </c>
      <c r="AX233" s="115">
        <v>0</v>
      </c>
      <c r="AY233" s="115">
        <v>0</v>
      </c>
    </row>
    <row r="234" spans="1:51" x14ac:dyDescent="0.2">
      <c r="A234" s="114"/>
      <c r="B234" s="132">
        <v>26</v>
      </c>
      <c r="C234" s="111">
        <v>0</v>
      </c>
      <c r="D234" s="115">
        <v>0</v>
      </c>
      <c r="E234" s="115">
        <v>0</v>
      </c>
      <c r="F234" s="115">
        <v>0</v>
      </c>
      <c r="G234" s="115">
        <v>0</v>
      </c>
      <c r="H234" s="115">
        <v>0</v>
      </c>
      <c r="I234" s="115">
        <v>0</v>
      </c>
      <c r="J234" s="115">
        <v>0</v>
      </c>
      <c r="K234" s="115">
        <v>0</v>
      </c>
      <c r="L234" s="115">
        <v>0</v>
      </c>
      <c r="M234" s="115">
        <v>0</v>
      </c>
      <c r="N234" s="115">
        <v>0</v>
      </c>
      <c r="O234" s="115">
        <v>0</v>
      </c>
      <c r="P234" s="115">
        <v>0</v>
      </c>
      <c r="Q234" s="115">
        <v>0</v>
      </c>
      <c r="R234" s="115">
        <v>0</v>
      </c>
      <c r="S234" s="115">
        <v>0</v>
      </c>
      <c r="T234" s="115">
        <v>0</v>
      </c>
      <c r="U234" s="115">
        <v>0</v>
      </c>
      <c r="V234" s="115">
        <v>0</v>
      </c>
      <c r="W234" s="115">
        <v>0</v>
      </c>
      <c r="X234" s="115">
        <v>0</v>
      </c>
      <c r="Y234" s="115">
        <v>0</v>
      </c>
      <c r="Z234" s="115">
        <v>0</v>
      </c>
      <c r="AA234" s="115">
        <v>0</v>
      </c>
      <c r="AB234" s="115">
        <v>0</v>
      </c>
      <c r="AC234" s="115">
        <v>0</v>
      </c>
      <c r="AD234" s="115">
        <v>0</v>
      </c>
      <c r="AE234" s="115">
        <v>0</v>
      </c>
      <c r="AF234" s="115">
        <v>0</v>
      </c>
      <c r="AG234" s="115">
        <v>0</v>
      </c>
      <c r="AH234" s="115">
        <v>0</v>
      </c>
      <c r="AI234" s="115">
        <v>0</v>
      </c>
      <c r="AJ234" s="115">
        <v>0</v>
      </c>
      <c r="AK234" s="115">
        <v>0</v>
      </c>
      <c r="AL234" s="115">
        <v>0</v>
      </c>
      <c r="AM234" s="115">
        <v>0</v>
      </c>
      <c r="AN234" s="115">
        <v>0</v>
      </c>
      <c r="AO234" s="115">
        <v>0</v>
      </c>
      <c r="AP234" s="115">
        <v>0</v>
      </c>
      <c r="AQ234" s="115">
        <v>0</v>
      </c>
      <c r="AR234" s="115">
        <v>0</v>
      </c>
      <c r="AS234" s="115">
        <v>0</v>
      </c>
      <c r="AT234" s="115">
        <v>0</v>
      </c>
      <c r="AU234" s="115">
        <v>0</v>
      </c>
      <c r="AV234" s="115">
        <v>0</v>
      </c>
      <c r="AW234" s="115">
        <v>0</v>
      </c>
      <c r="AX234" s="115">
        <v>0</v>
      </c>
      <c r="AY234" s="115">
        <v>0</v>
      </c>
    </row>
    <row r="235" spans="1:51" x14ac:dyDescent="0.2">
      <c r="A235" s="114"/>
      <c r="B235" s="132">
        <v>27</v>
      </c>
      <c r="C235" s="111">
        <v>0</v>
      </c>
      <c r="D235" s="115">
        <v>0</v>
      </c>
      <c r="E235" s="115">
        <v>0</v>
      </c>
      <c r="F235" s="115">
        <v>0</v>
      </c>
      <c r="G235" s="115">
        <v>0</v>
      </c>
      <c r="H235" s="115">
        <v>0</v>
      </c>
      <c r="I235" s="115">
        <v>0</v>
      </c>
      <c r="J235" s="115">
        <v>0</v>
      </c>
      <c r="K235" s="115">
        <v>0</v>
      </c>
      <c r="L235" s="115">
        <v>0</v>
      </c>
      <c r="M235" s="115">
        <v>0</v>
      </c>
      <c r="N235" s="115">
        <v>0</v>
      </c>
      <c r="O235" s="115">
        <v>0</v>
      </c>
      <c r="P235" s="115">
        <v>0</v>
      </c>
      <c r="Q235" s="115">
        <v>0</v>
      </c>
      <c r="R235" s="115">
        <v>0</v>
      </c>
      <c r="S235" s="115">
        <v>0</v>
      </c>
      <c r="T235" s="115">
        <v>0</v>
      </c>
      <c r="U235" s="115">
        <v>0</v>
      </c>
      <c r="V235" s="115">
        <v>0</v>
      </c>
      <c r="W235" s="115">
        <v>0</v>
      </c>
      <c r="X235" s="115">
        <v>0</v>
      </c>
      <c r="Y235" s="115">
        <v>0</v>
      </c>
      <c r="Z235" s="115">
        <v>0</v>
      </c>
      <c r="AA235" s="115">
        <v>0</v>
      </c>
      <c r="AB235" s="115">
        <v>0</v>
      </c>
      <c r="AC235" s="115">
        <v>0</v>
      </c>
      <c r="AD235" s="115">
        <v>0</v>
      </c>
      <c r="AE235" s="115">
        <v>0</v>
      </c>
      <c r="AF235" s="115">
        <v>0</v>
      </c>
      <c r="AG235" s="115">
        <v>0</v>
      </c>
      <c r="AH235" s="115">
        <v>0</v>
      </c>
      <c r="AI235" s="115">
        <v>0</v>
      </c>
      <c r="AJ235" s="115">
        <v>0</v>
      </c>
      <c r="AK235" s="115">
        <v>0</v>
      </c>
      <c r="AL235" s="115">
        <v>0</v>
      </c>
      <c r="AM235" s="115">
        <v>0</v>
      </c>
      <c r="AN235" s="115">
        <v>0</v>
      </c>
      <c r="AO235" s="115">
        <v>0</v>
      </c>
      <c r="AP235" s="115">
        <v>0</v>
      </c>
      <c r="AQ235" s="115">
        <v>0</v>
      </c>
      <c r="AR235" s="115">
        <v>0</v>
      </c>
      <c r="AS235" s="115">
        <v>0</v>
      </c>
      <c r="AT235" s="115">
        <v>0</v>
      </c>
      <c r="AU235" s="115">
        <v>0</v>
      </c>
      <c r="AV235" s="115">
        <v>0</v>
      </c>
      <c r="AW235" s="115">
        <v>0</v>
      </c>
      <c r="AX235" s="115">
        <v>0</v>
      </c>
      <c r="AY235" s="115">
        <v>0</v>
      </c>
    </row>
    <row r="236" spans="1:51" x14ac:dyDescent="0.2">
      <c r="A236" s="114"/>
      <c r="B236" s="132">
        <v>28</v>
      </c>
      <c r="C236" s="111">
        <v>0</v>
      </c>
      <c r="D236" s="115">
        <v>0</v>
      </c>
      <c r="E236" s="115">
        <v>0</v>
      </c>
      <c r="F236" s="115">
        <v>0</v>
      </c>
      <c r="G236" s="115">
        <v>0</v>
      </c>
      <c r="H236" s="115">
        <v>0</v>
      </c>
      <c r="I236" s="115">
        <v>0</v>
      </c>
      <c r="J236" s="115">
        <v>0</v>
      </c>
      <c r="K236" s="115">
        <v>0</v>
      </c>
      <c r="L236" s="115">
        <v>0</v>
      </c>
      <c r="M236" s="115">
        <v>0</v>
      </c>
      <c r="N236" s="115">
        <v>0</v>
      </c>
      <c r="O236" s="115">
        <v>0</v>
      </c>
      <c r="P236" s="115">
        <v>0</v>
      </c>
      <c r="Q236" s="115">
        <v>0</v>
      </c>
      <c r="R236" s="115">
        <v>0</v>
      </c>
      <c r="S236" s="115">
        <v>0</v>
      </c>
      <c r="T236" s="115">
        <v>0</v>
      </c>
      <c r="U236" s="115">
        <v>0</v>
      </c>
      <c r="V236" s="115">
        <v>0</v>
      </c>
      <c r="W236" s="115">
        <v>0</v>
      </c>
      <c r="X236" s="115">
        <v>0</v>
      </c>
      <c r="Y236" s="115">
        <v>0</v>
      </c>
      <c r="Z236" s="115">
        <v>0</v>
      </c>
      <c r="AA236" s="115">
        <v>0</v>
      </c>
      <c r="AB236" s="115">
        <v>0</v>
      </c>
      <c r="AC236" s="115">
        <v>0</v>
      </c>
      <c r="AD236" s="115">
        <v>0</v>
      </c>
      <c r="AE236" s="115">
        <v>0</v>
      </c>
      <c r="AF236" s="115">
        <v>0</v>
      </c>
      <c r="AG236" s="115">
        <v>0</v>
      </c>
      <c r="AH236" s="115">
        <v>0</v>
      </c>
      <c r="AI236" s="115">
        <v>0</v>
      </c>
      <c r="AJ236" s="115">
        <v>0</v>
      </c>
      <c r="AK236" s="115">
        <v>0</v>
      </c>
      <c r="AL236" s="115">
        <v>0</v>
      </c>
      <c r="AM236" s="115">
        <v>0</v>
      </c>
      <c r="AN236" s="115">
        <v>0</v>
      </c>
      <c r="AO236" s="115">
        <v>0</v>
      </c>
      <c r="AP236" s="115">
        <v>0</v>
      </c>
      <c r="AQ236" s="115">
        <v>0</v>
      </c>
      <c r="AR236" s="115">
        <v>0</v>
      </c>
      <c r="AS236" s="115">
        <v>0</v>
      </c>
      <c r="AT236" s="115">
        <v>0</v>
      </c>
      <c r="AU236" s="115">
        <v>0</v>
      </c>
      <c r="AV236" s="115">
        <v>0</v>
      </c>
      <c r="AW236" s="115">
        <v>0</v>
      </c>
      <c r="AX236" s="115">
        <v>0</v>
      </c>
      <c r="AY236" s="115">
        <v>0</v>
      </c>
    </row>
    <row r="237" spans="1:51" x14ac:dyDescent="0.2">
      <c r="A237" s="114"/>
      <c r="B237" s="132">
        <v>29</v>
      </c>
      <c r="C237" s="111">
        <v>0</v>
      </c>
      <c r="D237" s="115">
        <v>0</v>
      </c>
      <c r="E237" s="115">
        <v>0</v>
      </c>
      <c r="F237" s="115">
        <v>0</v>
      </c>
      <c r="G237" s="115">
        <v>0</v>
      </c>
      <c r="H237" s="115">
        <v>0</v>
      </c>
      <c r="I237" s="115">
        <v>0</v>
      </c>
      <c r="J237" s="115">
        <v>0</v>
      </c>
      <c r="K237" s="115">
        <v>0</v>
      </c>
      <c r="L237" s="115">
        <v>0</v>
      </c>
      <c r="M237" s="115">
        <v>0</v>
      </c>
      <c r="N237" s="115">
        <v>0</v>
      </c>
      <c r="O237" s="115">
        <v>0</v>
      </c>
      <c r="P237" s="115">
        <v>0</v>
      </c>
      <c r="Q237" s="115">
        <v>0</v>
      </c>
      <c r="R237" s="115">
        <v>0</v>
      </c>
      <c r="S237" s="115">
        <v>0</v>
      </c>
      <c r="T237" s="115">
        <v>0</v>
      </c>
      <c r="U237" s="115">
        <v>0</v>
      </c>
      <c r="V237" s="115">
        <v>0</v>
      </c>
      <c r="W237" s="115">
        <v>0</v>
      </c>
      <c r="X237" s="115">
        <v>0</v>
      </c>
      <c r="Y237" s="115">
        <v>0</v>
      </c>
      <c r="Z237" s="115">
        <v>0</v>
      </c>
      <c r="AA237" s="115">
        <v>0</v>
      </c>
      <c r="AB237" s="115">
        <v>0</v>
      </c>
      <c r="AC237" s="115">
        <v>0</v>
      </c>
      <c r="AD237" s="115">
        <v>0</v>
      </c>
      <c r="AE237" s="115">
        <v>0</v>
      </c>
      <c r="AF237" s="115">
        <v>0</v>
      </c>
      <c r="AG237" s="115">
        <v>0</v>
      </c>
      <c r="AH237" s="115">
        <v>0</v>
      </c>
      <c r="AI237" s="115">
        <v>0</v>
      </c>
      <c r="AJ237" s="115">
        <v>0</v>
      </c>
      <c r="AK237" s="115">
        <v>0</v>
      </c>
      <c r="AL237" s="115">
        <v>0</v>
      </c>
      <c r="AM237" s="115">
        <v>0</v>
      </c>
      <c r="AN237" s="115">
        <v>0</v>
      </c>
      <c r="AO237" s="115">
        <v>0</v>
      </c>
      <c r="AP237" s="115">
        <v>0</v>
      </c>
      <c r="AQ237" s="115">
        <v>0</v>
      </c>
      <c r="AR237" s="115">
        <v>0</v>
      </c>
      <c r="AS237" s="115">
        <v>0</v>
      </c>
      <c r="AT237" s="115">
        <v>0</v>
      </c>
      <c r="AU237" s="115">
        <v>0</v>
      </c>
      <c r="AV237" s="115">
        <v>0</v>
      </c>
      <c r="AW237" s="115">
        <v>0</v>
      </c>
      <c r="AX237" s="115">
        <v>0</v>
      </c>
      <c r="AY237" s="115">
        <v>0</v>
      </c>
    </row>
    <row r="238" spans="1:51" x14ac:dyDescent="0.2">
      <c r="A238" s="114"/>
      <c r="B238" s="132">
        <v>30</v>
      </c>
      <c r="C238" s="111">
        <v>0</v>
      </c>
      <c r="D238" s="115">
        <v>0</v>
      </c>
      <c r="E238" s="115">
        <v>0</v>
      </c>
      <c r="F238" s="115">
        <v>0</v>
      </c>
      <c r="G238" s="115">
        <v>0</v>
      </c>
      <c r="H238" s="115">
        <v>0</v>
      </c>
      <c r="I238" s="115">
        <v>0</v>
      </c>
      <c r="J238" s="115">
        <v>0</v>
      </c>
      <c r="K238" s="115">
        <v>0</v>
      </c>
      <c r="L238" s="115">
        <v>0</v>
      </c>
      <c r="M238" s="115">
        <v>0</v>
      </c>
      <c r="N238" s="115">
        <v>0</v>
      </c>
      <c r="O238" s="115">
        <v>0</v>
      </c>
      <c r="P238" s="115">
        <v>0</v>
      </c>
      <c r="Q238" s="115">
        <v>0</v>
      </c>
      <c r="R238" s="115">
        <v>0</v>
      </c>
      <c r="S238" s="115">
        <v>0</v>
      </c>
      <c r="T238" s="115">
        <v>0</v>
      </c>
      <c r="U238" s="115">
        <v>0</v>
      </c>
      <c r="V238" s="115">
        <v>0</v>
      </c>
      <c r="W238" s="115">
        <v>0</v>
      </c>
      <c r="X238" s="115">
        <v>0</v>
      </c>
      <c r="Y238" s="115">
        <v>0</v>
      </c>
      <c r="Z238" s="115">
        <v>0</v>
      </c>
      <c r="AA238" s="115">
        <v>0</v>
      </c>
      <c r="AB238" s="115">
        <v>0</v>
      </c>
      <c r="AC238" s="115">
        <v>0</v>
      </c>
      <c r="AD238" s="115">
        <v>0</v>
      </c>
      <c r="AE238" s="115">
        <v>0</v>
      </c>
      <c r="AF238" s="115">
        <v>0</v>
      </c>
      <c r="AG238" s="115">
        <v>0</v>
      </c>
      <c r="AH238" s="115">
        <v>0</v>
      </c>
      <c r="AI238" s="115">
        <v>0</v>
      </c>
      <c r="AJ238" s="115">
        <v>0</v>
      </c>
      <c r="AK238" s="115">
        <v>0</v>
      </c>
      <c r="AL238" s="115">
        <v>0</v>
      </c>
      <c r="AM238" s="115">
        <v>0</v>
      </c>
      <c r="AN238" s="115">
        <v>0</v>
      </c>
      <c r="AO238" s="115">
        <v>0</v>
      </c>
      <c r="AP238" s="115">
        <v>0</v>
      </c>
      <c r="AQ238" s="115">
        <v>0</v>
      </c>
      <c r="AR238" s="115">
        <v>0</v>
      </c>
      <c r="AS238" s="115">
        <v>0</v>
      </c>
      <c r="AT238" s="115">
        <v>0</v>
      </c>
      <c r="AU238" s="115">
        <v>0</v>
      </c>
      <c r="AV238" s="115">
        <v>0</v>
      </c>
      <c r="AW238" s="115">
        <v>0</v>
      </c>
      <c r="AX238" s="115">
        <v>0</v>
      </c>
      <c r="AY238" s="115">
        <v>0</v>
      </c>
    </row>
    <row r="239" spans="1:51" x14ac:dyDescent="0.2">
      <c r="A239" s="114"/>
      <c r="B239" s="132">
        <v>31</v>
      </c>
      <c r="C239" s="111">
        <v>0</v>
      </c>
      <c r="D239" s="115">
        <v>0</v>
      </c>
      <c r="E239" s="115">
        <v>0</v>
      </c>
      <c r="F239" s="115">
        <v>0</v>
      </c>
      <c r="G239" s="115">
        <v>0</v>
      </c>
      <c r="H239" s="115">
        <v>0</v>
      </c>
      <c r="I239" s="115">
        <v>0</v>
      </c>
      <c r="J239" s="115">
        <v>0</v>
      </c>
      <c r="K239" s="115">
        <v>0</v>
      </c>
      <c r="L239" s="115">
        <v>0</v>
      </c>
      <c r="M239" s="115">
        <v>0</v>
      </c>
      <c r="N239" s="115">
        <v>0</v>
      </c>
      <c r="O239" s="115">
        <v>0</v>
      </c>
      <c r="P239" s="115">
        <v>0</v>
      </c>
      <c r="Q239" s="115">
        <v>0</v>
      </c>
      <c r="R239" s="115">
        <v>0</v>
      </c>
      <c r="S239" s="115">
        <v>0</v>
      </c>
      <c r="T239" s="115">
        <v>0</v>
      </c>
      <c r="U239" s="115">
        <v>0</v>
      </c>
      <c r="V239" s="115">
        <v>0</v>
      </c>
      <c r="W239" s="115">
        <v>0</v>
      </c>
      <c r="X239" s="115">
        <v>0</v>
      </c>
      <c r="Y239" s="115">
        <v>0</v>
      </c>
      <c r="Z239" s="115">
        <v>0</v>
      </c>
      <c r="AA239" s="115">
        <v>0</v>
      </c>
      <c r="AB239" s="115">
        <v>0</v>
      </c>
      <c r="AC239" s="115">
        <v>0</v>
      </c>
      <c r="AD239" s="115">
        <v>0</v>
      </c>
      <c r="AE239" s="115">
        <v>0</v>
      </c>
      <c r="AF239" s="115">
        <v>0</v>
      </c>
      <c r="AG239" s="115">
        <v>0</v>
      </c>
      <c r="AH239" s="115">
        <v>0</v>
      </c>
      <c r="AI239" s="115">
        <v>0</v>
      </c>
      <c r="AJ239" s="115">
        <v>0</v>
      </c>
      <c r="AK239" s="115">
        <v>0</v>
      </c>
      <c r="AL239" s="115">
        <v>0</v>
      </c>
      <c r="AM239" s="115">
        <v>0</v>
      </c>
      <c r="AN239" s="115">
        <v>0</v>
      </c>
      <c r="AO239" s="115">
        <v>0</v>
      </c>
      <c r="AP239" s="115">
        <v>0</v>
      </c>
      <c r="AQ239" s="115">
        <v>0</v>
      </c>
      <c r="AR239" s="115">
        <v>0</v>
      </c>
      <c r="AS239" s="115">
        <v>0</v>
      </c>
      <c r="AT239" s="115">
        <v>0</v>
      </c>
      <c r="AU239" s="115">
        <v>0</v>
      </c>
      <c r="AV239" s="115">
        <v>0</v>
      </c>
      <c r="AW239" s="115">
        <v>0</v>
      </c>
      <c r="AX239" s="115">
        <v>0</v>
      </c>
      <c r="AY239" s="115">
        <v>0</v>
      </c>
    </row>
    <row r="240" spans="1:51" x14ac:dyDescent="0.2">
      <c r="A240" s="114"/>
      <c r="B240" s="132">
        <v>32</v>
      </c>
      <c r="C240" s="111">
        <v>0</v>
      </c>
      <c r="D240" s="115">
        <v>0</v>
      </c>
      <c r="E240" s="115">
        <v>0</v>
      </c>
      <c r="F240" s="115">
        <v>0</v>
      </c>
      <c r="G240" s="115">
        <v>0</v>
      </c>
      <c r="H240" s="115">
        <v>0</v>
      </c>
      <c r="I240" s="115">
        <v>0</v>
      </c>
      <c r="J240" s="115">
        <v>0</v>
      </c>
      <c r="K240" s="115">
        <v>0</v>
      </c>
      <c r="L240" s="115">
        <v>0</v>
      </c>
      <c r="M240" s="115">
        <v>0</v>
      </c>
      <c r="N240" s="115">
        <v>0</v>
      </c>
      <c r="O240" s="115">
        <v>0</v>
      </c>
      <c r="P240" s="115">
        <v>0</v>
      </c>
      <c r="Q240" s="115">
        <v>0</v>
      </c>
      <c r="R240" s="115">
        <v>0</v>
      </c>
      <c r="S240" s="115">
        <v>0</v>
      </c>
      <c r="T240" s="115">
        <v>0</v>
      </c>
      <c r="U240" s="115">
        <v>0</v>
      </c>
      <c r="V240" s="115">
        <v>0</v>
      </c>
      <c r="W240" s="115">
        <v>0</v>
      </c>
      <c r="X240" s="115">
        <v>0</v>
      </c>
      <c r="Y240" s="115">
        <v>0</v>
      </c>
      <c r="Z240" s="115">
        <v>0</v>
      </c>
      <c r="AA240" s="115">
        <v>0</v>
      </c>
      <c r="AB240" s="115">
        <v>0</v>
      </c>
      <c r="AC240" s="115">
        <v>0</v>
      </c>
      <c r="AD240" s="115">
        <v>0</v>
      </c>
      <c r="AE240" s="115">
        <v>0</v>
      </c>
      <c r="AF240" s="115">
        <v>0</v>
      </c>
      <c r="AG240" s="115">
        <v>0</v>
      </c>
      <c r="AH240" s="115">
        <v>0</v>
      </c>
      <c r="AI240" s="115">
        <v>0</v>
      </c>
      <c r="AJ240" s="115">
        <v>0</v>
      </c>
      <c r="AK240" s="115">
        <v>0</v>
      </c>
      <c r="AL240" s="115">
        <v>0</v>
      </c>
      <c r="AM240" s="115">
        <v>0</v>
      </c>
      <c r="AN240" s="115">
        <v>0</v>
      </c>
      <c r="AO240" s="115">
        <v>0</v>
      </c>
      <c r="AP240" s="115">
        <v>0</v>
      </c>
      <c r="AQ240" s="115">
        <v>0</v>
      </c>
      <c r="AR240" s="115">
        <v>0</v>
      </c>
      <c r="AS240" s="115">
        <v>0</v>
      </c>
      <c r="AT240" s="115">
        <v>0</v>
      </c>
      <c r="AU240" s="115">
        <v>0</v>
      </c>
      <c r="AV240" s="115">
        <v>0</v>
      </c>
      <c r="AW240" s="115">
        <v>0</v>
      </c>
      <c r="AX240" s="115">
        <v>0</v>
      </c>
      <c r="AY240" s="115">
        <v>0</v>
      </c>
    </row>
    <row r="241" spans="1:51" x14ac:dyDescent="0.2">
      <c r="A241" s="114"/>
      <c r="B241" s="132">
        <v>33</v>
      </c>
      <c r="C241" s="111">
        <v>0</v>
      </c>
      <c r="D241" s="115">
        <v>0</v>
      </c>
      <c r="E241" s="115">
        <v>0</v>
      </c>
      <c r="F241" s="115">
        <v>0</v>
      </c>
      <c r="G241" s="115">
        <v>0</v>
      </c>
      <c r="H241" s="115">
        <v>0</v>
      </c>
      <c r="I241" s="115">
        <v>0</v>
      </c>
      <c r="J241" s="115">
        <v>0</v>
      </c>
      <c r="K241" s="115">
        <v>0</v>
      </c>
      <c r="L241" s="115">
        <v>0</v>
      </c>
      <c r="M241" s="115">
        <v>0</v>
      </c>
      <c r="N241" s="115">
        <v>0</v>
      </c>
      <c r="O241" s="115">
        <v>0</v>
      </c>
      <c r="P241" s="115">
        <v>0</v>
      </c>
      <c r="Q241" s="115">
        <v>0</v>
      </c>
      <c r="R241" s="115">
        <v>0</v>
      </c>
      <c r="S241" s="115">
        <v>0</v>
      </c>
      <c r="T241" s="115">
        <v>0</v>
      </c>
      <c r="U241" s="115">
        <v>0</v>
      </c>
      <c r="V241" s="115">
        <v>0</v>
      </c>
      <c r="W241" s="115">
        <v>0</v>
      </c>
      <c r="X241" s="115">
        <v>0</v>
      </c>
      <c r="Y241" s="115">
        <v>0</v>
      </c>
      <c r="Z241" s="115">
        <v>0</v>
      </c>
      <c r="AA241" s="115">
        <v>0</v>
      </c>
      <c r="AB241" s="115">
        <v>0</v>
      </c>
      <c r="AC241" s="115">
        <v>0</v>
      </c>
      <c r="AD241" s="115">
        <v>0</v>
      </c>
      <c r="AE241" s="115">
        <v>0</v>
      </c>
      <c r="AF241" s="115">
        <v>0</v>
      </c>
      <c r="AG241" s="115">
        <v>0</v>
      </c>
      <c r="AH241" s="115">
        <v>0</v>
      </c>
      <c r="AI241" s="115">
        <v>0</v>
      </c>
      <c r="AJ241" s="115">
        <v>0</v>
      </c>
      <c r="AK241" s="115">
        <v>0</v>
      </c>
      <c r="AL241" s="115">
        <v>0</v>
      </c>
      <c r="AM241" s="115">
        <v>0</v>
      </c>
      <c r="AN241" s="115">
        <v>0</v>
      </c>
      <c r="AO241" s="115">
        <v>0</v>
      </c>
      <c r="AP241" s="115">
        <v>0</v>
      </c>
      <c r="AQ241" s="115">
        <v>0</v>
      </c>
      <c r="AR241" s="115">
        <v>0</v>
      </c>
      <c r="AS241" s="115">
        <v>0</v>
      </c>
      <c r="AT241" s="115">
        <v>0</v>
      </c>
      <c r="AU241" s="115">
        <v>0</v>
      </c>
      <c r="AV241" s="115">
        <v>0</v>
      </c>
      <c r="AW241" s="115">
        <v>0</v>
      </c>
      <c r="AX241" s="115">
        <v>0</v>
      </c>
      <c r="AY241" s="115">
        <v>0</v>
      </c>
    </row>
    <row r="242" spans="1:51" x14ac:dyDescent="0.2">
      <c r="A242" s="114"/>
      <c r="B242" s="132">
        <v>34</v>
      </c>
      <c r="C242" s="111">
        <v>0</v>
      </c>
      <c r="D242" s="115">
        <v>0</v>
      </c>
      <c r="E242" s="115">
        <v>0</v>
      </c>
      <c r="F242" s="115">
        <v>0</v>
      </c>
      <c r="G242" s="115">
        <v>0</v>
      </c>
      <c r="H242" s="115">
        <v>0</v>
      </c>
      <c r="I242" s="115">
        <v>0</v>
      </c>
      <c r="J242" s="115">
        <v>0</v>
      </c>
      <c r="K242" s="115">
        <v>0</v>
      </c>
      <c r="L242" s="115">
        <v>0</v>
      </c>
      <c r="M242" s="115">
        <v>0</v>
      </c>
      <c r="N242" s="115">
        <v>0</v>
      </c>
      <c r="O242" s="115">
        <v>0</v>
      </c>
      <c r="P242" s="115">
        <v>0</v>
      </c>
      <c r="Q242" s="115">
        <v>0</v>
      </c>
      <c r="R242" s="115">
        <v>0</v>
      </c>
      <c r="S242" s="115">
        <v>0</v>
      </c>
      <c r="T242" s="115">
        <v>0</v>
      </c>
      <c r="U242" s="115">
        <v>0</v>
      </c>
      <c r="V242" s="115">
        <v>0</v>
      </c>
      <c r="W242" s="115">
        <v>0</v>
      </c>
      <c r="X242" s="115">
        <v>0</v>
      </c>
      <c r="Y242" s="115">
        <v>0</v>
      </c>
      <c r="Z242" s="115">
        <v>0</v>
      </c>
      <c r="AA242" s="115">
        <v>0</v>
      </c>
      <c r="AB242" s="115">
        <v>0</v>
      </c>
      <c r="AC242" s="115">
        <v>0</v>
      </c>
      <c r="AD242" s="115">
        <v>0</v>
      </c>
      <c r="AE242" s="115">
        <v>0</v>
      </c>
      <c r="AF242" s="115">
        <v>0</v>
      </c>
      <c r="AG242" s="115">
        <v>0</v>
      </c>
      <c r="AH242" s="115">
        <v>0</v>
      </c>
      <c r="AI242" s="115">
        <v>0</v>
      </c>
      <c r="AJ242" s="115">
        <v>0</v>
      </c>
      <c r="AK242" s="115">
        <v>0</v>
      </c>
      <c r="AL242" s="115">
        <v>0</v>
      </c>
      <c r="AM242" s="115">
        <v>0</v>
      </c>
      <c r="AN242" s="115">
        <v>0</v>
      </c>
      <c r="AO242" s="115">
        <v>0</v>
      </c>
      <c r="AP242" s="115">
        <v>0</v>
      </c>
      <c r="AQ242" s="115">
        <v>0</v>
      </c>
      <c r="AR242" s="115">
        <v>0</v>
      </c>
      <c r="AS242" s="115">
        <v>0</v>
      </c>
      <c r="AT242" s="115">
        <v>0</v>
      </c>
      <c r="AU242" s="115">
        <v>0</v>
      </c>
      <c r="AV242" s="115">
        <v>0</v>
      </c>
      <c r="AW242" s="115">
        <v>0</v>
      </c>
      <c r="AX242" s="115">
        <v>0</v>
      </c>
      <c r="AY242" s="115">
        <v>0</v>
      </c>
    </row>
    <row r="243" spans="1:51" x14ac:dyDescent="0.2">
      <c r="A243" s="114"/>
      <c r="B243" s="132">
        <v>35</v>
      </c>
      <c r="C243" s="111">
        <v>0</v>
      </c>
      <c r="D243" s="115">
        <v>0</v>
      </c>
      <c r="E243" s="115">
        <v>0</v>
      </c>
      <c r="F243" s="115">
        <v>0</v>
      </c>
      <c r="G243" s="115">
        <v>0</v>
      </c>
      <c r="H243" s="115">
        <v>0</v>
      </c>
      <c r="I243" s="115">
        <v>0</v>
      </c>
      <c r="J243" s="115">
        <v>0</v>
      </c>
      <c r="K243" s="115">
        <v>0</v>
      </c>
      <c r="L243" s="115">
        <v>0</v>
      </c>
      <c r="M243" s="115">
        <v>0</v>
      </c>
      <c r="N243" s="115">
        <v>0</v>
      </c>
      <c r="O243" s="115">
        <v>0</v>
      </c>
      <c r="P243" s="115">
        <v>0</v>
      </c>
      <c r="Q243" s="115">
        <v>0</v>
      </c>
      <c r="R243" s="115">
        <v>0</v>
      </c>
      <c r="S243" s="115">
        <v>0</v>
      </c>
      <c r="T243" s="115">
        <v>0</v>
      </c>
      <c r="U243" s="115">
        <v>0</v>
      </c>
      <c r="V243" s="115">
        <v>0</v>
      </c>
      <c r="W243" s="115">
        <v>0</v>
      </c>
      <c r="X243" s="115">
        <v>0</v>
      </c>
      <c r="Y243" s="115">
        <v>0</v>
      </c>
      <c r="Z243" s="115">
        <v>0</v>
      </c>
      <c r="AA243" s="115">
        <v>0</v>
      </c>
      <c r="AB243" s="115">
        <v>0</v>
      </c>
      <c r="AC243" s="115">
        <v>0</v>
      </c>
      <c r="AD243" s="115">
        <v>0</v>
      </c>
      <c r="AE243" s="115">
        <v>0</v>
      </c>
      <c r="AF243" s="115">
        <v>0</v>
      </c>
      <c r="AG243" s="115">
        <v>0</v>
      </c>
      <c r="AH243" s="115">
        <v>0</v>
      </c>
      <c r="AI243" s="115">
        <v>0</v>
      </c>
      <c r="AJ243" s="115">
        <v>0</v>
      </c>
      <c r="AK243" s="115">
        <v>0</v>
      </c>
      <c r="AL243" s="115">
        <v>0</v>
      </c>
      <c r="AM243" s="115">
        <v>0</v>
      </c>
      <c r="AN243" s="115">
        <v>0</v>
      </c>
      <c r="AO243" s="115">
        <v>0</v>
      </c>
      <c r="AP243" s="115">
        <v>0</v>
      </c>
      <c r="AQ243" s="115">
        <v>0</v>
      </c>
      <c r="AR243" s="115">
        <v>0</v>
      </c>
      <c r="AS243" s="115">
        <v>0</v>
      </c>
      <c r="AT243" s="115">
        <v>0</v>
      </c>
      <c r="AU243" s="115">
        <v>0</v>
      </c>
      <c r="AV243" s="115">
        <v>0</v>
      </c>
      <c r="AW243" s="115">
        <v>0</v>
      </c>
      <c r="AX243" s="115">
        <v>0</v>
      </c>
      <c r="AY243" s="115">
        <v>0</v>
      </c>
    </row>
    <row r="244" spans="1:51" x14ac:dyDescent="0.2">
      <c r="A244" s="114"/>
      <c r="B244" s="132">
        <v>36</v>
      </c>
      <c r="C244" s="111">
        <v>0</v>
      </c>
      <c r="D244" s="115">
        <v>0</v>
      </c>
      <c r="E244" s="115">
        <v>0</v>
      </c>
      <c r="F244" s="115">
        <v>0</v>
      </c>
      <c r="G244" s="115">
        <v>0</v>
      </c>
      <c r="H244" s="115">
        <v>0</v>
      </c>
      <c r="I244" s="115">
        <v>0</v>
      </c>
      <c r="J244" s="115">
        <v>0</v>
      </c>
      <c r="K244" s="115">
        <v>0</v>
      </c>
      <c r="L244" s="115">
        <v>0</v>
      </c>
      <c r="M244" s="115">
        <v>0</v>
      </c>
      <c r="N244" s="115">
        <v>0</v>
      </c>
      <c r="O244" s="115">
        <v>0</v>
      </c>
      <c r="P244" s="115">
        <v>0</v>
      </c>
      <c r="Q244" s="115">
        <v>0</v>
      </c>
      <c r="R244" s="115">
        <v>0</v>
      </c>
      <c r="S244" s="115">
        <v>0</v>
      </c>
      <c r="T244" s="115">
        <v>0</v>
      </c>
      <c r="U244" s="115">
        <v>0</v>
      </c>
      <c r="V244" s="115">
        <v>0</v>
      </c>
      <c r="W244" s="115">
        <v>0</v>
      </c>
      <c r="X244" s="115">
        <v>0</v>
      </c>
      <c r="Y244" s="115">
        <v>0</v>
      </c>
      <c r="Z244" s="115">
        <v>0</v>
      </c>
      <c r="AA244" s="115">
        <v>0</v>
      </c>
      <c r="AB244" s="115">
        <v>0</v>
      </c>
      <c r="AC244" s="115">
        <v>0</v>
      </c>
      <c r="AD244" s="115">
        <v>0</v>
      </c>
      <c r="AE244" s="115">
        <v>0</v>
      </c>
      <c r="AF244" s="115">
        <v>0</v>
      </c>
      <c r="AG244" s="115">
        <v>0</v>
      </c>
      <c r="AH244" s="115">
        <v>0</v>
      </c>
      <c r="AI244" s="115">
        <v>0</v>
      </c>
      <c r="AJ244" s="115">
        <v>0</v>
      </c>
      <c r="AK244" s="115">
        <v>0</v>
      </c>
      <c r="AL244" s="115">
        <v>0</v>
      </c>
      <c r="AM244" s="115">
        <v>0</v>
      </c>
      <c r="AN244" s="115">
        <v>0</v>
      </c>
      <c r="AO244" s="115">
        <v>0</v>
      </c>
      <c r="AP244" s="115">
        <v>0</v>
      </c>
      <c r="AQ244" s="115">
        <v>0</v>
      </c>
      <c r="AR244" s="115">
        <v>0</v>
      </c>
      <c r="AS244" s="115">
        <v>0</v>
      </c>
      <c r="AT244" s="115">
        <v>0</v>
      </c>
      <c r="AU244" s="115">
        <v>0</v>
      </c>
      <c r="AV244" s="115">
        <v>0</v>
      </c>
      <c r="AW244" s="115">
        <v>0</v>
      </c>
      <c r="AX244" s="115">
        <v>0</v>
      </c>
      <c r="AY244" s="115">
        <v>0</v>
      </c>
    </row>
    <row r="245" spans="1:51" x14ac:dyDescent="0.2">
      <c r="A245" s="114"/>
      <c r="B245" s="135">
        <v>37</v>
      </c>
      <c r="C245" s="111">
        <v>0</v>
      </c>
      <c r="D245" s="115">
        <v>0</v>
      </c>
      <c r="E245" s="115">
        <v>0</v>
      </c>
      <c r="F245" s="115">
        <v>0</v>
      </c>
      <c r="G245" s="115">
        <v>0</v>
      </c>
      <c r="H245" s="115">
        <v>0</v>
      </c>
      <c r="I245" s="115">
        <v>0</v>
      </c>
      <c r="J245" s="115">
        <v>0</v>
      </c>
      <c r="K245" s="115">
        <v>0</v>
      </c>
      <c r="L245" s="115">
        <v>0</v>
      </c>
      <c r="M245" s="115">
        <v>0</v>
      </c>
      <c r="N245" s="115">
        <v>0</v>
      </c>
      <c r="O245" s="115">
        <v>0</v>
      </c>
      <c r="P245" s="115">
        <v>0</v>
      </c>
      <c r="Q245" s="115">
        <v>0</v>
      </c>
      <c r="R245" s="115">
        <v>0</v>
      </c>
      <c r="S245" s="115">
        <v>0</v>
      </c>
      <c r="T245" s="115">
        <v>0</v>
      </c>
      <c r="U245" s="115">
        <v>0</v>
      </c>
      <c r="V245" s="115">
        <v>0</v>
      </c>
      <c r="W245" s="115">
        <v>0</v>
      </c>
      <c r="X245" s="115">
        <v>0</v>
      </c>
      <c r="Y245" s="115">
        <v>0</v>
      </c>
      <c r="Z245" s="115">
        <v>0</v>
      </c>
      <c r="AA245" s="115">
        <v>0</v>
      </c>
      <c r="AB245" s="115">
        <v>0</v>
      </c>
      <c r="AC245" s="115">
        <v>0</v>
      </c>
      <c r="AD245" s="115">
        <v>0</v>
      </c>
      <c r="AE245" s="115">
        <v>0</v>
      </c>
      <c r="AF245" s="115">
        <v>0</v>
      </c>
      <c r="AG245" s="115">
        <v>0</v>
      </c>
      <c r="AH245" s="115">
        <v>0</v>
      </c>
      <c r="AI245" s="115">
        <v>0</v>
      </c>
      <c r="AJ245" s="115">
        <v>0</v>
      </c>
      <c r="AK245" s="115">
        <v>0</v>
      </c>
      <c r="AL245" s="115">
        <v>0</v>
      </c>
      <c r="AM245" s="115">
        <v>0</v>
      </c>
      <c r="AN245" s="115">
        <v>0</v>
      </c>
      <c r="AO245" s="115">
        <v>0</v>
      </c>
      <c r="AP245" s="115">
        <v>0</v>
      </c>
      <c r="AQ245" s="115">
        <v>0</v>
      </c>
      <c r="AR245" s="115">
        <v>0</v>
      </c>
      <c r="AS245" s="115">
        <v>0</v>
      </c>
      <c r="AT245" s="115">
        <v>0</v>
      </c>
      <c r="AU245" s="115">
        <v>0</v>
      </c>
      <c r="AV245" s="115">
        <v>0</v>
      </c>
      <c r="AW245" s="115">
        <v>0</v>
      </c>
      <c r="AX245" s="115">
        <v>0</v>
      </c>
      <c r="AY245" s="115">
        <v>0</v>
      </c>
    </row>
    <row r="246" spans="1:51" x14ac:dyDescent="0.2">
      <c r="A246" s="114"/>
      <c r="B246" s="135">
        <v>38</v>
      </c>
      <c r="C246" s="111">
        <v>0</v>
      </c>
      <c r="D246" s="115">
        <v>0</v>
      </c>
      <c r="E246" s="115">
        <v>0</v>
      </c>
      <c r="F246" s="115">
        <v>0</v>
      </c>
      <c r="G246" s="115">
        <v>0</v>
      </c>
      <c r="H246" s="115">
        <v>0</v>
      </c>
      <c r="I246" s="115">
        <v>0</v>
      </c>
      <c r="J246" s="115">
        <v>0</v>
      </c>
      <c r="K246" s="115">
        <v>0</v>
      </c>
      <c r="L246" s="115">
        <v>0</v>
      </c>
      <c r="M246" s="115">
        <v>0</v>
      </c>
      <c r="N246" s="115">
        <v>0</v>
      </c>
      <c r="O246" s="115">
        <v>0</v>
      </c>
      <c r="P246" s="115">
        <v>0</v>
      </c>
      <c r="Q246" s="115">
        <v>0</v>
      </c>
      <c r="R246" s="115">
        <v>0</v>
      </c>
      <c r="S246" s="115">
        <v>0</v>
      </c>
      <c r="T246" s="115">
        <v>0</v>
      </c>
      <c r="U246" s="115">
        <v>0</v>
      </c>
      <c r="V246" s="115">
        <v>0</v>
      </c>
      <c r="W246" s="115">
        <v>0</v>
      </c>
      <c r="X246" s="115">
        <v>0</v>
      </c>
      <c r="Y246" s="115">
        <v>0</v>
      </c>
      <c r="Z246" s="115">
        <v>0</v>
      </c>
      <c r="AA246" s="115">
        <v>0</v>
      </c>
      <c r="AB246" s="115">
        <v>0</v>
      </c>
      <c r="AC246" s="115">
        <v>0</v>
      </c>
      <c r="AD246" s="115">
        <v>0</v>
      </c>
      <c r="AE246" s="115">
        <v>0</v>
      </c>
      <c r="AF246" s="115">
        <v>0</v>
      </c>
      <c r="AG246" s="115">
        <v>0</v>
      </c>
      <c r="AH246" s="115">
        <v>0</v>
      </c>
      <c r="AI246" s="115">
        <v>0</v>
      </c>
      <c r="AJ246" s="115">
        <v>0</v>
      </c>
      <c r="AK246" s="115">
        <v>0</v>
      </c>
      <c r="AL246" s="115">
        <v>0</v>
      </c>
      <c r="AM246" s="115">
        <v>0</v>
      </c>
      <c r="AN246" s="115">
        <v>0</v>
      </c>
      <c r="AO246" s="115">
        <v>0</v>
      </c>
      <c r="AP246" s="115">
        <v>0</v>
      </c>
      <c r="AQ246" s="115">
        <v>0</v>
      </c>
      <c r="AR246" s="115">
        <v>0</v>
      </c>
      <c r="AS246" s="115">
        <v>0</v>
      </c>
      <c r="AT246" s="115">
        <v>0</v>
      </c>
      <c r="AU246" s="115">
        <v>0</v>
      </c>
      <c r="AV246" s="115">
        <v>0</v>
      </c>
      <c r="AW246" s="115">
        <v>0</v>
      </c>
      <c r="AX246" s="115">
        <v>0</v>
      </c>
      <c r="AY246" s="115">
        <v>0</v>
      </c>
    </row>
    <row r="247" spans="1:51" x14ac:dyDescent="0.2">
      <c r="A247" s="114"/>
      <c r="B247" s="135">
        <v>39</v>
      </c>
      <c r="C247" s="111">
        <v>0</v>
      </c>
      <c r="D247" s="115">
        <v>0</v>
      </c>
      <c r="E247" s="115">
        <v>0</v>
      </c>
      <c r="F247" s="115">
        <v>0</v>
      </c>
      <c r="G247" s="115">
        <v>0</v>
      </c>
      <c r="H247" s="115">
        <v>0</v>
      </c>
      <c r="I247" s="115">
        <v>0</v>
      </c>
      <c r="J247" s="115">
        <v>0</v>
      </c>
      <c r="K247" s="115">
        <v>0</v>
      </c>
      <c r="L247" s="115">
        <v>0</v>
      </c>
      <c r="M247" s="115">
        <v>0</v>
      </c>
      <c r="N247" s="115">
        <v>0</v>
      </c>
      <c r="O247" s="115">
        <v>0</v>
      </c>
      <c r="P247" s="115">
        <v>0</v>
      </c>
      <c r="Q247" s="115">
        <v>0</v>
      </c>
      <c r="R247" s="115">
        <v>0</v>
      </c>
      <c r="S247" s="115">
        <v>0</v>
      </c>
      <c r="T247" s="115">
        <v>0</v>
      </c>
      <c r="U247" s="115">
        <v>0</v>
      </c>
      <c r="V247" s="115">
        <v>0</v>
      </c>
      <c r="W247" s="115">
        <v>0</v>
      </c>
      <c r="X247" s="115">
        <v>0</v>
      </c>
      <c r="Y247" s="115">
        <v>0</v>
      </c>
      <c r="Z247" s="115">
        <v>0</v>
      </c>
      <c r="AA247" s="115">
        <v>0</v>
      </c>
      <c r="AB247" s="115">
        <v>0</v>
      </c>
      <c r="AC247" s="115">
        <v>0</v>
      </c>
      <c r="AD247" s="115">
        <v>0</v>
      </c>
      <c r="AE247" s="115">
        <v>0</v>
      </c>
      <c r="AF247" s="115">
        <v>0</v>
      </c>
      <c r="AG247" s="115">
        <v>0</v>
      </c>
      <c r="AH247" s="115">
        <v>0</v>
      </c>
      <c r="AI247" s="115">
        <v>0</v>
      </c>
      <c r="AJ247" s="115">
        <v>0</v>
      </c>
      <c r="AK247" s="115">
        <v>0</v>
      </c>
      <c r="AL247" s="115">
        <v>0</v>
      </c>
      <c r="AM247" s="115">
        <v>0</v>
      </c>
      <c r="AN247" s="115">
        <v>0</v>
      </c>
      <c r="AO247" s="115">
        <v>0</v>
      </c>
      <c r="AP247" s="115">
        <v>0</v>
      </c>
      <c r="AQ247" s="115">
        <v>0</v>
      </c>
      <c r="AR247" s="115">
        <v>0</v>
      </c>
      <c r="AS247" s="115">
        <v>0</v>
      </c>
      <c r="AT247" s="115">
        <v>0</v>
      </c>
      <c r="AU247" s="115">
        <v>0</v>
      </c>
      <c r="AV247" s="115">
        <v>0</v>
      </c>
      <c r="AW247" s="115">
        <v>0</v>
      </c>
      <c r="AX247" s="115">
        <v>0</v>
      </c>
      <c r="AY247" s="115">
        <v>0</v>
      </c>
    </row>
    <row r="248" spans="1:51" x14ac:dyDescent="0.2">
      <c r="A248" s="114"/>
      <c r="B248" s="135">
        <v>40</v>
      </c>
      <c r="C248" s="111">
        <v>0</v>
      </c>
      <c r="D248" s="115">
        <v>0</v>
      </c>
      <c r="E248" s="115">
        <v>0</v>
      </c>
      <c r="F248" s="115">
        <v>0</v>
      </c>
      <c r="G248" s="115">
        <v>0</v>
      </c>
      <c r="H248" s="115">
        <v>0</v>
      </c>
      <c r="I248" s="115">
        <v>0</v>
      </c>
      <c r="J248" s="115">
        <v>0</v>
      </c>
      <c r="K248" s="115">
        <v>0</v>
      </c>
      <c r="L248" s="115">
        <v>0</v>
      </c>
      <c r="M248" s="115">
        <v>0</v>
      </c>
      <c r="N248" s="115">
        <v>0</v>
      </c>
      <c r="O248" s="115">
        <v>0</v>
      </c>
      <c r="P248" s="115">
        <v>0</v>
      </c>
      <c r="Q248" s="115">
        <v>0</v>
      </c>
      <c r="R248" s="115">
        <v>0</v>
      </c>
      <c r="S248" s="115">
        <v>0</v>
      </c>
      <c r="T248" s="115">
        <v>0</v>
      </c>
      <c r="U248" s="115">
        <v>0</v>
      </c>
      <c r="V248" s="115">
        <v>0</v>
      </c>
      <c r="W248" s="115">
        <v>0</v>
      </c>
      <c r="X248" s="115">
        <v>0</v>
      </c>
      <c r="Y248" s="115">
        <v>0</v>
      </c>
      <c r="Z248" s="115">
        <v>0</v>
      </c>
      <c r="AA248" s="115">
        <v>0</v>
      </c>
      <c r="AB248" s="115">
        <v>0</v>
      </c>
      <c r="AC248" s="115">
        <v>0</v>
      </c>
      <c r="AD248" s="115">
        <v>0</v>
      </c>
      <c r="AE248" s="115">
        <v>0</v>
      </c>
      <c r="AF248" s="115">
        <v>0</v>
      </c>
      <c r="AG248" s="115">
        <v>0</v>
      </c>
      <c r="AH248" s="115">
        <v>0</v>
      </c>
      <c r="AI248" s="115">
        <v>0</v>
      </c>
      <c r="AJ248" s="115">
        <v>0</v>
      </c>
      <c r="AK248" s="115">
        <v>0</v>
      </c>
      <c r="AL248" s="115">
        <v>0</v>
      </c>
      <c r="AM248" s="115">
        <v>0</v>
      </c>
      <c r="AN248" s="115">
        <v>0</v>
      </c>
      <c r="AO248" s="115">
        <v>0</v>
      </c>
      <c r="AP248" s="115">
        <v>0</v>
      </c>
      <c r="AQ248" s="115">
        <v>0</v>
      </c>
      <c r="AR248" s="115">
        <v>0</v>
      </c>
      <c r="AS248" s="115">
        <v>0</v>
      </c>
      <c r="AT248" s="115">
        <v>0</v>
      </c>
      <c r="AU248" s="115">
        <v>0</v>
      </c>
      <c r="AV248" s="115">
        <v>0</v>
      </c>
      <c r="AW248" s="115">
        <v>0</v>
      </c>
      <c r="AX248" s="115">
        <v>0</v>
      </c>
      <c r="AY248" s="115">
        <v>0</v>
      </c>
    </row>
    <row r="249" spans="1:51" x14ac:dyDescent="0.2">
      <c r="A249" s="114"/>
      <c r="B249" s="135">
        <v>41</v>
      </c>
      <c r="C249" s="111">
        <v>0</v>
      </c>
      <c r="D249" s="115">
        <v>0</v>
      </c>
      <c r="E249" s="115">
        <v>0</v>
      </c>
      <c r="F249" s="115">
        <v>0</v>
      </c>
      <c r="G249" s="115">
        <v>0</v>
      </c>
      <c r="H249" s="115">
        <v>0</v>
      </c>
      <c r="I249" s="115">
        <v>0</v>
      </c>
      <c r="J249" s="115">
        <v>0</v>
      </c>
      <c r="K249" s="115">
        <v>0</v>
      </c>
      <c r="L249" s="115">
        <v>0</v>
      </c>
      <c r="M249" s="115">
        <v>0</v>
      </c>
      <c r="N249" s="115">
        <v>0</v>
      </c>
      <c r="O249" s="115">
        <v>0</v>
      </c>
      <c r="P249" s="115">
        <v>0</v>
      </c>
      <c r="Q249" s="115">
        <v>0</v>
      </c>
      <c r="R249" s="115">
        <v>0</v>
      </c>
      <c r="S249" s="115">
        <v>0</v>
      </c>
      <c r="T249" s="115">
        <v>0</v>
      </c>
      <c r="U249" s="115">
        <v>0</v>
      </c>
      <c r="V249" s="115">
        <v>0</v>
      </c>
      <c r="W249" s="115">
        <v>0</v>
      </c>
      <c r="X249" s="115">
        <v>0</v>
      </c>
      <c r="Y249" s="115">
        <v>0</v>
      </c>
      <c r="Z249" s="115">
        <v>0</v>
      </c>
      <c r="AA249" s="115">
        <v>0</v>
      </c>
      <c r="AB249" s="115">
        <v>0</v>
      </c>
      <c r="AC249" s="115">
        <v>0</v>
      </c>
      <c r="AD249" s="115">
        <v>0</v>
      </c>
      <c r="AE249" s="115">
        <v>0</v>
      </c>
      <c r="AF249" s="115">
        <v>0</v>
      </c>
      <c r="AG249" s="115">
        <v>0</v>
      </c>
      <c r="AH249" s="115">
        <v>0</v>
      </c>
      <c r="AI249" s="115">
        <v>0</v>
      </c>
      <c r="AJ249" s="115">
        <v>0</v>
      </c>
      <c r="AK249" s="115">
        <v>0</v>
      </c>
      <c r="AL249" s="115">
        <v>0</v>
      </c>
      <c r="AM249" s="115">
        <v>0</v>
      </c>
      <c r="AN249" s="115">
        <v>0</v>
      </c>
      <c r="AO249" s="115">
        <v>0</v>
      </c>
      <c r="AP249" s="115">
        <v>0</v>
      </c>
      <c r="AQ249" s="115">
        <v>0</v>
      </c>
      <c r="AR249" s="115">
        <v>0</v>
      </c>
      <c r="AS249" s="115">
        <v>0</v>
      </c>
      <c r="AT249" s="115">
        <v>0</v>
      </c>
      <c r="AU249" s="115">
        <v>0</v>
      </c>
      <c r="AV249" s="115">
        <v>0</v>
      </c>
      <c r="AW249" s="115">
        <v>0</v>
      </c>
      <c r="AX249" s="115">
        <v>0</v>
      </c>
      <c r="AY249" s="115">
        <v>0</v>
      </c>
    </row>
    <row r="250" spans="1:51" x14ac:dyDescent="0.2">
      <c r="A250" s="114"/>
      <c r="B250" s="135">
        <v>42</v>
      </c>
      <c r="C250" s="111">
        <v>0</v>
      </c>
      <c r="D250" s="115">
        <v>0</v>
      </c>
      <c r="E250" s="115">
        <v>0</v>
      </c>
      <c r="F250" s="115">
        <v>0</v>
      </c>
      <c r="G250" s="115">
        <v>0</v>
      </c>
      <c r="H250" s="115">
        <v>0</v>
      </c>
      <c r="I250" s="115">
        <v>0</v>
      </c>
      <c r="J250" s="115">
        <v>0</v>
      </c>
      <c r="K250" s="115">
        <v>0</v>
      </c>
      <c r="L250" s="115">
        <v>0</v>
      </c>
      <c r="M250" s="115">
        <v>0</v>
      </c>
      <c r="N250" s="115">
        <v>0</v>
      </c>
      <c r="O250" s="115">
        <v>0</v>
      </c>
      <c r="P250" s="115">
        <v>0</v>
      </c>
      <c r="Q250" s="115">
        <v>0</v>
      </c>
      <c r="R250" s="115">
        <v>0</v>
      </c>
      <c r="S250" s="115">
        <v>0</v>
      </c>
      <c r="T250" s="115">
        <v>0</v>
      </c>
      <c r="U250" s="115">
        <v>0</v>
      </c>
      <c r="V250" s="115">
        <v>0</v>
      </c>
      <c r="W250" s="115">
        <v>0</v>
      </c>
      <c r="X250" s="115">
        <v>0</v>
      </c>
      <c r="Y250" s="115">
        <v>0</v>
      </c>
      <c r="Z250" s="115">
        <v>0</v>
      </c>
      <c r="AA250" s="115">
        <v>0</v>
      </c>
      <c r="AB250" s="115">
        <v>0</v>
      </c>
      <c r="AC250" s="115">
        <v>0</v>
      </c>
      <c r="AD250" s="115">
        <v>0</v>
      </c>
      <c r="AE250" s="115">
        <v>0</v>
      </c>
      <c r="AF250" s="115">
        <v>0</v>
      </c>
      <c r="AG250" s="115">
        <v>0</v>
      </c>
      <c r="AH250" s="115">
        <v>0</v>
      </c>
      <c r="AI250" s="115">
        <v>0</v>
      </c>
      <c r="AJ250" s="115">
        <v>0</v>
      </c>
      <c r="AK250" s="115">
        <v>0</v>
      </c>
      <c r="AL250" s="115">
        <v>0</v>
      </c>
      <c r="AM250" s="115">
        <v>0</v>
      </c>
      <c r="AN250" s="115">
        <v>0</v>
      </c>
      <c r="AO250" s="115">
        <v>0</v>
      </c>
      <c r="AP250" s="115">
        <v>0</v>
      </c>
      <c r="AQ250" s="115">
        <v>0</v>
      </c>
      <c r="AR250" s="115">
        <v>0</v>
      </c>
      <c r="AS250" s="115">
        <v>0</v>
      </c>
      <c r="AT250" s="115">
        <v>0</v>
      </c>
      <c r="AU250" s="115">
        <v>0</v>
      </c>
      <c r="AV250" s="115">
        <v>0</v>
      </c>
      <c r="AW250" s="115">
        <v>0</v>
      </c>
      <c r="AX250" s="115">
        <v>0</v>
      </c>
      <c r="AY250" s="115">
        <v>0</v>
      </c>
    </row>
    <row r="251" spans="1:51" x14ac:dyDescent="0.2">
      <c r="A251" s="114"/>
      <c r="B251" s="135">
        <v>43</v>
      </c>
      <c r="C251" s="111">
        <v>0</v>
      </c>
      <c r="D251" s="115">
        <v>0</v>
      </c>
      <c r="E251" s="115">
        <v>0</v>
      </c>
      <c r="F251" s="115">
        <v>0</v>
      </c>
      <c r="G251" s="115">
        <v>0</v>
      </c>
      <c r="H251" s="115">
        <v>0</v>
      </c>
      <c r="I251" s="115">
        <v>0</v>
      </c>
      <c r="J251" s="115">
        <v>0</v>
      </c>
      <c r="K251" s="115">
        <v>0</v>
      </c>
      <c r="L251" s="115">
        <v>0</v>
      </c>
      <c r="M251" s="115">
        <v>0</v>
      </c>
      <c r="N251" s="115">
        <v>0</v>
      </c>
      <c r="O251" s="115">
        <v>0</v>
      </c>
      <c r="P251" s="115">
        <v>0</v>
      </c>
      <c r="Q251" s="115">
        <v>0</v>
      </c>
      <c r="R251" s="115">
        <v>0</v>
      </c>
      <c r="S251" s="115">
        <v>0</v>
      </c>
      <c r="T251" s="115">
        <v>0</v>
      </c>
      <c r="U251" s="115">
        <v>0</v>
      </c>
      <c r="V251" s="115">
        <v>0</v>
      </c>
      <c r="W251" s="115">
        <v>0</v>
      </c>
      <c r="X251" s="115">
        <v>0</v>
      </c>
      <c r="Y251" s="115">
        <v>0</v>
      </c>
      <c r="Z251" s="115">
        <v>0</v>
      </c>
      <c r="AA251" s="115">
        <v>0</v>
      </c>
      <c r="AB251" s="115">
        <v>0</v>
      </c>
      <c r="AC251" s="115">
        <v>0</v>
      </c>
      <c r="AD251" s="115">
        <v>0</v>
      </c>
      <c r="AE251" s="115">
        <v>0</v>
      </c>
      <c r="AF251" s="115">
        <v>0</v>
      </c>
      <c r="AG251" s="115">
        <v>0</v>
      </c>
      <c r="AH251" s="115">
        <v>0</v>
      </c>
      <c r="AI251" s="115">
        <v>0</v>
      </c>
      <c r="AJ251" s="115">
        <v>0</v>
      </c>
      <c r="AK251" s="115">
        <v>0</v>
      </c>
      <c r="AL251" s="115">
        <v>0</v>
      </c>
      <c r="AM251" s="115">
        <v>0</v>
      </c>
      <c r="AN251" s="115">
        <v>0</v>
      </c>
      <c r="AO251" s="115">
        <v>0</v>
      </c>
      <c r="AP251" s="115">
        <v>0</v>
      </c>
      <c r="AQ251" s="115">
        <v>0</v>
      </c>
      <c r="AR251" s="115">
        <v>0</v>
      </c>
      <c r="AS251" s="115">
        <v>0</v>
      </c>
      <c r="AT251" s="115">
        <v>0</v>
      </c>
      <c r="AU251" s="115">
        <v>0</v>
      </c>
      <c r="AV251" s="115">
        <v>0</v>
      </c>
      <c r="AW251" s="115">
        <v>0</v>
      </c>
      <c r="AX251" s="115">
        <v>0</v>
      </c>
      <c r="AY251" s="115">
        <v>0</v>
      </c>
    </row>
    <row r="252" spans="1:51" x14ac:dyDescent="0.2">
      <c r="A252" s="114"/>
      <c r="B252" s="135">
        <v>44</v>
      </c>
      <c r="C252" s="111">
        <v>0</v>
      </c>
      <c r="D252" s="115">
        <v>0</v>
      </c>
      <c r="E252" s="115">
        <v>0</v>
      </c>
      <c r="F252" s="115">
        <v>0</v>
      </c>
      <c r="G252" s="115">
        <v>0</v>
      </c>
      <c r="H252" s="115">
        <v>0</v>
      </c>
      <c r="I252" s="115">
        <v>0</v>
      </c>
      <c r="J252" s="115">
        <v>0</v>
      </c>
      <c r="K252" s="115">
        <v>0</v>
      </c>
      <c r="L252" s="115">
        <v>0</v>
      </c>
      <c r="M252" s="115">
        <v>0</v>
      </c>
      <c r="N252" s="115">
        <v>0</v>
      </c>
      <c r="O252" s="115">
        <v>0</v>
      </c>
      <c r="P252" s="115">
        <v>0</v>
      </c>
      <c r="Q252" s="115">
        <v>0</v>
      </c>
      <c r="R252" s="115">
        <v>0</v>
      </c>
      <c r="S252" s="115">
        <v>0</v>
      </c>
      <c r="T252" s="115">
        <v>0</v>
      </c>
      <c r="U252" s="115">
        <v>0</v>
      </c>
      <c r="V252" s="115">
        <v>0</v>
      </c>
      <c r="W252" s="115">
        <v>0</v>
      </c>
      <c r="X252" s="115">
        <v>0</v>
      </c>
      <c r="Y252" s="115">
        <v>0</v>
      </c>
      <c r="Z252" s="115">
        <v>0</v>
      </c>
      <c r="AA252" s="115">
        <v>0</v>
      </c>
      <c r="AB252" s="115">
        <v>0</v>
      </c>
      <c r="AC252" s="115">
        <v>0</v>
      </c>
      <c r="AD252" s="115">
        <v>0</v>
      </c>
      <c r="AE252" s="115">
        <v>0</v>
      </c>
      <c r="AF252" s="115">
        <v>0</v>
      </c>
      <c r="AG252" s="115">
        <v>0</v>
      </c>
      <c r="AH252" s="115">
        <v>0</v>
      </c>
      <c r="AI252" s="115">
        <v>0</v>
      </c>
      <c r="AJ252" s="115">
        <v>0</v>
      </c>
      <c r="AK252" s="115">
        <v>0</v>
      </c>
      <c r="AL252" s="115">
        <v>0</v>
      </c>
      <c r="AM252" s="115">
        <v>0</v>
      </c>
      <c r="AN252" s="115">
        <v>0</v>
      </c>
      <c r="AO252" s="115">
        <v>0</v>
      </c>
      <c r="AP252" s="115">
        <v>0</v>
      </c>
      <c r="AQ252" s="115">
        <v>0</v>
      </c>
      <c r="AR252" s="115">
        <v>0</v>
      </c>
      <c r="AS252" s="115">
        <v>0</v>
      </c>
      <c r="AT252" s="115">
        <v>0</v>
      </c>
      <c r="AU252" s="115">
        <v>0</v>
      </c>
      <c r="AV252" s="115">
        <v>0</v>
      </c>
      <c r="AW252" s="115">
        <v>0</v>
      </c>
      <c r="AX252" s="115">
        <v>0</v>
      </c>
      <c r="AY252" s="115">
        <v>0</v>
      </c>
    </row>
    <row r="253" spans="1:51" x14ac:dyDescent="0.2">
      <c r="A253" s="114"/>
      <c r="B253" s="135">
        <v>45</v>
      </c>
      <c r="C253" s="111">
        <v>0</v>
      </c>
      <c r="D253" s="115">
        <v>0</v>
      </c>
      <c r="E253" s="115">
        <v>0</v>
      </c>
      <c r="F253" s="115">
        <v>0</v>
      </c>
      <c r="G253" s="115">
        <v>0</v>
      </c>
      <c r="H253" s="115">
        <v>0</v>
      </c>
      <c r="I253" s="115">
        <v>0</v>
      </c>
      <c r="J253" s="115">
        <v>0</v>
      </c>
      <c r="K253" s="115">
        <v>0</v>
      </c>
      <c r="L253" s="115">
        <v>0</v>
      </c>
      <c r="M253" s="115">
        <v>0</v>
      </c>
      <c r="N253" s="115">
        <v>0</v>
      </c>
      <c r="O253" s="115">
        <v>0</v>
      </c>
      <c r="P253" s="115">
        <v>0</v>
      </c>
      <c r="Q253" s="115">
        <v>0</v>
      </c>
      <c r="R253" s="115">
        <v>0</v>
      </c>
      <c r="S253" s="115">
        <v>0</v>
      </c>
      <c r="T253" s="115">
        <v>0</v>
      </c>
      <c r="U253" s="115">
        <v>0</v>
      </c>
      <c r="V253" s="115">
        <v>0</v>
      </c>
      <c r="W253" s="115">
        <v>0</v>
      </c>
      <c r="X253" s="115">
        <v>0</v>
      </c>
      <c r="Y253" s="115">
        <v>0</v>
      </c>
      <c r="Z253" s="115">
        <v>0</v>
      </c>
      <c r="AA253" s="115">
        <v>0</v>
      </c>
      <c r="AB253" s="115">
        <v>0</v>
      </c>
      <c r="AC253" s="115">
        <v>0</v>
      </c>
      <c r="AD253" s="115">
        <v>0</v>
      </c>
      <c r="AE253" s="115">
        <v>0</v>
      </c>
      <c r="AF253" s="115">
        <v>0</v>
      </c>
      <c r="AG253" s="115">
        <v>0</v>
      </c>
      <c r="AH253" s="115">
        <v>0</v>
      </c>
      <c r="AI253" s="115">
        <v>0</v>
      </c>
      <c r="AJ253" s="115">
        <v>0</v>
      </c>
      <c r="AK253" s="115">
        <v>0</v>
      </c>
      <c r="AL253" s="115">
        <v>0</v>
      </c>
      <c r="AM253" s="115">
        <v>0</v>
      </c>
      <c r="AN253" s="115">
        <v>0</v>
      </c>
      <c r="AO253" s="115">
        <v>0</v>
      </c>
      <c r="AP253" s="115">
        <v>0</v>
      </c>
      <c r="AQ253" s="115">
        <v>0</v>
      </c>
      <c r="AR253" s="115">
        <v>0</v>
      </c>
      <c r="AS253" s="115">
        <v>0</v>
      </c>
      <c r="AT253" s="115">
        <v>0</v>
      </c>
      <c r="AU253" s="115">
        <v>0</v>
      </c>
      <c r="AV253" s="115">
        <v>0</v>
      </c>
      <c r="AW253" s="115">
        <v>0</v>
      </c>
      <c r="AX253" s="115">
        <v>0</v>
      </c>
      <c r="AY253" s="115">
        <v>0</v>
      </c>
    </row>
    <row r="254" spans="1:51" x14ac:dyDescent="0.2">
      <c r="A254" s="114"/>
      <c r="B254" s="135">
        <v>46</v>
      </c>
      <c r="C254" s="111">
        <v>0</v>
      </c>
      <c r="D254" s="115">
        <v>0</v>
      </c>
      <c r="E254" s="115">
        <v>0</v>
      </c>
      <c r="F254" s="115">
        <v>0</v>
      </c>
      <c r="G254" s="115">
        <v>0</v>
      </c>
      <c r="H254" s="115">
        <v>0</v>
      </c>
      <c r="I254" s="115">
        <v>0</v>
      </c>
      <c r="J254" s="115">
        <v>0</v>
      </c>
      <c r="K254" s="115">
        <v>0</v>
      </c>
      <c r="L254" s="115">
        <v>0</v>
      </c>
      <c r="M254" s="115">
        <v>0</v>
      </c>
      <c r="N254" s="115">
        <v>0</v>
      </c>
      <c r="O254" s="115">
        <v>0</v>
      </c>
      <c r="P254" s="115">
        <v>0</v>
      </c>
      <c r="Q254" s="115">
        <v>0</v>
      </c>
      <c r="R254" s="115">
        <v>0</v>
      </c>
      <c r="S254" s="115">
        <v>0</v>
      </c>
      <c r="T254" s="115">
        <v>0</v>
      </c>
      <c r="U254" s="115">
        <v>0</v>
      </c>
      <c r="V254" s="115">
        <v>0</v>
      </c>
      <c r="W254" s="115">
        <v>0</v>
      </c>
      <c r="X254" s="115">
        <v>0</v>
      </c>
      <c r="Y254" s="115">
        <v>0</v>
      </c>
      <c r="Z254" s="115">
        <v>0</v>
      </c>
      <c r="AA254" s="115">
        <v>0</v>
      </c>
      <c r="AB254" s="115">
        <v>0</v>
      </c>
      <c r="AC254" s="115">
        <v>0</v>
      </c>
      <c r="AD254" s="115">
        <v>0</v>
      </c>
      <c r="AE254" s="115">
        <v>0</v>
      </c>
      <c r="AF254" s="115">
        <v>0</v>
      </c>
      <c r="AG254" s="115">
        <v>0</v>
      </c>
      <c r="AH254" s="115">
        <v>0</v>
      </c>
      <c r="AI254" s="115">
        <v>0</v>
      </c>
      <c r="AJ254" s="115">
        <v>0</v>
      </c>
      <c r="AK254" s="115">
        <v>0</v>
      </c>
      <c r="AL254" s="115">
        <v>0</v>
      </c>
      <c r="AM254" s="115">
        <v>0</v>
      </c>
      <c r="AN254" s="115">
        <v>0</v>
      </c>
      <c r="AO254" s="115">
        <v>0</v>
      </c>
      <c r="AP254" s="115">
        <v>0</v>
      </c>
      <c r="AQ254" s="115">
        <v>0</v>
      </c>
      <c r="AR254" s="115">
        <v>0</v>
      </c>
      <c r="AS254" s="115">
        <v>0</v>
      </c>
      <c r="AT254" s="115">
        <v>0</v>
      </c>
      <c r="AU254" s="115">
        <v>0</v>
      </c>
      <c r="AV254" s="115">
        <v>0</v>
      </c>
      <c r="AW254" s="115">
        <v>0</v>
      </c>
      <c r="AX254" s="115">
        <v>0</v>
      </c>
      <c r="AY254" s="115">
        <v>0</v>
      </c>
    </row>
    <row r="255" spans="1:51" x14ac:dyDescent="0.2">
      <c r="A255" s="114"/>
      <c r="B255" s="135">
        <v>47</v>
      </c>
      <c r="C255" s="111">
        <v>0</v>
      </c>
      <c r="D255" s="115">
        <v>0</v>
      </c>
      <c r="E255" s="115">
        <v>0</v>
      </c>
      <c r="F255" s="115">
        <v>0</v>
      </c>
      <c r="G255" s="115">
        <v>0</v>
      </c>
      <c r="H255" s="115">
        <v>0</v>
      </c>
      <c r="I255" s="115">
        <v>0</v>
      </c>
      <c r="J255" s="115">
        <v>0</v>
      </c>
      <c r="K255" s="115">
        <v>0</v>
      </c>
      <c r="L255" s="115">
        <v>0</v>
      </c>
      <c r="M255" s="115">
        <v>0</v>
      </c>
      <c r="N255" s="115">
        <v>0</v>
      </c>
      <c r="O255" s="115">
        <v>0</v>
      </c>
      <c r="P255" s="115">
        <v>0</v>
      </c>
      <c r="Q255" s="115">
        <v>0</v>
      </c>
      <c r="R255" s="115">
        <v>0</v>
      </c>
      <c r="S255" s="115">
        <v>0</v>
      </c>
      <c r="T255" s="115">
        <v>0</v>
      </c>
      <c r="U255" s="115">
        <v>0</v>
      </c>
      <c r="V255" s="115">
        <v>0</v>
      </c>
      <c r="W255" s="115">
        <v>0</v>
      </c>
      <c r="X255" s="115">
        <v>0</v>
      </c>
      <c r="Y255" s="115">
        <v>0</v>
      </c>
      <c r="Z255" s="115">
        <v>0</v>
      </c>
      <c r="AA255" s="115">
        <v>0</v>
      </c>
      <c r="AB255" s="115">
        <v>0</v>
      </c>
      <c r="AC255" s="115">
        <v>0</v>
      </c>
      <c r="AD255" s="115">
        <v>0</v>
      </c>
      <c r="AE255" s="115">
        <v>0</v>
      </c>
      <c r="AF255" s="115">
        <v>0</v>
      </c>
      <c r="AG255" s="115">
        <v>0</v>
      </c>
      <c r="AH255" s="115">
        <v>0</v>
      </c>
      <c r="AI255" s="115">
        <v>0</v>
      </c>
      <c r="AJ255" s="115">
        <v>0</v>
      </c>
      <c r="AK255" s="115">
        <v>0</v>
      </c>
      <c r="AL255" s="115">
        <v>0</v>
      </c>
      <c r="AM255" s="115">
        <v>0</v>
      </c>
      <c r="AN255" s="115">
        <v>0</v>
      </c>
      <c r="AO255" s="115">
        <v>0</v>
      </c>
      <c r="AP255" s="115">
        <v>0</v>
      </c>
      <c r="AQ255" s="115">
        <v>0</v>
      </c>
      <c r="AR255" s="115">
        <v>0</v>
      </c>
      <c r="AS255" s="115">
        <v>0</v>
      </c>
      <c r="AT255" s="115">
        <v>0</v>
      </c>
      <c r="AU255" s="115">
        <v>0</v>
      </c>
      <c r="AV255" s="115">
        <v>0</v>
      </c>
      <c r="AW255" s="115">
        <v>0</v>
      </c>
      <c r="AX255" s="115">
        <v>0</v>
      </c>
      <c r="AY255" s="115">
        <v>0</v>
      </c>
    </row>
    <row r="256" spans="1:51" x14ac:dyDescent="0.2">
      <c r="A256" s="133"/>
      <c r="B256" s="134">
        <v>48</v>
      </c>
      <c r="C256" s="119">
        <v>0</v>
      </c>
      <c r="D256" s="130">
        <v>0</v>
      </c>
      <c r="E256" s="130">
        <v>0</v>
      </c>
      <c r="F256" s="130">
        <v>0</v>
      </c>
      <c r="G256" s="130">
        <v>0</v>
      </c>
      <c r="H256" s="130">
        <v>0</v>
      </c>
      <c r="I256" s="130">
        <v>0</v>
      </c>
      <c r="J256" s="130">
        <v>0</v>
      </c>
      <c r="K256" s="130">
        <v>0</v>
      </c>
      <c r="L256" s="130">
        <v>0</v>
      </c>
      <c r="M256" s="130">
        <v>0</v>
      </c>
      <c r="N256" s="130">
        <v>0</v>
      </c>
      <c r="O256" s="130">
        <v>0</v>
      </c>
      <c r="P256" s="130">
        <v>0</v>
      </c>
      <c r="Q256" s="130">
        <v>0</v>
      </c>
      <c r="R256" s="130">
        <v>0</v>
      </c>
      <c r="S256" s="130">
        <v>0</v>
      </c>
      <c r="T256" s="130">
        <v>0</v>
      </c>
      <c r="U256" s="130">
        <v>0</v>
      </c>
      <c r="V256" s="130">
        <v>0</v>
      </c>
      <c r="W256" s="130">
        <v>0</v>
      </c>
      <c r="X256" s="130">
        <v>0</v>
      </c>
      <c r="Y256" s="130">
        <v>0</v>
      </c>
      <c r="Z256" s="130">
        <v>0</v>
      </c>
      <c r="AA256" s="130">
        <v>0</v>
      </c>
      <c r="AB256" s="130">
        <v>0</v>
      </c>
      <c r="AC256" s="130">
        <v>0</v>
      </c>
      <c r="AD256" s="130">
        <v>0</v>
      </c>
      <c r="AE256" s="130">
        <v>0</v>
      </c>
      <c r="AF256" s="130">
        <v>0</v>
      </c>
      <c r="AG256" s="130">
        <v>0</v>
      </c>
      <c r="AH256" s="130">
        <v>0</v>
      </c>
      <c r="AI256" s="130">
        <v>0</v>
      </c>
      <c r="AJ256" s="130">
        <v>0</v>
      </c>
      <c r="AK256" s="130">
        <v>0</v>
      </c>
      <c r="AL256" s="130">
        <v>0</v>
      </c>
      <c r="AM256" s="130">
        <v>0</v>
      </c>
      <c r="AN256" s="130">
        <v>0</v>
      </c>
      <c r="AO256" s="130">
        <v>0</v>
      </c>
      <c r="AP256" s="130">
        <v>0</v>
      </c>
      <c r="AQ256" s="130">
        <v>0</v>
      </c>
      <c r="AR256" s="130">
        <v>0</v>
      </c>
      <c r="AS256" s="130">
        <v>0</v>
      </c>
      <c r="AT256" s="130">
        <v>0</v>
      </c>
      <c r="AU256" s="130">
        <v>0</v>
      </c>
      <c r="AV256" s="130">
        <v>0</v>
      </c>
      <c r="AW256" s="130">
        <v>0</v>
      </c>
      <c r="AX256" s="130">
        <v>0</v>
      </c>
      <c r="AY256" s="130">
        <v>0</v>
      </c>
    </row>
    <row r="258" spans="1:52" x14ac:dyDescent="0.2">
      <c r="A258" s="107" t="s">
        <v>301</v>
      </c>
    </row>
    <row r="259" spans="1:52" x14ac:dyDescent="0.2">
      <c r="A259" s="142" t="s">
        <v>124</v>
      </c>
      <c r="B259" s="143">
        <v>650</v>
      </c>
      <c r="C259" s="129" t="s">
        <v>293</v>
      </c>
      <c r="D259" s="129">
        <f>E$14*$B$259</f>
        <v>0</v>
      </c>
      <c r="E259" s="129">
        <f t="shared" ref="E259:AX259" si="5">F$14*$B$259</f>
        <v>0</v>
      </c>
      <c r="F259" s="129">
        <f t="shared" si="5"/>
        <v>0</v>
      </c>
      <c r="G259" s="129">
        <f t="shared" si="5"/>
        <v>0</v>
      </c>
      <c r="H259" s="129">
        <f t="shared" si="5"/>
        <v>32899.196446939852</v>
      </c>
      <c r="I259" s="129">
        <f t="shared" si="5"/>
        <v>32899.196446939852</v>
      </c>
      <c r="J259" s="129">
        <f t="shared" si="5"/>
        <v>44236.037966236436</v>
      </c>
      <c r="K259" s="129">
        <f t="shared" si="5"/>
        <v>44236.037966236436</v>
      </c>
      <c r="L259" s="129">
        <f t="shared" si="5"/>
        <v>32899.196446939852</v>
      </c>
      <c r="M259" s="129">
        <f t="shared" si="5"/>
        <v>50581.060761645356</v>
      </c>
      <c r="N259" s="129">
        <f t="shared" si="5"/>
        <v>44236.037966236436</v>
      </c>
      <c r="O259" s="129">
        <f t="shared" si="5"/>
        <v>44236.037966236436</v>
      </c>
      <c r="P259" s="129">
        <f t="shared" si="5"/>
        <v>44236.037966236436</v>
      </c>
      <c r="Q259" s="129">
        <f t="shared" si="5"/>
        <v>44236.037966236436</v>
      </c>
      <c r="R259" s="129">
        <f t="shared" si="5"/>
        <v>32899.196446939852</v>
      </c>
      <c r="S259" s="129">
        <f t="shared" si="5"/>
        <v>50581.060761645356</v>
      </c>
      <c r="T259" s="129">
        <f t="shared" si="5"/>
        <v>44236.037966236436</v>
      </c>
      <c r="U259" s="129">
        <f t="shared" si="5"/>
        <v>44236.037966236436</v>
      </c>
      <c r="V259" s="129">
        <f t="shared" si="5"/>
        <v>44236.037966236436</v>
      </c>
      <c r="W259" s="129">
        <f t="shared" si="5"/>
        <v>44236.037966236436</v>
      </c>
      <c r="X259" s="129">
        <f t="shared" si="5"/>
        <v>44236.037966236436</v>
      </c>
      <c r="Y259" s="129">
        <f t="shared" si="5"/>
        <v>44236.037966236436</v>
      </c>
      <c r="Z259" s="129">
        <f t="shared" si="5"/>
        <v>44236.037966236436</v>
      </c>
      <c r="AA259" s="129">
        <f t="shared" si="5"/>
        <v>44236.037966236436</v>
      </c>
      <c r="AB259" s="129">
        <f t="shared" si="5"/>
        <v>44236.037966236436</v>
      </c>
      <c r="AC259" s="129">
        <f t="shared" si="5"/>
        <v>44236.037966236436</v>
      </c>
      <c r="AD259" s="129">
        <f t="shared" si="5"/>
        <v>44236.037966236436</v>
      </c>
      <c r="AE259" s="129">
        <f t="shared" si="5"/>
        <v>44236.037966236436</v>
      </c>
      <c r="AF259" s="129">
        <f t="shared" si="5"/>
        <v>44236.037966236436</v>
      </c>
      <c r="AG259" s="129">
        <f t="shared" si="5"/>
        <v>44236.037966236436</v>
      </c>
      <c r="AH259" s="129">
        <f t="shared" si="5"/>
        <v>44236.037966236436</v>
      </c>
      <c r="AI259" s="129">
        <f t="shared" si="5"/>
        <v>44236.037966236436</v>
      </c>
      <c r="AJ259" s="129">
        <f t="shared" si="5"/>
        <v>44236.037966236436</v>
      </c>
      <c r="AK259" s="129">
        <f t="shared" si="5"/>
        <v>44236.037966236436</v>
      </c>
      <c r="AL259" s="129">
        <f t="shared" si="5"/>
        <v>44236.037966236436</v>
      </c>
      <c r="AM259" s="129">
        <f t="shared" si="5"/>
        <v>32899.196446939852</v>
      </c>
      <c r="AN259" s="129">
        <f t="shared" si="5"/>
        <v>50581.060761645356</v>
      </c>
      <c r="AO259" s="129">
        <f t="shared" si="5"/>
        <v>44236.037966236436</v>
      </c>
      <c r="AP259" s="129">
        <f t="shared" si="5"/>
        <v>44236.037966236436</v>
      </c>
      <c r="AQ259" s="129">
        <f t="shared" si="5"/>
        <v>44236.037966236436</v>
      </c>
      <c r="AR259" s="129">
        <f t="shared" si="5"/>
        <v>44236.037966236436</v>
      </c>
      <c r="AS259" s="129">
        <f t="shared" si="5"/>
        <v>44236.037966236436</v>
      </c>
      <c r="AT259" s="129">
        <f t="shared" si="5"/>
        <v>44236.037966236436</v>
      </c>
      <c r="AU259" s="129">
        <f t="shared" si="5"/>
        <v>44236.037966236436</v>
      </c>
      <c r="AV259" s="129">
        <f t="shared" si="5"/>
        <v>44236.037966236436</v>
      </c>
      <c r="AW259" s="129">
        <f t="shared" si="5"/>
        <v>44236.037966236436</v>
      </c>
      <c r="AX259" s="129">
        <f t="shared" si="5"/>
        <v>44236.037966236436</v>
      </c>
      <c r="AY259" s="129">
        <f>AZ$14*$B$259</f>
        <v>44236.037966236436</v>
      </c>
      <c r="AZ259" s="144">
        <f>SUM($D259:$AY259)</f>
        <v>1908736.531304148</v>
      </c>
    </row>
    <row r="260" spans="1:52" x14ac:dyDescent="0.2">
      <c r="A260" s="145" t="s">
        <v>302</v>
      </c>
      <c r="B260" s="119">
        <v>60</v>
      </c>
      <c r="C260" s="130" t="s">
        <v>293</v>
      </c>
      <c r="D260" s="130">
        <f>(D$175-D$176+D$177-D$178+D$179-D$180+D$181-D$182)*$B$260</f>
        <v>18343.978850764375</v>
      </c>
      <c r="E260" s="130">
        <f t="shared" ref="E260:AY260" si="6">(E$175-E$176+E$177-E$178+E$179-E$180+E$181-E$182)*$B$260</f>
        <v>10913.47252165045</v>
      </c>
      <c r="F260" s="130">
        <f t="shared" si="6"/>
        <v>8023.9788507643743</v>
      </c>
      <c r="G260" s="130">
        <f t="shared" si="6"/>
        <v>953.47252165044915</v>
      </c>
      <c r="H260" s="130">
        <f t="shared" si="6"/>
        <v>0</v>
      </c>
      <c r="I260" s="130">
        <f t="shared" si="6"/>
        <v>0</v>
      </c>
      <c r="J260" s="130">
        <f t="shared" si="6"/>
        <v>0</v>
      </c>
      <c r="K260" s="130">
        <f t="shared" si="6"/>
        <v>0</v>
      </c>
      <c r="L260" s="130">
        <f t="shared" si="6"/>
        <v>0</v>
      </c>
      <c r="M260" s="130">
        <f t="shared" si="6"/>
        <v>0</v>
      </c>
      <c r="N260" s="130">
        <f t="shared" si="6"/>
        <v>0</v>
      </c>
      <c r="O260" s="130">
        <f t="shared" si="6"/>
        <v>0</v>
      </c>
      <c r="P260" s="130">
        <f t="shared" si="6"/>
        <v>0</v>
      </c>
      <c r="Q260" s="130">
        <f t="shared" si="6"/>
        <v>0</v>
      </c>
      <c r="R260" s="130">
        <f t="shared" si="6"/>
        <v>0</v>
      </c>
      <c r="S260" s="130">
        <f t="shared" si="6"/>
        <v>0</v>
      </c>
      <c r="T260" s="130">
        <f t="shared" si="6"/>
        <v>0</v>
      </c>
      <c r="U260" s="130">
        <f t="shared" si="6"/>
        <v>0</v>
      </c>
      <c r="V260" s="130">
        <f t="shared" si="6"/>
        <v>0</v>
      </c>
      <c r="W260" s="130">
        <f t="shared" si="6"/>
        <v>0</v>
      </c>
      <c r="X260" s="130">
        <f t="shared" si="6"/>
        <v>0</v>
      </c>
      <c r="Y260" s="130">
        <f t="shared" si="6"/>
        <v>0</v>
      </c>
      <c r="Z260" s="130">
        <f t="shared" si="6"/>
        <v>0</v>
      </c>
      <c r="AA260" s="130">
        <f t="shared" si="6"/>
        <v>0</v>
      </c>
      <c r="AB260" s="130">
        <f t="shared" si="6"/>
        <v>0</v>
      </c>
      <c r="AC260" s="130">
        <f t="shared" si="6"/>
        <v>0</v>
      </c>
      <c r="AD260" s="130">
        <f t="shared" si="6"/>
        <v>0</v>
      </c>
      <c r="AE260" s="130">
        <f t="shared" si="6"/>
        <v>0</v>
      </c>
      <c r="AF260" s="130">
        <f t="shared" si="6"/>
        <v>0</v>
      </c>
      <c r="AG260" s="130">
        <f t="shared" si="6"/>
        <v>0</v>
      </c>
      <c r="AH260" s="130">
        <f t="shared" si="6"/>
        <v>0</v>
      </c>
      <c r="AI260" s="130">
        <f t="shared" si="6"/>
        <v>0</v>
      </c>
      <c r="AJ260" s="130">
        <f t="shared" si="6"/>
        <v>0</v>
      </c>
      <c r="AK260" s="130">
        <f t="shared" si="6"/>
        <v>0</v>
      </c>
      <c r="AL260" s="130">
        <f t="shared" si="6"/>
        <v>0</v>
      </c>
      <c r="AM260" s="130">
        <f t="shared" si="6"/>
        <v>0</v>
      </c>
      <c r="AN260" s="130">
        <f t="shared" si="6"/>
        <v>0</v>
      </c>
      <c r="AO260" s="130">
        <f t="shared" si="6"/>
        <v>0</v>
      </c>
      <c r="AP260" s="130">
        <f t="shared" si="6"/>
        <v>0</v>
      </c>
      <c r="AQ260" s="130">
        <f t="shared" si="6"/>
        <v>0</v>
      </c>
      <c r="AR260" s="130">
        <f t="shared" si="6"/>
        <v>0</v>
      </c>
      <c r="AS260" s="130">
        <f t="shared" si="6"/>
        <v>0</v>
      </c>
      <c r="AT260" s="130">
        <f t="shared" si="6"/>
        <v>0</v>
      </c>
      <c r="AU260" s="130">
        <f t="shared" si="6"/>
        <v>0</v>
      </c>
      <c r="AV260" s="130">
        <f t="shared" si="6"/>
        <v>0</v>
      </c>
      <c r="AW260" s="130">
        <f t="shared" si="6"/>
        <v>0</v>
      </c>
      <c r="AX260" s="130">
        <f t="shared" si="6"/>
        <v>0</v>
      </c>
      <c r="AY260" s="130">
        <f t="shared" si="6"/>
        <v>0</v>
      </c>
      <c r="AZ260" s="146">
        <f>SUM($D260:$AY260)</f>
        <v>38234.902744829655</v>
      </c>
    </row>
  </sheetData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76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5" customWidth="1"/>
    <col min="2" max="2" width="12.7109375" style="105" customWidth="1"/>
    <col min="3" max="16384" width="9.140625" style="105"/>
  </cols>
  <sheetData>
    <row r="1" spans="1:54" x14ac:dyDescent="0.2">
      <c r="A1" s="107" t="s">
        <v>284</v>
      </c>
    </row>
    <row r="2" spans="1:54" x14ac:dyDescent="0.2">
      <c r="A2" s="105" t="s">
        <v>285</v>
      </c>
      <c r="B2" s="112" t="s">
        <v>70</v>
      </c>
    </row>
    <row r="3" spans="1:54" x14ac:dyDescent="0.2">
      <c r="A3" s="105" t="s">
        <v>286</v>
      </c>
      <c r="B3" s="113">
        <v>1400</v>
      </c>
      <c r="C3" s="114"/>
    </row>
    <row r="4" spans="1:54" x14ac:dyDescent="0.2">
      <c r="B4" s="115"/>
      <c r="C4" s="115"/>
    </row>
    <row r="5" spans="1:54" x14ac:dyDescent="0.2">
      <c r="C5" s="116" t="s">
        <v>287</v>
      </c>
    </row>
    <row r="6" spans="1:54" x14ac:dyDescent="0.2">
      <c r="C6" s="117">
        <v>0</v>
      </c>
      <c r="D6" s="117">
        <v>1</v>
      </c>
      <c r="E6" s="117">
        <v>2</v>
      </c>
      <c r="F6" s="117">
        <v>3</v>
      </c>
      <c r="G6" s="117">
        <v>4</v>
      </c>
      <c r="H6" s="117">
        <v>5</v>
      </c>
      <c r="I6" s="117">
        <v>6</v>
      </c>
      <c r="J6" s="117">
        <v>7</v>
      </c>
      <c r="K6" s="117">
        <v>8</v>
      </c>
      <c r="L6" s="117">
        <v>9</v>
      </c>
      <c r="M6" s="117">
        <v>10</v>
      </c>
      <c r="N6" s="117">
        <v>11</v>
      </c>
      <c r="O6" s="117">
        <v>12</v>
      </c>
      <c r="P6" s="117">
        <v>13</v>
      </c>
      <c r="Q6" s="117">
        <v>14</v>
      </c>
      <c r="R6" s="117">
        <v>15</v>
      </c>
      <c r="S6" s="117">
        <v>16</v>
      </c>
      <c r="T6" s="117">
        <v>17</v>
      </c>
      <c r="U6" s="117">
        <v>18</v>
      </c>
      <c r="V6" s="117">
        <v>19</v>
      </c>
      <c r="W6" s="117">
        <v>20</v>
      </c>
      <c r="X6" s="117">
        <v>21</v>
      </c>
      <c r="Y6" s="117">
        <v>22</v>
      </c>
      <c r="Z6" s="117">
        <v>23</v>
      </c>
      <c r="AA6" s="117">
        <v>24</v>
      </c>
      <c r="AB6" s="117">
        <v>25</v>
      </c>
      <c r="AC6" s="117">
        <v>26</v>
      </c>
      <c r="AD6" s="117">
        <v>27</v>
      </c>
      <c r="AE6" s="117">
        <v>28</v>
      </c>
      <c r="AF6" s="117">
        <v>29</v>
      </c>
      <c r="AG6" s="117">
        <v>30</v>
      </c>
      <c r="AH6" s="117">
        <v>31</v>
      </c>
      <c r="AI6" s="117">
        <v>32</v>
      </c>
      <c r="AJ6" s="117">
        <v>33</v>
      </c>
      <c r="AK6" s="117">
        <v>34</v>
      </c>
      <c r="AL6" s="117">
        <v>35</v>
      </c>
      <c r="AM6" s="117">
        <v>36</v>
      </c>
      <c r="AN6" s="117">
        <v>37</v>
      </c>
      <c r="AO6" s="117">
        <v>38</v>
      </c>
      <c r="AP6" s="117">
        <v>39</v>
      </c>
      <c r="AQ6" s="117">
        <v>40</v>
      </c>
      <c r="AR6" s="117">
        <v>41</v>
      </c>
      <c r="AS6" s="117">
        <v>42</v>
      </c>
      <c r="AT6" s="117">
        <v>43</v>
      </c>
      <c r="AU6" s="117">
        <v>44</v>
      </c>
      <c r="AV6" s="117">
        <v>45</v>
      </c>
      <c r="AW6" s="117">
        <v>46</v>
      </c>
      <c r="AX6" s="117">
        <v>47</v>
      </c>
      <c r="AY6" s="117">
        <v>48</v>
      </c>
    </row>
    <row r="7" spans="1:54" x14ac:dyDescent="0.2">
      <c r="B7" s="115"/>
      <c r="C7" s="118" t="s">
        <v>288</v>
      </c>
      <c r="D7" s="117" t="s">
        <v>289</v>
      </c>
      <c r="E7" s="117" t="s">
        <v>289</v>
      </c>
      <c r="F7" s="117" t="s">
        <v>289</v>
      </c>
      <c r="G7" s="117" t="s">
        <v>289</v>
      </c>
      <c r="H7" s="117" t="s">
        <v>289</v>
      </c>
      <c r="I7" s="117" t="s">
        <v>289</v>
      </c>
      <c r="J7" s="117" t="s">
        <v>289</v>
      </c>
      <c r="K7" s="117" t="s">
        <v>289</v>
      </c>
      <c r="L7" s="117" t="s">
        <v>289</v>
      </c>
      <c r="M7" s="117" t="s">
        <v>289</v>
      </c>
      <c r="N7" s="117" t="s">
        <v>289</v>
      </c>
      <c r="O7" s="117" t="s">
        <v>289</v>
      </c>
      <c r="P7" s="117" t="s">
        <v>289</v>
      </c>
      <c r="Q7" s="117" t="s">
        <v>289</v>
      </c>
      <c r="R7" s="117" t="s">
        <v>289</v>
      </c>
      <c r="S7" s="117" t="s">
        <v>289</v>
      </c>
      <c r="T7" s="117" t="s">
        <v>289</v>
      </c>
      <c r="U7" s="117" t="s">
        <v>289</v>
      </c>
      <c r="V7" s="117" t="s">
        <v>289</v>
      </c>
      <c r="W7" s="117" t="s">
        <v>289</v>
      </c>
      <c r="X7" s="117" t="s">
        <v>289</v>
      </c>
      <c r="Y7" s="117" t="s">
        <v>289</v>
      </c>
      <c r="Z7" s="117" t="s">
        <v>289</v>
      </c>
      <c r="AA7" s="117" t="s">
        <v>289</v>
      </c>
      <c r="AB7" s="117" t="s">
        <v>289</v>
      </c>
      <c r="AC7" s="117" t="s">
        <v>289</v>
      </c>
      <c r="AD7" s="117" t="s">
        <v>289</v>
      </c>
      <c r="AE7" s="117" t="s">
        <v>289</v>
      </c>
      <c r="AF7" s="117" t="s">
        <v>289</v>
      </c>
      <c r="AG7" s="117" t="s">
        <v>289</v>
      </c>
      <c r="AH7" s="117" t="s">
        <v>289</v>
      </c>
      <c r="AI7" s="117" t="s">
        <v>289</v>
      </c>
      <c r="AJ7" s="117" t="s">
        <v>289</v>
      </c>
      <c r="AK7" s="117" t="s">
        <v>289</v>
      </c>
      <c r="AL7" s="117" t="s">
        <v>289</v>
      </c>
      <c r="AM7" s="117" t="s">
        <v>289</v>
      </c>
      <c r="AN7" s="117" t="s">
        <v>289</v>
      </c>
      <c r="AO7" s="117" t="s">
        <v>289</v>
      </c>
      <c r="AP7" s="117" t="s">
        <v>289</v>
      </c>
      <c r="AQ7" s="117" t="s">
        <v>289</v>
      </c>
      <c r="AR7" s="117" t="s">
        <v>289</v>
      </c>
      <c r="AS7" s="117" t="s">
        <v>289</v>
      </c>
      <c r="AT7" s="117" t="s">
        <v>289</v>
      </c>
      <c r="AU7" s="117" t="s">
        <v>289</v>
      </c>
      <c r="AV7" s="117" t="s">
        <v>289</v>
      </c>
      <c r="AW7" s="117" t="s">
        <v>289</v>
      </c>
      <c r="AX7" s="117" t="s">
        <v>289</v>
      </c>
      <c r="AY7" s="116" t="s">
        <v>290</v>
      </c>
      <c r="AZ7" s="116" t="s">
        <v>291</v>
      </c>
    </row>
    <row r="8" spans="1:54" x14ac:dyDescent="0.2">
      <c r="A8" s="107" t="s">
        <v>292</v>
      </c>
      <c r="B8" s="119"/>
      <c r="AY8" s="115"/>
    </row>
    <row r="9" spans="1:54" x14ac:dyDescent="0.2">
      <c r="A9" s="120" t="s">
        <v>125</v>
      </c>
      <c r="B9" s="121">
        <v>1</v>
      </c>
      <c r="C9" s="122" t="s">
        <v>293</v>
      </c>
      <c r="D9" s="122">
        <v>0</v>
      </c>
      <c r="E9" s="122">
        <v>0</v>
      </c>
      <c r="F9" s="122">
        <v>0</v>
      </c>
      <c r="G9" s="122">
        <v>0</v>
      </c>
      <c r="H9" s="122">
        <v>225.43810185246105</v>
      </c>
      <c r="I9" s="122">
        <v>225.43810185246105</v>
      </c>
      <c r="J9" s="122">
        <v>225.43810185246105</v>
      </c>
      <c r="K9" s="122">
        <v>225.43810185246105</v>
      </c>
      <c r="L9" s="122">
        <v>225.43810185246105</v>
      </c>
      <c r="M9" s="122">
        <v>225.43810185246105</v>
      </c>
      <c r="N9" s="122">
        <v>225.43810185246105</v>
      </c>
      <c r="O9" s="122">
        <v>225.43810185246105</v>
      </c>
      <c r="P9" s="122">
        <v>225.43810185246105</v>
      </c>
      <c r="Q9" s="122">
        <v>225.43810185246105</v>
      </c>
      <c r="R9" s="122">
        <v>225.43810185246105</v>
      </c>
      <c r="S9" s="122">
        <v>225.43810185246105</v>
      </c>
      <c r="T9" s="122">
        <v>225.43810185246105</v>
      </c>
      <c r="U9" s="122">
        <v>225.43810185246105</v>
      </c>
      <c r="V9" s="122">
        <v>225.43810185246105</v>
      </c>
      <c r="W9" s="122">
        <v>225.43810185246105</v>
      </c>
      <c r="X9" s="122">
        <v>225.43810185246105</v>
      </c>
      <c r="Y9" s="122">
        <v>225.43810185246105</v>
      </c>
      <c r="Z9" s="122">
        <v>225.43810185246105</v>
      </c>
      <c r="AA9" s="122">
        <v>225.43810185246105</v>
      </c>
      <c r="AB9" s="122">
        <v>225.43810185246105</v>
      </c>
      <c r="AC9" s="122">
        <v>225.43810185246105</v>
      </c>
      <c r="AD9" s="122">
        <v>225.43810185246105</v>
      </c>
      <c r="AE9" s="122">
        <v>225.43810185246105</v>
      </c>
      <c r="AF9" s="122">
        <v>225.43810185246105</v>
      </c>
      <c r="AG9" s="122">
        <v>225.43810185246105</v>
      </c>
      <c r="AH9" s="122">
        <v>225.43810185246105</v>
      </c>
      <c r="AI9" s="122">
        <v>225.43810185246105</v>
      </c>
      <c r="AJ9" s="122">
        <v>225.43810185246105</v>
      </c>
      <c r="AK9" s="122">
        <v>225.43810185246105</v>
      </c>
      <c r="AL9" s="122">
        <v>225.43810185246105</v>
      </c>
      <c r="AM9" s="122">
        <v>225.43810185246105</v>
      </c>
      <c r="AN9" s="122">
        <v>225.43810185246105</v>
      </c>
      <c r="AO9" s="122">
        <v>225.43810185246105</v>
      </c>
      <c r="AP9" s="122">
        <v>225.43810185246105</v>
      </c>
      <c r="AQ9" s="122">
        <v>225.43810185246105</v>
      </c>
      <c r="AR9" s="122">
        <v>225.43810185246105</v>
      </c>
      <c r="AS9" s="122">
        <v>225.43810185246105</v>
      </c>
      <c r="AT9" s="122">
        <v>225.43810185246105</v>
      </c>
      <c r="AU9" s="122">
        <v>225.43810185246105</v>
      </c>
      <c r="AV9" s="122">
        <v>225.43810185246105</v>
      </c>
      <c r="AW9" s="122">
        <v>225.43810185246105</v>
      </c>
      <c r="AX9" s="122">
        <v>225.43810185246105</v>
      </c>
      <c r="AY9" s="122">
        <v>225.43810185246105</v>
      </c>
    </row>
    <row r="10" spans="1:54" x14ac:dyDescent="0.2">
      <c r="A10" s="123" t="s">
        <v>133</v>
      </c>
      <c r="B10" s="124">
        <v>1</v>
      </c>
      <c r="C10" s="111" t="s">
        <v>293</v>
      </c>
      <c r="D10" s="105">
        <v>119.06044900021661</v>
      </c>
      <c r="E10" s="105">
        <v>108.66519294035371</v>
      </c>
      <c r="F10" s="105">
        <v>0</v>
      </c>
      <c r="G10" s="105">
        <v>0</v>
      </c>
      <c r="H10" s="105">
        <v>0</v>
      </c>
      <c r="I10" s="105">
        <v>0</v>
      </c>
      <c r="J10" s="105">
        <v>56.526273309148237</v>
      </c>
      <c r="K10" s="105">
        <v>56.526273309148237</v>
      </c>
      <c r="L10" s="105">
        <v>56.526273309148237</v>
      </c>
      <c r="M10" s="105">
        <v>56.526273309148237</v>
      </c>
      <c r="N10" s="105">
        <v>56.526273309148237</v>
      </c>
      <c r="O10" s="105">
        <v>56.526273309148237</v>
      </c>
      <c r="P10" s="105">
        <v>56.526273309148237</v>
      </c>
      <c r="Q10" s="105">
        <v>56.526273309148237</v>
      </c>
      <c r="R10" s="105">
        <v>56.526273309148237</v>
      </c>
      <c r="S10" s="105">
        <v>56.526273309148237</v>
      </c>
      <c r="T10" s="105">
        <v>56.526273309148237</v>
      </c>
      <c r="U10" s="105">
        <v>0</v>
      </c>
      <c r="V10" s="105">
        <v>113.05254661829646</v>
      </c>
      <c r="W10" s="105">
        <v>56.526273309148237</v>
      </c>
      <c r="X10" s="105">
        <v>56.526273309148237</v>
      </c>
      <c r="Y10" s="105">
        <v>56.526273309148237</v>
      </c>
      <c r="Z10" s="105">
        <v>56.526273309148237</v>
      </c>
      <c r="AA10" s="105">
        <v>56.526273309148237</v>
      </c>
      <c r="AB10" s="105">
        <v>56.526273309148237</v>
      </c>
      <c r="AC10" s="105">
        <v>56.526273309148237</v>
      </c>
      <c r="AD10" s="105">
        <v>56.526273309148237</v>
      </c>
      <c r="AE10" s="105">
        <v>56.526273309148237</v>
      </c>
      <c r="AF10" s="105">
        <v>56.526273309148237</v>
      </c>
      <c r="AG10" s="105">
        <v>56.526273309148237</v>
      </c>
      <c r="AH10" s="105">
        <v>56.526273309148237</v>
      </c>
      <c r="AI10" s="105">
        <v>56.526273309148237</v>
      </c>
      <c r="AJ10" s="105">
        <v>56.526273309148237</v>
      </c>
      <c r="AK10" s="105">
        <v>56.526273309148237</v>
      </c>
      <c r="AL10" s="105">
        <v>56.526273309148237</v>
      </c>
      <c r="AM10" s="105">
        <v>56.526273309148237</v>
      </c>
      <c r="AN10" s="105">
        <v>56.526273309148237</v>
      </c>
      <c r="AO10" s="105">
        <v>56.526273309148237</v>
      </c>
      <c r="AP10" s="105">
        <v>56.526273309148237</v>
      </c>
      <c r="AQ10" s="105">
        <v>56.526273309148237</v>
      </c>
      <c r="AR10" s="105">
        <v>56.526273309148237</v>
      </c>
      <c r="AS10" s="105">
        <v>56.526273309148237</v>
      </c>
      <c r="AT10" s="105">
        <v>56.526273309148237</v>
      </c>
      <c r="AU10" s="105">
        <v>56.526273309148237</v>
      </c>
      <c r="AV10" s="105">
        <v>56.526273309148237</v>
      </c>
      <c r="AW10" s="105">
        <v>56.526273309148237</v>
      </c>
      <c r="AX10" s="105">
        <v>56.526273309148237</v>
      </c>
      <c r="AY10" s="105">
        <v>56.526273309148237</v>
      </c>
      <c r="AZ10" s="105">
        <v>56.526273309148237</v>
      </c>
    </row>
    <row r="11" spans="1:54" x14ac:dyDescent="0.2">
      <c r="B11" s="124">
        <v>2</v>
      </c>
      <c r="C11" s="111" t="s">
        <v>293</v>
      </c>
      <c r="D11" s="105">
        <v>0</v>
      </c>
      <c r="E11" s="105">
        <v>0</v>
      </c>
      <c r="F11" s="105">
        <v>0</v>
      </c>
      <c r="H11" s="105">
        <v>0</v>
      </c>
      <c r="I11" s="105">
        <v>0</v>
      </c>
      <c r="J11" s="105">
        <v>0</v>
      </c>
      <c r="K11" s="105">
        <v>0</v>
      </c>
      <c r="L11" s="105">
        <v>0</v>
      </c>
      <c r="M11" s="105">
        <v>0</v>
      </c>
      <c r="O11" s="105">
        <v>0</v>
      </c>
      <c r="P11" s="105">
        <v>0</v>
      </c>
      <c r="Q11" s="105">
        <v>0</v>
      </c>
      <c r="R11" s="105">
        <v>0</v>
      </c>
      <c r="S11" s="105">
        <v>0</v>
      </c>
      <c r="T11" s="105">
        <v>0</v>
      </c>
      <c r="U11" s="105">
        <v>0</v>
      </c>
      <c r="V11" s="105">
        <v>0</v>
      </c>
      <c r="W11" s="105">
        <v>0</v>
      </c>
      <c r="X11" s="105">
        <v>0</v>
      </c>
      <c r="AA11" s="105">
        <v>0</v>
      </c>
      <c r="AC11" s="105">
        <v>0</v>
      </c>
      <c r="AD11" s="105">
        <v>0</v>
      </c>
      <c r="AF11" s="105">
        <v>0</v>
      </c>
      <c r="AG11" s="105">
        <v>0</v>
      </c>
      <c r="AH11" s="105">
        <v>0</v>
      </c>
      <c r="AI11" s="105">
        <v>0</v>
      </c>
      <c r="AJ11" s="105">
        <v>0</v>
      </c>
      <c r="AK11" s="105">
        <v>0</v>
      </c>
      <c r="AM11" s="105">
        <v>0</v>
      </c>
      <c r="AO11" s="105">
        <v>0</v>
      </c>
      <c r="AP11" s="105">
        <v>0</v>
      </c>
      <c r="AQ11" s="105">
        <v>0</v>
      </c>
      <c r="AR11" s="105">
        <v>0</v>
      </c>
      <c r="AU11" s="105">
        <v>0</v>
      </c>
      <c r="AV11" s="105">
        <v>0</v>
      </c>
      <c r="AW11" s="105">
        <v>0</v>
      </c>
      <c r="AX11" s="105">
        <v>0</v>
      </c>
      <c r="BA11" s="105">
        <v>0</v>
      </c>
    </row>
    <row r="12" spans="1:54" x14ac:dyDescent="0.2">
      <c r="B12" s="125">
        <v>3</v>
      </c>
      <c r="C12" s="111" t="s">
        <v>293</v>
      </c>
      <c r="G12" s="105">
        <v>0</v>
      </c>
      <c r="N12" s="105">
        <v>0</v>
      </c>
      <c r="P12" s="105">
        <v>0</v>
      </c>
      <c r="Q12" s="105">
        <v>0</v>
      </c>
      <c r="U12" s="105">
        <v>0</v>
      </c>
      <c r="W12" s="105">
        <v>0</v>
      </c>
      <c r="Y12" s="105">
        <v>0</v>
      </c>
      <c r="AA12" s="105">
        <v>0</v>
      </c>
      <c r="AE12" s="105">
        <v>0</v>
      </c>
      <c r="AH12" s="105">
        <v>0</v>
      </c>
      <c r="AJ12" s="105">
        <v>0</v>
      </c>
      <c r="AM12" s="105">
        <v>0</v>
      </c>
      <c r="AO12" s="105">
        <v>0</v>
      </c>
      <c r="AP12" s="105">
        <v>0</v>
      </c>
      <c r="BA12" s="105">
        <v>0</v>
      </c>
      <c r="BB12" s="105">
        <v>0</v>
      </c>
    </row>
    <row r="13" spans="1:54" x14ac:dyDescent="0.2">
      <c r="B13" s="125">
        <v>4</v>
      </c>
      <c r="C13" s="111" t="s">
        <v>293</v>
      </c>
    </row>
    <row r="14" spans="1:54" x14ac:dyDescent="0.2">
      <c r="A14" s="120" t="s">
        <v>134</v>
      </c>
      <c r="B14" s="126">
        <v>1</v>
      </c>
      <c r="C14" s="122" t="s">
        <v>293</v>
      </c>
      <c r="D14" s="122">
        <v>92.858592234154742</v>
      </c>
      <c r="E14" s="122">
        <f t="shared" ref="E14:AZ14" si="0">D$172*SUM(D$122:D$169)</f>
        <v>0</v>
      </c>
      <c r="F14" s="122">
        <f t="shared" si="0"/>
        <v>0</v>
      </c>
      <c r="G14" s="122">
        <f t="shared" si="0"/>
        <v>0</v>
      </c>
      <c r="H14" s="122">
        <f t="shared" si="0"/>
        <v>0</v>
      </c>
      <c r="I14" s="122">
        <f t="shared" si="0"/>
        <v>76.899609668421817</v>
      </c>
      <c r="J14" s="122">
        <f t="shared" si="0"/>
        <v>85.566226022298039</v>
      </c>
      <c r="K14" s="122">
        <f t="shared" si="0"/>
        <v>82.706794193621704</v>
      </c>
      <c r="L14" s="122">
        <f t="shared" si="0"/>
        <v>82.706794193621704</v>
      </c>
      <c r="M14" s="122">
        <f t="shared" si="0"/>
        <v>97.190880165857891</v>
      </c>
      <c r="N14" s="122">
        <f t="shared" si="0"/>
        <v>112.16022373628005</v>
      </c>
      <c r="O14" s="122">
        <f t="shared" si="0"/>
        <v>115.63440791168735</v>
      </c>
      <c r="P14" s="122">
        <f t="shared" si="0"/>
        <v>119.92276931334219</v>
      </c>
      <c r="Q14" s="122">
        <f t="shared" si="0"/>
        <v>91.886720992488733</v>
      </c>
      <c r="R14" s="122">
        <f t="shared" si="0"/>
        <v>89.190441526531075</v>
      </c>
      <c r="S14" s="122">
        <f t="shared" si="0"/>
        <v>82.706794193621704</v>
      </c>
      <c r="T14" s="122">
        <f t="shared" si="0"/>
        <v>82.706794193621704</v>
      </c>
      <c r="U14" s="122">
        <f t="shared" si="0"/>
        <v>82.706794193621704</v>
      </c>
      <c r="V14" s="122">
        <f t="shared" si="0"/>
        <v>76.899609668421817</v>
      </c>
      <c r="W14" s="122">
        <f t="shared" si="0"/>
        <v>88.513978718821591</v>
      </c>
      <c r="X14" s="122">
        <f t="shared" si="0"/>
        <v>82.706794193621704</v>
      </c>
      <c r="Y14" s="122">
        <f t="shared" si="0"/>
        <v>82.706794193621704</v>
      </c>
      <c r="Z14" s="122">
        <f t="shared" si="0"/>
        <v>82.706794193621704</v>
      </c>
      <c r="AA14" s="122">
        <f t="shared" si="0"/>
        <v>99.372505790774326</v>
      </c>
      <c r="AB14" s="122">
        <f t="shared" si="0"/>
        <v>107.2896787564471</v>
      </c>
      <c r="AC14" s="122">
        <f t="shared" si="0"/>
        <v>101.61640369235685</v>
      </c>
      <c r="AD14" s="122">
        <f t="shared" si="0"/>
        <v>110.26895779039141</v>
      </c>
      <c r="AE14" s="122">
        <f t="shared" si="0"/>
        <v>103.95993222170523</v>
      </c>
      <c r="AF14" s="122">
        <f t="shared" si="0"/>
        <v>95.945287114635363</v>
      </c>
      <c r="AG14" s="122">
        <f t="shared" si="0"/>
        <v>88.881646297783249</v>
      </c>
      <c r="AH14" s="122">
        <f t="shared" si="0"/>
        <v>82.706794193621704</v>
      </c>
      <c r="AI14" s="122">
        <f t="shared" si="0"/>
        <v>83.614313920635439</v>
      </c>
      <c r="AJ14" s="122">
        <f t="shared" si="0"/>
        <v>82.706794193621704</v>
      </c>
      <c r="AK14" s="122">
        <f t="shared" si="0"/>
        <v>82.706794193621704</v>
      </c>
      <c r="AL14" s="122">
        <f t="shared" si="0"/>
        <v>82.706794193621704</v>
      </c>
      <c r="AM14" s="122">
        <f t="shared" si="0"/>
        <v>92.957169196864982</v>
      </c>
      <c r="AN14" s="122">
        <f t="shared" si="0"/>
        <v>82.706794193621704</v>
      </c>
      <c r="AO14" s="122">
        <f t="shared" si="0"/>
        <v>82.706794193621704</v>
      </c>
      <c r="AP14" s="122">
        <f t="shared" si="0"/>
        <v>92.613430943878583</v>
      </c>
      <c r="AQ14" s="122">
        <f t="shared" si="0"/>
        <v>82.706794193621704</v>
      </c>
      <c r="AR14" s="122">
        <f t="shared" si="0"/>
        <v>82.706794193621704</v>
      </c>
      <c r="AS14" s="122">
        <f t="shared" si="0"/>
        <v>86.076714089884746</v>
      </c>
      <c r="AT14" s="122">
        <f t="shared" si="0"/>
        <v>82.89258202533334</v>
      </c>
      <c r="AU14" s="122">
        <f t="shared" si="0"/>
        <v>84.862855817165979</v>
      </c>
      <c r="AV14" s="122">
        <f t="shared" si="0"/>
        <v>82.706794193621704</v>
      </c>
      <c r="AW14" s="122">
        <f t="shared" si="0"/>
        <v>82.706794193621704</v>
      </c>
      <c r="AX14" s="122">
        <f t="shared" si="0"/>
        <v>95.560466295983147</v>
      </c>
      <c r="AY14" s="122">
        <f t="shared" si="0"/>
        <v>82.706794193621704</v>
      </c>
      <c r="AZ14" s="115">
        <f t="shared" si="0"/>
        <v>82.706794193621704</v>
      </c>
      <c r="BA14" s="112">
        <f>SUM($E14:$AZ14)</f>
        <v>3933.912695550423</v>
      </c>
    </row>
    <row r="15" spans="1:54" x14ac:dyDescent="0.2">
      <c r="A15" s="127" t="s">
        <v>123</v>
      </c>
      <c r="B15" s="128">
        <v>1</v>
      </c>
      <c r="C15" s="129" t="s">
        <v>293</v>
      </c>
      <c r="D15" s="129">
        <v>79.737731899227612</v>
      </c>
      <c r="E15" s="129">
        <v>90.132987959090485</v>
      </c>
      <c r="F15" s="129">
        <v>0</v>
      </c>
      <c r="G15" s="129">
        <v>0</v>
      </c>
      <c r="H15" s="129">
        <v>620.87214545454538</v>
      </c>
      <c r="I15" s="129">
        <v>620.87214545454538</v>
      </c>
      <c r="J15" s="129">
        <v>667.7581976823484</v>
      </c>
      <c r="K15" s="129">
        <v>667.7581976823484</v>
      </c>
      <c r="L15" s="129">
        <v>667.7581976823484</v>
      </c>
      <c r="M15" s="129">
        <v>667.7581976823484</v>
      </c>
      <c r="N15" s="129">
        <v>667.7581976823484</v>
      </c>
      <c r="O15" s="129">
        <v>667.7581976823484</v>
      </c>
      <c r="P15" s="129">
        <v>667.7581976823484</v>
      </c>
      <c r="Q15" s="129">
        <v>667.7581976823484</v>
      </c>
      <c r="R15" s="129">
        <v>667.7581976823484</v>
      </c>
      <c r="S15" s="129">
        <v>667.7581976823484</v>
      </c>
      <c r="T15" s="129">
        <v>667.7581976823484</v>
      </c>
      <c r="U15" s="129">
        <v>620.87214545454538</v>
      </c>
      <c r="V15" s="129">
        <v>714.64424991015142</v>
      </c>
      <c r="W15" s="129">
        <v>667.7581976823484</v>
      </c>
      <c r="X15" s="129">
        <v>667.7581976823484</v>
      </c>
      <c r="Y15" s="129">
        <v>667.7581976823484</v>
      </c>
      <c r="Z15" s="129">
        <v>667.7581976823484</v>
      </c>
      <c r="AA15" s="129">
        <v>667.7581976823484</v>
      </c>
      <c r="AB15" s="129">
        <v>667.7581976823484</v>
      </c>
      <c r="AC15" s="129">
        <v>667.7581976823484</v>
      </c>
      <c r="AD15" s="129">
        <v>667.7581976823484</v>
      </c>
      <c r="AE15" s="129">
        <v>667.7581976823484</v>
      </c>
      <c r="AF15" s="129">
        <v>667.7581976823484</v>
      </c>
      <c r="AG15" s="129">
        <v>667.7581976823484</v>
      </c>
      <c r="AH15" s="129">
        <v>667.7581976823484</v>
      </c>
      <c r="AI15" s="129">
        <v>667.7581976823484</v>
      </c>
      <c r="AJ15" s="129">
        <v>667.7581976823484</v>
      </c>
      <c r="AK15" s="129">
        <v>667.7581976823484</v>
      </c>
      <c r="AL15" s="129">
        <v>667.7581976823484</v>
      </c>
      <c r="AM15" s="129">
        <v>667.7581976823484</v>
      </c>
      <c r="AN15" s="129">
        <v>667.7581976823484</v>
      </c>
      <c r="AO15" s="129">
        <v>667.7581976823484</v>
      </c>
      <c r="AP15" s="129">
        <v>667.7581976823484</v>
      </c>
      <c r="AQ15" s="129">
        <v>667.7581976823484</v>
      </c>
      <c r="AR15" s="129">
        <v>667.7581976823484</v>
      </c>
      <c r="AS15" s="129">
        <v>667.7581976823484</v>
      </c>
      <c r="AT15" s="129">
        <v>667.7581976823484</v>
      </c>
      <c r="AU15" s="129">
        <v>667.7581976823484</v>
      </c>
      <c r="AV15" s="129">
        <v>667.7581976823484</v>
      </c>
      <c r="AW15" s="129">
        <v>667.7581976823484</v>
      </c>
      <c r="AX15" s="129">
        <v>667.7581976823484</v>
      </c>
      <c r="AY15" s="129">
        <v>667.7581976823484</v>
      </c>
      <c r="AZ15" s="105">
        <v>46.886052227803006</v>
      </c>
    </row>
    <row r="16" spans="1:54" x14ac:dyDescent="0.2">
      <c r="A16" s="115"/>
      <c r="B16" s="124">
        <v>2</v>
      </c>
      <c r="C16" s="114" t="s">
        <v>293</v>
      </c>
      <c r="D16" s="111">
        <v>0</v>
      </c>
      <c r="E16" s="115">
        <v>0</v>
      </c>
      <c r="F16" s="115">
        <v>0</v>
      </c>
      <c r="G16" s="115"/>
      <c r="H16" s="115">
        <v>0</v>
      </c>
      <c r="I16" s="115">
        <v>0</v>
      </c>
      <c r="J16" s="115">
        <v>0</v>
      </c>
      <c r="K16" s="115">
        <v>0</v>
      </c>
      <c r="L16" s="115">
        <v>0</v>
      </c>
      <c r="M16" s="115">
        <v>0</v>
      </c>
      <c r="N16" s="115"/>
      <c r="O16" s="115">
        <v>0</v>
      </c>
      <c r="P16" s="115">
        <v>0</v>
      </c>
      <c r="Q16" s="115">
        <v>0</v>
      </c>
      <c r="R16" s="115">
        <v>0</v>
      </c>
      <c r="S16" s="115">
        <v>0</v>
      </c>
      <c r="T16" s="115">
        <v>0</v>
      </c>
      <c r="U16" s="115">
        <v>0</v>
      </c>
      <c r="V16" s="115">
        <v>0</v>
      </c>
      <c r="W16" s="115">
        <v>0</v>
      </c>
      <c r="X16" s="115">
        <v>0</v>
      </c>
      <c r="Y16" s="115"/>
      <c r="Z16" s="115"/>
      <c r="AA16" s="115">
        <v>0</v>
      </c>
      <c r="AB16" s="115"/>
      <c r="AC16" s="115">
        <v>0</v>
      </c>
      <c r="AD16" s="115">
        <v>0</v>
      </c>
      <c r="AE16" s="115"/>
      <c r="AF16" s="115">
        <v>0</v>
      </c>
      <c r="AG16" s="115">
        <v>0</v>
      </c>
      <c r="AH16" s="115">
        <v>0</v>
      </c>
      <c r="AI16" s="115">
        <v>0</v>
      </c>
      <c r="AJ16" s="115">
        <v>0</v>
      </c>
      <c r="AK16" s="115">
        <v>0</v>
      </c>
      <c r="AL16" s="115"/>
      <c r="AM16" s="115">
        <v>0</v>
      </c>
      <c r="AN16" s="115"/>
      <c r="AO16" s="115">
        <v>0</v>
      </c>
      <c r="AP16" s="115">
        <v>0</v>
      </c>
      <c r="AQ16" s="115">
        <v>0</v>
      </c>
      <c r="AR16" s="115">
        <v>0</v>
      </c>
      <c r="AS16" s="115"/>
      <c r="AT16" s="115"/>
      <c r="AU16" s="115">
        <v>0</v>
      </c>
      <c r="AV16" s="115">
        <v>0</v>
      </c>
      <c r="AW16" s="115">
        <v>0</v>
      </c>
      <c r="AX16" s="115">
        <v>0</v>
      </c>
      <c r="AY16" s="115"/>
      <c r="BA16" s="105">
        <v>0</v>
      </c>
    </row>
    <row r="17" spans="1:54" x14ac:dyDescent="0.2">
      <c r="A17" s="115"/>
      <c r="B17" s="124">
        <v>3</v>
      </c>
      <c r="C17" s="114" t="s">
        <v>293</v>
      </c>
      <c r="D17" s="111"/>
      <c r="E17" s="115"/>
      <c r="F17" s="115"/>
      <c r="G17" s="115">
        <v>0</v>
      </c>
      <c r="H17" s="115"/>
      <c r="I17" s="115"/>
      <c r="J17" s="115"/>
      <c r="K17" s="115"/>
      <c r="L17" s="115"/>
      <c r="M17" s="115"/>
      <c r="N17" s="115">
        <v>0</v>
      </c>
      <c r="O17" s="115"/>
      <c r="P17" s="115">
        <v>0</v>
      </c>
      <c r="Q17" s="115">
        <v>0</v>
      </c>
      <c r="R17" s="115"/>
      <c r="S17" s="115"/>
      <c r="T17" s="115"/>
      <c r="U17" s="115">
        <v>0</v>
      </c>
      <c r="V17" s="115"/>
      <c r="W17" s="115">
        <v>0</v>
      </c>
      <c r="X17" s="115"/>
      <c r="Y17" s="115">
        <v>0</v>
      </c>
      <c r="Z17" s="115"/>
      <c r="AA17" s="115">
        <v>0</v>
      </c>
      <c r="AB17" s="115"/>
      <c r="AC17" s="115"/>
      <c r="AD17" s="115"/>
      <c r="AE17" s="115">
        <v>0</v>
      </c>
      <c r="AF17" s="115"/>
      <c r="AG17" s="115"/>
      <c r="AH17" s="115">
        <v>0</v>
      </c>
      <c r="AI17" s="115"/>
      <c r="AJ17" s="115">
        <v>0</v>
      </c>
      <c r="AK17" s="115"/>
      <c r="AL17" s="115"/>
      <c r="AM17" s="115">
        <v>0</v>
      </c>
      <c r="AN17" s="115"/>
      <c r="AO17" s="115">
        <v>0</v>
      </c>
      <c r="AP17" s="115">
        <v>0</v>
      </c>
      <c r="AQ17" s="115"/>
      <c r="AR17" s="115"/>
      <c r="AS17" s="115"/>
      <c r="AT17" s="115"/>
      <c r="AU17" s="115"/>
      <c r="AV17" s="115"/>
      <c r="AW17" s="115"/>
      <c r="AX17" s="115"/>
      <c r="AY17" s="115"/>
      <c r="BA17" s="105">
        <v>0</v>
      </c>
      <c r="BB17" s="105">
        <v>0</v>
      </c>
    </row>
    <row r="18" spans="1:54" x14ac:dyDescent="0.2">
      <c r="A18" s="130"/>
      <c r="B18" s="121">
        <v>4</v>
      </c>
      <c r="C18" s="130" t="s">
        <v>293</v>
      </c>
      <c r="D18" s="130"/>
      <c r="E18" s="13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0"/>
      <c r="AC18" s="130"/>
      <c r="AD18" s="130"/>
      <c r="AE18" s="130"/>
      <c r="AF18" s="130"/>
      <c r="AG18" s="130"/>
      <c r="AH18" s="130"/>
      <c r="AI18" s="130"/>
      <c r="AJ18" s="130"/>
      <c r="AK18" s="130"/>
      <c r="AL18" s="130"/>
      <c r="AM18" s="130"/>
      <c r="AN18" s="130"/>
      <c r="AO18" s="130"/>
      <c r="AP18" s="130"/>
      <c r="AQ18" s="130"/>
      <c r="AR18" s="130"/>
      <c r="AS18" s="130"/>
      <c r="AT18" s="130"/>
      <c r="AU18" s="130"/>
      <c r="AV18" s="130"/>
      <c r="AW18" s="130"/>
      <c r="AX18" s="130"/>
      <c r="AY18" s="130"/>
    </row>
    <row r="20" spans="1:54" x14ac:dyDescent="0.2">
      <c r="A20" s="107" t="s">
        <v>294</v>
      </c>
    </row>
    <row r="21" spans="1:54" x14ac:dyDescent="0.2">
      <c r="A21" s="131" t="s">
        <v>125</v>
      </c>
      <c r="B21" s="128">
        <v>1</v>
      </c>
      <c r="C21" s="129" t="s">
        <v>293</v>
      </c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129"/>
      <c r="X21" s="129"/>
      <c r="Y21" s="129"/>
      <c r="Z21" s="129"/>
      <c r="AA21" s="129"/>
      <c r="AB21" s="129"/>
      <c r="AC21" s="129"/>
      <c r="AD21" s="129"/>
      <c r="AE21" s="129"/>
      <c r="AF21" s="129"/>
      <c r="AG21" s="129"/>
      <c r="AH21" s="129"/>
      <c r="AI21" s="129"/>
      <c r="AJ21" s="129"/>
      <c r="AK21" s="129"/>
      <c r="AL21" s="129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</row>
    <row r="22" spans="1:54" x14ac:dyDescent="0.2">
      <c r="A22" s="114"/>
      <c r="B22" s="125">
        <v>2</v>
      </c>
      <c r="C22" s="115" t="s">
        <v>293</v>
      </c>
      <c r="D22" s="115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115"/>
      <c r="AK22" s="115"/>
      <c r="AL22" s="115"/>
      <c r="AM22" s="115"/>
      <c r="AN22" s="115"/>
      <c r="AO22" s="115"/>
      <c r="AP22" s="115"/>
      <c r="AQ22" s="115"/>
      <c r="AR22" s="115"/>
      <c r="AS22" s="115"/>
      <c r="AT22" s="115"/>
      <c r="AU22" s="115"/>
      <c r="AV22" s="115"/>
      <c r="AW22" s="115"/>
      <c r="AX22" s="115"/>
      <c r="AY22" s="115"/>
    </row>
    <row r="23" spans="1:54" x14ac:dyDescent="0.2">
      <c r="A23" s="114"/>
      <c r="B23" s="132">
        <v>3</v>
      </c>
      <c r="C23" s="115" t="s">
        <v>293</v>
      </c>
      <c r="D23" s="115"/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115"/>
      <c r="AK23" s="115"/>
      <c r="AL23" s="115"/>
      <c r="AM23" s="115"/>
      <c r="AN23" s="115"/>
      <c r="AO23" s="115"/>
      <c r="AP23" s="115"/>
      <c r="AQ23" s="115"/>
      <c r="AR23" s="115"/>
      <c r="AS23" s="115"/>
      <c r="AT23" s="115"/>
      <c r="AU23" s="115"/>
      <c r="AV23" s="115"/>
      <c r="AW23" s="115"/>
      <c r="AX23" s="115"/>
      <c r="AY23" s="115"/>
    </row>
    <row r="24" spans="1:54" x14ac:dyDescent="0.2">
      <c r="A24" s="133"/>
      <c r="B24" s="134">
        <v>4</v>
      </c>
      <c r="C24" s="133" t="s">
        <v>293</v>
      </c>
      <c r="D24" s="130">
        <v>0</v>
      </c>
      <c r="E24" s="130">
        <v>0</v>
      </c>
      <c r="F24" s="130">
        <v>0</v>
      </c>
      <c r="G24" s="130">
        <v>0</v>
      </c>
      <c r="H24" s="130">
        <v>0</v>
      </c>
      <c r="I24" s="130">
        <v>0</v>
      </c>
      <c r="J24" s="130">
        <v>0</v>
      </c>
      <c r="K24" s="130">
        <v>0</v>
      </c>
      <c r="L24" s="130">
        <v>0</v>
      </c>
      <c r="M24" s="130">
        <v>0</v>
      </c>
      <c r="N24" s="130">
        <v>0</v>
      </c>
      <c r="O24" s="130">
        <v>0</v>
      </c>
      <c r="P24" s="130">
        <v>0</v>
      </c>
      <c r="Q24" s="130">
        <v>0</v>
      </c>
      <c r="R24" s="130">
        <v>0</v>
      </c>
      <c r="S24" s="130">
        <v>0</v>
      </c>
      <c r="T24" s="130">
        <v>0</v>
      </c>
      <c r="U24" s="130">
        <v>0</v>
      </c>
      <c r="V24" s="130">
        <v>0</v>
      </c>
      <c r="W24" s="130">
        <v>0</v>
      </c>
      <c r="X24" s="130">
        <v>0</v>
      </c>
      <c r="Y24" s="130">
        <v>0</v>
      </c>
      <c r="Z24" s="130">
        <v>0</v>
      </c>
      <c r="AA24" s="130">
        <v>0</v>
      </c>
      <c r="AB24" s="130">
        <v>0</v>
      </c>
      <c r="AC24" s="130">
        <v>0</v>
      </c>
      <c r="AD24" s="130">
        <v>0</v>
      </c>
      <c r="AE24" s="130">
        <v>0</v>
      </c>
      <c r="AF24" s="130">
        <v>0</v>
      </c>
      <c r="AG24" s="130">
        <v>0</v>
      </c>
      <c r="AH24" s="130">
        <v>0</v>
      </c>
      <c r="AI24" s="130">
        <v>0</v>
      </c>
      <c r="AJ24" s="130">
        <v>0</v>
      </c>
      <c r="AK24" s="130">
        <v>0</v>
      </c>
      <c r="AL24" s="130">
        <v>0</v>
      </c>
      <c r="AM24" s="130">
        <v>0</v>
      </c>
      <c r="AN24" s="130">
        <v>0</v>
      </c>
      <c r="AO24" s="130">
        <v>0</v>
      </c>
      <c r="AP24" s="130">
        <v>0</v>
      </c>
      <c r="AQ24" s="130">
        <v>0</v>
      </c>
      <c r="AR24" s="130">
        <v>0</v>
      </c>
      <c r="AS24" s="130">
        <v>0</v>
      </c>
      <c r="AT24" s="130">
        <v>0</v>
      </c>
      <c r="AU24" s="130">
        <v>0</v>
      </c>
      <c r="AV24" s="130">
        <v>0</v>
      </c>
      <c r="AW24" s="130">
        <v>0</v>
      </c>
      <c r="AX24" s="130">
        <v>0</v>
      </c>
      <c r="AY24" s="130">
        <v>0</v>
      </c>
    </row>
    <row r="25" spans="1:54" x14ac:dyDescent="0.2">
      <c r="A25" s="131" t="s">
        <v>133</v>
      </c>
      <c r="B25" s="128">
        <v>1</v>
      </c>
      <c r="C25" s="114" t="s">
        <v>293</v>
      </c>
      <c r="D25" s="115"/>
      <c r="E25" s="115"/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115"/>
      <c r="AK25" s="115"/>
      <c r="AL25" s="115"/>
      <c r="AM25" s="115"/>
      <c r="AN25" s="115"/>
      <c r="AO25" s="115"/>
      <c r="AP25" s="115"/>
      <c r="AQ25" s="115"/>
      <c r="AR25" s="115"/>
      <c r="AS25" s="115"/>
      <c r="AT25" s="115"/>
      <c r="AU25" s="115"/>
      <c r="AV25" s="115"/>
      <c r="AW25" s="115"/>
      <c r="AX25" s="115"/>
      <c r="AY25" s="115"/>
    </row>
    <row r="26" spans="1:54" x14ac:dyDescent="0.2">
      <c r="A26" s="114"/>
      <c r="B26" s="124">
        <v>2</v>
      </c>
      <c r="C26" s="114" t="s">
        <v>293</v>
      </c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5"/>
      <c r="AF26" s="115"/>
      <c r="AG26" s="115"/>
      <c r="AH26" s="115"/>
      <c r="AI26" s="115"/>
      <c r="AJ26" s="115"/>
      <c r="AK26" s="115"/>
      <c r="AL26" s="115"/>
      <c r="AM26" s="115"/>
      <c r="AN26" s="115"/>
      <c r="AO26" s="115"/>
      <c r="AP26" s="115"/>
      <c r="AQ26" s="115"/>
      <c r="AR26" s="115"/>
      <c r="AS26" s="115"/>
      <c r="AT26" s="115"/>
      <c r="AU26" s="115"/>
      <c r="AV26" s="115"/>
      <c r="AW26" s="115"/>
      <c r="AX26" s="115"/>
      <c r="AY26" s="115"/>
    </row>
    <row r="27" spans="1:54" x14ac:dyDescent="0.2">
      <c r="A27" s="114"/>
      <c r="B27" s="125">
        <v>3</v>
      </c>
      <c r="C27" s="114" t="s">
        <v>293</v>
      </c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115"/>
      <c r="AC27" s="115"/>
      <c r="AD27" s="115"/>
      <c r="AE27" s="115"/>
      <c r="AF27" s="115"/>
      <c r="AG27" s="115"/>
      <c r="AH27" s="115"/>
      <c r="AI27" s="115"/>
      <c r="AJ27" s="115"/>
      <c r="AK27" s="115"/>
      <c r="AL27" s="115"/>
      <c r="AM27" s="115"/>
      <c r="AN27" s="115"/>
      <c r="AO27" s="115"/>
      <c r="AP27" s="115"/>
      <c r="AQ27" s="115"/>
      <c r="AR27" s="115"/>
      <c r="AS27" s="115"/>
      <c r="AT27" s="115"/>
      <c r="AU27" s="115"/>
      <c r="AV27" s="115"/>
      <c r="AW27" s="115"/>
      <c r="AX27" s="115"/>
      <c r="AY27" s="115"/>
    </row>
    <row r="28" spans="1:54" x14ac:dyDescent="0.2">
      <c r="A28" s="114"/>
      <c r="B28" s="125">
        <v>4</v>
      </c>
      <c r="C28" s="114" t="s">
        <v>293</v>
      </c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15"/>
      <c r="AM28" s="115"/>
      <c r="AN28" s="115"/>
      <c r="AO28" s="115"/>
      <c r="AP28" s="115"/>
      <c r="AQ28" s="115"/>
      <c r="AR28" s="115"/>
      <c r="AS28" s="115"/>
      <c r="AT28" s="115"/>
      <c r="AU28" s="115"/>
      <c r="AV28" s="115"/>
      <c r="AW28" s="115"/>
      <c r="AX28" s="115"/>
      <c r="AY28" s="115"/>
    </row>
    <row r="29" spans="1:54" x14ac:dyDescent="0.2">
      <c r="A29" s="114"/>
      <c r="B29" s="132">
        <v>5</v>
      </c>
      <c r="C29" s="114" t="s">
        <v>293</v>
      </c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5"/>
      <c r="AF29" s="115"/>
      <c r="AG29" s="115"/>
      <c r="AH29" s="115"/>
      <c r="AI29" s="115"/>
      <c r="AJ29" s="115"/>
      <c r="AK29" s="115"/>
      <c r="AL29" s="115"/>
      <c r="AM29" s="115"/>
      <c r="AN29" s="115"/>
      <c r="AO29" s="115"/>
      <c r="AP29" s="115"/>
      <c r="AQ29" s="115"/>
      <c r="AR29" s="115"/>
      <c r="AS29" s="115"/>
      <c r="AT29" s="115"/>
      <c r="AU29" s="115"/>
      <c r="AV29" s="115"/>
      <c r="AW29" s="115"/>
      <c r="AX29" s="115"/>
      <c r="AY29" s="115"/>
    </row>
    <row r="30" spans="1:54" x14ac:dyDescent="0.2">
      <c r="A30" s="114"/>
      <c r="B30" s="132">
        <v>6</v>
      </c>
      <c r="C30" s="114" t="s">
        <v>293</v>
      </c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5"/>
      <c r="AF30" s="115"/>
      <c r="AG30" s="115"/>
      <c r="AH30" s="115"/>
      <c r="AI30" s="115"/>
      <c r="AJ30" s="115"/>
      <c r="AK30" s="115"/>
      <c r="AL30" s="115"/>
      <c r="AM30" s="115"/>
      <c r="AN30" s="115"/>
      <c r="AO30" s="115"/>
      <c r="AP30" s="115"/>
      <c r="AQ30" s="115"/>
      <c r="AR30" s="115"/>
      <c r="AS30" s="115"/>
      <c r="AT30" s="115"/>
      <c r="AU30" s="115"/>
      <c r="AV30" s="115"/>
      <c r="AW30" s="115"/>
      <c r="AX30" s="115"/>
      <c r="AY30" s="115"/>
    </row>
    <row r="31" spans="1:54" x14ac:dyDescent="0.2">
      <c r="A31" s="114"/>
      <c r="B31" s="135">
        <v>7</v>
      </c>
      <c r="C31" s="114" t="s">
        <v>293</v>
      </c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5"/>
      <c r="AF31" s="115"/>
      <c r="AG31" s="115"/>
      <c r="AH31" s="115"/>
      <c r="AI31" s="115"/>
      <c r="AJ31" s="115"/>
      <c r="AK31" s="115"/>
      <c r="AL31" s="115"/>
      <c r="AM31" s="115"/>
      <c r="AN31" s="115"/>
      <c r="AO31" s="115"/>
      <c r="AP31" s="115"/>
      <c r="AQ31" s="115"/>
      <c r="AR31" s="115"/>
      <c r="AS31" s="115"/>
      <c r="AT31" s="115"/>
      <c r="AU31" s="115"/>
      <c r="AV31" s="115"/>
      <c r="AW31" s="115"/>
      <c r="AX31" s="115"/>
      <c r="AY31" s="115"/>
    </row>
    <row r="32" spans="1:54" x14ac:dyDescent="0.2">
      <c r="A32" s="133"/>
      <c r="B32" s="134">
        <v>8</v>
      </c>
      <c r="C32" s="133" t="s">
        <v>293</v>
      </c>
      <c r="D32" s="130">
        <v>0</v>
      </c>
      <c r="E32" s="130">
        <v>0</v>
      </c>
      <c r="F32" s="130">
        <v>0</v>
      </c>
      <c r="G32" s="130">
        <v>0</v>
      </c>
      <c r="H32" s="130">
        <v>0</v>
      </c>
      <c r="I32" s="130">
        <v>0</v>
      </c>
      <c r="J32" s="130">
        <v>0</v>
      </c>
      <c r="K32" s="130">
        <v>0</v>
      </c>
      <c r="L32" s="130">
        <v>0</v>
      </c>
      <c r="M32" s="130">
        <v>0</v>
      </c>
      <c r="N32" s="130">
        <v>0</v>
      </c>
      <c r="O32" s="130">
        <v>0</v>
      </c>
      <c r="P32" s="130">
        <v>0</v>
      </c>
      <c r="Q32" s="130">
        <v>0</v>
      </c>
      <c r="R32" s="130">
        <v>0</v>
      </c>
      <c r="S32" s="130">
        <v>0</v>
      </c>
      <c r="T32" s="130">
        <v>0</v>
      </c>
      <c r="U32" s="130">
        <v>0</v>
      </c>
      <c r="V32" s="130">
        <v>0</v>
      </c>
      <c r="W32" s="130">
        <v>0</v>
      </c>
      <c r="X32" s="130">
        <v>0</v>
      </c>
      <c r="Y32" s="130">
        <v>0</v>
      </c>
      <c r="Z32" s="130">
        <v>0</v>
      </c>
      <c r="AA32" s="130">
        <v>0</v>
      </c>
      <c r="AB32" s="130">
        <v>0</v>
      </c>
      <c r="AC32" s="130">
        <v>0</v>
      </c>
      <c r="AD32" s="130">
        <v>0</v>
      </c>
      <c r="AE32" s="130">
        <v>0</v>
      </c>
      <c r="AF32" s="130">
        <v>0</v>
      </c>
      <c r="AG32" s="130">
        <v>0</v>
      </c>
      <c r="AH32" s="130">
        <v>0</v>
      </c>
      <c r="AI32" s="130">
        <v>0</v>
      </c>
      <c r="AJ32" s="130">
        <v>0</v>
      </c>
      <c r="AK32" s="130">
        <v>0</v>
      </c>
      <c r="AL32" s="130">
        <v>0</v>
      </c>
      <c r="AM32" s="130">
        <v>0</v>
      </c>
      <c r="AN32" s="130">
        <v>0</v>
      </c>
      <c r="AO32" s="130">
        <v>0</v>
      </c>
      <c r="AP32" s="130">
        <v>0</v>
      </c>
      <c r="AQ32" s="130">
        <v>0</v>
      </c>
      <c r="AR32" s="130">
        <v>0</v>
      </c>
      <c r="AS32" s="130">
        <v>0</v>
      </c>
      <c r="AT32" s="130">
        <v>0</v>
      </c>
      <c r="AU32" s="130">
        <v>0</v>
      </c>
      <c r="AV32" s="130">
        <v>0</v>
      </c>
      <c r="AW32" s="130">
        <v>0</v>
      </c>
      <c r="AX32" s="130">
        <v>0</v>
      </c>
      <c r="AY32" s="130">
        <v>0</v>
      </c>
    </row>
    <row r="33" spans="1:51" x14ac:dyDescent="0.2">
      <c r="A33" s="136" t="s">
        <v>134</v>
      </c>
      <c r="B33" s="124">
        <v>1</v>
      </c>
      <c r="C33" s="114" t="s">
        <v>293</v>
      </c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111"/>
      <c r="AM33" s="111"/>
      <c r="AN33" s="111"/>
      <c r="AO33" s="111"/>
      <c r="AP33" s="111"/>
      <c r="AQ33" s="111"/>
      <c r="AR33" s="111"/>
      <c r="AS33" s="111"/>
      <c r="AT33" s="111"/>
      <c r="AU33" s="111"/>
      <c r="AV33" s="111"/>
      <c r="AW33" s="111"/>
      <c r="AX33" s="111"/>
      <c r="AY33" s="111"/>
    </row>
    <row r="34" spans="1:51" x14ac:dyDescent="0.2">
      <c r="A34" s="114"/>
      <c r="B34" s="124">
        <v>2</v>
      </c>
      <c r="C34" s="114" t="s">
        <v>293</v>
      </c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  <c r="AB34" s="111"/>
      <c r="AC34" s="111"/>
      <c r="AD34" s="111"/>
      <c r="AE34" s="111"/>
      <c r="AF34" s="111"/>
      <c r="AG34" s="111"/>
      <c r="AH34" s="111"/>
      <c r="AI34" s="111"/>
      <c r="AJ34" s="111"/>
      <c r="AK34" s="111"/>
      <c r="AL34" s="111"/>
      <c r="AM34" s="111"/>
      <c r="AN34" s="111"/>
      <c r="AO34" s="111"/>
      <c r="AP34" s="111"/>
      <c r="AQ34" s="111"/>
      <c r="AR34" s="111"/>
      <c r="AS34" s="111"/>
      <c r="AT34" s="111"/>
      <c r="AU34" s="111"/>
      <c r="AV34" s="111"/>
      <c r="AW34" s="111"/>
      <c r="AX34" s="111"/>
      <c r="AY34" s="111"/>
    </row>
    <row r="35" spans="1:51" x14ac:dyDescent="0.2">
      <c r="A35" s="114"/>
      <c r="B35" s="124">
        <v>3</v>
      </c>
      <c r="C35" s="114" t="s">
        <v>293</v>
      </c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111"/>
      <c r="AB35" s="111"/>
      <c r="AC35" s="111"/>
      <c r="AD35" s="111"/>
      <c r="AE35" s="111"/>
      <c r="AF35" s="111"/>
      <c r="AG35" s="111"/>
      <c r="AH35" s="111"/>
      <c r="AI35" s="111"/>
      <c r="AJ35" s="111"/>
      <c r="AK35" s="111"/>
      <c r="AL35" s="111"/>
      <c r="AM35" s="111"/>
      <c r="AN35" s="111"/>
      <c r="AO35" s="111"/>
      <c r="AP35" s="111"/>
      <c r="AQ35" s="111"/>
      <c r="AR35" s="111"/>
      <c r="AS35" s="111"/>
      <c r="AT35" s="111"/>
      <c r="AU35" s="111"/>
      <c r="AV35" s="111"/>
      <c r="AW35" s="111"/>
      <c r="AX35" s="111"/>
      <c r="AY35" s="111"/>
    </row>
    <row r="36" spans="1:51" x14ac:dyDescent="0.2">
      <c r="A36" s="114"/>
      <c r="B36" s="125">
        <v>4</v>
      </c>
      <c r="C36" s="114" t="s">
        <v>293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  <c r="AH36" s="111"/>
      <c r="AI36" s="111"/>
      <c r="AJ36" s="111"/>
      <c r="AK36" s="111"/>
      <c r="AL36" s="111"/>
      <c r="AM36" s="111"/>
      <c r="AN36" s="111"/>
      <c r="AO36" s="111"/>
      <c r="AP36" s="111"/>
      <c r="AQ36" s="111"/>
      <c r="AR36" s="111"/>
      <c r="AS36" s="111"/>
      <c r="AT36" s="111"/>
      <c r="AU36" s="111"/>
      <c r="AV36" s="111"/>
      <c r="AW36" s="111"/>
      <c r="AX36" s="111"/>
      <c r="AY36" s="111"/>
    </row>
    <row r="37" spans="1:51" x14ac:dyDescent="0.2">
      <c r="A37" s="114"/>
      <c r="B37" s="125">
        <v>5</v>
      </c>
      <c r="C37" s="114" t="s">
        <v>293</v>
      </c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  <c r="AB37" s="111"/>
      <c r="AC37" s="111"/>
      <c r="AD37" s="111"/>
      <c r="AE37" s="111"/>
      <c r="AF37" s="111"/>
      <c r="AG37" s="111"/>
      <c r="AH37" s="111"/>
      <c r="AI37" s="111"/>
      <c r="AJ37" s="111"/>
      <c r="AK37" s="111"/>
      <c r="AL37" s="111"/>
      <c r="AM37" s="111"/>
      <c r="AN37" s="111"/>
      <c r="AO37" s="111"/>
      <c r="AP37" s="111"/>
      <c r="AQ37" s="111"/>
      <c r="AR37" s="111"/>
      <c r="AS37" s="111"/>
      <c r="AT37" s="111"/>
      <c r="AU37" s="111"/>
      <c r="AV37" s="111"/>
      <c r="AW37" s="111"/>
      <c r="AX37" s="111"/>
      <c r="AY37" s="111"/>
    </row>
    <row r="38" spans="1:51" x14ac:dyDescent="0.2">
      <c r="A38" s="114"/>
      <c r="B38" s="125">
        <v>6</v>
      </c>
      <c r="C38" s="114" t="s">
        <v>293</v>
      </c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1"/>
      <c r="AL38" s="111"/>
      <c r="AM38" s="111"/>
      <c r="AN38" s="111"/>
      <c r="AO38" s="111"/>
      <c r="AP38" s="111"/>
      <c r="AQ38" s="111"/>
      <c r="AR38" s="111"/>
      <c r="AS38" s="111"/>
      <c r="AT38" s="111"/>
      <c r="AU38" s="111"/>
      <c r="AV38" s="111"/>
      <c r="AW38" s="111"/>
      <c r="AX38" s="111"/>
      <c r="AY38" s="111"/>
    </row>
    <row r="39" spans="1:51" x14ac:dyDescent="0.2">
      <c r="A39" s="114"/>
      <c r="B39" s="132">
        <v>7</v>
      </c>
      <c r="C39" s="114" t="s">
        <v>293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  <c r="AL39" s="111"/>
      <c r="AM39" s="111"/>
      <c r="AN39" s="111"/>
      <c r="AO39" s="111"/>
      <c r="AP39" s="111"/>
      <c r="AQ39" s="111"/>
      <c r="AR39" s="111"/>
      <c r="AS39" s="111"/>
      <c r="AT39" s="111"/>
      <c r="AU39" s="111"/>
      <c r="AV39" s="111"/>
      <c r="AW39" s="111"/>
      <c r="AX39" s="111"/>
      <c r="AY39" s="111"/>
    </row>
    <row r="40" spans="1:51" x14ac:dyDescent="0.2">
      <c r="A40" s="114"/>
      <c r="B40" s="132">
        <v>8</v>
      </c>
      <c r="C40" s="114" t="s">
        <v>293</v>
      </c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1"/>
      <c r="AL40" s="111"/>
      <c r="AM40" s="111"/>
      <c r="AN40" s="111"/>
      <c r="AO40" s="111"/>
      <c r="AP40" s="111"/>
      <c r="AQ40" s="111"/>
      <c r="AR40" s="111"/>
      <c r="AS40" s="111"/>
      <c r="AT40" s="111"/>
      <c r="AU40" s="111"/>
      <c r="AV40" s="111"/>
      <c r="AW40" s="111"/>
      <c r="AX40" s="111"/>
      <c r="AY40" s="111"/>
    </row>
    <row r="41" spans="1:51" x14ac:dyDescent="0.2">
      <c r="A41" s="114"/>
      <c r="B41" s="132">
        <v>9</v>
      </c>
      <c r="C41" s="114" t="s">
        <v>293</v>
      </c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111"/>
      <c r="AM41" s="111"/>
      <c r="AN41" s="111"/>
      <c r="AO41" s="111"/>
      <c r="AP41" s="111"/>
      <c r="AQ41" s="111"/>
      <c r="AR41" s="111"/>
      <c r="AS41" s="111"/>
      <c r="AT41" s="111"/>
      <c r="AU41" s="111"/>
      <c r="AV41" s="111"/>
      <c r="AW41" s="111"/>
      <c r="AX41" s="111"/>
      <c r="AY41" s="111"/>
    </row>
    <row r="42" spans="1:51" x14ac:dyDescent="0.2">
      <c r="A42" s="114"/>
      <c r="B42" s="135">
        <v>10</v>
      </c>
      <c r="C42" s="114" t="s">
        <v>293</v>
      </c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  <c r="AH42" s="111"/>
      <c r="AI42" s="111"/>
      <c r="AJ42" s="111"/>
      <c r="AK42" s="111"/>
      <c r="AL42" s="111"/>
      <c r="AM42" s="111"/>
      <c r="AN42" s="111"/>
      <c r="AO42" s="111"/>
      <c r="AP42" s="111"/>
      <c r="AQ42" s="111"/>
      <c r="AR42" s="111"/>
      <c r="AS42" s="111"/>
      <c r="AT42" s="111"/>
      <c r="AU42" s="111"/>
      <c r="AV42" s="111"/>
      <c r="AW42" s="111"/>
      <c r="AX42" s="111"/>
      <c r="AY42" s="111"/>
    </row>
    <row r="43" spans="1:51" x14ac:dyDescent="0.2">
      <c r="A43" s="114"/>
      <c r="B43" s="135">
        <v>11</v>
      </c>
      <c r="C43" s="114" t="s">
        <v>293</v>
      </c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11"/>
      <c r="Y43" s="111"/>
      <c r="Z43" s="111"/>
      <c r="AA43" s="111"/>
      <c r="AB43" s="111"/>
      <c r="AC43" s="111"/>
      <c r="AD43" s="111"/>
      <c r="AE43" s="111"/>
      <c r="AF43" s="111"/>
      <c r="AG43" s="111"/>
      <c r="AH43" s="111"/>
      <c r="AI43" s="111"/>
      <c r="AJ43" s="111"/>
      <c r="AK43" s="111"/>
      <c r="AL43" s="111"/>
      <c r="AM43" s="111"/>
      <c r="AN43" s="111"/>
      <c r="AO43" s="111"/>
      <c r="AP43" s="111"/>
      <c r="AQ43" s="111"/>
      <c r="AR43" s="111"/>
      <c r="AS43" s="111"/>
      <c r="AT43" s="111"/>
      <c r="AU43" s="111"/>
      <c r="AV43" s="111"/>
      <c r="AW43" s="111"/>
      <c r="AX43" s="111"/>
      <c r="AY43" s="111"/>
    </row>
    <row r="44" spans="1:51" x14ac:dyDescent="0.2">
      <c r="A44" s="114"/>
      <c r="B44" s="135">
        <v>12</v>
      </c>
      <c r="C44" s="133" t="s">
        <v>293</v>
      </c>
      <c r="D44" s="111">
        <v>0</v>
      </c>
      <c r="E44" s="111">
        <v>0</v>
      </c>
      <c r="F44" s="111">
        <v>0</v>
      </c>
      <c r="G44" s="111">
        <v>0</v>
      </c>
      <c r="H44" s="111">
        <v>0</v>
      </c>
      <c r="I44" s="111">
        <v>0</v>
      </c>
      <c r="J44" s="111">
        <v>0</v>
      </c>
      <c r="K44" s="111">
        <v>0</v>
      </c>
      <c r="L44" s="111">
        <v>0</v>
      </c>
      <c r="M44" s="111">
        <v>0</v>
      </c>
      <c r="N44" s="111">
        <v>0</v>
      </c>
      <c r="O44" s="111">
        <v>0</v>
      </c>
      <c r="P44" s="111">
        <v>0</v>
      </c>
      <c r="Q44" s="111">
        <v>0</v>
      </c>
      <c r="R44" s="111">
        <v>0</v>
      </c>
      <c r="S44" s="111">
        <v>0</v>
      </c>
      <c r="T44" s="111">
        <v>0</v>
      </c>
      <c r="U44" s="111">
        <v>0</v>
      </c>
      <c r="V44" s="111">
        <v>0</v>
      </c>
      <c r="W44" s="111">
        <v>0</v>
      </c>
      <c r="X44" s="111">
        <v>0</v>
      </c>
      <c r="Y44" s="111">
        <v>0</v>
      </c>
      <c r="Z44" s="111">
        <v>0</v>
      </c>
      <c r="AA44" s="111">
        <v>0</v>
      </c>
      <c r="AB44" s="111">
        <v>0</v>
      </c>
      <c r="AC44" s="111">
        <v>0</v>
      </c>
      <c r="AD44" s="111">
        <v>0</v>
      </c>
      <c r="AE44" s="111">
        <v>0</v>
      </c>
      <c r="AF44" s="111">
        <v>0</v>
      </c>
      <c r="AG44" s="111">
        <v>0</v>
      </c>
      <c r="AH44" s="111">
        <v>0</v>
      </c>
      <c r="AI44" s="111">
        <v>0</v>
      </c>
      <c r="AJ44" s="111">
        <v>0</v>
      </c>
      <c r="AK44" s="111">
        <v>0</v>
      </c>
      <c r="AL44" s="111">
        <v>0</v>
      </c>
      <c r="AM44" s="111">
        <v>0</v>
      </c>
      <c r="AN44" s="111">
        <v>0</v>
      </c>
      <c r="AO44" s="111">
        <v>0</v>
      </c>
      <c r="AP44" s="111">
        <v>0</v>
      </c>
      <c r="AQ44" s="111">
        <v>0</v>
      </c>
      <c r="AR44" s="111">
        <v>0</v>
      </c>
      <c r="AS44" s="111">
        <v>0</v>
      </c>
      <c r="AT44" s="111">
        <v>0</v>
      </c>
      <c r="AU44" s="111">
        <v>0</v>
      </c>
      <c r="AV44" s="111">
        <v>0</v>
      </c>
      <c r="AW44" s="111">
        <v>0</v>
      </c>
      <c r="AX44" s="111">
        <v>0</v>
      </c>
      <c r="AY44" s="111">
        <v>0</v>
      </c>
    </row>
    <row r="45" spans="1:51" x14ac:dyDescent="0.2">
      <c r="A45" s="131" t="s">
        <v>123</v>
      </c>
      <c r="B45" s="128">
        <v>1</v>
      </c>
      <c r="C45" s="114" t="s">
        <v>293</v>
      </c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</row>
    <row r="46" spans="1:51" x14ac:dyDescent="0.2">
      <c r="A46" s="114"/>
      <c r="B46" s="124">
        <v>2</v>
      </c>
      <c r="C46" s="114" t="s">
        <v>293</v>
      </c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</row>
    <row r="47" spans="1:51" x14ac:dyDescent="0.2">
      <c r="A47" s="114"/>
      <c r="B47" s="124">
        <v>3</v>
      </c>
      <c r="C47" s="114" t="s">
        <v>293</v>
      </c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</row>
    <row r="48" spans="1:51" x14ac:dyDescent="0.2">
      <c r="A48" s="114"/>
      <c r="B48" s="124">
        <v>4</v>
      </c>
      <c r="C48" s="114" t="s">
        <v>293</v>
      </c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</row>
    <row r="49" spans="1:51" x14ac:dyDescent="0.2">
      <c r="A49" s="114"/>
      <c r="B49" s="124">
        <v>5</v>
      </c>
      <c r="C49" s="114" t="s">
        <v>293</v>
      </c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</row>
    <row r="50" spans="1:51" x14ac:dyDescent="0.2">
      <c r="A50" s="114"/>
      <c r="B50" s="124">
        <v>6</v>
      </c>
      <c r="C50" s="114" t="s">
        <v>293</v>
      </c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5"/>
      <c r="AF50" s="115"/>
      <c r="AG50" s="115"/>
      <c r="AH50" s="115"/>
      <c r="AI50" s="115"/>
      <c r="AJ50" s="115"/>
      <c r="AK50" s="115"/>
      <c r="AL50" s="115"/>
      <c r="AM50" s="115"/>
      <c r="AN50" s="115"/>
      <c r="AO50" s="115"/>
      <c r="AP50" s="115"/>
      <c r="AQ50" s="115"/>
      <c r="AR50" s="115"/>
      <c r="AS50" s="115"/>
      <c r="AT50" s="115"/>
      <c r="AU50" s="115"/>
      <c r="AV50" s="115"/>
      <c r="AW50" s="115"/>
      <c r="AX50" s="115"/>
      <c r="AY50" s="115"/>
    </row>
    <row r="51" spans="1:51" x14ac:dyDescent="0.2">
      <c r="A51" s="114"/>
      <c r="B51" s="124">
        <v>7</v>
      </c>
      <c r="C51" s="114" t="s">
        <v>293</v>
      </c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  <c r="AA51" s="115"/>
      <c r="AB51" s="115"/>
      <c r="AC51" s="115"/>
      <c r="AD51" s="115"/>
      <c r="AE51" s="115"/>
      <c r="AF51" s="115"/>
      <c r="AG51" s="115"/>
      <c r="AH51" s="115"/>
      <c r="AI51" s="115"/>
      <c r="AJ51" s="115"/>
      <c r="AK51" s="115"/>
      <c r="AL51" s="115"/>
      <c r="AM51" s="115"/>
      <c r="AN51" s="115"/>
      <c r="AO51" s="115"/>
      <c r="AP51" s="115"/>
      <c r="AQ51" s="115"/>
      <c r="AR51" s="115"/>
      <c r="AS51" s="115"/>
      <c r="AT51" s="115"/>
      <c r="AU51" s="115"/>
      <c r="AV51" s="115"/>
      <c r="AW51" s="115"/>
      <c r="AX51" s="115"/>
      <c r="AY51" s="115"/>
    </row>
    <row r="52" spans="1:51" x14ac:dyDescent="0.2">
      <c r="A52" s="114"/>
      <c r="B52" s="124">
        <v>8</v>
      </c>
      <c r="C52" s="114" t="s">
        <v>293</v>
      </c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  <c r="AA52" s="115"/>
      <c r="AB52" s="115"/>
      <c r="AC52" s="115"/>
      <c r="AD52" s="115"/>
      <c r="AE52" s="115"/>
      <c r="AF52" s="115"/>
      <c r="AG52" s="115"/>
      <c r="AH52" s="115"/>
      <c r="AI52" s="115"/>
      <c r="AJ52" s="115"/>
      <c r="AK52" s="115"/>
      <c r="AL52" s="115"/>
      <c r="AM52" s="115"/>
      <c r="AN52" s="115"/>
      <c r="AO52" s="115"/>
      <c r="AP52" s="115"/>
      <c r="AQ52" s="115"/>
      <c r="AR52" s="115"/>
      <c r="AS52" s="115"/>
      <c r="AT52" s="115"/>
      <c r="AU52" s="115"/>
      <c r="AV52" s="115"/>
      <c r="AW52" s="115"/>
      <c r="AX52" s="115"/>
      <c r="AY52" s="115"/>
    </row>
    <row r="53" spans="1:51" x14ac:dyDescent="0.2">
      <c r="A53" s="114"/>
      <c r="B53" s="124">
        <v>9</v>
      </c>
      <c r="C53" s="114" t="s">
        <v>293</v>
      </c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15"/>
      <c r="AH53" s="115"/>
      <c r="AI53" s="115"/>
      <c r="AJ53" s="115"/>
      <c r="AK53" s="115"/>
      <c r="AL53" s="115"/>
      <c r="AM53" s="115"/>
      <c r="AN53" s="115"/>
      <c r="AO53" s="115"/>
      <c r="AP53" s="115"/>
      <c r="AQ53" s="115"/>
      <c r="AR53" s="115"/>
      <c r="AS53" s="115"/>
      <c r="AT53" s="115"/>
      <c r="AU53" s="115"/>
      <c r="AV53" s="115"/>
      <c r="AW53" s="115"/>
      <c r="AX53" s="115"/>
      <c r="AY53" s="115"/>
    </row>
    <row r="54" spans="1:51" x14ac:dyDescent="0.2">
      <c r="A54" s="114"/>
      <c r="B54" s="124">
        <v>10</v>
      </c>
      <c r="C54" s="114" t="s">
        <v>293</v>
      </c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5"/>
      <c r="AF54" s="115"/>
      <c r="AG54" s="115"/>
      <c r="AH54" s="115"/>
      <c r="AI54" s="115"/>
      <c r="AJ54" s="115"/>
      <c r="AK54" s="115"/>
      <c r="AL54" s="115"/>
      <c r="AM54" s="115"/>
      <c r="AN54" s="115"/>
      <c r="AO54" s="115"/>
      <c r="AP54" s="115"/>
      <c r="AQ54" s="115"/>
      <c r="AR54" s="115"/>
      <c r="AS54" s="115"/>
      <c r="AT54" s="115"/>
      <c r="AU54" s="115"/>
      <c r="AV54" s="115"/>
      <c r="AW54" s="115"/>
      <c r="AX54" s="115"/>
      <c r="AY54" s="115"/>
    </row>
    <row r="55" spans="1:51" x14ac:dyDescent="0.2">
      <c r="A55" s="114"/>
      <c r="B55" s="124">
        <v>11</v>
      </c>
      <c r="C55" s="114" t="s">
        <v>293</v>
      </c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  <c r="AA55" s="115"/>
      <c r="AB55" s="115"/>
      <c r="AC55" s="115"/>
      <c r="AD55" s="115"/>
      <c r="AE55" s="115"/>
      <c r="AF55" s="115"/>
      <c r="AG55" s="115"/>
      <c r="AH55" s="115"/>
      <c r="AI55" s="115"/>
      <c r="AJ55" s="115"/>
      <c r="AK55" s="115"/>
      <c r="AL55" s="115"/>
      <c r="AM55" s="115"/>
      <c r="AN55" s="115"/>
      <c r="AO55" s="115"/>
      <c r="AP55" s="115"/>
      <c r="AQ55" s="115"/>
      <c r="AR55" s="115"/>
      <c r="AS55" s="115"/>
      <c r="AT55" s="115"/>
      <c r="AU55" s="115"/>
      <c r="AV55" s="115"/>
      <c r="AW55" s="115"/>
      <c r="AX55" s="115"/>
      <c r="AY55" s="115"/>
    </row>
    <row r="56" spans="1:51" x14ac:dyDescent="0.2">
      <c r="A56" s="114"/>
      <c r="B56" s="124">
        <v>12</v>
      </c>
      <c r="C56" s="114" t="s">
        <v>293</v>
      </c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  <c r="AA56" s="115"/>
      <c r="AB56" s="115"/>
      <c r="AC56" s="115"/>
      <c r="AD56" s="115"/>
      <c r="AE56" s="115"/>
      <c r="AF56" s="115"/>
      <c r="AG56" s="115"/>
      <c r="AH56" s="115"/>
      <c r="AI56" s="115"/>
      <c r="AJ56" s="115"/>
      <c r="AK56" s="115"/>
      <c r="AL56" s="115"/>
      <c r="AM56" s="115"/>
      <c r="AN56" s="115"/>
      <c r="AO56" s="115"/>
      <c r="AP56" s="115"/>
      <c r="AQ56" s="115"/>
      <c r="AR56" s="115"/>
      <c r="AS56" s="115"/>
      <c r="AT56" s="115"/>
      <c r="AU56" s="115"/>
      <c r="AV56" s="115"/>
      <c r="AW56" s="115"/>
      <c r="AX56" s="115"/>
      <c r="AY56" s="115"/>
    </row>
    <row r="57" spans="1:51" x14ac:dyDescent="0.2">
      <c r="A57" s="114"/>
      <c r="B57" s="125">
        <v>13</v>
      </c>
      <c r="C57" s="114" t="s">
        <v>293</v>
      </c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  <c r="AA57" s="115"/>
      <c r="AB57" s="115"/>
      <c r="AC57" s="115"/>
      <c r="AD57" s="115"/>
      <c r="AE57" s="115"/>
      <c r="AF57" s="115"/>
      <c r="AG57" s="115"/>
      <c r="AH57" s="115"/>
      <c r="AI57" s="115"/>
      <c r="AJ57" s="115"/>
      <c r="AK57" s="115"/>
      <c r="AL57" s="115"/>
      <c r="AM57" s="115"/>
      <c r="AN57" s="115"/>
      <c r="AO57" s="115"/>
      <c r="AP57" s="115"/>
      <c r="AQ57" s="115"/>
      <c r="AR57" s="115"/>
      <c r="AS57" s="115"/>
      <c r="AT57" s="115"/>
      <c r="AU57" s="115"/>
      <c r="AV57" s="115"/>
      <c r="AW57" s="115"/>
      <c r="AX57" s="115"/>
      <c r="AY57" s="115"/>
    </row>
    <row r="58" spans="1:51" x14ac:dyDescent="0.2">
      <c r="A58" s="114"/>
      <c r="B58" s="125">
        <v>14</v>
      </c>
      <c r="C58" s="114" t="s">
        <v>293</v>
      </c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</row>
    <row r="59" spans="1:51" x14ac:dyDescent="0.2">
      <c r="A59" s="114"/>
      <c r="B59" s="125">
        <v>15</v>
      </c>
      <c r="C59" s="114" t="s">
        <v>293</v>
      </c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</row>
    <row r="60" spans="1:51" x14ac:dyDescent="0.2">
      <c r="A60" s="114"/>
      <c r="B60" s="125">
        <v>16</v>
      </c>
      <c r="C60" s="114" t="s">
        <v>293</v>
      </c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</row>
    <row r="61" spans="1:51" x14ac:dyDescent="0.2">
      <c r="A61" s="114"/>
      <c r="B61" s="125">
        <v>17</v>
      </c>
      <c r="C61" s="114" t="s">
        <v>293</v>
      </c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  <c r="AA61" s="115"/>
      <c r="AB61" s="115"/>
      <c r="AC61" s="115"/>
      <c r="AD61" s="115"/>
      <c r="AE61" s="115"/>
      <c r="AF61" s="115"/>
      <c r="AG61" s="115"/>
      <c r="AH61" s="115"/>
      <c r="AI61" s="115"/>
      <c r="AJ61" s="115"/>
      <c r="AK61" s="115"/>
      <c r="AL61" s="115"/>
      <c r="AM61" s="115"/>
      <c r="AN61" s="115"/>
      <c r="AO61" s="115"/>
      <c r="AP61" s="115"/>
      <c r="AQ61" s="115"/>
      <c r="AR61" s="115"/>
      <c r="AS61" s="115"/>
      <c r="AT61" s="115"/>
      <c r="AU61" s="115"/>
      <c r="AV61" s="115"/>
      <c r="AW61" s="115"/>
      <c r="AX61" s="115"/>
      <c r="AY61" s="115"/>
    </row>
    <row r="62" spans="1:51" x14ac:dyDescent="0.2">
      <c r="A62" s="114"/>
      <c r="B62" s="125">
        <v>18</v>
      </c>
      <c r="C62" s="114" t="s">
        <v>293</v>
      </c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  <c r="AH62" s="115"/>
      <c r="AI62" s="115"/>
      <c r="AJ62" s="115"/>
      <c r="AK62" s="115"/>
      <c r="AL62" s="115"/>
      <c r="AM62" s="115"/>
      <c r="AN62" s="115"/>
      <c r="AO62" s="115"/>
      <c r="AP62" s="115"/>
      <c r="AQ62" s="115"/>
      <c r="AR62" s="115"/>
      <c r="AS62" s="115"/>
      <c r="AT62" s="115"/>
      <c r="AU62" s="115"/>
      <c r="AV62" s="115"/>
      <c r="AW62" s="115"/>
      <c r="AX62" s="115"/>
      <c r="AY62" s="115"/>
    </row>
    <row r="63" spans="1:51" x14ac:dyDescent="0.2">
      <c r="A63" s="114"/>
      <c r="B63" s="125">
        <v>19</v>
      </c>
      <c r="C63" s="114" t="s">
        <v>293</v>
      </c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</row>
    <row r="64" spans="1:51" x14ac:dyDescent="0.2">
      <c r="A64" s="114"/>
      <c r="B64" s="125">
        <v>20</v>
      </c>
      <c r="C64" s="114" t="s">
        <v>293</v>
      </c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  <c r="AE64" s="115"/>
      <c r="AF64" s="115"/>
      <c r="AG64" s="115"/>
      <c r="AH64" s="115"/>
      <c r="AI64" s="115"/>
      <c r="AJ64" s="115"/>
      <c r="AK64" s="115"/>
      <c r="AL64" s="115"/>
      <c r="AM64" s="115"/>
      <c r="AN64" s="115"/>
      <c r="AO64" s="115"/>
      <c r="AP64" s="115"/>
      <c r="AQ64" s="115"/>
      <c r="AR64" s="115"/>
      <c r="AS64" s="115"/>
      <c r="AT64" s="115"/>
      <c r="AU64" s="115"/>
      <c r="AV64" s="115"/>
      <c r="AW64" s="115"/>
      <c r="AX64" s="115"/>
      <c r="AY64" s="115"/>
    </row>
    <row r="65" spans="1:51" x14ac:dyDescent="0.2">
      <c r="A65" s="114"/>
      <c r="B65" s="125">
        <v>21</v>
      </c>
      <c r="C65" s="114" t="s">
        <v>293</v>
      </c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  <c r="AA65" s="115"/>
      <c r="AB65" s="115"/>
      <c r="AC65" s="115"/>
      <c r="AD65" s="115"/>
      <c r="AE65" s="115"/>
      <c r="AF65" s="115"/>
      <c r="AG65" s="115"/>
      <c r="AH65" s="115"/>
      <c r="AI65" s="115"/>
      <c r="AJ65" s="115"/>
      <c r="AK65" s="115"/>
      <c r="AL65" s="115"/>
      <c r="AM65" s="115"/>
      <c r="AN65" s="115"/>
      <c r="AO65" s="115"/>
      <c r="AP65" s="115"/>
      <c r="AQ65" s="115"/>
      <c r="AR65" s="115"/>
      <c r="AS65" s="115"/>
      <c r="AT65" s="115"/>
      <c r="AU65" s="115"/>
      <c r="AV65" s="115"/>
      <c r="AW65" s="115"/>
      <c r="AX65" s="115"/>
      <c r="AY65" s="115"/>
    </row>
    <row r="66" spans="1:51" x14ac:dyDescent="0.2">
      <c r="A66" s="114"/>
      <c r="B66" s="125">
        <v>22</v>
      </c>
      <c r="C66" s="114" t="s">
        <v>293</v>
      </c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  <c r="AA66" s="115"/>
      <c r="AB66" s="115"/>
      <c r="AC66" s="115"/>
      <c r="AD66" s="115"/>
      <c r="AE66" s="115"/>
      <c r="AF66" s="115"/>
      <c r="AG66" s="115"/>
      <c r="AH66" s="115"/>
      <c r="AI66" s="115"/>
      <c r="AJ66" s="115"/>
      <c r="AK66" s="115"/>
      <c r="AL66" s="115"/>
      <c r="AM66" s="115"/>
      <c r="AN66" s="115"/>
      <c r="AO66" s="115"/>
      <c r="AP66" s="115"/>
      <c r="AQ66" s="115"/>
      <c r="AR66" s="115"/>
      <c r="AS66" s="115"/>
      <c r="AT66" s="115"/>
      <c r="AU66" s="115"/>
      <c r="AV66" s="115"/>
      <c r="AW66" s="115"/>
      <c r="AX66" s="115"/>
      <c r="AY66" s="115"/>
    </row>
    <row r="67" spans="1:51" x14ac:dyDescent="0.2">
      <c r="A67" s="114"/>
      <c r="B67" s="125">
        <v>23</v>
      </c>
      <c r="C67" s="114" t="s">
        <v>293</v>
      </c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  <c r="AA67" s="115"/>
      <c r="AB67" s="115"/>
      <c r="AC67" s="115"/>
      <c r="AD67" s="115"/>
      <c r="AE67" s="115"/>
      <c r="AF67" s="115"/>
      <c r="AG67" s="115"/>
      <c r="AH67" s="115"/>
      <c r="AI67" s="115"/>
      <c r="AJ67" s="115"/>
      <c r="AK67" s="115"/>
      <c r="AL67" s="115"/>
      <c r="AM67" s="115"/>
      <c r="AN67" s="115"/>
      <c r="AO67" s="115"/>
      <c r="AP67" s="115"/>
      <c r="AQ67" s="115"/>
      <c r="AR67" s="115"/>
      <c r="AS67" s="115"/>
      <c r="AT67" s="115"/>
      <c r="AU67" s="115"/>
      <c r="AV67" s="115"/>
      <c r="AW67" s="115"/>
      <c r="AX67" s="115"/>
      <c r="AY67" s="115"/>
    </row>
    <row r="68" spans="1:51" x14ac:dyDescent="0.2">
      <c r="A68" s="114"/>
      <c r="B68" s="125">
        <v>24</v>
      </c>
      <c r="C68" s="114" t="s">
        <v>293</v>
      </c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  <c r="AA68" s="115"/>
      <c r="AB68" s="115"/>
      <c r="AC68" s="115"/>
      <c r="AD68" s="115"/>
      <c r="AE68" s="115"/>
      <c r="AF68" s="115"/>
      <c r="AG68" s="115"/>
      <c r="AH68" s="115"/>
      <c r="AI68" s="115"/>
      <c r="AJ68" s="115"/>
      <c r="AK68" s="115"/>
      <c r="AL68" s="115"/>
      <c r="AM68" s="115"/>
      <c r="AN68" s="115"/>
      <c r="AO68" s="115"/>
      <c r="AP68" s="115"/>
      <c r="AQ68" s="115"/>
      <c r="AR68" s="115"/>
      <c r="AS68" s="115"/>
      <c r="AT68" s="115"/>
      <c r="AU68" s="115"/>
      <c r="AV68" s="115"/>
      <c r="AW68" s="115"/>
      <c r="AX68" s="115"/>
      <c r="AY68" s="115"/>
    </row>
    <row r="69" spans="1:51" x14ac:dyDescent="0.2">
      <c r="A69" s="114"/>
      <c r="B69" s="132">
        <v>25</v>
      </c>
      <c r="C69" s="114" t="s">
        <v>293</v>
      </c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</row>
    <row r="70" spans="1:51" x14ac:dyDescent="0.2">
      <c r="A70" s="114"/>
      <c r="B70" s="132">
        <v>26</v>
      </c>
      <c r="C70" s="114" t="s">
        <v>293</v>
      </c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</row>
    <row r="71" spans="1:51" x14ac:dyDescent="0.2">
      <c r="A71" s="114"/>
      <c r="B71" s="132">
        <v>27</v>
      </c>
      <c r="C71" s="114" t="s">
        <v>293</v>
      </c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</row>
    <row r="72" spans="1:51" x14ac:dyDescent="0.2">
      <c r="A72" s="114"/>
      <c r="B72" s="132">
        <v>28</v>
      </c>
      <c r="C72" s="114" t="s">
        <v>293</v>
      </c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  <c r="AA72" s="115"/>
      <c r="AB72" s="115"/>
      <c r="AC72" s="115"/>
      <c r="AD72" s="115"/>
      <c r="AE72" s="115"/>
      <c r="AF72" s="115"/>
      <c r="AG72" s="115"/>
      <c r="AH72" s="115"/>
      <c r="AI72" s="115"/>
      <c r="AJ72" s="115"/>
      <c r="AK72" s="115"/>
      <c r="AL72" s="115"/>
      <c r="AM72" s="115"/>
      <c r="AN72" s="115"/>
      <c r="AO72" s="115"/>
      <c r="AP72" s="115"/>
      <c r="AQ72" s="115"/>
      <c r="AR72" s="115"/>
      <c r="AS72" s="115"/>
      <c r="AT72" s="115"/>
      <c r="AU72" s="115"/>
      <c r="AV72" s="115"/>
      <c r="AW72" s="115"/>
      <c r="AX72" s="115"/>
      <c r="AY72" s="115"/>
    </row>
    <row r="73" spans="1:51" x14ac:dyDescent="0.2">
      <c r="A73" s="114"/>
      <c r="B73" s="132">
        <v>29</v>
      </c>
      <c r="C73" s="114" t="s">
        <v>293</v>
      </c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  <c r="AA73" s="115"/>
      <c r="AB73" s="115"/>
      <c r="AC73" s="115"/>
      <c r="AD73" s="115"/>
      <c r="AE73" s="115"/>
      <c r="AF73" s="115"/>
      <c r="AG73" s="115"/>
      <c r="AH73" s="115"/>
      <c r="AI73" s="115"/>
      <c r="AJ73" s="115"/>
      <c r="AK73" s="115"/>
      <c r="AL73" s="115"/>
      <c r="AM73" s="115"/>
      <c r="AN73" s="115"/>
      <c r="AO73" s="115"/>
      <c r="AP73" s="115"/>
      <c r="AQ73" s="115"/>
      <c r="AR73" s="115"/>
      <c r="AS73" s="115"/>
      <c r="AT73" s="115"/>
      <c r="AU73" s="115"/>
      <c r="AV73" s="115"/>
      <c r="AW73" s="115"/>
      <c r="AX73" s="115"/>
      <c r="AY73" s="115"/>
    </row>
    <row r="74" spans="1:51" x14ac:dyDescent="0.2">
      <c r="A74" s="114"/>
      <c r="B74" s="132">
        <v>30</v>
      </c>
      <c r="C74" s="114" t="s">
        <v>293</v>
      </c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  <c r="AA74" s="115"/>
      <c r="AB74" s="115"/>
      <c r="AC74" s="115"/>
      <c r="AD74" s="115"/>
      <c r="AE74" s="115"/>
      <c r="AF74" s="115"/>
      <c r="AG74" s="115"/>
      <c r="AH74" s="115"/>
      <c r="AI74" s="115"/>
      <c r="AJ74" s="115"/>
      <c r="AK74" s="115"/>
      <c r="AL74" s="115"/>
      <c r="AM74" s="115"/>
      <c r="AN74" s="115"/>
      <c r="AO74" s="115"/>
      <c r="AP74" s="115"/>
      <c r="AQ74" s="115"/>
      <c r="AR74" s="115"/>
      <c r="AS74" s="115"/>
      <c r="AT74" s="115"/>
      <c r="AU74" s="115"/>
      <c r="AV74" s="115"/>
      <c r="AW74" s="115"/>
      <c r="AX74" s="115"/>
      <c r="AY74" s="115"/>
    </row>
    <row r="75" spans="1:51" x14ac:dyDescent="0.2">
      <c r="A75" s="114"/>
      <c r="B75" s="132">
        <v>31</v>
      </c>
      <c r="C75" s="114" t="s">
        <v>293</v>
      </c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  <c r="AA75" s="115"/>
      <c r="AB75" s="115"/>
      <c r="AC75" s="115"/>
      <c r="AD75" s="115"/>
      <c r="AE75" s="115"/>
      <c r="AF75" s="115"/>
      <c r="AG75" s="115"/>
      <c r="AH75" s="115"/>
      <c r="AI75" s="115"/>
      <c r="AJ75" s="115"/>
      <c r="AK75" s="115"/>
      <c r="AL75" s="115"/>
      <c r="AM75" s="115"/>
      <c r="AN75" s="115"/>
      <c r="AO75" s="115"/>
      <c r="AP75" s="115"/>
      <c r="AQ75" s="115"/>
      <c r="AR75" s="115"/>
      <c r="AS75" s="115"/>
      <c r="AT75" s="115"/>
      <c r="AU75" s="115"/>
      <c r="AV75" s="115"/>
      <c r="AW75" s="115"/>
      <c r="AX75" s="115"/>
      <c r="AY75" s="115"/>
    </row>
    <row r="76" spans="1:51" x14ac:dyDescent="0.2">
      <c r="A76" s="114"/>
      <c r="B76" s="132">
        <v>32</v>
      </c>
      <c r="C76" s="114" t="s">
        <v>293</v>
      </c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  <c r="AA76" s="115"/>
      <c r="AB76" s="115"/>
      <c r="AC76" s="115"/>
      <c r="AD76" s="115"/>
      <c r="AE76" s="115"/>
      <c r="AF76" s="115"/>
      <c r="AG76" s="115"/>
      <c r="AH76" s="115"/>
      <c r="AI76" s="115"/>
      <c r="AJ76" s="115"/>
      <c r="AK76" s="115"/>
      <c r="AL76" s="115"/>
      <c r="AM76" s="115"/>
      <c r="AN76" s="115"/>
      <c r="AO76" s="115"/>
      <c r="AP76" s="115"/>
      <c r="AQ76" s="115"/>
      <c r="AR76" s="115"/>
      <c r="AS76" s="115"/>
      <c r="AT76" s="115"/>
      <c r="AU76" s="115"/>
      <c r="AV76" s="115"/>
      <c r="AW76" s="115"/>
      <c r="AX76" s="115"/>
      <c r="AY76" s="115"/>
    </row>
    <row r="77" spans="1:51" x14ac:dyDescent="0.2">
      <c r="A77" s="114"/>
      <c r="B77" s="132">
        <v>33</v>
      </c>
      <c r="C77" s="114" t="s">
        <v>293</v>
      </c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  <c r="AA77" s="115"/>
      <c r="AB77" s="115"/>
      <c r="AC77" s="115"/>
      <c r="AD77" s="115"/>
      <c r="AE77" s="115"/>
      <c r="AF77" s="115"/>
      <c r="AG77" s="115"/>
      <c r="AH77" s="115"/>
      <c r="AI77" s="115"/>
      <c r="AJ77" s="115"/>
      <c r="AK77" s="115"/>
      <c r="AL77" s="115"/>
      <c r="AM77" s="115"/>
      <c r="AN77" s="115"/>
      <c r="AO77" s="115"/>
      <c r="AP77" s="115"/>
      <c r="AQ77" s="115"/>
      <c r="AR77" s="115"/>
      <c r="AS77" s="115"/>
      <c r="AT77" s="115"/>
      <c r="AU77" s="115"/>
      <c r="AV77" s="115"/>
      <c r="AW77" s="115"/>
      <c r="AX77" s="115"/>
      <c r="AY77" s="115"/>
    </row>
    <row r="78" spans="1:51" x14ac:dyDescent="0.2">
      <c r="A78" s="114"/>
      <c r="B78" s="132">
        <v>34</v>
      </c>
      <c r="C78" s="114" t="s">
        <v>293</v>
      </c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  <c r="AA78" s="115"/>
      <c r="AB78" s="115"/>
      <c r="AC78" s="115"/>
      <c r="AD78" s="115"/>
      <c r="AE78" s="115"/>
      <c r="AF78" s="115"/>
      <c r="AG78" s="115"/>
      <c r="AH78" s="115"/>
      <c r="AI78" s="115"/>
      <c r="AJ78" s="115"/>
      <c r="AK78" s="115"/>
      <c r="AL78" s="115"/>
      <c r="AM78" s="115"/>
      <c r="AN78" s="115"/>
      <c r="AO78" s="115"/>
      <c r="AP78" s="115"/>
      <c r="AQ78" s="115"/>
      <c r="AR78" s="115"/>
      <c r="AS78" s="115"/>
      <c r="AT78" s="115"/>
      <c r="AU78" s="115"/>
      <c r="AV78" s="115"/>
      <c r="AW78" s="115"/>
      <c r="AX78" s="115"/>
      <c r="AY78" s="115"/>
    </row>
    <row r="79" spans="1:51" x14ac:dyDescent="0.2">
      <c r="A79" s="114"/>
      <c r="B79" s="132">
        <v>35</v>
      </c>
      <c r="C79" s="114" t="s">
        <v>293</v>
      </c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  <c r="AA79" s="115"/>
      <c r="AB79" s="115"/>
      <c r="AC79" s="115"/>
      <c r="AD79" s="115"/>
      <c r="AE79" s="115"/>
      <c r="AF79" s="115"/>
      <c r="AG79" s="115"/>
      <c r="AH79" s="115"/>
      <c r="AI79" s="115"/>
      <c r="AJ79" s="115"/>
      <c r="AK79" s="115"/>
      <c r="AL79" s="115"/>
      <c r="AM79" s="115"/>
      <c r="AN79" s="115"/>
      <c r="AO79" s="115"/>
      <c r="AP79" s="115"/>
      <c r="AQ79" s="115"/>
      <c r="AR79" s="115"/>
      <c r="AS79" s="115"/>
      <c r="AT79" s="115"/>
      <c r="AU79" s="115"/>
      <c r="AV79" s="115"/>
      <c r="AW79" s="115"/>
      <c r="AX79" s="115"/>
      <c r="AY79" s="115"/>
    </row>
    <row r="80" spans="1:51" x14ac:dyDescent="0.2">
      <c r="A80" s="114"/>
      <c r="B80" s="132">
        <v>36</v>
      </c>
      <c r="C80" s="114" t="s">
        <v>293</v>
      </c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  <c r="AA80" s="115"/>
      <c r="AB80" s="115"/>
      <c r="AC80" s="115"/>
      <c r="AD80" s="115"/>
      <c r="AE80" s="115"/>
      <c r="AF80" s="115"/>
      <c r="AG80" s="115"/>
      <c r="AH80" s="115"/>
      <c r="AI80" s="115"/>
      <c r="AJ80" s="115"/>
      <c r="AK80" s="115"/>
      <c r="AL80" s="115"/>
      <c r="AM80" s="115"/>
      <c r="AN80" s="115"/>
      <c r="AO80" s="115"/>
      <c r="AP80" s="115"/>
      <c r="AQ80" s="115"/>
      <c r="AR80" s="115"/>
      <c r="AS80" s="115"/>
      <c r="AT80" s="115"/>
      <c r="AU80" s="115"/>
      <c r="AV80" s="115"/>
      <c r="AW80" s="115"/>
      <c r="AX80" s="115"/>
      <c r="AY80" s="115"/>
    </row>
    <row r="81" spans="1:52" x14ac:dyDescent="0.2">
      <c r="A81" s="114"/>
      <c r="B81" s="135">
        <v>37</v>
      </c>
      <c r="C81" s="114" t="s">
        <v>293</v>
      </c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  <c r="AH81" s="115"/>
      <c r="AI81" s="115"/>
      <c r="AJ81" s="115"/>
      <c r="AK81" s="115"/>
      <c r="AL81" s="115"/>
      <c r="AM81" s="115"/>
      <c r="AN81" s="115"/>
      <c r="AO81" s="115"/>
      <c r="AP81" s="115"/>
      <c r="AQ81" s="115"/>
      <c r="AR81" s="115"/>
      <c r="AS81" s="115"/>
      <c r="AT81" s="115"/>
      <c r="AU81" s="115"/>
      <c r="AV81" s="115"/>
      <c r="AW81" s="115"/>
      <c r="AX81" s="115"/>
      <c r="AY81" s="115"/>
    </row>
    <row r="82" spans="1:52" x14ac:dyDescent="0.2">
      <c r="A82" s="114"/>
      <c r="B82" s="135">
        <v>38</v>
      </c>
      <c r="C82" s="114" t="s">
        <v>293</v>
      </c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  <c r="AA82" s="115"/>
      <c r="AB82" s="115"/>
      <c r="AC82" s="115"/>
      <c r="AD82" s="115"/>
      <c r="AE82" s="115"/>
      <c r="AF82" s="115"/>
      <c r="AG82" s="115"/>
      <c r="AH82" s="115"/>
      <c r="AI82" s="115"/>
      <c r="AJ82" s="115"/>
      <c r="AK82" s="115"/>
      <c r="AL82" s="115"/>
      <c r="AM82" s="115"/>
      <c r="AN82" s="115"/>
      <c r="AO82" s="115"/>
      <c r="AP82" s="115"/>
      <c r="AQ82" s="115"/>
      <c r="AR82" s="115"/>
      <c r="AS82" s="115"/>
      <c r="AT82" s="115"/>
      <c r="AU82" s="115"/>
      <c r="AV82" s="115"/>
      <c r="AW82" s="115"/>
      <c r="AX82" s="115"/>
      <c r="AY82" s="115"/>
    </row>
    <row r="83" spans="1:52" x14ac:dyDescent="0.2">
      <c r="A83" s="114"/>
      <c r="B83" s="135">
        <v>39</v>
      </c>
      <c r="C83" s="114" t="s">
        <v>293</v>
      </c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  <c r="AA83" s="115"/>
      <c r="AB83" s="115"/>
      <c r="AC83" s="115"/>
      <c r="AD83" s="115"/>
      <c r="AE83" s="115"/>
      <c r="AF83" s="115"/>
      <c r="AG83" s="115"/>
      <c r="AH83" s="115"/>
      <c r="AI83" s="115"/>
      <c r="AJ83" s="115"/>
      <c r="AK83" s="115"/>
      <c r="AL83" s="115"/>
      <c r="AM83" s="115"/>
      <c r="AN83" s="115"/>
      <c r="AO83" s="115"/>
      <c r="AP83" s="115"/>
      <c r="AQ83" s="115"/>
      <c r="AR83" s="115"/>
      <c r="AS83" s="115"/>
      <c r="AT83" s="115"/>
      <c r="AU83" s="115"/>
      <c r="AV83" s="115"/>
      <c r="AW83" s="115"/>
      <c r="AX83" s="115"/>
      <c r="AY83" s="115"/>
    </row>
    <row r="84" spans="1:52" x14ac:dyDescent="0.2">
      <c r="A84" s="114"/>
      <c r="B84" s="135">
        <v>40</v>
      </c>
      <c r="C84" s="114" t="s">
        <v>293</v>
      </c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  <c r="AA84" s="115"/>
      <c r="AB84" s="115"/>
      <c r="AC84" s="115"/>
      <c r="AD84" s="115"/>
      <c r="AE84" s="115"/>
      <c r="AF84" s="115"/>
      <c r="AG84" s="115"/>
      <c r="AH84" s="115"/>
      <c r="AI84" s="115"/>
      <c r="AJ84" s="115"/>
      <c r="AK84" s="115"/>
      <c r="AL84" s="115"/>
      <c r="AM84" s="115"/>
      <c r="AN84" s="115"/>
      <c r="AO84" s="115"/>
      <c r="AP84" s="115"/>
      <c r="AQ84" s="115"/>
      <c r="AR84" s="115"/>
      <c r="AS84" s="115"/>
      <c r="AT84" s="115"/>
      <c r="AU84" s="115"/>
      <c r="AV84" s="115"/>
      <c r="AW84" s="115"/>
      <c r="AX84" s="115"/>
      <c r="AY84" s="115"/>
    </row>
    <row r="85" spans="1:52" x14ac:dyDescent="0.2">
      <c r="A85" s="114"/>
      <c r="B85" s="135">
        <v>41</v>
      </c>
      <c r="C85" s="114" t="s">
        <v>293</v>
      </c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  <c r="AA85" s="115"/>
      <c r="AB85" s="115"/>
      <c r="AC85" s="115"/>
      <c r="AD85" s="115"/>
      <c r="AE85" s="115"/>
      <c r="AF85" s="115"/>
      <c r="AG85" s="115"/>
      <c r="AH85" s="115"/>
      <c r="AI85" s="115"/>
      <c r="AJ85" s="115"/>
      <c r="AK85" s="115"/>
      <c r="AL85" s="115"/>
      <c r="AM85" s="115"/>
      <c r="AN85" s="115"/>
      <c r="AO85" s="115"/>
      <c r="AP85" s="115"/>
      <c r="AQ85" s="115"/>
      <c r="AR85" s="115"/>
      <c r="AS85" s="115"/>
      <c r="AT85" s="115"/>
      <c r="AU85" s="115"/>
      <c r="AV85" s="115"/>
      <c r="AW85" s="115"/>
      <c r="AX85" s="115"/>
      <c r="AY85" s="115"/>
    </row>
    <row r="86" spans="1:52" x14ac:dyDescent="0.2">
      <c r="A86" s="114"/>
      <c r="B86" s="135">
        <v>42</v>
      </c>
      <c r="C86" s="114" t="s">
        <v>293</v>
      </c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  <c r="AA86" s="115"/>
      <c r="AB86" s="115"/>
      <c r="AC86" s="115"/>
      <c r="AD86" s="115"/>
      <c r="AE86" s="115"/>
      <c r="AF86" s="115"/>
      <c r="AG86" s="115"/>
      <c r="AH86" s="115"/>
      <c r="AI86" s="115"/>
      <c r="AJ86" s="115"/>
      <c r="AK86" s="115"/>
      <c r="AL86" s="115"/>
      <c r="AM86" s="115"/>
      <c r="AN86" s="115"/>
      <c r="AO86" s="115"/>
      <c r="AP86" s="115"/>
      <c r="AQ86" s="115"/>
      <c r="AR86" s="115"/>
      <c r="AS86" s="115"/>
      <c r="AT86" s="115"/>
      <c r="AU86" s="115"/>
      <c r="AV86" s="115"/>
      <c r="AW86" s="115"/>
      <c r="AX86" s="115"/>
      <c r="AY86" s="115"/>
    </row>
    <row r="87" spans="1:52" x14ac:dyDescent="0.2">
      <c r="A87" s="114"/>
      <c r="B87" s="135">
        <v>43</v>
      </c>
      <c r="C87" s="114" t="s">
        <v>293</v>
      </c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  <c r="AA87" s="115"/>
      <c r="AB87" s="115"/>
      <c r="AC87" s="115"/>
      <c r="AD87" s="115"/>
      <c r="AE87" s="115"/>
      <c r="AF87" s="115"/>
      <c r="AG87" s="115"/>
      <c r="AH87" s="115"/>
      <c r="AI87" s="115"/>
      <c r="AJ87" s="115"/>
      <c r="AK87" s="115"/>
      <c r="AL87" s="115"/>
      <c r="AM87" s="115"/>
      <c r="AN87" s="115"/>
      <c r="AO87" s="115"/>
      <c r="AP87" s="115"/>
      <c r="AQ87" s="115"/>
      <c r="AR87" s="115"/>
      <c r="AS87" s="115"/>
      <c r="AT87" s="115"/>
      <c r="AU87" s="115"/>
      <c r="AV87" s="115"/>
      <c r="AW87" s="115"/>
      <c r="AX87" s="115"/>
      <c r="AY87" s="115"/>
    </row>
    <row r="88" spans="1:52" x14ac:dyDescent="0.2">
      <c r="A88" s="114"/>
      <c r="B88" s="135">
        <v>44</v>
      </c>
      <c r="C88" s="114" t="s">
        <v>293</v>
      </c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  <c r="AA88" s="115"/>
      <c r="AB88" s="115"/>
      <c r="AC88" s="115"/>
      <c r="AD88" s="115"/>
      <c r="AE88" s="115"/>
      <c r="AF88" s="115"/>
      <c r="AG88" s="115"/>
      <c r="AH88" s="115"/>
      <c r="AI88" s="115"/>
      <c r="AJ88" s="115"/>
      <c r="AK88" s="115"/>
      <c r="AL88" s="115"/>
      <c r="AM88" s="115"/>
      <c r="AN88" s="115"/>
      <c r="AO88" s="115"/>
      <c r="AP88" s="115"/>
      <c r="AQ88" s="115"/>
      <c r="AR88" s="115"/>
      <c r="AS88" s="115"/>
      <c r="AT88" s="115"/>
      <c r="AU88" s="115"/>
      <c r="AV88" s="115"/>
      <c r="AW88" s="115"/>
      <c r="AX88" s="115"/>
      <c r="AY88" s="115"/>
    </row>
    <row r="89" spans="1:52" x14ac:dyDescent="0.2">
      <c r="A89" s="114"/>
      <c r="B89" s="135">
        <v>45</v>
      </c>
      <c r="C89" s="114" t="s">
        <v>293</v>
      </c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  <c r="AA89" s="115"/>
      <c r="AB89" s="115"/>
      <c r="AC89" s="115"/>
      <c r="AD89" s="115"/>
      <c r="AE89" s="115"/>
      <c r="AF89" s="115"/>
      <c r="AG89" s="115"/>
      <c r="AH89" s="115"/>
      <c r="AI89" s="115"/>
      <c r="AJ89" s="115"/>
      <c r="AK89" s="115"/>
      <c r="AL89" s="115"/>
      <c r="AM89" s="115"/>
      <c r="AN89" s="115"/>
      <c r="AO89" s="115"/>
      <c r="AP89" s="115"/>
      <c r="AQ89" s="115"/>
      <c r="AR89" s="115"/>
      <c r="AS89" s="115"/>
      <c r="AT89" s="115"/>
      <c r="AU89" s="115"/>
      <c r="AV89" s="115"/>
      <c r="AW89" s="115"/>
      <c r="AX89" s="115"/>
      <c r="AY89" s="115"/>
    </row>
    <row r="90" spans="1:52" x14ac:dyDescent="0.2">
      <c r="A90" s="114"/>
      <c r="B90" s="135">
        <v>46</v>
      </c>
      <c r="C90" s="114" t="s">
        <v>293</v>
      </c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  <c r="AA90" s="115"/>
      <c r="AB90" s="115"/>
      <c r="AC90" s="115"/>
      <c r="AD90" s="115"/>
      <c r="AE90" s="115"/>
      <c r="AF90" s="115"/>
      <c r="AG90" s="115"/>
      <c r="AH90" s="115"/>
      <c r="AI90" s="115"/>
      <c r="AJ90" s="115"/>
      <c r="AK90" s="115"/>
      <c r="AL90" s="115"/>
      <c r="AM90" s="115"/>
      <c r="AN90" s="115"/>
      <c r="AO90" s="115"/>
      <c r="AP90" s="115"/>
      <c r="AQ90" s="115"/>
      <c r="AR90" s="115"/>
      <c r="AS90" s="115"/>
      <c r="AT90" s="115"/>
      <c r="AU90" s="115"/>
      <c r="AV90" s="115"/>
      <c r="AW90" s="115"/>
      <c r="AX90" s="115"/>
      <c r="AY90" s="115"/>
    </row>
    <row r="91" spans="1:52" x14ac:dyDescent="0.2">
      <c r="A91" s="114"/>
      <c r="B91" s="135">
        <v>47</v>
      </c>
      <c r="C91" s="114" t="s">
        <v>293</v>
      </c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  <c r="AA91" s="115"/>
      <c r="AB91" s="115"/>
      <c r="AC91" s="115"/>
      <c r="AD91" s="115"/>
      <c r="AE91" s="115"/>
      <c r="AF91" s="115"/>
      <c r="AG91" s="115"/>
      <c r="AH91" s="115"/>
      <c r="AI91" s="115"/>
      <c r="AJ91" s="115"/>
      <c r="AK91" s="115"/>
      <c r="AL91" s="115"/>
      <c r="AM91" s="115"/>
      <c r="AN91" s="115"/>
      <c r="AO91" s="115"/>
      <c r="AP91" s="115"/>
      <c r="AQ91" s="115"/>
      <c r="AR91" s="115"/>
      <c r="AS91" s="115"/>
      <c r="AT91" s="115"/>
      <c r="AU91" s="115"/>
      <c r="AV91" s="115"/>
      <c r="AW91" s="115"/>
      <c r="AX91" s="115"/>
      <c r="AY91" s="115"/>
    </row>
    <row r="92" spans="1:52" x14ac:dyDescent="0.2">
      <c r="A92" s="133"/>
      <c r="B92" s="134">
        <v>48</v>
      </c>
      <c r="C92" s="133" t="s">
        <v>293</v>
      </c>
      <c r="D92" s="130">
        <v>0</v>
      </c>
      <c r="E92" s="130">
        <v>0</v>
      </c>
      <c r="F92" s="130">
        <v>0</v>
      </c>
      <c r="G92" s="130">
        <v>0</v>
      </c>
      <c r="H92" s="130">
        <v>0</v>
      </c>
      <c r="I92" s="130">
        <v>0</v>
      </c>
      <c r="J92" s="130">
        <v>0</v>
      </c>
      <c r="K92" s="130">
        <v>0</v>
      </c>
      <c r="L92" s="130">
        <v>0</v>
      </c>
      <c r="M92" s="130">
        <v>0</v>
      </c>
      <c r="N92" s="130">
        <v>0</v>
      </c>
      <c r="O92" s="130">
        <v>0</v>
      </c>
      <c r="P92" s="130">
        <v>0</v>
      </c>
      <c r="Q92" s="130">
        <v>0</v>
      </c>
      <c r="R92" s="130">
        <v>0</v>
      </c>
      <c r="S92" s="130">
        <v>0</v>
      </c>
      <c r="T92" s="130">
        <v>0</v>
      </c>
      <c r="U92" s="130">
        <v>0</v>
      </c>
      <c r="V92" s="130">
        <v>0</v>
      </c>
      <c r="W92" s="130">
        <v>0</v>
      </c>
      <c r="X92" s="130">
        <v>0</v>
      </c>
      <c r="Y92" s="130">
        <v>0</v>
      </c>
      <c r="Z92" s="130">
        <v>0</v>
      </c>
      <c r="AA92" s="130">
        <v>0</v>
      </c>
      <c r="AB92" s="130">
        <v>0</v>
      </c>
      <c r="AC92" s="130">
        <v>0</v>
      </c>
      <c r="AD92" s="130">
        <v>0</v>
      </c>
      <c r="AE92" s="130">
        <v>0</v>
      </c>
      <c r="AF92" s="130">
        <v>0</v>
      </c>
      <c r="AG92" s="130">
        <v>0</v>
      </c>
      <c r="AH92" s="130">
        <v>0</v>
      </c>
      <c r="AI92" s="130">
        <v>0</v>
      </c>
      <c r="AJ92" s="130">
        <v>0</v>
      </c>
      <c r="AK92" s="130">
        <v>0</v>
      </c>
      <c r="AL92" s="130">
        <v>0</v>
      </c>
      <c r="AM92" s="130">
        <v>0</v>
      </c>
      <c r="AN92" s="130">
        <v>0</v>
      </c>
      <c r="AO92" s="130">
        <v>0</v>
      </c>
      <c r="AP92" s="130">
        <v>0</v>
      </c>
      <c r="AQ92" s="130">
        <v>0</v>
      </c>
      <c r="AR92" s="130">
        <v>0</v>
      </c>
      <c r="AS92" s="130">
        <v>0</v>
      </c>
      <c r="AT92" s="130">
        <v>0</v>
      </c>
      <c r="AU92" s="130">
        <v>0</v>
      </c>
      <c r="AV92" s="130">
        <v>0</v>
      </c>
      <c r="AW92" s="130">
        <v>0</v>
      </c>
      <c r="AX92" s="130">
        <v>0</v>
      </c>
      <c r="AY92" s="130">
        <v>0</v>
      </c>
      <c r="AZ92" s="112">
        <f>SUM(D21:AY92)</f>
        <v>0</v>
      </c>
    </row>
    <row r="94" spans="1:52" x14ac:dyDescent="0.2">
      <c r="A94" s="107" t="s">
        <v>295</v>
      </c>
      <c r="B94" s="111"/>
      <c r="C94" s="111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  <c r="AA94" s="119"/>
      <c r="AB94" s="119"/>
      <c r="AC94" s="119"/>
      <c r="AD94" s="119"/>
      <c r="AE94" s="119"/>
      <c r="AF94" s="119"/>
      <c r="AG94" s="119"/>
      <c r="AH94" s="119"/>
      <c r="AI94" s="119"/>
      <c r="AJ94" s="119"/>
      <c r="AK94" s="119"/>
      <c r="AL94" s="119"/>
      <c r="AM94" s="119"/>
      <c r="AN94" s="119"/>
      <c r="AO94" s="119"/>
      <c r="AP94" s="119"/>
      <c r="AQ94" s="119"/>
      <c r="AR94" s="119"/>
      <c r="AS94" s="119"/>
      <c r="AT94" s="119"/>
      <c r="AU94" s="119"/>
      <c r="AV94" s="119"/>
      <c r="AW94" s="119"/>
      <c r="AX94" s="119"/>
      <c r="AY94" s="119"/>
    </row>
    <row r="95" spans="1:52" x14ac:dyDescent="0.2">
      <c r="A95" s="131" t="s">
        <v>125</v>
      </c>
      <c r="B95" s="128">
        <v>1</v>
      </c>
      <c r="C95" s="129">
        <v>252.98302175887409</v>
      </c>
      <c r="D95" s="115">
        <v>0</v>
      </c>
      <c r="E95" s="115">
        <v>0</v>
      </c>
      <c r="F95" s="115">
        <v>0</v>
      </c>
      <c r="G95" s="115">
        <v>0</v>
      </c>
      <c r="H95" s="115">
        <v>225.43810185246105</v>
      </c>
      <c r="I95" s="115">
        <v>225.43810185246105</v>
      </c>
      <c r="J95" s="115">
        <v>225.43810185246105</v>
      </c>
      <c r="K95" s="115">
        <v>225.43810185246105</v>
      </c>
      <c r="L95" s="115">
        <v>225.43810185246105</v>
      </c>
      <c r="M95" s="115">
        <v>225.43810185246105</v>
      </c>
      <c r="N95" s="115">
        <v>225.43810185246105</v>
      </c>
      <c r="O95" s="115">
        <v>225.43810185246105</v>
      </c>
      <c r="P95" s="115">
        <v>225.43810185246105</v>
      </c>
      <c r="Q95" s="115">
        <v>225.43810185246105</v>
      </c>
      <c r="R95" s="115">
        <v>225.43810185246105</v>
      </c>
      <c r="S95" s="115">
        <v>225.43810185246105</v>
      </c>
      <c r="T95" s="115">
        <v>225.43810185246105</v>
      </c>
      <c r="U95" s="115">
        <v>225.43810185246105</v>
      </c>
      <c r="V95" s="115">
        <v>225.43810185246105</v>
      </c>
      <c r="W95" s="115">
        <v>225.43810185246105</v>
      </c>
      <c r="X95" s="115">
        <v>225.43810185246105</v>
      </c>
      <c r="Y95" s="115">
        <v>225.43810185246105</v>
      </c>
      <c r="Z95" s="115">
        <v>225.43810185246105</v>
      </c>
      <c r="AA95" s="115">
        <v>225.43810185246105</v>
      </c>
      <c r="AB95" s="115">
        <v>225.43810185246105</v>
      </c>
      <c r="AC95" s="115">
        <v>225.43810185246105</v>
      </c>
      <c r="AD95" s="115">
        <v>225.43810185246105</v>
      </c>
      <c r="AE95" s="115">
        <v>225.43810185246105</v>
      </c>
      <c r="AF95" s="115">
        <v>225.43810185246105</v>
      </c>
      <c r="AG95" s="115">
        <v>225.43810185246105</v>
      </c>
      <c r="AH95" s="115">
        <v>225.43810185246105</v>
      </c>
      <c r="AI95" s="115">
        <v>225.43810185246105</v>
      </c>
      <c r="AJ95" s="115">
        <v>225.43810185246105</v>
      </c>
      <c r="AK95" s="115">
        <v>225.43810185246105</v>
      </c>
      <c r="AL95" s="115">
        <v>225.43810185246105</v>
      </c>
      <c r="AM95" s="115">
        <v>225.43810185246105</v>
      </c>
      <c r="AN95" s="115">
        <v>225.43810185246105</v>
      </c>
      <c r="AO95" s="115">
        <v>225.43810185246105</v>
      </c>
      <c r="AP95" s="115">
        <v>225.43810185246105</v>
      </c>
      <c r="AQ95" s="115">
        <v>225.43810185246105</v>
      </c>
      <c r="AR95" s="115">
        <v>225.43810185246105</v>
      </c>
      <c r="AS95" s="115">
        <v>225.43810185246105</v>
      </c>
      <c r="AT95" s="115">
        <v>225.43810185246105</v>
      </c>
      <c r="AU95" s="115">
        <v>225.43810185246105</v>
      </c>
      <c r="AV95" s="115">
        <v>225.43810185246105</v>
      </c>
      <c r="AW95" s="115">
        <v>225.43810185246105</v>
      </c>
      <c r="AX95" s="115">
        <v>225.43810185246105</v>
      </c>
      <c r="AY95" s="115">
        <v>225.43810185246105</v>
      </c>
    </row>
    <row r="96" spans="1:52" x14ac:dyDescent="0.2">
      <c r="A96" s="114"/>
      <c r="B96" s="125">
        <v>2</v>
      </c>
      <c r="C96" s="115">
        <v>0</v>
      </c>
      <c r="D96" s="115">
        <v>0</v>
      </c>
      <c r="E96" s="115">
        <v>0</v>
      </c>
      <c r="F96" s="115">
        <v>0</v>
      </c>
      <c r="G96" s="115">
        <v>0</v>
      </c>
      <c r="H96" s="115">
        <v>0</v>
      </c>
      <c r="I96" s="115">
        <v>0</v>
      </c>
      <c r="J96" s="115">
        <v>0</v>
      </c>
      <c r="K96" s="115">
        <v>0</v>
      </c>
      <c r="L96" s="115">
        <v>23.438101852461045</v>
      </c>
      <c r="M96" s="115">
        <v>0</v>
      </c>
      <c r="N96" s="115">
        <v>0</v>
      </c>
      <c r="O96" s="115">
        <v>0</v>
      </c>
      <c r="P96" s="115">
        <v>0</v>
      </c>
      <c r="Q96" s="115">
        <v>5.4381018524610454</v>
      </c>
      <c r="R96" s="115">
        <v>27.876203704922091</v>
      </c>
      <c r="S96" s="115">
        <v>31.314305557383136</v>
      </c>
      <c r="T96" s="115">
        <v>54.752407409844182</v>
      </c>
      <c r="U96" s="115">
        <v>0</v>
      </c>
      <c r="V96" s="115">
        <v>0</v>
      </c>
      <c r="W96" s="115">
        <v>0</v>
      </c>
      <c r="X96" s="115">
        <v>0</v>
      </c>
      <c r="Y96" s="115">
        <v>0</v>
      </c>
      <c r="Z96" s="115">
        <v>0</v>
      </c>
      <c r="AA96" s="115">
        <v>0</v>
      </c>
      <c r="AB96" s="115">
        <v>0</v>
      </c>
      <c r="AC96" s="115">
        <v>25.438101852461045</v>
      </c>
      <c r="AD96" s="115">
        <v>0</v>
      </c>
      <c r="AE96" s="115">
        <v>0</v>
      </c>
      <c r="AF96" s="115">
        <v>0.43810185246104538</v>
      </c>
      <c r="AG96" s="115">
        <v>0</v>
      </c>
      <c r="AH96" s="115">
        <v>10.438101852461045</v>
      </c>
      <c r="AI96" s="115">
        <v>0</v>
      </c>
      <c r="AJ96" s="115">
        <v>0</v>
      </c>
      <c r="AK96" s="115">
        <v>0</v>
      </c>
      <c r="AL96" s="115">
        <v>0</v>
      </c>
      <c r="AM96" s="115">
        <v>0</v>
      </c>
      <c r="AN96" s="115">
        <v>0</v>
      </c>
      <c r="AO96" s="115">
        <v>21.438101852461045</v>
      </c>
      <c r="AP96" s="115">
        <v>0</v>
      </c>
      <c r="AQ96" s="115">
        <v>0</v>
      </c>
      <c r="AR96" s="115">
        <v>0</v>
      </c>
      <c r="AS96" s="115">
        <v>0</v>
      </c>
      <c r="AT96" s="115">
        <v>0</v>
      </c>
      <c r="AU96" s="115">
        <v>0</v>
      </c>
      <c r="AV96" s="115">
        <v>0</v>
      </c>
      <c r="AW96" s="115">
        <v>6.4381018524610454</v>
      </c>
      <c r="AX96" s="115">
        <v>0</v>
      </c>
      <c r="AY96" s="115">
        <v>0</v>
      </c>
    </row>
    <row r="97" spans="1:52" x14ac:dyDescent="0.2">
      <c r="A97" s="114"/>
      <c r="B97" s="132">
        <v>3</v>
      </c>
      <c r="C97" s="115">
        <v>0</v>
      </c>
      <c r="D97" s="115">
        <v>0</v>
      </c>
      <c r="E97" s="115">
        <v>0</v>
      </c>
      <c r="F97" s="115">
        <v>0</v>
      </c>
      <c r="G97" s="115">
        <v>0</v>
      </c>
      <c r="H97" s="115">
        <v>0</v>
      </c>
      <c r="I97" s="115">
        <v>0</v>
      </c>
      <c r="J97" s="115">
        <v>0</v>
      </c>
      <c r="K97" s="115">
        <v>0</v>
      </c>
      <c r="L97" s="115">
        <v>0</v>
      </c>
      <c r="M97" s="115">
        <v>0</v>
      </c>
      <c r="N97" s="115">
        <v>0</v>
      </c>
      <c r="O97" s="115">
        <v>0</v>
      </c>
      <c r="P97" s="115">
        <v>0</v>
      </c>
      <c r="Q97" s="115">
        <v>0</v>
      </c>
      <c r="R97" s="115">
        <v>0</v>
      </c>
      <c r="S97" s="115">
        <v>0</v>
      </c>
      <c r="T97" s="115">
        <v>0</v>
      </c>
      <c r="U97" s="115">
        <v>0</v>
      </c>
      <c r="V97" s="115">
        <v>0</v>
      </c>
      <c r="W97" s="115">
        <v>0</v>
      </c>
      <c r="X97" s="115">
        <v>0</v>
      </c>
      <c r="Y97" s="115">
        <v>0</v>
      </c>
      <c r="Z97" s="115">
        <v>0</v>
      </c>
      <c r="AA97" s="115">
        <v>0</v>
      </c>
      <c r="AB97" s="115">
        <v>0</v>
      </c>
      <c r="AC97" s="115">
        <v>0</v>
      </c>
      <c r="AD97" s="115">
        <v>0</v>
      </c>
      <c r="AE97" s="115">
        <v>0</v>
      </c>
      <c r="AF97" s="115">
        <v>0</v>
      </c>
      <c r="AG97" s="115">
        <v>0</v>
      </c>
      <c r="AH97" s="115">
        <v>0</v>
      </c>
      <c r="AI97" s="115">
        <v>0</v>
      </c>
      <c r="AJ97" s="115">
        <v>0</v>
      </c>
      <c r="AK97" s="115">
        <v>0</v>
      </c>
      <c r="AL97" s="115">
        <v>0</v>
      </c>
      <c r="AM97" s="115">
        <v>0</v>
      </c>
      <c r="AN97" s="115">
        <v>0</v>
      </c>
      <c r="AO97" s="115">
        <v>0</v>
      </c>
      <c r="AP97" s="115">
        <v>0</v>
      </c>
      <c r="AQ97" s="115">
        <v>0</v>
      </c>
      <c r="AR97" s="115">
        <v>0</v>
      </c>
      <c r="AS97" s="115">
        <v>0</v>
      </c>
      <c r="AT97" s="115">
        <v>0</v>
      </c>
      <c r="AU97" s="115">
        <v>0</v>
      </c>
      <c r="AV97" s="115">
        <v>0</v>
      </c>
      <c r="AW97" s="115">
        <v>0</v>
      </c>
      <c r="AX97" s="115">
        <v>0</v>
      </c>
      <c r="AY97" s="115">
        <v>0</v>
      </c>
    </row>
    <row r="98" spans="1:52" x14ac:dyDescent="0.2">
      <c r="A98" s="114"/>
      <c r="B98" s="135">
        <v>4</v>
      </c>
      <c r="C98" s="111">
        <v>0</v>
      </c>
      <c r="D98" s="115">
        <v>0</v>
      </c>
      <c r="E98" s="115">
        <v>0</v>
      </c>
      <c r="F98" s="115">
        <v>0</v>
      </c>
      <c r="G98" s="115">
        <v>0</v>
      </c>
      <c r="H98" s="115">
        <v>0</v>
      </c>
      <c r="I98" s="115">
        <v>0</v>
      </c>
      <c r="J98" s="115">
        <v>0</v>
      </c>
      <c r="K98" s="115">
        <v>0</v>
      </c>
      <c r="L98" s="115">
        <v>0</v>
      </c>
      <c r="M98" s="115">
        <v>0</v>
      </c>
      <c r="N98" s="115">
        <v>0</v>
      </c>
      <c r="O98" s="115">
        <v>0</v>
      </c>
      <c r="P98" s="115">
        <v>0</v>
      </c>
      <c r="Q98" s="115">
        <v>0</v>
      </c>
      <c r="R98" s="115">
        <v>0</v>
      </c>
      <c r="S98" s="115">
        <v>0</v>
      </c>
      <c r="T98" s="115">
        <v>0</v>
      </c>
      <c r="U98" s="115">
        <v>0</v>
      </c>
      <c r="V98" s="115">
        <v>0</v>
      </c>
      <c r="W98" s="115">
        <v>0</v>
      </c>
      <c r="X98" s="115">
        <v>0</v>
      </c>
      <c r="Y98" s="115">
        <v>0</v>
      </c>
      <c r="Z98" s="115">
        <v>0</v>
      </c>
      <c r="AA98" s="115">
        <v>0</v>
      </c>
      <c r="AB98" s="115">
        <v>0</v>
      </c>
      <c r="AC98" s="115">
        <v>0</v>
      </c>
      <c r="AD98" s="115">
        <v>0</v>
      </c>
      <c r="AE98" s="115">
        <v>0</v>
      </c>
      <c r="AF98" s="115">
        <v>0</v>
      </c>
      <c r="AG98" s="115">
        <v>0</v>
      </c>
      <c r="AH98" s="115">
        <v>0</v>
      </c>
      <c r="AI98" s="115">
        <v>0</v>
      </c>
      <c r="AJ98" s="115">
        <v>0</v>
      </c>
      <c r="AK98" s="115">
        <v>0</v>
      </c>
      <c r="AL98" s="115">
        <v>0</v>
      </c>
      <c r="AM98" s="115">
        <v>0</v>
      </c>
      <c r="AN98" s="115">
        <v>0</v>
      </c>
      <c r="AO98" s="115">
        <v>0</v>
      </c>
      <c r="AP98" s="115">
        <v>0</v>
      </c>
      <c r="AQ98" s="115">
        <v>0</v>
      </c>
      <c r="AR98" s="115">
        <v>0</v>
      </c>
      <c r="AS98" s="115">
        <v>0</v>
      </c>
      <c r="AT98" s="115">
        <v>0</v>
      </c>
      <c r="AU98" s="115">
        <v>0</v>
      </c>
      <c r="AV98" s="115">
        <v>0</v>
      </c>
      <c r="AW98" s="115">
        <v>0</v>
      </c>
      <c r="AX98" s="115">
        <v>0</v>
      </c>
      <c r="AY98" s="115">
        <v>0</v>
      </c>
    </row>
    <row r="99" spans="1:52" x14ac:dyDescent="0.2">
      <c r="A99" s="133"/>
      <c r="B99" s="137" t="s">
        <v>296</v>
      </c>
      <c r="C99" s="130">
        <v>0</v>
      </c>
      <c r="D99" s="130">
        <v>0</v>
      </c>
      <c r="E99" s="130">
        <v>0</v>
      </c>
      <c r="F99" s="130">
        <v>0</v>
      </c>
      <c r="G99" s="130">
        <v>0</v>
      </c>
      <c r="H99" s="130">
        <v>0</v>
      </c>
      <c r="I99" s="130">
        <v>0</v>
      </c>
      <c r="J99" s="130">
        <v>0</v>
      </c>
      <c r="K99" s="130">
        <v>0</v>
      </c>
      <c r="L99" s="130">
        <v>0</v>
      </c>
      <c r="M99" s="130">
        <v>0</v>
      </c>
      <c r="N99" s="130">
        <v>0</v>
      </c>
      <c r="O99" s="130">
        <v>0</v>
      </c>
      <c r="P99" s="130">
        <v>0</v>
      </c>
      <c r="Q99" s="130">
        <v>0</v>
      </c>
      <c r="R99" s="130">
        <v>0</v>
      </c>
      <c r="S99" s="130">
        <v>0</v>
      </c>
      <c r="T99" s="130">
        <v>0</v>
      </c>
      <c r="U99" s="130">
        <v>0</v>
      </c>
      <c r="V99" s="130">
        <v>0</v>
      </c>
      <c r="W99" s="130">
        <v>0</v>
      </c>
      <c r="X99" s="130">
        <v>0</v>
      </c>
      <c r="Y99" s="130">
        <v>0</v>
      </c>
      <c r="Z99" s="130">
        <v>0</v>
      </c>
      <c r="AA99" s="130">
        <v>0</v>
      </c>
      <c r="AB99" s="130">
        <v>0</v>
      </c>
      <c r="AC99" s="130">
        <v>0</v>
      </c>
      <c r="AD99" s="130">
        <v>0</v>
      </c>
      <c r="AE99" s="130">
        <v>0</v>
      </c>
      <c r="AF99" s="130">
        <v>0</v>
      </c>
      <c r="AG99" s="130">
        <v>0</v>
      </c>
      <c r="AH99" s="130">
        <v>0</v>
      </c>
      <c r="AI99" s="130">
        <v>0</v>
      </c>
      <c r="AJ99" s="130">
        <v>0</v>
      </c>
      <c r="AK99" s="130">
        <v>0</v>
      </c>
      <c r="AL99" s="130">
        <v>0</v>
      </c>
      <c r="AM99" s="130">
        <v>0</v>
      </c>
      <c r="AN99" s="130">
        <v>0</v>
      </c>
      <c r="AO99" s="130">
        <v>0</v>
      </c>
      <c r="AP99" s="130">
        <v>0</v>
      </c>
      <c r="AQ99" s="130">
        <v>0</v>
      </c>
      <c r="AR99" s="130">
        <v>0</v>
      </c>
      <c r="AS99" s="130">
        <v>0</v>
      </c>
      <c r="AT99" s="130">
        <v>0</v>
      </c>
      <c r="AU99" s="130">
        <v>0</v>
      </c>
      <c r="AV99" s="130">
        <v>0</v>
      </c>
      <c r="AW99" s="130">
        <v>0</v>
      </c>
      <c r="AX99" s="130">
        <v>0</v>
      </c>
      <c r="AY99" s="130">
        <v>0</v>
      </c>
      <c r="AZ99" s="112">
        <f>SUM($D99:$AY99)</f>
        <v>0</v>
      </c>
    </row>
    <row r="100" spans="1:52" x14ac:dyDescent="0.2">
      <c r="A100" s="136" t="s">
        <v>133</v>
      </c>
      <c r="B100" s="124">
        <v>1</v>
      </c>
      <c r="C100" s="111">
        <v>119.06044900021661</v>
      </c>
      <c r="D100" s="111">
        <v>119.06044900021661</v>
      </c>
      <c r="E100" s="111">
        <v>108.66519294035371</v>
      </c>
      <c r="F100" s="111">
        <v>0</v>
      </c>
      <c r="G100" s="111">
        <v>0</v>
      </c>
      <c r="H100" s="111">
        <v>0</v>
      </c>
      <c r="I100" s="111">
        <v>0</v>
      </c>
      <c r="J100" s="111">
        <v>56.526273309148237</v>
      </c>
      <c r="K100" s="111">
        <v>56.526273309148237</v>
      </c>
      <c r="L100" s="111">
        <v>56.526273309148237</v>
      </c>
      <c r="M100" s="111">
        <v>56.526273309148237</v>
      </c>
      <c r="N100" s="111">
        <v>56.526273309148237</v>
      </c>
      <c r="O100" s="111">
        <v>56.526273309148237</v>
      </c>
      <c r="P100" s="111">
        <v>56.526273309148237</v>
      </c>
      <c r="Q100" s="111">
        <v>56.526273309148237</v>
      </c>
      <c r="R100" s="111">
        <v>56.526273309148237</v>
      </c>
      <c r="S100" s="111">
        <v>56.526273309148237</v>
      </c>
      <c r="T100" s="111">
        <v>56.526273309148237</v>
      </c>
      <c r="U100" s="111">
        <v>0</v>
      </c>
      <c r="V100" s="111">
        <v>113.05254661829646</v>
      </c>
      <c r="W100" s="111">
        <v>56.526273309148237</v>
      </c>
      <c r="X100" s="111">
        <v>56.526273309148237</v>
      </c>
      <c r="Y100" s="111">
        <v>56.526273309148237</v>
      </c>
      <c r="Z100" s="111">
        <v>56.526273309148237</v>
      </c>
      <c r="AA100" s="111">
        <v>56.526273309148237</v>
      </c>
      <c r="AB100" s="111">
        <v>56.526273309148237</v>
      </c>
      <c r="AC100" s="111">
        <v>56.526273309148237</v>
      </c>
      <c r="AD100" s="111">
        <v>56.526273309148237</v>
      </c>
      <c r="AE100" s="111">
        <v>56.526273309148237</v>
      </c>
      <c r="AF100" s="111">
        <v>56.526273309148237</v>
      </c>
      <c r="AG100" s="111">
        <v>56.526273309148237</v>
      </c>
      <c r="AH100" s="111">
        <v>56.526273309148237</v>
      </c>
      <c r="AI100" s="111">
        <v>56.526273309148237</v>
      </c>
      <c r="AJ100" s="111">
        <v>56.526273309148237</v>
      </c>
      <c r="AK100" s="111">
        <v>56.526273309148237</v>
      </c>
      <c r="AL100" s="111">
        <v>56.526273309148237</v>
      </c>
      <c r="AM100" s="111">
        <v>56.526273309148237</v>
      </c>
      <c r="AN100" s="111">
        <v>56.526273309148237</v>
      </c>
      <c r="AO100" s="111">
        <v>56.526273309148237</v>
      </c>
      <c r="AP100" s="111">
        <v>56.526273309148237</v>
      </c>
      <c r="AQ100" s="111">
        <v>56.526273309148237</v>
      </c>
      <c r="AR100" s="111">
        <v>56.526273309148237</v>
      </c>
      <c r="AS100" s="111">
        <v>56.526273309148237</v>
      </c>
      <c r="AT100" s="111">
        <v>56.526273309148237</v>
      </c>
      <c r="AU100" s="111">
        <v>56.526273309148237</v>
      </c>
      <c r="AV100" s="111">
        <v>56.526273309148237</v>
      </c>
      <c r="AW100" s="111">
        <v>56.526273309148237</v>
      </c>
      <c r="AX100" s="111">
        <v>56.526273309148237</v>
      </c>
      <c r="AY100" s="111">
        <v>56.526273309148237</v>
      </c>
    </row>
    <row r="101" spans="1:52" x14ac:dyDescent="0.2">
      <c r="A101" s="114"/>
      <c r="B101" s="124">
        <v>2</v>
      </c>
      <c r="C101" s="111">
        <v>0</v>
      </c>
      <c r="D101" s="111">
        <v>0</v>
      </c>
      <c r="E101" s="111">
        <v>22.060449000216607</v>
      </c>
      <c r="F101" s="111">
        <v>18.725641940570313</v>
      </c>
      <c r="G101" s="111">
        <v>0</v>
      </c>
      <c r="H101" s="111">
        <v>0</v>
      </c>
      <c r="I101" s="111">
        <v>0</v>
      </c>
      <c r="J101" s="111">
        <v>0</v>
      </c>
      <c r="K101" s="111">
        <v>0</v>
      </c>
      <c r="L101" s="111">
        <v>0</v>
      </c>
      <c r="M101" s="111">
        <v>0</v>
      </c>
      <c r="N101" s="111">
        <v>0</v>
      </c>
      <c r="O101" s="111">
        <v>0</v>
      </c>
      <c r="P101" s="111">
        <v>0</v>
      </c>
      <c r="Q101" s="111">
        <v>0</v>
      </c>
      <c r="R101" s="111">
        <v>0</v>
      </c>
      <c r="S101" s="111">
        <v>0</v>
      </c>
      <c r="T101" s="111">
        <v>0</v>
      </c>
      <c r="U101" s="111">
        <v>0</v>
      </c>
      <c r="V101" s="111">
        <v>0</v>
      </c>
      <c r="W101" s="111">
        <v>0</v>
      </c>
      <c r="X101" s="111">
        <v>0</v>
      </c>
      <c r="Y101" s="111">
        <v>0</v>
      </c>
      <c r="Z101" s="111">
        <v>0</v>
      </c>
      <c r="AA101" s="111">
        <v>0</v>
      </c>
      <c r="AB101" s="111">
        <v>0</v>
      </c>
      <c r="AC101" s="111">
        <v>0</v>
      </c>
      <c r="AD101" s="111">
        <v>0</v>
      </c>
      <c r="AE101" s="111">
        <v>0</v>
      </c>
      <c r="AF101" s="111">
        <v>0</v>
      </c>
      <c r="AG101" s="111">
        <v>0</v>
      </c>
      <c r="AH101" s="111">
        <v>0</v>
      </c>
      <c r="AI101" s="111">
        <v>0</v>
      </c>
      <c r="AJ101" s="111">
        <v>0</v>
      </c>
      <c r="AK101" s="111">
        <v>0</v>
      </c>
      <c r="AL101" s="111">
        <v>0</v>
      </c>
      <c r="AM101" s="111">
        <v>0</v>
      </c>
      <c r="AN101" s="111">
        <v>0</v>
      </c>
      <c r="AO101" s="111">
        <v>0</v>
      </c>
      <c r="AP101" s="111">
        <v>0</v>
      </c>
      <c r="AQ101" s="111">
        <v>0</v>
      </c>
      <c r="AR101" s="111">
        <v>0</v>
      </c>
      <c r="AS101" s="111">
        <v>0</v>
      </c>
      <c r="AT101" s="111">
        <v>0</v>
      </c>
      <c r="AU101" s="111">
        <v>0</v>
      </c>
      <c r="AV101" s="111">
        <v>0</v>
      </c>
      <c r="AW101" s="111">
        <v>0</v>
      </c>
      <c r="AX101" s="111">
        <v>0</v>
      </c>
      <c r="AY101" s="111">
        <v>0</v>
      </c>
    </row>
    <row r="102" spans="1:52" x14ac:dyDescent="0.2">
      <c r="A102" s="114"/>
      <c r="B102" s="125">
        <v>3</v>
      </c>
      <c r="C102" s="111">
        <v>0</v>
      </c>
      <c r="D102" s="111">
        <v>0</v>
      </c>
      <c r="E102" s="111">
        <v>0</v>
      </c>
      <c r="F102" s="111">
        <v>0</v>
      </c>
      <c r="G102" s="111">
        <v>0</v>
      </c>
      <c r="H102" s="111">
        <v>0</v>
      </c>
      <c r="I102" s="111">
        <v>0</v>
      </c>
      <c r="J102" s="111">
        <v>0</v>
      </c>
      <c r="K102" s="111">
        <v>0</v>
      </c>
      <c r="L102" s="111">
        <v>0</v>
      </c>
      <c r="M102" s="111">
        <v>0</v>
      </c>
      <c r="N102" s="111">
        <v>0</v>
      </c>
      <c r="O102" s="111">
        <v>0</v>
      </c>
      <c r="P102" s="111">
        <v>0</v>
      </c>
      <c r="Q102" s="111">
        <v>0</v>
      </c>
      <c r="R102" s="111">
        <v>0</v>
      </c>
      <c r="S102" s="111">
        <v>0</v>
      </c>
      <c r="T102" s="111">
        <v>0</v>
      </c>
      <c r="U102" s="111">
        <v>0</v>
      </c>
      <c r="V102" s="111">
        <v>0</v>
      </c>
      <c r="W102" s="111">
        <v>0</v>
      </c>
      <c r="X102" s="111">
        <v>0</v>
      </c>
      <c r="Y102" s="111">
        <v>0</v>
      </c>
      <c r="Z102" s="111">
        <v>0</v>
      </c>
      <c r="AA102" s="111">
        <v>0</v>
      </c>
      <c r="AB102" s="111">
        <v>0</v>
      </c>
      <c r="AC102" s="111">
        <v>0</v>
      </c>
      <c r="AD102" s="111">
        <v>0</v>
      </c>
      <c r="AE102" s="111">
        <v>0</v>
      </c>
      <c r="AF102" s="111">
        <v>0</v>
      </c>
      <c r="AG102" s="111">
        <v>0</v>
      </c>
      <c r="AH102" s="111">
        <v>0</v>
      </c>
      <c r="AI102" s="111">
        <v>0</v>
      </c>
      <c r="AJ102" s="111">
        <v>0</v>
      </c>
      <c r="AK102" s="111">
        <v>0</v>
      </c>
      <c r="AL102" s="111">
        <v>0</v>
      </c>
      <c r="AM102" s="111">
        <v>0</v>
      </c>
      <c r="AN102" s="111">
        <v>0</v>
      </c>
      <c r="AO102" s="111">
        <v>0</v>
      </c>
      <c r="AP102" s="111">
        <v>0</v>
      </c>
      <c r="AQ102" s="111">
        <v>0</v>
      </c>
      <c r="AR102" s="111">
        <v>0</v>
      </c>
      <c r="AS102" s="111">
        <v>0</v>
      </c>
      <c r="AT102" s="111">
        <v>0</v>
      </c>
      <c r="AU102" s="111">
        <v>0</v>
      </c>
      <c r="AV102" s="111">
        <v>0</v>
      </c>
      <c r="AW102" s="111">
        <v>0</v>
      </c>
      <c r="AX102" s="111">
        <v>0</v>
      </c>
      <c r="AY102" s="111">
        <v>0</v>
      </c>
    </row>
    <row r="103" spans="1:52" x14ac:dyDescent="0.2">
      <c r="A103" s="114"/>
      <c r="B103" s="125">
        <v>4</v>
      </c>
      <c r="C103" s="111">
        <v>0</v>
      </c>
      <c r="D103" s="111">
        <v>0</v>
      </c>
      <c r="E103" s="111">
        <v>0</v>
      </c>
      <c r="F103" s="111">
        <v>0</v>
      </c>
      <c r="G103" s="111">
        <v>0</v>
      </c>
      <c r="H103" s="111">
        <v>0</v>
      </c>
      <c r="I103" s="111">
        <v>0</v>
      </c>
      <c r="J103" s="111">
        <v>0</v>
      </c>
      <c r="K103" s="111">
        <v>0</v>
      </c>
      <c r="L103" s="111">
        <v>0</v>
      </c>
      <c r="M103" s="111">
        <v>0</v>
      </c>
      <c r="N103" s="111">
        <v>0</v>
      </c>
      <c r="O103" s="111">
        <v>0</v>
      </c>
      <c r="P103" s="111">
        <v>0</v>
      </c>
      <c r="Q103" s="111">
        <v>0</v>
      </c>
      <c r="R103" s="111">
        <v>0</v>
      </c>
      <c r="S103" s="111">
        <v>0</v>
      </c>
      <c r="T103" s="111">
        <v>0</v>
      </c>
      <c r="U103" s="111">
        <v>0</v>
      </c>
      <c r="V103" s="111">
        <v>0</v>
      </c>
      <c r="W103" s="111">
        <v>0</v>
      </c>
      <c r="X103" s="111">
        <v>0</v>
      </c>
      <c r="Y103" s="111">
        <v>0</v>
      </c>
      <c r="Z103" s="111">
        <v>0</v>
      </c>
      <c r="AA103" s="111">
        <v>0</v>
      </c>
      <c r="AB103" s="111">
        <v>0</v>
      </c>
      <c r="AC103" s="111">
        <v>0</v>
      </c>
      <c r="AD103" s="111">
        <v>0</v>
      </c>
      <c r="AE103" s="111">
        <v>0</v>
      </c>
      <c r="AF103" s="111">
        <v>0</v>
      </c>
      <c r="AG103" s="111">
        <v>0</v>
      </c>
      <c r="AH103" s="111">
        <v>0</v>
      </c>
      <c r="AI103" s="111">
        <v>0</v>
      </c>
      <c r="AJ103" s="111">
        <v>0</v>
      </c>
      <c r="AK103" s="111">
        <v>0</v>
      </c>
      <c r="AL103" s="111">
        <v>0</v>
      </c>
      <c r="AM103" s="111">
        <v>0</v>
      </c>
      <c r="AN103" s="111">
        <v>0</v>
      </c>
      <c r="AO103" s="111">
        <v>0</v>
      </c>
      <c r="AP103" s="111">
        <v>0</v>
      </c>
      <c r="AQ103" s="111">
        <v>0</v>
      </c>
      <c r="AR103" s="111">
        <v>0</v>
      </c>
      <c r="AS103" s="111">
        <v>0</v>
      </c>
      <c r="AT103" s="111">
        <v>0</v>
      </c>
      <c r="AU103" s="111">
        <v>0</v>
      </c>
      <c r="AV103" s="111">
        <v>0</v>
      </c>
      <c r="AW103" s="111">
        <v>0</v>
      </c>
      <c r="AX103" s="111">
        <v>0</v>
      </c>
      <c r="AY103" s="111">
        <v>0</v>
      </c>
    </row>
    <row r="104" spans="1:52" x14ac:dyDescent="0.2">
      <c r="A104" s="114"/>
      <c r="B104" s="132">
        <v>5</v>
      </c>
      <c r="C104" s="111">
        <v>0</v>
      </c>
      <c r="D104" s="111">
        <v>0</v>
      </c>
      <c r="E104" s="111">
        <v>0</v>
      </c>
      <c r="F104" s="111">
        <v>0</v>
      </c>
      <c r="G104" s="111">
        <v>0</v>
      </c>
      <c r="H104" s="111">
        <v>0</v>
      </c>
      <c r="I104" s="111">
        <v>0</v>
      </c>
      <c r="J104" s="111">
        <v>0</v>
      </c>
      <c r="K104" s="111">
        <v>0</v>
      </c>
      <c r="L104" s="111">
        <v>0</v>
      </c>
      <c r="M104" s="111">
        <v>0</v>
      </c>
      <c r="N104" s="111">
        <v>0</v>
      </c>
      <c r="O104" s="111">
        <v>0</v>
      </c>
      <c r="P104" s="111">
        <v>0</v>
      </c>
      <c r="Q104" s="111">
        <v>0</v>
      </c>
      <c r="R104" s="111">
        <v>0</v>
      </c>
      <c r="S104" s="111">
        <v>0</v>
      </c>
      <c r="T104" s="111">
        <v>0</v>
      </c>
      <c r="U104" s="111">
        <v>0</v>
      </c>
      <c r="V104" s="111">
        <v>0</v>
      </c>
      <c r="W104" s="111">
        <v>0</v>
      </c>
      <c r="X104" s="111">
        <v>0</v>
      </c>
      <c r="Y104" s="111">
        <v>0</v>
      </c>
      <c r="Z104" s="111">
        <v>0</v>
      </c>
      <c r="AA104" s="111">
        <v>0</v>
      </c>
      <c r="AB104" s="111">
        <v>0</v>
      </c>
      <c r="AC104" s="111">
        <v>0</v>
      </c>
      <c r="AD104" s="111">
        <v>0</v>
      </c>
      <c r="AE104" s="111">
        <v>0</v>
      </c>
      <c r="AF104" s="111">
        <v>0</v>
      </c>
      <c r="AG104" s="111">
        <v>0</v>
      </c>
      <c r="AH104" s="111">
        <v>0</v>
      </c>
      <c r="AI104" s="111">
        <v>0</v>
      </c>
      <c r="AJ104" s="111">
        <v>0</v>
      </c>
      <c r="AK104" s="111">
        <v>0</v>
      </c>
      <c r="AL104" s="111">
        <v>0</v>
      </c>
      <c r="AM104" s="111">
        <v>0</v>
      </c>
      <c r="AN104" s="111">
        <v>0</v>
      </c>
      <c r="AO104" s="111">
        <v>0</v>
      </c>
      <c r="AP104" s="111">
        <v>0</v>
      </c>
      <c r="AQ104" s="111">
        <v>0</v>
      </c>
      <c r="AR104" s="111">
        <v>0</v>
      </c>
      <c r="AS104" s="111">
        <v>0</v>
      </c>
      <c r="AT104" s="111">
        <v>0</v>
      </c>
      <c r="AU104" s="111">
        <v>0</v>
      </c>
      <c r="AV104" s="111">
        <v>0</v>
      </c>
      <c r="AW104" s="111">
        <v>0</v>
      </c>
      <c r="AX104" s="111">
        <v>0</v>
      </c>
      <c r="AY104" s="111">
        <v>0</v>
      </c>
    </row>
    <row r="105" spans="1:52" x14ac:dyDescent="0.2">
      <c r="A105" s="114"/>
      <c r="B105" s="132">
        <v>6</v>
      </c>
      <c r="C105" s="111">
        <v>0</v>
      </c>
      <c r="D105" s="111">
        <v>0</v>
      </c>
      <c r="E105" s="111">
        <v>0</v>
      </c>
      <c r="F105" s="111">
        <v>0</v>
      </c>
      <c r="G105" s="111">
        <v>0</v>
      </c>
      <c r="H105" s="111">
        <v>0</v>
      </c>
      <c r="I105" s="111">
        <v>0</v>
      </c>
      <c r="J105" s="111">
        <v>0</v>
      </c>
      <c r="K105" s="111">
        <v>0</v>
      </c>
      <c r="L105" s="111">
        <v>0</v>
      </c>
      <c r="M105" s="111">
        <v>0</v>
      </c>
      <c r="N105" s="111">
        <v>0</v>
      </c>
      <c r="O105" s="111">
        <v>0</v>
      </c>
      <c r="P105" s="111">
        <v>0</v>
      </c>
      <c r="Q105" s="111">
        <v>0</v>
      </c>
      <c r="R105" s="111">
        <v>0</v>
      </c>
      <c r="S105" s="111">
        <v>0</v>
      </c>
      <c r="T105" s="111">
        <v>0</v>
      </c>
      <c r="U105" s="111">
        <v>0</v>
      </c>
      <c r="V105" s="111">
        <v>0</v>
      </c>
      <c r="W105" s="111">
        <v>0</v>
      </c>
      <c r="X105" s="111">
        <v>0</v>
      </c>
      <c r="Y105" s="111">
        <v>0</v>
      </c>
      <c r="Z105" s="111">
        <v>0</v>
      </c>
      <c r="AA105" s="111">
        <v>0</v>
      </c>
      <c r="AB105" s="111">
        <v>0</v>
      </c>
      <c r="AC105" s="111">
        <v>0</v>
      </c>
      <c r="AD105" s="111">
        <v>0</v>
      </c>
      <c r="AE105" s="111">
        <v>0</v>
      </c>
      <c r="AF105" s="111">
        <v>0</v>
      </c>
      <c r="AG105" s="111">
        <v>0</v>
      </c>
      <c r="AH105" s="111">
        <v>0</v>
      </c>
      <c r="AI105" s="111">
        <v>0</v>
      </c>
      <c r="AJ105" s="111">
        <v>0</v>
      </c>
      <c r="AK105" s="111">
        <v>0</v>
      </c>
      <c r="AL105" s="111">
        <v>0</v>
      </c>
      <c r="AM105" s="111">
        <v>0</v>
      </c>
      <c r="AN105" s="111">
        <v>0</v>
      </c>
      <c r="AO105" s="111">
        <v>0</v>
      </c>
      <c r="AP105" s="111">
        <v>0</v>
      </c>
      <c r="AQ105" s="111">
        <v>0</v>
      </c>
      <c r="AR105" s="111">
        <v>0</v>
      </c>
      <c r="AS105" s="111">
        <v>0</v>
      </c>
      <c r="AT105" s="111">
        <v>0</v>
      </c>
      <c r="AU105" s="111">
        <v>0</v>
      </c>
      <c r="AV105" s="111">
        <v>0</v>
      </c>
      <c r="AW105" s="111">
        <v>0</v>
      </c>
      <c r="AX105" s="111">
        <v>0</v>
      </c>
      <c r="AY105" s="111">
        <v>0</v>
      </c>
    </row>
    <row r="106" spans="1:52" x14ac:dyDescent="0.2">
      <c r="A106" s="114"/>
      <c r="B106" s="135">
        <v>7</v>
      </c>
      <c r="C106" s="111">
        <v>0</v>
      </c>
      <c r="D106" s="111">
        <v>0</v>
      </c>
      <c r="E106" s="111">
        <v>0</v>
      </c>
      <c r="F106" s="111">
        <v>0</v>
      </c>
      <c r="G106" s="111">
        <v>0</v>
      </c>
      <c r="H106" s="111">
        <v>0</v>
      </c>
      <c r="I106" s="111">
        <v>0</v>
      </c>
      <c r="J106" s="111">
        <v>0</v>
      </c>
      <c r="K106" s="111">
        <v>0</v>
      </c>
      <c r="L106" s="111">
        <v>0</v>
      </c>
      <c r="M106" s="111">
        <v>0</v>
      </c>
      <c r="N106" s="111">
        <v>0</v>
      </c>
      <c r="O106" s="111">
        <v>0</v>
      </c>
      <c r="P106" s="111">
        <v>0</v>
      </c>
      <c r="Q106" s="111">
        <v>0</v>
      </c>
      <c r="R106" s="111">
        <v>0</v>
      </c>
      <c r="S106" s="111">
        <v>0</v>
      </c>
      <c r="T106" s="111">
        <v>0</v>
      </c>
      <c r="U106" s="111">
        <v>0</v>
      </c>
      <c r="V106" s="111">
        <v>0</v>
      </c>
      <c r="W106" s="111">
        <v>0</v>
      </c>
      <c r="X106" s="111">
        <v>0</v>
      </c>
      <c r="Y106" s="111">
        <v>0</v>
      </c>
      <c r="Z106" s="111">
        <v>0</v>
      </c>
      <c r="AA106" s="111">
        <v>0</v>
      </c>
      <c r="AB106" s="111">
        <v>0</v>
      </c>
      <c r="AC106" s="111">
        <v>0</v>
      </c>
      <c r="AD106" s="111">
        <v>0</v>
      </c>
      <c r="AE106" s="111">
        <v>0</v>
      </c>
      <c r="AF106" s="111">
        <v>0</v>
      </c>
      <c r="AG106" s="111">
        <v>0</v>
      </c>
      <c r="AH106" s="111">
        <v>0</v>
      </c>
      <c r="AI106" s="111">
        <v>0</v>
      </c>
      <c r="AJ106" s="111">
        <v>0</v>
      </c>
      <c r="AK106" s="111">
        <v>0</v>
      </c>
      <c r="AL106" s="111">
        <v>0</v>
      </c>
      <c r="AM106" s="111">
        <v>0</v>
      </c>
      <c r="AN106" s="111">
        <v>0</v>
      </c>
      <c r="AO106" s="111">
        <v>0</v>
      </c>
      <c r="AP106" s="111">
        <v>0</v>
      </c>
      <c r="AQ106" s="111">
        <v>0</v>
      </c>
      <c r="AR106" s="111">
        <v>0</v>
      </c>
      <c r="AS106" s="111">
        <v>0</v>
      </c>
      <c r="AT106" s="111">
        <v>0</v>
      </c>
      <c r="AU106" s="111">
        <v>0</v>
      </c>
      <c r="AV106" s="111">
        <v>0</v>
      </c>
      <c r="AW106" s="111">
        <v>0</v>
      </c>
      <c r="AX106" s="111">
        <v>0</v>
      </c>
      <c r="AY106" s="111">
        <v>0</v>
      </c>
    </row>
    <row r="107" spans="1:52" x14ac:dyDescent="0.2">
      <c r="A107" s="114"/>
      <c r="B107" s="135">
        <v>8</v>
      </c>
      <c r="C107" s="111">
        <v>0</v>
      </c>
      <c r="D107" s="111">
        <v>0</v>
      </c>
      <c r="E107" s="111">
        <v>0</v>
      </c>
      <c r="F107" s="111">
        <v>0</v>
      </c>
      <c r="G107" s="111">
        <v>0</v>
      </c>
      <c r="H107" s="111">
        <v>0</v>
      </c>
      <c r="I107" s="111">
        <v>0</v>
      </c>
      <c r="J107" s="111">
        <v>0</v>
      </c>
      <c r="K107" s="111">
        <v>0</v>
      </c>
      <c r="L107" s="111">
        <v>0</v>
      </c>
      <c r="M107" s="111">
        <v>0</v>
      </c>
      <c r="N107" s="111">
        <v>0</v>
      </c>
      <c r="O107" s="111">
        <v>0</v>
      </c>
      <c r="P107" s="111">
        <v>0</v>
      </c>
      <c r="Q107" s="111">
        <v>0</v>
      </c>
      <c r="R107" s="111">
        <v>0</v>
      </c>
      <c r="S107" s="111">
        <v>0</v>
      </c>
      <c r="T107" s="111">
        <v>0</v>
      </c>
      <c r="U107" s="111">
        <v>0</v>
      </c>
      <c r="V107" s="111">
        <v>0</v>
      </c>
      <c r="W107" s="111">
        <v>0</v>
      </c>
      <c r="X107" s="111">
        <v>0</v>
      </c>
      <c r="Y107" s="111">
        <v>0</v>
      </c>
      <c r="Z107" s="111">
        <v>0</v>
      </c>
      <c r="AA107" s="111">
        <v>0</v>
      </c>
      <c r="AB107" s="111">
        <v>0</v>
      </c>
      <c r="AC107" s="111">
        <v>0</v>
      </c>
      <c r="AD107" s="111">
        <v>0</v>
      </c>
      <c r="AE107" s="111">
        <v>0</v>
      </c>
      <c r="AF107" s="111">
        <v>0</v>
      </c>
      <c r="AG107" s="111">
        <v>0</v>
      </c>
      <c r="AH107" s="111">
        <v>0</v>
      </c>
      <c r="AI107" s="111">
        <v>0</v>
      </c>
      <c r="AJ107" s="111">
        <v>0</v>
      </c>
      <c r="AK107" s="111">
        <v>0</v>
      </c>
      <c r="AL107" s="111">
        <v>0</v>
      </c>
      <c r="AM107" s="111">
        <v>0</v>
      </c>
      <c r="AN107" s="111">
        <v>0</v>
      </c>
      <c r="AO107" s="111">
        <v>0</v>
      </c>
      <c r="AP107" s="111">
        <v>0</v>
      </c>
      <c r="AQ107" s="111">
        <v>0</v>
      </c>
      <c r="AR107" s="111">
        <v>0</v>
      </c>
      <c r="AS107" s="111">
        <v>0</v>
      </c>
      <c r="AT107" s="111">
        <v>0</v>
      </c>
      <c r="AU107" s="111">
        <v>0</v>
      </c>
      <c r="AV107" s="111">
        <v>0</v>
      </c>
      <c r="AW107" s="111">
        <v>0</v>
      </c>
      <c r="AX107" s="111">
        <v>0</v>
      </c>
      <c r="AY107" s="111">
        <v>0</v>
      </c>
    </row>
    <row r="108" spans="1:52" x14ac:dyDescent="0.2">
      <c r="A108" s="133"/>
      <c r="B108" s="137" t="s">
        <v>296</v>
      </c>
      <c r="C108" s="119">
        <v>0</v>
      </c>
      <c r="D108" s="130">
        <v>0</v>
      </c>
      <c r="E108" s="130">
        <v>0</v>
      </c>
      <c r="F108" s="130">
        <v>0</v>
      </c>
      <c r="G108" s="130">
        <v>0</v>
      </c>
      <c r="H108" s="130">
        <v>0</v>
      </c>
      <c r="I108" s="130">
        <v>0</v>
      </c>
      <c r="J108" s="130">
        <v>0</v>
      </c>
      <c r="K108" s="130">
        <v>0</v>
      </c>
      <c r="L108" s="130">
        <v>0</v>
      </c>
      <c r="M108" s="130">
        <v>0</v>
      </c>
      <c r="N108" s="130">
        <v>0</v>
      </c>
      <c r="O108" s="130">
        <v>0</v>
      </c>
      <c r="P108" s="130">
        <v>0</v>
      </c>
      <c r="Q108" s="130">
        <v>0</v>
      </c>
      <c r="R108" s="130">
        <v>0</v>
      </c>
      <c r="S108" s="130">
        <v>0</v>
      </c>
      <c r="T108" s="130">
        <v>0</v>
      </c>
      <c r="U108" s="130">
        <v>0</v>
      </c>
      <c r="V108" s="130">
        <v>0</v>
      </c>
      <c r="W108" s="130">
        <v>0</v>
      </c>
      <c r="X108" s="130">
        <v>0</v>
      </c>
      <c r="Y108" s="130">
        <v>0</v>
      </c>
      <c r="Z108" s="130">
        <v>0</v>
      </c>
      <c r="AA108" s="130">
        <v>0</v>
      </c>
      <c r="AB108" s="130">
        <v>0</v>
      </c>
      <c r="AC108" s="130">
        <v>0</v>
      </c>
      <c r="AD108" s="130">
        <v>0</v>
      </c>
      <c r="AE108" s="130">
        <v>0</v>
      </c>
      <c r="AF108" s="130">
        <v>0</v>
      </c>
      <c r="AG108" s="130">
        <v>0</v>
      </c>
      <c r="AH108" s="130">
        <v>0</v>
      </c>
      <c r="AI108" s="130">
        <v>0</v>
      </c>
      <c r="AJ108" s="130">
        <v>0</v>
      </c>
      <c r="AK108" s="130">
        <v>0</v>
      </c>
      <c r="AL108" s="130">
        <v>0</v>
      </c>
      <c r="AM108" s="130">
        <v>0</v>
      </c>
      <c r="AN108" s="130">
        <v>0</v>
      </c>
      <c r="AO108" s="130">
        <v>0</v>
      </c>
      <c r="AP108" s="130">
        <v>0</v>
      </c>
      <c r="AQ108" s="130">
        <v>0</v>
      </c>
      <c r="AR108" s="130">
        <v>0</v>
      </c>
      <c r="AS108" s="130">
        <v>0</v>
      </c>
      <c r="AT108" s="130">
        <v>0</v>
      </c>
      <c r="AU108" s="130">
        <v>0</v>
      </c>
      <c r="AV108" s="130">
        <v>0</v>
      </c>
      <c r="AW108" s="130">
        <v>0</v>
      </c>
      <c r="AX108" s="130">
        <v>0</v>
      </c>
      <c r="AY108" s="130">
        <v>0</v>
      </c>
      <c r="AZ108" s="112">
        <f>SUM($D108:$AY108)</f>
        <v>0</v>
      </c>
    </row>
    <row r="109" spans="1:52" x14ac:dyDescent="0.2">
      <c r="A109" s="136" t="s">
        <v>134</v>
      </c>
      <c r="B109" s="124">
        <v>1</v>
      </c>
      <c r="C109" s="111">
        <v>81.770886882284614</v>
      </c>
      <c r="D109" s="111">
        <v>92.858592234154742</v>
      </c>
      <c r="E109" s="111">
        <v>0</v>
      </c>
      <c r="F109" s="111">
        <v>0</v>
      </c>
      <c r="G109" s="111">
        <v>0</v>
      </c>
      <c r="H109" s="111">
        <v>0</v>
      </c>
      <c r="I109" s="111">
        <v>76.899609668421817</v>
      </c>
      <c r="J109" s="111">
        <v>85.566226022298039</v>
      </c>
      <c r="K109" s="111">
        <v>82.706794193621704</v>
      </c>
      <c r="L109" s="111">
        <v>82.706794193621704</v>
      </c>
      <c r="M109" s="111">
        <v>97.190880165857891</v>
      </c>
      <c r="N109" s="111">
        <v>112.16022373628005</v>
      </c>
      <c r="O109" s="111">
        <v>115.63440791168735</v>
      </c>
      <c r="P109" s="111">
        <v>119.92276931334219</v>
      </c>
      <c r="Q109" s="111">
        <v>91.886720992488733</v>
      </c>
      <c r="R109" s="111">
        <v>89.190441526531075</v>
      </c>
      <c r="S109" s="111">
        <v>82.706794193621704</v>
      </c>
      <c r="T109" s="111">
        <v>82.706794193621704</v>
      </c>
      <c r="U109" s="111">
        <v>82.706794193621704</v>
      </c>
      <c r="V109" s="111">
        <v>76.899609668421817</v>
      </c>
      <c r="W109" s="111">
        <v>88.513978718821591</v>
      </c>
      <c r="X109" s="111">
        <v>82.706794193621704</v>
      </c>
      <c r="Y109" s="111">
        <v>82.706794193621704</v>
      </c>
      <c r="Z109" s="111">
        <v>82.706794193621704</v>
      </c>
      <c r="AA109" s="111">
        <v>99.372505790774326</v>
      </c>
      <c r="AB109" s="111">
        <v>107.2896787564471</v>
      </c>
      <c r="AC109" s="111">
        <v>101.61640369235685</v>
      </c>
      <c r="AD109" s="111">
        <v>110.26895779039141</v>
      </c>
      <c r="AE109" s="111">
        <v>103.95993222170523</v>
      </c>
      <c r="AF109" s="111">
        <v>95.945287114635363</v>
      </c>
      <c r="AG109" s="111">
        <v>88.881646297783249</v>
      </c>
      <c r="AH109" s="111">
        <v>82.706794193621704</v>
      </c>
      <c r="AI109" s="111">
        <v>83.614313920635439</v>
      </c>
      <c r="AJ109" s="111">
        <v>82.706794193621704</v>
      </c>
      <c r="AK109" s="111">
        <v>82.706794193621704</v>
      </c>
      <c r="AL109" s="111">
        <v>82.706794193621704</v>
      </c>
      <c r="AM109" s="111">
        <v>92.957169196864982</v>
      </c>
      <c r="AN109" s="111">
        <v>82.706794193621704</v>
      </c>
      <c r="AO109" s="111">
        <v>82.706794193621704</v>
      </c>
      <c r="AP109" s="111">
        <v>92.613430943878583</v>
      </c>
      <c r="AQ109" s="111">
        <v>82.706794193621704</v>
      </c>
      <c r="AR109" s="111">
        <v>82.706794193621704</v>
      </c>
      <c r="AS109" s="111">
        <v>86.076714089884746</v>
      </c>
      <c r="AT109" s="111">
        <v>82.89258202533334</v>
      </c>
      <c r="AU109" s="111">
        <v>84.862855817165979</v>
      </c>
      <c r="AV109" s="111">
        <v>82.706794193621704</v>
      </c>
      <c r="AW109" s="111">
        <v>82.706794193621704</v>
      </c>
      <c r="AX109" s="111">
        <v>95.560466295983147</v>
      </c>
      <c r="AY109" s="111">
        <v>82.706794193621704</v>
      </c>
    </row>
    <row r="110" spans="1:52" x14ac:dyDescent="0.2">
      <c r="A110" s="114"/>
      <c r="B110" s="124">
        <v>2</v>
      </c>
      <c r="C110" s="111">
        <v>17.599720017077317</v>
      </c>
      <c r="D110" s="111">
        <v>0</v>
      </c>
      <c r="E110" s="111">
        <v>5.8585922341547416</v>
      </c>
      <c r="F110" s="111">
        <v>0</v>
      </c>
      <c r="G110" s="111">
        <v>0</v>
      </c>
      <c r="H110" s="111">
        <v>0</v>
      </c>
      <c r="I110" s="111">
        <v>0</v>
      </c>
      <c r="J110" s="111">
        <v>0</v>
      </c>
      <c r="K110" s="111">
        <v>0</v>
      </c>
      <c r="L110" s="111">
        <v>0</v>
      </c>
      <c r="M110" s="111">
        <v>0</v>
      </c>
      <c r="N110" s="111">
        <v>0</v>
      </c>
      <c r="O110" s="111">
        <v>0</v>
      </c>
      <c r="P110" s="111">
        <v>0</v>
      </c>
      <c r="Q110" s="111">
        <v>0</v>
      </c>
      <c r="R110" s="111">
        <v>0</v>
      </c>
      <c r="S110" s="111">
        <v>0</v>
      </c>
      <c r="T110" s="111">
        <v>0</v>
      </c>
      <c r="U110" s="111">
        <v>0</v>
      </c>
      <c r="V110" s="111">
        <v>0</v>
      </c>
      <c r="W110" s="111">
        <v>0</v>
      </c>
      <c r="X110" s="111">
        <v>0</v>
      </c>
      <c r="Y110" s="111">
        <v>0</v>
      </c>
      <c r="Z110" s="111">
        <v>0</v>
      </c>
      <c r="AA110" s="111">
        <v>0</v>
      </c>
      <c r="AB110" s="111">
        <v>0</v>
      </c>
      <c r="AC110" s="111">
        <v>0</v>
      </c>
      <c r="AD110" s="111">
        <v>0</v>
      </c>
      <c r="AE110" s="111">
        <v>0</v>
      </c>
      <c r="AF110" s="111">
        <v>0</v>
      </c>
      <c r="AG110" s="111">
        <v>0</v>
      </c>
      <c r="AH110" s="111">
        <v>0</v>
      </c>
      <c r="AI110" s="111">
        <v>0</v>
      </c>
      <c r="AJ110" s="111">
        <v>0</v>
      </c>
      <c r="AK110" s="111">
        <v>0</v>
      </c>
      <c r="AL110" s="111">
        <v>0</v>
      </c>
      <c r="AM110" s="111">
        <v>0</v>
      </c>
      <c r="AN110" s="111">
        <v>0</v>
      </c>
      <c r="AO110" s="111">
        <v>0</v>
      </c>
      <c r="AP110" s="111">
        <v>0</v>
      </c>
      <c r="AQ110" s="111">
        <v>0</v>
      </c>
      <c r="AR110" s="111">
        <v>0</v>
      </c>
      <c r="AS110" s="111">
        <v>0</v>
      </c>
      <c r="AT110" s="111">
        <v>0</v>
      </c>
      <c r="AU110" s="111">
        <v>0</v>
      </c>
      <c r="AV110" s="111">
        <v>0</v>
      </c>
      <c r="AW110" s="111">
        <v>0</v>
      </c>
      <c r="AX110" s="111">
        <v>0</v>
      </c>
      <c r="AY110" s="111">
        <v>0</v>
      </c>
    </row>
    <row r="111" spans="1:52" x14ac:dyDescent="0.2">
      <c r="A111" s="114"/>
      <c r="B111" s="124">
        <v>3</v>
      </c>
      <c r="C111" s="111">
        <v>0</v>
      </c>
      <c r="D111" s="111">
        <v>0</v>
      </c>
      <c r="E111" s="111">
        <v>0</v>
      </c>
      <c r="F111" s="111">
        <v>0</v>
      </c>
      <c r="G111" s="111">
        <v>0</v>
      </c>
      <c r="H111" s="111">
        <v>0</v>
      </c>
      <c r="I111" s="111">
        <v>0</v>
      </c>
      <c r="J111" s="111">
        <v>0</v>
      </c>
      <c r="K111" s="111">
        <v>0</v>
      </c>
      <c r="L111" s="111">
        <v>0</v>
      </c>
      <c r="M111" s="111">
        <v>0</v>
      </c>
      <c r="N111" s="111">
        <v>0</v>
      </c>
      <c r="O111" s="111">
        <v>0</v>
      </c>
      <c r="P111" s="111">
        <v>0</v>
      </c>
      <c r="Q111" s="111">
        <v>0</v>
      </c>
      <c r="R111" s="111">
        <v>0</v>
      </c>
      <c r="S111" s="111">
        <v>0</v>
      </c>
      <c r="T111" s="111">
        <v>0</v>
      </c>
      <c r="U111" s="111">
        <v>0</v>
      </c>
      <c r="V111" s="111">
        <v>0</v>
      </c>
      <c r="W111" s="111">
        <v>0</v>
      </c>
      <c r="X111" s="111">
        <v>0</v>
      </c>
      <c r="Y111" s="111">
        <v>0</v>
      </c>
      <c r="Z111" s="111">
        <v>0</v>
      </c>
      <c r="AA111" s="111">
        <v>0</v>
      </c>
      <c r="AB111" s="111">
        <v>0</v>
      </c>
      <c r="AC111" s="111">
        <v>0</v>
      </c>
      <c r="AD111" s="111">
        <v>0</v>
      </c>
      <c r="AE111" s="111">
        <v>0</v>
      </c>
      <c r="AF111" s="111">
        <v>0</v>
      </c>
      <c r="AG111" s="111">
        <v>0</v>
      </c>
      <c r="AH111" s="111">
        <v>0</v>
      </c>
      <c r="AI111" s="111">
        <v>0</v>
      </c>
      <c r="AJ111" s="111">
        <v>0</v>
      </c>
      <c r="AK111" s="111">
        <v>0</v>
      </c>
      <c r="AL111" s="111">
        <v>0</v>
      </c>
      <c r="AM111" s="111">
        <v>0</v>
      </c>
      <c r="AN111" s="111">
        <v>0</v>
      </c>
      <c r="AO111" s="111">
        <v>0</v>
      </c>
      <c r="AP111" s="111">
        <v>0</v>
      </c>
      <c r="AQ111" s="111">
        <v>0</v>
      </c>
      <c r="AR111" s="111">
        <v>0</v>
      </c>
      <c r="AS111" s="111">
        <v>0</v>
      </c>
      <c r="AT111" s="111">
        <v>0</v>
      </c>
      <c r="AU111" s="111">
        <v>0</v>
      </c>
      <c r="AV111" s="111">
        <v>0</v>
      </c>
      <c r="AW111" s="111">
        <v>0</v>
      </c>
      <c r="AX111" s="111">
        <v>0</v>
      </c>
      <c r="AY111" s="111">
        <v>0</v>
      </c>
    </row>
    <row r="112" spans="1:52" x14ac:dyDescent="0.2">
      <c r="A112" s="114"/>
      <c r="B112" s="125">
        <v>4</v>
      </c>
      <c r="C112" s="111">
        <v>0</v>
      </c>
      <c r="D112" s="111">
        <v>0</v>
      </c>
      <c r="E112" s="111">
        <v>0</v>
      </c>
      <c r="F112" s="111">
        <v>0</v>
      </c>
      <c r="G112" s="111">
        <v>0</v>
      </c>
      <c r="H112" s="111">
        <v>0</v>
      </c>
      <c r="I112" s="111">
        <v>0</v>
      </c>
      <c r="J112" s="111">
        <v>0</v>
      </c>
      <c r="K112" s="111">
        <v>0</v>
      </c>
      <c r="L112" s="111">
        <v>0</v>
      </c>
      <c r="M112" s="111">
        <v>0</v>
      </c>
      <c r="N112" s="111">
        <v>0</v>
      </c>
      <c r="O112" s="111">
        <v>0</v>
      </c>
      <c r="P112" s="111">
        <v>0</v>
      </c>
      <c r="Q112" s="111">
        <v>0</v>
      </c>
      <c r="R112" s="111">
        <v>0</v>
      </c>
      <c r="S112" s="111">
        <v>0</v>
      </c>
      <c r="T112" s="111">
        <v>0</v>
      </c>
      <c r="U112" s="111">
        <v>0</v>
      </c>
      <c r="V112" s="111">
        <v>0</v>
      </c>
      <c r="W112" s="111">
        <v>0</v>
      </c>
      <c r="X112" s="111">
        <v>0</v>
      </c>
      <c r="Y112" s="111">
        <v>0</v>
      </c>
      <c r="Z112" s="111">
        <v>0</v>
      </c>
      <c r="AA112" s="111">
        <v>0</v>
      </c>
      <c r="AB112" s="111">
        <v>0</v>
      </c>
      <c r="AC112" s="111">
        <v>0</v>
      </c>
      <c r="AD112" s="111">
        <v>0</v>
      </c>
      <c r="AE112" s="111">
        <v>0</v>
      </c>
      <c r="AF112" s="111">
        <v>0</v>
      </c>
      <c r="AG112" s="111">
        <v>0</v>
      </c>
      <c r="AH112" s="111">
        <v>0</v>
      </c>
      <c r="AI112" s="111">
        <v>0</v>
      </c>
      <c r="AJ112" s="111">
        <v>0</v>
      </c>
      <c r="AK112" s="111">
        <v>0</v>
      </c>
      <c r="AL112" s="111">
        <v>0</v>
      </c>
      <c r="AM112" s="111">
        <v>0</v>
      </c>
      <c r="AN112" s="111">
        <v>0</v>
      </c>
      <c r="AO112" s="111">
        <v>0</v>
      </c>
      <c r="AP112" s="111">
        <v>0</v>
      </c>
      <c r="AQ112" s="111">
        <v>0</v>
      </c>
      <c r="AR112" s="111">
        <v>0</v>
      </c>
      <c r="AS112" s="111">
        <v>0</v>
      </c>
      <c r="AT112" s="111">
        <v>0</v>
      </c>
      <c r="AU112" s="111">
        <v>0</v>
      </c>
      <c r="AV112" s="111">
        <v>0</v>
      </c>
      <c r="AW112" s="111">
        <v>0</v>
      </c>
      <c r="AX112" s="111">
        <v>0</v>
      </c>
      <c r="AY112" s="111">
        <v>0</v>
      </c>
    </row>
    <row r="113" spans="1:52" x14ac:dyDescent="0.2">
      <c r="A113" s="114"/>
      <c r="B113" s="125">
        <v>5</v>
      </c>
      <c r="C113" s="111">
        <v>0</v>
      </c>
      <c r="D113" s="111">
        <v>0</v>
      </c>
      <c r="E113" s="111">
        <v>0</v>
      </c>
      <c r="F113" s="111">
        <v>0</v>
      </c>
      <c r="G113" s="111">
        <v>0</v>
      </c>
      <c r="H113" s="111">
        <v>0</v>
      </c>
      <c r="I113" s="111">
        <v>0</v>
      </c>
      <c r="J113" s="111">
        <v>0</v>
      </c>
      <c r="K113" s="111">
        <v>0</v>
      </c>
      <c r="L113" s="111">
        <v>0</v>
      </c>
      <c r="M113" s="111">
        <v>0</v>
      </c>
      <c r="N113" s="111">
        <v>0</v>
      </c>
      <c r="O113" s="111">
        <v>0</v>
      </c>
      <c r="P113" s="111">
        <v>0</v>
      </c>
      <c r="Q113" s="111">
        <v>0</v>
      </c>
      <c r="R113" s="111">
        <v>0</v>
      </c>
      <c r="S113" s="111">
        <v>0</v>
      </c>
      <c r="T113" s="111">
        <v>0</v>
      </c>
      <c r="U113" s="111">
        <v>0</v>
      </c>
      <c r="V113" s="111">
        <v>0</v>
      </c>
      <c r="W113" s="111">
        <v>0</v>
      </c>
      <c r="X113" s="111">
        <v>0</v>
      </c>
      <c r="Y113" s="111">
        <v>0</v>
      </c>
      <c r="Z113" s="111">
        <v>0</v>
      </c>
      <c r="AA113" s="111">
        <v>0</v>
      </c>
      <c r="AB113" s="111">
        <v>0</v>
      </c>
      <c r="AC113" s="111">
        <v>0</v>
      </c>
      <c r="AD113" s="111">
        <v>0</v>
      </c>
      <c r="AE113" s="111">
        <v>0</v>
      </c>
      <c r="AF113" s="111">
        <v>0</v>
      </c>
      <c r="AG113" s="111">
        <v>0</v>
      </c>
      <c r="AH113" s="111">
        <v>0</v>
      </c>
      <c r="AI113" s="111">
        <v>0</v>
      </c>
      <c r="AJ113" s="111">
        <v>0</v>
      </c>
      <c r="AK113" s="111">
        <v>0</v>
      </c>
      <c r="AL113" s="111">
        <v>0</v>
      </c>
      <c r="AM113" s="111">
        <v>0</v>
      </c>
      <c r="AN113" s="111">
        <v>0</v>
      </c>
      <c r="AO113" s="111">
        <v>0</v>
      </c>
      <c r="AP113" s="111">
        <v>0</v>
      </c>
      <c r="AQ113" s="111">
        <v>0</v>
      </c>
      <c r="AR113" s="111">
        <v>0</v>
      </c>
      <c r="AS113" s="111">
        <v>0</v>
      </c>
      <c r="AT113" s="111">
        <v>0</v>
      </c>
      <c r="AU113" s="111">
        <v>0</v>
      </c>
      <c r="AV113" s="111">
        <v>0</v>
      </c>
      <c r="AW113" s="111">
        <v>0</v>
      </c>
      <c r="AX113" s="111">
        <v>0</v>
      </c>
      <c r="AY113" s="111">
        <v>0</v>
      </c>
    </row>
    <row r="114" spans="1:52" x14ac:dyDescent="0.2">
      <c r="A114" s="114"/>
      <c r="B114" s="125">
        <v>6</v>
      </c>
      <c r="C114" s="111">
        <v>0</v>
      </c>
      <c r="D114" s="111">
        <v>0</v>
      </c>
      <c r="E114" s="111">
        <v>0</v>
      </c>
      <c r="F114" s="111">
        <v>0</v>
      </c>
      <c r="G114" s="111">
        <v>0</v>
      </c>
      <c r="H114" s="111">
        <v>0</v>
      </c>
      <c r="I114" s="111">
        <v>0</v>
      </c>
      <c r="J114" s="111">
        <v>0</v>
      </c>
      <c r="K114" s="111">
        <v>0</v>
      </c>
      <c r="L114" s="111">
        <v>0</v>
      </c>
      <c r="M114" s="111">
        <v>0</v>
      </c>
      <c r="N114" s="111">
        <v>0</v>
      </c>
      <c r="O114" s="111">
        <v>0</v>
      </c>
      <c r="P114" s="111">
        <v>0</v>
      </c>
      <c r="Q114" s="111">
        <v>0</v>
      </c>
      <c r="R114" s="111">
        <v>0</v>
      </c>
      <c r="S114" s="111">
        <v>0</v>
      </c>
      <c r="T114" s="111">
        <v>0</v>
      </c>
      <c r="U114" s="111">
        <v>0</v>
      </c>
      <c r="V114" s="111">
        <v>0</v>
      </c>
      <c r="W114" s="111">
        <v>0</v>
      </c>
      <c r="X114" s="111">
        <v>0</v>
      </c>
      <c r="Y114" s="111">
        <v>0</v>
      </c>
      <c r="Z114" s="111">
        <v>0</v>
      </c>
      <c r="AA114" s="111">
        <v>0</v>
      </c>
      <c r="AB114" s="111">
        <v>0</v>
      </c>
      <c r="AC114" s="111">
        <v>0</v>
      </c>
      <c r="AD114" s="111">
        <v>0</v>
      </c>
      <c r="AE114" s="111">
        <v>0</v>
      </c>
      <c r="AF114" s="111">
        <v>0</v>
      </c>
      <c r="AG114" s="111">
        <v>0</v>
      </c>
      <c r="AH114" s="111">
        <v>0</v>
      </c>
      <c r="AI114" s="111">
        <v>0</v>
      </c>
      <c r="AJ114" s="111">
        <v>0</v>
      </c>
      <c r="AK114" s="111">
        <v>0</v>
      </c>
      <c r="AL114" s="111">
        <v>0</v>
      </c>
      <c r="AM114" s="111">
        <v>0</v>
      </c>
      <c r="AN114" s="111">
        <v>0</v>
      </c>
      <c r="AO114" s="111">
        <v>0</v>
      </c>
      <c r="AP114" s="111">
        <v>0</v>
      </c>
      <c r="AQ114" s="111">
        <v>0</v>
      </c>
      <c r="AR114" s="111">
        <v>0</v>
      </c>
      <c r="AS114" s="111">
        <v>0</v>
      </c>
      <c r="AT114" s="111">
        <v>0</v>
      </c>
      <c r="AU114" s="111">
        <v>0</v>
      </c>
      <c r="AV114" s="111">
        <v>0</v>
      </c>
      <c r="AW114" s="111">
        <v>0</v>
      </c>
      <c r="AX114" s="111">
        <v>0</v>
      </c>
      <c r="AY114" s="111">
        <v>0</v>
      </c>
    </row>
    <row r="115" spans="1:52" x14ac:dyDescent="0.2">
      <c r="A115" s="114"/>
      <c r="B115" s="132">
        <v>7</v>
      </c>
      <c r="C115" s="111">
        <v>0</v>
      </c>
      <c r="D115" s="111">
        <v>0</v>
      </c>
      <c r="E115" s="111">
        <v>0</v>
      </c>
      <c r="F115" s="111">
        <v>0</v>
      </c>
      <c r="G115" s="111">
        <v>0</v>
      </c>
      <c r="H115" s="111">
        <v>0</v>
      </c>
      <c r="I115" s="111">
        <v>0</v>
      </c>
      <c r="J115" s="111">
        <v>0</v>
      </c>
      <c r="K115" s="111">
        <v>0</v>
      </c>
      <c r="L115" s="111">
        <v>0</v>
      </c>
      <c r="M115" s="111">
        <v>0</v>
      </c>
      <c r="N115" s="111">
        <v>0</v>
      </c>
      <c r="O115" s="111">
        <v>0</v>
      </c>
      <c r="P115" s="111">
        <v>0</v>
      </c>
      <c r="Q115" s="111">
        <v>0</v>
      </c>
      <c r="R115" s="111">
        <v>0</v>
      </c>
      <c r="S115" s="111">
        <v>0</v>
      </c>
      <c r="T115" s="111">
        <v>0</v>
      </c>
      <c r="U115" s="111">
        <v>0</v>
      </c>
      <c r="V115" s="111">
        <v>0</v>
      </c>
      <c r="W115" s="111">
        <v>0</v>
      </c>
      <c r="X115" s="111">
        <v>0</v>
      </c>
      <c r="Y115" s="111">
        <v>0</v>
      </c>
      <c r="Z115" s="111">
        <v>0</v>
      </c>
      <c r="AA115" s="111">
        <v>0</v>
      </c>
      <c r="AB115" s="111">
        <v>0</v>
      </c>
      <c r="AC115" s="111">
        <v>0</v>
      </c>
      <c r="AD115" s="111">
        <v>0</v>
      </c>
      <c r="AE115" s="111">
        <v>0</v>
      </c>
      <c r="AF115" s="111">
        <v>0</v>
      </c>
      <c r="AG115" s="111">
        <v>0</v>
      </c>
      <c r="AH115" s="111">
        <v>0</v>
      </c>
      <c r="AI115" s="111">
        <v>0</v>
      </c>
      <c r="AJ115" s="111">
        <v>0</v>
      </c>
      <c r="AK115" s="111">
        <v>0</v>
      </c>
      <c r="AL115" s="111">
        <v>0</v>
      </c>
      <c r="AM115" s="111">
        <v>0</v>
      </c>
      <c r="AN115" s="111">
        <v>0</v>
      </c>
      <c r="AO115" s="111">
        <v>0</v>
      </c>
      <c r="AP115" s="111">
        <v>0</v>
      </c>
      <c r="AQ115" s="111">
        <v>0</v>
      </c>
      <c r="AR115" s="111">
        <v>0</v>
      </c>
      <c r="AS115" s="111">
        <v>0</v>
      </c>
      <c r="AT115" s="111">
        <v>0</v>
      </c>
      <c r="AU115" s="111">
        <v>0</v>
      </c>
      <c r="AV115" s="111">
        <v>0</v>
      </c>
      <c r="AW115" s="111">
        <v>0</v>
      </c>
      <c r="AX115" s="111">
        <v>0</v>
      </c>
      <c r="AY115" s="111">
        <v>0</v>
      </c>
    </row>
    <row r="116" spans="1:52" x14ac:dyDescent="0.2">
      <c r="A116" s="114"/>
      <c r="B116" s="132">
        <v>8</v>
      </c>
      <c r="C116" s="111">
        <v>0</v>
      </c>
      <c r="D116" s="111">
        <v>0</v>
      </c>
      <c r="E116" s="111">
        <v>0</v>
      </c>
      <c r="F116" s="111">
        <v>0</v>
      </c>
      <c r="G116" s="111">
        <v>0</v>
      </c>
      <c r="H116" s="111">
        <v>0</v>
      </c>
      <c r="I116" s="111">
        <v>0</v>
      </c>
      <c r="J116" s="111">
        <v>0</v>
      </c>
      <c r="K116" s="111">
        <v>0</v>
      </c>
      <c r="L116" s="111">
        <v>0</v>
      </c>
      <c r="M116" s="111">
        <v>0</v>
      </c>
      <c r="N116" s="111">
        <v>0</v>
      </c>
      <c r="O116" s="111">
        <v>0</v>
      </c>
      <c r="P116" s="111">
        <v>0</v>
      </c>
      <c r="Q116" s="111">
        <v>0</v>
      </c>
      <c r="R116" s="111">
        <v>0</v>
      </c>
      <c r="S116" s="111">
        <v>0</v>
      </c>
      <c r="T116" s="111">
        <v>0</v>
      </c>
      <c r="U116" s="111">
        <v>0</v>
      </c>
      <c r="V116" s="111">
        <v>0</v>
      </c>
      <c r="W116" s="111">
        <v>0</v>
      </c>
      <c r="X116" s="111">
        <v>0</v>
      </c>
      <c r="Y116" s="111">
        <v>0</v>
      </c>
      <c r="Z116" s="111">
        <v>0</v>
      </c>
      <c r="AA116" s="111">
        <v>0</v>
      </c>
      <c r="AB116" s="111">
        <v>0</v>
      </c>
      <c r="AC116" s="111">
        <v>0</v>
      </c>
      <c r="AD116" s="111">
        <v>0</v>
      </c>
      <c r="AE116" s="111">
        <v>0</v>
      </c>
      <c r="AF116" s="111">
        <v>0</v>
      </c>
      <c r="AG116" s="111">
        <v>0</v>
      </c>
      <c r="AH116" s="111">
        <v>0</v>
      </c>
      <c r="AI116" s="111">
        <v>0</v>
      </c>
      <c r="AJ116" s="111">
        <v>0</v>
      </c>
      <c r="AK116" s="111">
        <v>0</v>
      </c>
      <c r="AL116" s="111">
        <v>0</v>
      </c>
      <c r="AM116" s="111">
        <v>0</v>
      </c>
      <c r="AN116" s="111">
        <v>0</v>
      </c>
      <c r="AO116" s="111">
        <v>0</v>
      </c>
      <c r="AP116" s="111">
        <v>0</v>
      </c>
      <c r="AQ116" s="111">
        <v>0</v>
      </c>
      <c r="AR116" s="111">
        <v>0</v>
      </c>
      <c r="AS116" s="111">
        <v>0</v>
      </c>
      <c r="AT116" s="111">
        <v>0</v>
      </c>
      <c r="AU116" s="111">
        <v>0</v>
      </c>
      <c r="AV116" s="111">
        <v>0</v>
      </c>
      <c r="AW116" s="111">
        <v>0</v>
      </c>
      <c r="AX116" s="111">
        <v>0</v>
      </c>
      <c r="AY116" s="111">
        <v>0</v>
      </c>
    </row>
    <row r="117" spans="1:52" x14ac:dyDescent="0.2">
      <c r="A117" s="114"/>
      <c r="B117" s="132">
        <v>9</v>
      </c>
      <c r="C117" s="111">
        <v>0</v>
      </c>
      <c r="D117" s="111">
        <v>0</v>
      </c>
      <c r="E117" s="111">
        <v>0</v>
      </c>
      <c r="F117" s="111">
        <v>0</v>
      </c>
      <c r="G117" s="111">
        <v>0</v>
      </c>
      <c r="H117" s="111">
        <v>0</v>
      </c>
      <c r="I117" s="111">
        <v>0</v>
      </c>
      <c r="J117" s="111">
        <v>0</v>
      </c>
      <c r="K117" s="111">
        <v>0</v>
      </c>
      <c r="L117" s="111">
        <v>0</v>
      </c>
      <c r="M117" s="111">
        <v>0</v>
      </c>
      <c r="N117" s="111">
        <v>0</v>
      </c>
      <c r="O117" s="111">
        <v>0</v>
      </c>
      <c r="P117" s="111">
        <v>0</v>
      </c>
      <c r="Q117" s="111">
        <v>0</v>
      </c>
      <c r="R117" s="111">
        <v>0</v>
      </c>
      <c r="S117" s="111">
        <v>0</v>
      </c>
      <c r="T117" s="111">
        <v>0</v>
      </c>
      <c r="U117" s="111">
        <v>0</v>
      </c>
      <c r="V117" s="111">
        <v>0</v>
      </c>
      <c r="W117" s="111">
        <v>0</v>
      </c>
      <c r="X117" s="111">
        <v>0</v>
      </c>
      <c r="Y117" s="111">
        <v>0</v>
      </c>
      <c r="Z117" s="111">
        <v>0</v>
      </c>
      <c r="AA117" s="111">
        <v>0</v>
      </c>
      <c r="AB117" s="111">
        <v>0</v>
      </c>
      <c r="AC117" s="111">
        <v>0</v>
      </c>
      <c r="AD117" s="111">
        <v>0</v>
      </c>
      <c r="AE117" s="111">
        <v>0</v>
      </c>
      <c r="AF117" s="111">
        <v>0</v>
      </c>
      <c r="AG117" s="111">
        <v>0</v>
      </c>
      <c r="AH117" s="111">
        <v>0</v>
      </c>
      <c r="AI117" s="111">
        <v>0</v>
      </c>
      <c r="AJ117" s="111">
        <v>0</v>
      </c>
      <c r="AK117" s="111">
        <v>0</v>
      </c>
      <c r="AL117" s="111">
        <v>0</v>
      </c>
      <c r="AM117" s="111">
        <v>0</v>
      </c>
      <c r="AN117" s="111">
        <v>0</v>
      </c>
      <c r="AO117" s="111">
        <v>0</v>
      </c>
      <c r="AP117" s="111">
        <v>0</v>
      </c>
      <c r="AQ117" s="111">
        <v>0</v>
      </c>
      <c r="AR117" s="111">
        <v>0</v>
      </c>
      <c r="AS117" s="111">
        <v>0</v>
      </c>
      <c r="AT117" s="111">
        <v>0</v>
      </c>
      <c r="AU117" s="111">
        <v>0</v>
      </c>
      <c r="AV117" s="111">
        <v>0</v>
      </c>
      <c r="AW117" s="111">
        <v>0</v>
      </c>
      <c r="AX117" s="111">
        <v>0</v>
      </c>
      <c r="AY117" s="111">
        <v>0</v>
      </c>
    </row>
    <row r="118" spans="1:52" x14ac:dyDescent="0.2">
      <c r="A118" s="114"/>
      <c r="B118" s="135">
        <v>10</v>
      </c>
      <c r="C118" s="111">
        <v>0</v>
      </c>
      <c r="D118" s="111">
        <v>0</v>
      </c>
      <c r="E118" s="111">
        <v>0</v>
      </c>
      <c r="F118" s="111">
        <v>0</v>
      </c>
      <c r="G118" s="111">
        <v>0</v>
      </c>
      <c r="H118" s="111">
        <v>0</v>
      </c>
      <c r="I118" s="111">
        <v>0</v>
      </c>
      <c r="J118" s="111">
        <v>0</v>
      </c>
      <c r="K118" s="111">
        <v>0</v>
      </c>
      <c r="L118" s="111">
        <v>0</v>
      </c>
      <c r="M118" s="111">
        <v>0</v>
      </c>
      <c r="N118" s="111">
        <v>0</v>
      </c>
      <c r="O118" s="111">
        <v>0</v>
      </c>
      <c r="P118" s="111">
        <v>0</v>
      </c>
      <c r="Q118" s="111">
        <v>0</v>
      </c>
      <c r="R118" s="111">
        <v>0</v>
      </c>
      <c r="S118" s="111">
        <v>0</v>
      </c>
      <c r="T118" s="111">
        <v>0</v>
      </c>
      <c r="U118" s="111">
        <v>0</v>
      </c>
      <c r="V118" s="111">
        <v>0</v>
      </c>
      <c r="W118" s="111">
        <v>0</v>
      </c>
      <c r="X118" s="111">
        <v>0</v>
      </c>
      <c r="Y118" s="111">
        <v>0</v>
      </c>
      <c r="Z118" s="111">
        <v>0</v>
      </c>
      <c r="AA118" s="111">
        <v>0</v>
      </c>
      <c r="AB118" s="111">
        <v>0</v>
      </c>
      <c r="AC118" s="111">
        <v>0</v>
      </c>
      <c r="AD118" s="111">
        <v>0</v>
      </c>
      <c r="AE118" s="111">
        <v>0</v>
      </c>
      <c r="AF118" s="111">
        <v>0</v>
      </c>
      <c r="AG118" s="111">
        <v>0</v>
      </c>
      <c r="AH118" s="111">
        <v>0</v>
      </c>
      <c r="AI118" s="111">
        <v>0</v>
      </c>
      <c r="AJ118" s="111">
        <v>0</v>
      </c>
      <c r="AK118" s="111">
        <v>0</v>
      </c>
      <c r="AL118" s="111">
        <v>0</v>
      </c>
      <c r="AM118" s="111">
        <v>0</v>
      </c>
      <c r="AN118" s="111">
        <v>0</v>
      </c>
      <c r="AO118" s="111">
        <v>0</v>
      </c>
      <c r="AP118" s="111">
        <v>0</v>
      </c>
      <c r="AQ118" s="111">
        <v>0</v>
      </c>
      <c r="AR118" s="111">
        <v>0</v>
      </c>
      <c r="AS118" s="111">
        <v>0</v>
      </c>
      <c r="AT118" s="111">
        <v>0</v>
      </c>
      <c r="AU118" s="111">
        <v>0</v>
      </c>
      <c r="AV118" s="111">
        <v>0</v>
      </c>
      <c r="AW118" s="111">
        <v>0</v>
      </c>
      <c r="AX118" s="111">
        <v>0</v>
      </c>
      <c r="AY118" s="111">
        <v>0</v>
      </c>
    </row>
    <row r="119" spans="1:52" x14ac:dyDescent="0.2">
      <c r="A119" s="114"/>
      <c r="B119" s="135">
        <v>11</v>
      </c>
      <c r="C119" s="111">
        <v>0</v>
      </c>
      <c r="D119" s="111">
        <v>0</v>
      </c>
      <c r="E119" s="111">
        <v>0</v>
      </c>
      <c r="F119" s="111">
        <v>0</v>
      </c>
      <c r="G119" s="111">
        <v>0</v>
      </c>
      <c r="H119" s="111">
        <v>0</v>
      </c>
      <c r="I119" s="111">
        <v>0</v>
      </c>
      <c r="J119" s="111">
        <v>0</v>
      </c>
      <c r="K119" s="111">
        <v>0</v>
      </c>
      <c r="L119" s="111">
        <v>0</v>
      </c>
      <c r="M119" s="111">
        <v>0</v>
      </c>
      <c r="N119" s="111">
        <v>0</v>
      </c>
      <c r="O119" s="111">
        <v>0</v>
      </c>
      <c r="P119" s="111">
        <v>0</v>
      </c>
      <c r="Q119" s="111">
        <v>0</v>
      </c>
      <c r="R119" s="111">
        <v>0</v>
      </c>
      <c r="S119" s="111">
        <v>0</v>
      </c>
      <c r="T119" s="111">
        <v>0</v>
      </c>
      <c r="U119" s="111">
        <v>0</v>
      </c>
      <c r="V119" s="111">
        <v>0</v>
      </c>
      <c r="W119" s="111">
        <v>0</v>
      </c>
      <c r="X119" s="111">
        <v>0</v>
      </c>
      <c r="Y119" s="111">
        <v>0</v>
      </c>
      <c r="Z119" s="111">
        <v>0</v>
      </c>
      <c r="AA119" s="111">
        <v>0</v>
      </c>
      <c r="AB119" s="111">
        <v>0</v>
      </c>
      <c r="AC119" s="111">
        <v>0</v>
      </c>
      <c r="AD119" s="111">
        <v>0</v>
      </c>
      <c r="AE119" s="111">
        <v>0</v>
      </c>
      <c r="AF119" s="111">
        <v>0</v>
      </c>
      <c r="AG119" s="111">
        <v>0</v>
      </c>
      <c r="AH119" s="111">
        <v>0</v>
      </c>
      <c r="AI119" s="111">
        <v>0</v>
      </c>
      <c r="AJ119" s="111">
        <v>0</v>
      </c>
      <c r="AK119" s="111">
        <v>0</v>
      </c>
      <c r="AL119" s="111">
        <v>0</v>
      </c>
      <c r="AM119" s="111">
        <v>0</v>
      </c>
      <c r="AN119" s="111">
        <v>0</v>
      </c>
      <c r="AO119" s="111">
        <v>0</v>
      </c>
      <c r="AP119" s="111">
        <v>0</v>
      </c>
      <c r="AQ119" s="111">
        <v>0</v>
      </c>
      <c r="AR119" s="111">
        <v>0</v>
      </c>
      <c r="AS119" s="111">
        <v>0</v>
      </c>
      <c r="AT119" s="111">
        <v>0</v>
      </c>
      <c r="AU119" s="111">
        <v>0</v>
      </c>
      <c r="AV119" s="111">
        <v>0</v>
      </c>
      <c r="AW119" s="111">
        <v>0</v>
      </c>
      <c r="AX119" s="111">
        <v>0</v>
      </c>
      <c r="AY119" s="111">
        <v>0</v>
      </c>
    </row>
    <row r="120" spans="1:52" x14ac:dyDescent="0.2">
      <c r="A120" s="114"/>
      <c r="B120" s="135">
        <v>12</v>
      </c>
      <c r="C120" s="111">
        <v>0</v>
      </c>
      <c r="D120" s="111">
        <v>0</v>
      </c>
      <c r="E120" s="111">
        <v>0</v>
      </c>
      <c r="F120" s="111">
        <v>0</v>
      </c>
      <c r="G120" s="111">
        <v>0</v>
      </c>
      <c r="H120" s="111">
        <v>0</v>
      </c>
      <c r="I120" s="111">
        <v>0</v>
      </c>
      <c r="J120" s="111">
        <v>0</v>
      </c>
      <c r="K120" s="111">
        <v>0</v>
      </c>
      <c r="L120" s="111">
        <v>0</v>
      </c>
      <c r="M120" s="111">
        <v>0</v>
      </c>
      <c r="N120" s="111">
        <v>0</v>
      </c>
      <c r="O120" s="111">
        <v>0</v>
      </c>
      <c r="P120" s="111">
        <v>0</v>
      </c>
      <c r="Q120" s="111">
        <v>0</v>
      </c>
      <c r="R120" s="111">
        <v>0</v>
      </c>
      <c r="S120" s="111">
        <v>0</v>
      </c>
      <c r="T120" s="111">
        <v>0</v>
      </c>
      <c r="U120" s="111">
        <v>0</v>
      </c>
      <c r="V120" s="111">
        <v>0</v>
      </c>
      <c r="W120" s="111">
        <v>0</v>
      </c>
      <c r="X120" s="111">
        <v>0</v>
      </c>
      <c r="Y120" s="111">
        <v>0</v>
      </c>
      <c r="Z120" s="111">
        <v>0</v>
      </c>
      <c r="AA120" s="111">
        <v>0</v>
      </c>
      <c r="AB120" s="111">
        <v>0</v>
      </c>
      <c r="AC120" s="111">
        <v>0</v>
      </c>
      <c r="AD120" s="111">
        <v>0</v>
      </c>
      <c r="AE120" s="111">
        <v>0</v>
      </c>
      <c r="AF120" s="111">
        <v>0</v>
      </c>
      <c r="AG120" s="111">
        <v>0</v>
      </c>
      <c r="AH120" s="111">
        <v>0</v>
      </c>
      <c r="AI120" s="111">
        <v>0</v>
      </c>
      <c r="AJ120" s="111">
        <v>0</v>
      </c>
      <c r="AK120" s="111">
        <v>0</v>
      </c>
      <c r="AL120" s="111">
        <v>0</v>
      </c>
      <c r="AM120" s="111">
        <v>0</v>
      </c>
      <c r="AN120" s="111">
        <v>0</v>
      </c>
      <c r="AO120" s="111">
        <v>0</v>
      </c>
      <c r="AP120" s="111">
        <v>0</v>
      </c>
      <c r="AQ120" s="111">
        <v>0</v>
      </c>
      <c r="AR120" s="111">
        <v>0</v>
      </c>
      <c r="AS120" s="111">
        <v>0</v>
      </c>
      <c r="AT120" s="111">
        <v>0</v>
      </c>
      <c r="AU120" s="111">
        <v>0</v>
      </c>
      <c r="AV120" s="111">
        <v>0</v>
      </c>
      <c r="AW120" s="111">
        <v>0</v>
      </c>
      <c r="AX120" s="111">
        <v>0</v>
      </c>
      <c r="AY120" s="111">
        <v>0</v>
      </c>
    </row>
    <row r="121" spans="1:52" x14ac:dyDescent="0.2">
      <c r="A121" s="133"/>
      <c r="B121" s="137" t="s">
        <v>296</v>
      </c>
      <c r="C121" s="119">
        <v>0</v>
      </c>
      <c r="D121" s="130">
        <v>0</v>
      </c>
      <c r="E121" s="130">
        <v>0</v>
      </c>
      <c r="F121" s="130">
        <v>0</v>
      </c>
      <c r="G121" s="130">
        <v>0</v>
      </c>
      <c r="H121" s="130">
        <v>0</v>
      </c>
      <c r="I121" s="130">
        <v>0</v>
      </c>
      <c r="J121" s="130">
        <v>0</v>
      </c>
      <c r="K121" s="130">
        <v>0</v>
      </c>
      <c r="L121" s="130">
        <v>0</v>
      </c>
      <c r="M121" s="130">
        <v>0</v>
      </c>
      <c r="N121" s="130">
        <v>0</v>
      </c>
      <c r="O121" s="130">
        <v>0</v>
      </c>
      <c r="P121" s="130">
        <v>0</v>
      </c>
      <c r="Q121" s="130">
        <v>0</v>
      </c>
      <c r="R121" s="130">
        <v>0</v>
      </c>
      <c r="S121" s="130">
        <v>0</v>
      </c>
      <c r="T121" s="130">
        <v>0</v>
      </c>
      <c r="U121" s="130">
        <v>0</v>
      </c>
      <c r="V121" s="130">
        <v>0</v>
      </c>
      <c r="W121" s="130">
        <v>0</v>
      </c>
      <c r="X121" s="130">
        <v>0</v>
      </c>
      <c r="Y121" s="130">
        <v>0</v>
      </c>
      <c r="Z121" s="130">
        <v>0</v>
      </c>
      <c r="AA121" s="130">
        <v>0</v>
      </c>
      <c r="AB121" s="130">
        <v>0</v>
      </c>
      <c r="AC121" s="130">
        <v>0</v>
      </c>
      <c r="AD121" s="130">
        <v>0</v>
      </c>
      <c r="AE121" s="130">
        <v>0</v>
      </c>
      <c r="AF121" s="130">
        <v>0</v>
      </c>
      <c r="AG121" s="130">
        <v>0</v>
      </c>
      <c r="AH121" s="130">
        <v>0</v>
      </c>
      <c r="AI121" s="130">
        <v>0</v>
      </c>
      <c r="AJ121" s="130">
        <v>0</v>
      </c>
      <c r="AK121" s="130">
        <v>0</v>
      </c>
      <c r="AL121" s="130">
        <v>0</v>
      </c>
      <c r="AM121" s="130">
        <v>0</v>
      </c>
      <c r="AN121" s="130">
        <v>0</v>
      </c>
      <c r="AO121" s="130">
        <v>0</v>
      </c>
      <c r="AP121" s="130">
        <v>0</v>
      </c>
      <c r="AQ121" s="130">
        <v>0</v>
      </c>
      <c r="AR121" s="130">
        <v>0</v>
      </c>
      <c r="AS121" s="130">
        <v>0</v>
      </c>
      <c r="AT121" s="130">
        <v>0</v>
      </c>
      <c r="AU121" s="130">
        <v>0</v>
      </c>
      <c r="AV121" s="130">
        <v>0</v>
      </c>
      <c r="AW121" s="130">
        <v>0</v>
      </c>
      <c r="AX121" s="130">
        <v>0</v>
      </c>
      <c r="AY121" s="130">
        <v>0</v>
      </c>
      <c r="AZ121" s="112">
        <f>SUM($D121:$AY121)</f>
        <v>0</v>
      </c>
    </row>
    <row r="122" spans="1:52" x14ac:dyDescent="0.2">
      <c r="A122" s="136" t="s">
        <v>123</v>
      </c>
      <c r="B122" s="124">
        <v>1</v>
      </c>
      <c r="C122" s="111">
        <v>817.70886882284606</v>
      </c>
      <c r="D122" s="111">
        <v>79.737731899227612</v>
      </c>
      <c r="E122" s="111">
        <v>90.132987959090485</v>
      </c>
      <c r="F122" s="111">
        <v>0</v>
      </c>
      <c r="G122" s="111">
        <v>0</v>
      </c>
      <c r="H122" s="111">
        <v>620.87214545454538</v>
      </c>
      <c r="I122" s="111">
        <v>620.87214545454538</v>
      </c>
      <c r="J122" s="111">
        <v>667.7581976823484</v>
      </c>
      <c r="K122" s="111">
        <v>667.7581976823484</v>
      </c>
      <c r="L122" s="111">
        <v>667.7581976823484</v>
      </c>
      <c r="M122" s="111">
        <v>667.7581976823484</v>
      </c>
      <c r="N122" s="111">
        <v>667.7581976823484</v>
      </c>
      <c r="O122" s="111">
        <v>667.7581976823484</v>
      </c>
      <c r="P122" s="111">
        <v>667.7581976823484</v>
      </c>
      <c r="Q122" s="111">
        <v>667.7581976823484</v>
      </c>
      <c r="R122" s="111">
        <v>667.7581976823484</v>
      </c>
      <c r="S122" s="111">
        <v>667.7581976823484</v>
      </c>
      <c r="T122" s="111">
        <v>667.7581976823484</v>
      </c>
      <c r="U122" s="111">
        <v>620.87214545454538</v>
      </c>
      <c r="V122" s="111">
        <v>714.64424991015142</v>
      </c>
      <c r="W122" s="111">
        <v>667.7581976823484</v>
      </c>
      <c r="X122" s="111">
        <v>667.7581976823484</v>
      </c>
      <c r="Y122" s="111">
        <v>667.7581976823484</v>
      </c>
      <c r="Z122" s="111">
        <v>667.7581976823484</v>
      </c>
      <c r="AA122" s="111">
        <v>667.7581976823484</v>
      </c>
      <c r="AB122" s="111">
        <v>667.7581976823484</v>
      </c>
      <c r="AC122" s="111">
        <v>667.7581976823484</v>
      </c>
      <c r="AD122" s="111">
        <v>667.7581976823484</v>
      </c>
      <c r="AE122" s="111">
        <v>667.7581976823484</v>
      </c>
      <c r="AF122" s="111">
        <v>667.7581976823484</v>
      </c>
      <c r="AG122" s="111">
        <v>667.7581976823484</v>
      </c>
      <c r="AH122" s="111">
        <v>667.7581976823484</v>
      </c>
      <c r="AI122" s="111">
        <v>667.7581976823484</v>
      </c>
      <c r="AJ122" s="111">
        <v>667.7581976823484</v>
      </c>
      <c r="AK122" s="111">
        <v>667.7581976823484</v>
      </c>
      <c r="AL122" s="111">
        <v>667.7581976823484</v>
      </c>
      <c r="AM122" s="111">
        <v>667.7581976823484</v>
      </c>
      <c r="AN122" s="111">
        <v>667.7581976823484</v>
      </c>
      <c r="AO122" s="111">
        <v>667.7581976823484</v>
      </c>
      <c r="AP122" s="111">
        <v>667.7581976823484</v>
      </c>
      <c r="AQ122" s="111">
        <v>667.7581976823484</v>
      </c>
      <c r="AR122" s="111">
        <v>667.7581976823484</v>
      </c>
      <c r="AS122" s="111">
        <v>667.7581976823484</v>
      </c>
      <c r="AT122" s="111">
        <v>667.7581976823484</v>
      </c>
      <c r="AU122" s="111">
        <v>667.7581976823484</v>
      </c>
      <c r="AV122" s="111">
        <v>667.7581976823484</v>
      </c>
      <c r="AW122" s="111">
        <v>667.7581976823484</v>
      </c>
      <c r="AX122" s="111">
        <v>667.7581976823484</v>
      </c>
      <c r="AY122" s="111">
        <v>667.7581976823484</v>
      </c>
    </row>
    <row r="123" spans="1:52" x14ac:dyDescent="0.2">
      <c r="A123" s="114"/>
      <c r="B123" s="124">
        <v>2</v>
      </c>
      <c r="C123" s="111">
        <v>110.87705351870125</v>
      </c>
      <c r="D123" s="111">
        <v>40.032110494129256</v>
      </c>
      <c r="E123" s="111">
        <v>20.769842393356868</v>
      </c>
      <c r="F123" s="111">
        <v>18.130941433419437</v>
      </c>
      <c r="G123" s="111">
        <v>0</v>
      </c>
      <c r="H123" s="111">
        <v>0</v>
      </c>
      <c r="I123" s="111">
        <v>69.972535786123558</v>
      </c>
      <c r="J123" s="111">
        <v>0</v>
      </c>
      <c r="K123" s="111">
        <v>0</v>
      </c>
      <c r="L123" s="111">
        <v>116.94162780936944</v>
      </c>
      <c r="M123" s="111">
        <v>237.80112890031882</v>
      </c>
      <c r="N123" s="111">
        <v>265.85100057054041</v>
      </c>
      <c r="O123" s="111">
        <v>300.47437714436512</v>
      </c>
      <c r="P123" s="111">
        <v>74.116902170294452</v>
      </c>
      <c r="Q123" s="111">
        <v>52.347678321274088</v>
      </c>
      <c r="R123" s="111">
        <v>0</v>
      </c>
      <c r="S123" s="111">
        <v>0</v>
      </c>
      <c r="T123" s="111">
        <v>0</v>
      </c>
      <c r="U123" s="111">
        <v>0</v>
      </c>
      <c r="V123" s="111">
        <v>0</v>
      </c>
      <c r="W123" s="111">
        <v>0</v>
      </c>
      <c r="X123" s="111">
        <v>0</v>
      </c>
      <c r="Y123" s="111">
        <v>0</v>
      </c>
      <c r="Z123" s="111">
        <v>134.55563896184344</v>
      </c>
      <c r="AA123" s="111">
        <v>198.47731797070986</v>
      </c>
      <c r="AB123" s="111">
        <v>152.6724240839477</v>
      </c>
      <c r="AC123" s="111">
        <v>222.53142401479204</v>
      </c>
      <c r="AD123" s="111">
        <v>171.59360706815687</v>
      </c>
      <c r="AE123" s="111">
        <v>106.88495738658855</v>
      </c>
      <c r="AF123" s="111">
        <v>49.854527094558307</v>
      </c>
      <c r="AG123" s="111">
        <v>0</v>
      </c>
      <c r="AH123" s="111">
        <v>7.3271336796487958</v>
      </c>
      <c r="AI123" s="111">
        <v>0</v>
      </c>
      <c r="AJ123" s="111">
        <v>0</v>
      </c>
      <c r="AK123" s="111">
        <v>0</v>
      </c>
      <c r="AL123" s="111">
        <v>82.759487953431005</v>
      </c>
      <c r="AM123" s="111">
        <v>0</v>
      </c>
      <c r="AN123" s="111">
        <v>0</v>
      </c>
      <c r="AO123" s="111">
        <v>79.984213702668399</v>
      </c>
      <c r="AP123" s="111">
        <v>0</v>
      </c>
      <c r="AQ123" s="111">
        <v>0</v>
      </c>
      <c r="AR123" s="111">
        <v>27.208062628983384</v>
      </c>
      <c r="AS123" s="111">
        <v>1.5000139814951581</v>
      </c>
      <c r="AT123" s="111">
        <v>17.407612492626868</v>
      </c>
      <c r="AU123" s="111">
        <v>0</v>
      </c>
      <c r="AV123" s="111">
        <v>0</v>
      </c>
      <c r="AW123" s="111">
        <v>103.77799067606321</v>
      </c>
      <c r="AX123" s="111">
        <v>0</v>
      </c>
      <c r="AY123" s="111">
        <v>0</v>
      </c>
    </row>
    <row r="124" spans="1:52" x14ac:dyDescent="0.2">
      <c r="A124" s="114"/>
      <c r="B124" s="124">
        <v>3</v>
      </c>
      <c r="C124" s="111">
        <v>0</v>
      </c>
      <c r="D124" s="111">
        <v>0</v>
      </c>
      <c r="E124" s="111">
        <v>0</v>
      </c>
      <c r="F124" s="111">
        <v>0</v>
      </c>
      <c r="G124" s="111">
        <v>0</v>
      </c>
      <c r="H124" s="111">
        <v>0</v>
      </c>
      <c r="I124" s="111">
        <v>0</v>
      </c>
      <c r="J124" s="111">
        <v>0</v>
      </c>
      <c r="K124" s="111">
        <v>0</v>
      </c>
      <c r="L124" s="111">
        <v>0</v>
      </c>
      <c r="M124" s="111">
        <v>0</v>
      </c>
      <c r="N124" s="111">
        <v>0</v>
      </c>
      <c r="O124" s="111">
        <v>0</v>
      </c>
      <c r="P124" s="111">
        <v>0</v>
      </c>
      <c r="Q124" s="111">
        <v>0</v>
      </c>
      <c r="R124" s="111">
        <v>0</v>
      </c>
      <c r="S124" s="111">
        <v>0</v>
      </c>
      <c r="T124" s="111">
        <v>0</v>
      </c>
      <c r="U124" s="111">
        <v>0</v>
      </c>
      <c r="V124" s="111">
        <v>0</v>
      </c>
      <c r="W124" s="111">
        <v>0</v>
      </c>
      <c r="X124" s="111">
        <v>0</v>
      </c>
      <c r="Y124" s="111">
        <v>0</v>
      </c>
      <c r="Z124" s="111">
        <v>0</v>
      </c>
      <c r="AA124" s="111">
        <v>0</v>
      </c>
      <c r="AB124" s="111">
        <v>0</v>
      </c>
      <c r="AC124" s="111">
        <v>0</v>
      </c>
      <c r="AD124" s="111">
        <v>0</v>
      </c>
      <c r="AE124" s="111">
        <v>0</v>
      </c>
      <c r="AF124" s="111">
        <v>0</v>
      </c>
      <c r="AG124" s="111">
        <v>0</v>
      </c>
      <c r="AH124" s="111">
        <v>0</v>
      </c>
      <c r="AI124" s="111">
        <v>0</v>
      </c>
      <c r="AJ124" s="111">
        <v>0</v>
      </c>
      <c r="AK124" s="111">
        <v>0</v>
      </c>
      <c r="AL124" s="111">
        <v>0</v>
      </c>
      <c r="AM124" s="111">
        <v>0</v>
      </c>
      <c r="AN124" s="111">
        <v>0</v>
      </c>
      <c r="AO124" s="111">
        <v>0</v>
      </c>
      <c r="AP124" s="111">
        <v>0</v>
      </c>
      <c r="AQ124" s="111">
        <v>0</v>
      </c>
      <c r="AR124" s="111">
        <v>0</v>
      </c>
      <c r="AS124" s="111">
        <v>0</v>
      </c>
      <c r="AT124" s="111">
        <v>0</v>
      </c>
      <c r="AU124" s="111">
        <v>0</v>
      </c>
      <c r="AV124" s="111">
        <v>0</v>
      </c>
      <c r="AW124" s="111">
        <v>0</v>
      </c>
      <c r="AX124" s="111">
        <v>0</v>
      </c>
      <c r="AY124" s="111">
        <v>0</v>
      </c>
    </row>
    <row r="125" spans="1:52" x14ac:dyDescent="0.2">
      <c r="A125" s="114"/>
      <c r="B125" s="124">
        <v>4</v>
      </c>
      <c r="C125" s="111">
        <v>0</v>
      </c>
      <c r="D125" s="111">
        <v>0</v>
      </c>
      <c r="E125" s="111">
        <v>0</v>
      </c>
      <c r="F125" s="111">
        <v>0</v>
      </c>
      <c r="G125" s="111">
        <v>0</v>
      </c>
      <c r="H125" s="111">
        <v>0</v>
      </c>
      <c r="I125" s="111">
        <v>0</v>
      </c>
      <c r="J125" s="111">
        <v>0</v>
      </c>
      <c r="K125" s="111">
        <v>0</v>
      </c>
      <c r="L125" s="111">
        <v>0</v>
      </c>
      <c r="M125" s="111">
        <v>0</v>
      </c>
      <c r="N125" s="111">
        <v>0</v>
      </c>
      <c r="O125" s="111">
        <v>0</v>
      </c>
      <c r="P125" s="111">
        <v>0</v>
      </c>
      <c r="Q125" s="111">
        <v>0</v>
      </c>
      <c r="R125" s="111">
        <v>0</v>
      </c>
      <c r="S125" s="111">
        <v>0</v>
      </c>
      <c r="T125" s="111">
        <v>0</v>
      </c>
      <c r="U125" s="111">
        <v>0</v>
      </c>
      <c r="V125" s="111">
        <v>0</v>
      </c>
      <c r="W125" s="111">
        <v>0</v>
      </c>
      <c r="X125" s="111">
        <v>0</v>
      </c>
      <c r="Y125" s="111">
        <v>0</v>
      </c>
      <c r="Z125" s="111">
        <v>0</v>
      </c>
      <c r="AA125" s="111">
        <v>0</v>
      </c>
      <c r="AB125" s="111">
        <v>0</v>
      </c>
      <c r="AC125" s="111">
        <v>0</v>
      </c>
      <c r="AD125" s="111">
        <v>0</v>
      </c>
      <c r="AE125" s="111">
        <v>0</v>
      </c>
      <c r="AF125" s="111">
        <v>0</v>
      </c>
      <c r="AG125" s="111">
        <v>0</v>
      </c>
      <c r="AH125" s="111">
        <v>0</v>
      </c>
      <c r="AI125" s="111">
        <v>0</v>
      </c>
      <c r="AJ125" s="111">
        <v>0</v>
      </c>
      <c r="AK125" s="111">
        <v>0</v>
      </c>
      <c r="AL125" s="111">
        <v>0</v>
      </c>
      <c r="AM125" s="111">
        <v>0</v>
      </c>
      <c r="AN125" s="111">
        <v>0</v>
      </c>
      <c r="AO125" s="111">
        <v>0</v>
      </c>
      <c r="AP125" s="111">
        <v>0</v>
      </c>
      <c r="AQ125" s="111">
        <v>0</v>
      </c>
      <c r="AR125" s="111">
        <v>0</v>
      </c>
      <c r="AS125" s="111">
        <v>0</v>
      </c>
      <c r="AT125" s="111">
        <v>0</v>
      </c>
      <c r="AU125" s="111">
        <v>0</v>
      </c>
      <c r="AV125" s="111">
        <v>0</v>
      </c>
      <c r="AW125" s="111">
        <v>0</v>
      </c>
      <c r="AX125" s="111">
        <v>0</v>
      </c>
      <c r="AY125" s="111">
        <v>0</v>
      </c>
    </row>
    <row r="126" spans="1:52" x14ac:dyDescent="0.2">
      <c r="A126" s="114"/>
      <c r="B126" s="124">
        <v>5</v>
      </c>
      <c r="C126" s="111">
        <v>0</v>
      </c>
      <c r="D126" s="111">
        <v>0</v>
      </c>
      <c r="E126" s="111">
        <v>0</v>
      </c>
      <c r="F126" s="111">
        <v>0</v>
      </c>
      <c r="G126" s="111">
        <v>0</v>
      </c>
      <c r="H126" s="111">
        <v>0</v>
      </c>
      <c r="I126" s="111">
        <v>0</v>
      </c>
      <c r="J126" s="111">
        <v>0</v>
      </c>
      <c r="K126" s="111">
        <v>0</v>
      </c>
      <c r="L126" s="111">
        <v>0</v>
      </c>
      <c r="M126" s="111">
        <v>0</v>
      </c>
      <c r="N126" s="111">
        <v>0</v>
      </c>
      <c r="O126" s="111">
        <v>0</v>
      </c>
      <c r="P126" s="111">
        <v>0</v>
      </c>
      <c r="Q126" s="111">
        <v>0</v>
      </c>
      <c r="R126" s="111">
        <v>0</v>
      </c>
      <c r="S126" s="111">
        <v>0</v>
      </c>
      <c r="T126" s="111">
        <v>0</v>
      </c>
      <c r="U126" s="111">
        <v>0</v>
      </c>
      <c r="V126" s="111">
        <v>0</v>
      </c>
      <c r="W126" s="111">
        <v>0</v>
      </c>
      <c r="X126" s="111">
        <v>0</v>
      </c>
      <c r="Y126" s="111">
        <v>0</v>
      </c>
      <c r="Z126" s="111">
        <v>0</v>
      </c>
      <c r="AA126" s="111">
        <v>0</v>
      </c>
      <c r="AB126" s="111">
        <v>0</v>
      </c>
      <c r="AC126" s="111">
        <v>0</v>
      </c>
      <c r="AD126" s="111">
        <v>0</v>
      </c>
      <c r="AE126" s="111">
        <v>0</v>
      </c>
      <c r="AF126" s="111">
        <v>0</v>
      </c>
      <c r="AG126" s="111">
        <v>0</v>
      </c>
      <c r="AH126" s="111">
        <v>0</v>
      </c>
      <c r="AI126" s="111">
        <v>0</v>
      </c>
      <c r="AJ126" s="111">
        <v>0</v>
      </c>
      <c r="AK126" s="111">
        <v>0</v>
      </c>
      <c r="AL126" s="111">
        <v>0</v>
      </c>
      <c r="AM126" s="111">
        <v>0</v>
      </c>
      <c r="AN126" s="111">
        <v>0</v>
      </c>
      <c r="AO126" s="111">
        <v>0</v>
      </c>
      <c r="AP126" s="111">
        <v>0</v>
      </c>
      <c r="AQ126" s="111">
        <v>0</v>
      </c>
      <c r="AR126" s="111">
        <v>0</v>
      </c>
      <c r="AS126" s="111">
        <v>0</v>
      </c>
      <c r="AT126" s="111">
        <v>0</v>
      </c>
      <c r="AU126" s="111">
        <v>0</v>
      </c>
      <c r="AV126" s="111">
        <v>0</v>
      </c>
      <c r="AW126" s="111">
        <v>0</v>
      </c>
      <c r="AX126" s="111">
        <v>0</v>
      </c>
      <c r="AY126" s="111">
        <v>0</v>
      </c>
    </row>
    <row r="127" spans="1:52" x14ac:dyDescent="0.2">
      <c r="A127" s="114"/>
      <c r="B127" s="124">
        <v>6</v>
      </c>
      <c r="C127" s="111">
        <v>0</v>
      </c>
      <c r="D127" s="111">
        <v>0</v>
      </c>
      <c r="E127" s="111">
        <v>0</v>
      </c>
      <c r="F127" s="111">
        <v>0</v>
      </c>
      <c r="G127" s="111">
        <v>0</v>
      </c>
      <c r="H127" s="111">
        <v>0</v>
      </c>
      <c r="I127" s="111">
        <v>0</v>
      </c>
      <c r="J127" s="111">
        <v>0</v>
      </c>
      <c r="K127" s="111">
        <v>0</v>
      </c>
      <c r="L127" s="111">
        <v>0</v>
      </c>
      <c r="M127" s="111">
        <v>0</v>
      </c>
      <c r="N127" s="111">
        <v>0</v>
      </c>
      <c r="O127" s="111">
        <v>0</v>
      </c>
      <c r="P127" s="111">
        <v>0</v>
      </c>
      <c r="Q127" s="111">
        <v>0</v>
      </c>
      <c r="R127" s="111">
        <v>0</v>
      </c>
      <c r="S127" s="111">
        <v>0</v>
      </c>
      <c r="T127" s="111">
        <v>0</v>
      </c>
      <c r="U127" s="111">
        <v>0</v>
      </c>
      <c r="V127" s="111">
        <v>0</v>
      </c>
      <c r="W127" s="111">
        <v>0</v>
      </c>
      <c r="X127" s="111">
        <v>0</v>
      </c>
      <c r="Y127" s="111">
        <v>0</v>
      </c>
      <c r="Z127" s="111">
        <v>0</v>
      </c>
      <c r="AA127" s="111">
        <v>0</v>
      </c>
      <c r="AB127" s="111">
        <v>0</v>
      </c>
      <c r="AC127" s="111">
        <v>0</v>
      </c>
      <c r="AD127" s="111">
        <v>0</v>
      </c>
      <c r="AE127" s="111">
        <v>0</v>
      </c>
      <c r="AF127" s="111">
        <v>0</v>
      </c>
      <c r="AG127" s="111">
        <v>0</v>
      </c>
      <c r="AH127" s="111">
        <v>0</v>
      </c>
      <c r="AI127" s="111">
        <v>0</v>
      </c>
      <c r="AJ127" s="111">
        <v>0</v>
      </c>
      <c r="AK127" s="111">
        <v>0</v>
      </c>
      <c r="AL127" s="111">
        <v>0</v>
      </c>
      <c r="AM127" s="111">
        <v>0</v>
      </c>
      <c r="AN127" s="111">
        <v>0</v>
      </c>
      <c r="AO127" s="111">
        <v>0</v>
      </c>
      <c r="AP127" s="111">
        <v>0</v>
      </c>
      <c r="AQ127" s="111">
        <v>0</v>
      </c>
      <c r="AR127" s="111">
        <v>0</v>
      </c>
      <c r="AS127" s="111">
        <v>0</v>
      </c>
      <c r="AT127" s="111">
        <v>0</v>
      </c>
      <c r="AU127" s="111">
        <v>0</v>
      </c>
      <c r="AV127" s="111">
        <v>0</v>
      </c>
      <c r="AW127" s="111">
        <v>0</v>
      </c>
      <c r="AX127" s="111">
        <v>0</v>
      </c>
      <c r="AY127" s="111">
        <v>0</v>
      </c>
    </row>
    <row r="128" spans="1:52" x14ac:dyDescent="0.2">
      <c r="A128" s="114"/>
      <c r="B128" s="124">
        <v>7</v>
      </c>
      <c r="C128" s="111">
        <v>0</v>
      </c>
      <c r="D128" s="111">
        <v>0</v>
      </c>
      <c r="E128" s="111">
        <v>0</v>
      </c>
      <c r="F128" s="111">
        <v>0</v>
      </c>
      <c r="G128" s="111">
        <v>0</v>
      </c>
      <c r="H128" s="111">
        <v>0</v>
      </c>
      <c r="I128" s="111">
        <v>0</v>
      </c>
      <c r="J128" s="111">
        <v>0</v>
      </c>
      <c r="K128" s="111">
        <v>0</v>
      </c>
      <c r="L128" s="111">
        <v>0</v>
      </c>
      <c r="M128" s="111">
        <v>0</v>
      </c>
      <c r="N128" s="111">
        <v>0</v>
      </c>
      <c r="O128" s="111">
        <v>0</v>
      </c>
      <c r="P128" s="111">
        <v>0</v>
      </c>
      <c r="Q128" s="111">
        <v>0</v>
      </c>
      <c r="R128" s="111">
        <v>0</v>
      </c>
      <c r="S128" s="111">
        <v>0</v>
      </c>
      <c r="T128" s="111">
        <v>0</v>
      </c>
      <c r="U128" s="111">
        <v>0</v>
      </c>
      <c r="V128" s="111">
        <v>0</v>
      </c>
      <c r="W128" s="111">
        <v>0</v>
      </c>
      <c r="X128" s="111">
        <v>0</v>
      </c>
      <c r="Y128" s="111">
        <v>0</v>
      </c>
      <c r="Z128" s="111">
        <v>0</v>
      </c>
      <c r="AA128" s="111">
        <v>0</v>
      </c>
      <c r="AB128" s="111">
        <v>0</v>
      </c>
      <c r="AC128" s="111">
        <v>0</v>
      </c>
      <c r="AD128" s="111">
        <v>0</v>
      </c>
      <c r="AE128" s="111">
        <v>0</v>
      </c>
      <c r="AF128" s="111">
        <v>0</v>
      </c>
      <c r="AG128" s="111">
        <v>0</v>
      </c>
      <c r="AH128" s="111">
        <v>0</v>
      </c>
      <c r="AI128" s="111">
        <v>0</v>
      </c>
      <c r="AJ128" s="111">
        <v>0</v>
      </c>
      <c r="AK128" s="111">
        <v>0</v>
      </c>
      <c r="AL128" s="111">
        <v>0</v>
      </c>
      <c r="AM128" s="111">
        <v>0</v>
      </c>
      <c r="AN128" s="111">
        <v>0</v>
      </c>
      <c r="AO128" s="111">
        <v>0</v>
      </c>
      <c r="AP128" s="111">
        <v>0</v>
      </c>
      <c r="AQ128" s="111">
        <v>0</v>
      </c>
      <c r="AR128" s="111">
        <v>0</v>
      </c>
      <c r="AS128" s="111">
        <v>0</v>
      </c>
      <c r="AT128" s="111">
        <v>0</v>
      </c>
      <c r="AU128" s="111">
        <v>0</v>
      </c>
      <c r="AV128" s="111">
        <v>0</v>
      </c>
      <c r="AW128" s="111">
        <v>0</v>
      </c>
      <c r="AX128" s="111">
        <v>0</v>
      </c>
      <c r="AY128" s="111">
        <v>0</v>
      </c>
    </row>
    <row r="129" spans="1:51" x14ac:dyDescent="0.2">
      <c r="A129" s="114"/>
      <c r="B129" s="124">
        <v>8</v>
      </c>
      <c r="C129" s="111">
        <v>0</v>
      </c>
      <c r="D129" s="111">
        <v>0</v>
      </c>
      <c r="E129" s="111">
        <v>0</v>
      </c>
      <c r="F129" s="111">
        <v>0</v>
      </c>
      <c r="G129" s="111">
        <v>0</v>
      </c>
      <c r="H129" s="111">
        <v>0</v>
      </c>
      <c r="I129" s="111">
        <v>0</v>
      </c>
      <c r="J129" s="111">
        <v>0</v>
      </c>
      <c r="K129" s="111">
        <v>0</v>
      </c>
      <c r="L129" s="111">
        <v>0</v>
      </c>
      <c r="M129" s="111">
        <v>0</v>
      </c>
      <c r="N129" s="111">
        <v>0</v>
      </c>
      <c r="O129" s="111">
        <v>0</v>
      </c>
      <c r="P129" s="111">
        <v>0</v>
      </c>
      <c r="Q129" s="111">
        <v>0</v>
      </c>
      <c r="R129" s="111">
        <v>0</v>
      </c>
      <c r="S129" s="111">
        <v>0</v>
      </c>
      <c r="T129" s="111">
        <v>0</v>
      </c>
      <c r="U129" s="111">
        <v>0</v>
      </c>
      <c r="V129" s="111">
        <v>0</v>
      </c>
      <c r="W129" s="111">
        <v>0</v>
      </c>
      <c r="X129" s="111">
        <v>0</v>
      </c>
      <c r="Y129" s="111">
        <v>0</v>
      </c>
      <c r="Z129" s="111">
        <v>0</v>
      </c>
      <c r="AA129" s="111">
        <v>0</v>
      </c>
      <c r="AB129" s="111">
        <v>0</v>
      </c>
      <c r="AC129" s="111">
        <v>0</v>
      </c>
      <c r="AD129" s="111">
        <v>0</v>
      </c>
      <c r="AE129" s="111">
        <v>0</v>
      </c>
      <c r="AF129" s="111">
        <v>0</v>
      </c>
      <c r="AG129" s="111">
        <v>0</v>
      </c>
      <c r="AH129" s="111">
        <v>0</v>
      </c>
      <c r="AI129" s="111">
        <v>0</v>
      </c>
      <c r="AJ129" s="111">
        <v>0</v>
      </c>
      <c r="AK129" s="111">
        <v>0</v>
      </c>
      <c r="AL129" s="111">
        <v>0</v>
      </c>
      <c r="AM129" s="111">
        <v>0</v>
      </c>
      <c r="AN129" s="111">
        <v>0</v>
      </c>
      <c r="AO129" s="111">
        <v>0</v>
      </c>
      <c r="AP129" s="111">
        <v>0</v>
      </c>
      <c r="AQ129" s="111">
        <v>0</v>
      </c>
      <c r="AR129" s="111">
        <v>0</v>
      </c>
      <c r="AS129" s="111">
        <v>0</v>
      </c>
      <c r="AT129" s="111">
        <v>0</v>
      </c>
      <c r="AU129" s="111">
        <v>0</v>
      </c>
      <c r="AV129" s="111">
        <v>0</v>
      </c>
      <c r="AW129" s="111">
        <v>0</v>
      </c>
      <c r="AX129" s="111">
        <v>0</v>
      </c>
      <c r="AY129" s="111">
        <v>0</v>
      </c>
    </row>
    <row r="130" spans="1:51" x14ac:dyDescent="0.2">
      <c r="A130" s="114"/>
      <c r="B130" s="124">
        <v>9</v>
      </c>
      <c r="C130" s="111">
        <v>0</v>
      </c>
      <c r="D130" s="111">
        <v>0</v>
      </c>
      <c r="E130" s="111">
        <v>0</v>
      </c>
      <c r="F130" s="111">
        <v>0</v>
      </c>
      <c r="G130" s="111">
        <v>0</v>
      </c>
      <c r="H130" s="111">
        <v>0</v>
      </c>
      <c r="I130" s="111">
        <v>0</v>
      </c>
      <c r="J130" s="111">
        <v>0</v>
      </c>
      <c r="K130" s="111">
        <v>0</v>
      </c>
      <c r="L130" s="111">
        <v>0</v>
      </c>
      <c r="M130" s="111">
        <v>0</v>
      </c>
      <c r="N130" s="111">
        <v>0</v>
      </c>
      <c r="O130" s="111">
        <v>0</v>
      </c>
      <c r="P130" s="111">
        <v>0</v>
      </c>
      <c r="Q130" s="111">
        <v>0</v>
      </c>
      <c r="R130" s="111">
        <v>0</v>
      </c>
      <c r="S130" s="111">
        <v>0</v>
      </c>
      <c r="T130" s="111">
        <v>0</v>
      </c>
      <c r="U130" s="111">
        <v>0</v>
      </c>
      <c r="V130" s="111">
        <v>0</v>
      </c>
      <c r="W130" s="111">
        <v>0</v>
      </c>
      <c r="X130" s="111">
        <v>0</v>
      </c>
      <c r="Y130" s="111">
        <v>0</v>
      </c>
      <c r="Z130" s="111">
        <v>0</v>
      </c>
      <c r="AA130" s="111">
        <v>0</v>
      </c>
      <c r="AB130" s="111">
        <v>0</v>
      </c>
      <c r="AC130" s="111">
        <v>0</v>
      </c>
      <c r="AD130" s="111">
        <v>0</v>
      </c>
      <c r="AE130" s="111">
        <v>0</v>
      </c>
      <c r="AF130" s="111">
        <v>0</v>
      </c>
      <c r="AG130" s="111">
        <v>0</v>
      </c>
      <c r="AH130" s="111">
        <v>0</v>
      </c>
      <c r="AI130" s="111">
        <v>0</v>
      </c>
      <c r="AJ130" s="111">
        <v>0</v>
      </c>
      <c r="AK130" s="111">
        <v>0</v>
      </c>
      <c r="AL130" s="111">
        <v>0</v>
      </c>
      <c r="AM130" s="111">
        <v>0</v>
      </c>
      <c r="AN130" s="111">
        <v>0</v>
      </c>
      <c r="AO130" s="111">
        <v>0</v>
      </c>
      <c r="AP130" s="111">
        <v>0</v>
      </c>
      <c r="AQ130" s="111">
        <v>0</v>
      </c>
      <c r="AR130" s="111">
        <v>0</v>
      </c>
      <c r="AS130" s="111">
        <v>0</v>
      </c>
      <c r="AT130" s="111">
        <v>0</v>
      </c>
      <c r="AU130" s="111">
        <v>0</v>
      </c>
      <c r="AV130" s="111">
        <v>0</v>
      </c>
      <c r="AW130" s="111">
        <v>0</v>
      </c>
      <c r="AX130" s="111">
        <v>0</v>
      </c>
      <c r="AY130" s="111">
        <v>0</v>
      </c>
    </row>
    <row r="131" spans="1:51" x14ac:dyDescent="0.2">
      <c r="A131" s="114"/>
      <c r="B131" s="124">
        <v>10</v>
      </c>
      <c r="C131" s="111">
        <v>0</v>
      </c>
      <c r="D131" s="111">
        <v>0</v>
      </c>
      <c r="E131" s="111">
        <v>0</v>
      </c>
      <c r="F131" s="111">
        <v>0</v>
      </c>
      <c r="G131" s="111">
        <v>0</v>
      </c>
      <c r="H131" s="111">
        <v>0</v>
      </c>
      <c r="I131" s="111">
        <v>0</v>
      </c>
      <c r="J131" s="111">
        <v>0</v>
      </c>
      <c r="K131" s="111">
        <v>0</v>
      </c>
      <c r="L131" s="111">
        <v>0</v>
      </c>
      <c r="M131" s="111">
        <v>0</v>
      </c>
      <c r="N131" s="111">
        <v>0</v>
      </c>
      <c r="O131" s="111">
        <v>0</v>
      </c>
      <c r="P131" s="111">
        <v>0</v>
      </c>
      <c r="Q131" s="111">
        <v>0</v>
      </c>
      <c r="R131" s="111">
        <v>0</v>
      </c>
      <c r="S131" s="111">
        <v>0</v>
      </c>
      <c r="T131" s="111">
        <v>0</v>
      </c>
      <c r="U131" s="111">
        <v>0</v>
      </c>
      <c r="V131" s="111">
        <v>0</v>
      </c>
      <c r="W131" s="111">
        <v>0</v>
      </c>
      <c r="X131" s="111">
        <v>0</v>
      </c>
      <c r="Y131" s="111">
        <v>0</v>
      </c>
      <c r="Z131" s="111">
        <v>0</v>
      </c>
      <c r="AA131" s="111">
        <v>0</v>
      </c>
      <c r="AB131" s="111">
        <v>0</v>
      </c>
      <c r="AC131" s="111">
        <v>0</v>
      </c>
      <c r="AD131" s="111">
        <v>0</v>
      </c>
      <c r="AE131" s="111">
        <v>0</v>
      </c>
      <c r="AF131" s="111">
        <v>0</v>
      </c>
      <c r="AG131" s="111">
        <v>0</v>
      </c>
      <c r="AH131" s="111">
        <v>0</v>
      </c>
      <c r="AI131" s="111">
        <v>0</v>
      </c>
      <c r="AJ131" s="111">
        <v>0</v>
      </c>
      <c r="AK131" s="111">
        <v>0</v>
      </c>
      <c r="AL131" s="111">
        <v>0</v>
      </c>
      <c r="AM131" s="111">
        <v>0</v>
      </c>
      <c r="AN131" s="111">
        <v>0</v>
      </c>
      <c r="AO131" s="111">
        <v>0</v>
      </c>
      <c r="AP131" s="111">
        <v>0</v>
      </c>
      <c r="AQ131" s="111">
        <v>0</v>
      </c>
      <c r="AR131" s="111">
        <v>0</v>
      </c>
      <c r="AS131" s="111">
        <v>0</v>
      </c>
      <c r="AT131" s="111">
        <v>0</v>
      </c>
      <c r="AU131" s="111">
        <v>0</v>
      </c>
      <c r="AV131" s="111">
        <v>0</v>
      </c>
      <c r="AW131" s="111">
        <v>0</v>
      </c>
      <c r="AX131" s="111">
        <v>0</v>
      </c>
      <c r="AY131" s="111">
        <v>0</v>
      </c>
    </row>
    <row r="132" spans="1:51" x14ac:dyDescent="0.2">
      <c r="A132" s="114"/>
      <c r="B132" s="124">
        <v>11</v>
      </c>
      <c r="C132" s="111">
        <v>0</v>
      </c>
      <c r="D132" s="111">
        <v>0</v>
      </c>
      <c r="E132" s="111">
        <v>0</v>
      </c>
      <c r="F132" s="111">
        <v>0</v>
      </c>
      <c r="G132" s="111">
        <v>0</v>
      </c>
      <c r="H132" s="111">
        <v>0</v>
      </c>
      <c r="I132" s="111">
        <v>0</v>
      </c>
      <c r="J132" s="111">
        <v>0</v>
      </c>
      <c r="K132" s="111">
        <v>0</v>
      </c>
      <c r="L132" s="111">
        <v>0</v>
      </c>
      <c r="M132" s="111">
        <v>0</v>
      </c>
      <c r="N132" s="111">
        <v>0</v>
      </c>
      <c r="O132" s="111">
        <v>0</v>
      </c>
      <c r="P132" s="111">
        <v>0</v>
      </c>
      <c r="Q132" s="111">
        <v>0</v>
      </c>
      <c r="R132" s="111">
        <v>0</v>
      </c>
      <c r="S132" s="111">
        <v>0</v>
      </c>
      <c r="T132" s="111">
        <v>0</v>
      </c>
      <c r="U132" s="111">
        <v>0</v>
      </c>
      <c r="V132" s="111">
        <v>0</v>
      </c>
      <c r="W132" s="111">
        <v>0</v>
      </c>
      <c r="X132" s="111">
        <v>0</v>
      </c>
      <c r="Y132" s="111">
        <v>0</v>
      </c>
      <c r="Z132" s="111">
        <v>0</v>
      </c>
      <c r="AA132" s="111">
        <v>0</v>
      </c>
      <c r="AB132" s="111">
        <v>0</v>
      </c>
      <c r="AC132" s="111">
        <v>0</v>
      </c>
      <c r="AD132" s="111">
        <v>0</v>
      </c>
      <c r="AE132" s="111">
        <v>0</v>
      </c>
      <c r="AF132" s="111">
        <v>0</v>
      </c>
      <c r="AG132" s="111">
        <v>0</v>
      </c>
      <c r="AH132" s="111">
        <v>0</v>
      </c>
      <c r="AI132" s="111">
        <v>0</v>
      </c>
      <c r="AJ132" s="111">
        <v>0</v>
      </c>
      <c r="AK132" s="111">
        <v>0</v>
      </c>
      <c r="AL132" s="111">
        <v>0</v>
      </c>
      <c r="AM132" s="111">
        <v>0</v>
      </c>
      <c r="AN132" s="111">
        <v>0</v>
      </c>
      <c r="AO132" s="111">
        <v>0</v>
      </c>
      <c r="AP132" s="111">
        <v>0</v>
      </c>
      <c r="AQ132" s="111">
        <v>0</v>
      </c>
      <c r="AR132" s="111">
        <v>0</v>
      </c>
      <c r="AS132" s="111">
        <v>0</v>
      </c>
      <c r="AT132" s="111">
        <v>0</v>
      </c>
      <c r="AU132" s="111">
        <v>0</v>
      </c>
      <c r="AV132" s="111">
        <v>0</v>
      </c>
      <c r="AW132" s="111">
        <v>0</v>
      </c>
      <c r="AX132" s="111">
        <v>0</v>
      </c>
      <c r="AY132" s="111">
        <v>0</v>
      </c>
    </row>
    <row r="133" spans="1:51" x14ac:dyDescent="0.2">
      <c r="A133" s="114"/>
      <c r="B133" s="124">
        <v>12</v>
      </c>
      <c r="C133" s="111">
        <v>0</v>
      </c>
      <c r="D133" s="111">
        <v>0</v>
      </c>
      <c r="E133" s="111">
        <v>0</v>
      </c>
      <c r="F133" s="111">
        <v>0</v>
      </c>
      <c r="G133" s="111">
        <v>0</v>
      </c>
      <c r="H133" s="111">
        <v>0</v>
      </c>
      <c r="I133" s="111">
        <v>0</v>
      </c>
      <c r="J133" s="111">
        <v>0</v>
      </c>
      <c r="K133" s="111">
        <v>0</v>
      </c>
      <c r="L133" s="111">
        <v>0</v>
      </c>
      <c r="M133" s="111">
        <v>0</v>
      </c>
      <c r="N133" s="111">
        <v>0</v>
      </c>
      <c r="O133" s="111">
        <v>0</v>
      </c>
      <c r="P133" s="111">
        <v>0</v>
      </c>
      <c r="Q133" s="111">
        <v>0</v>
      </c>
      <c r="R133" s="111">
        <v>0</v>
      </c>
      <c r="S133" s="111">
        <v>0</v>
      </c>
      <c r="T133" s="111">
        <v>0</v>
      </c>
      <c r="U133" s="111">
        <v>0</v>
      </c>
      <c r="V133" s="111">
        <v>0</v>
      </c>
      <c r="W133" s="111">
        <v>0</v>
      </c>
      <c r="X133" s="111">
        <v>0</v>
      </c>
      <c r="Y133" s="111">
        <v>0</v>
      </c>
      <c r="Z133" s="111">
        <v>0</v>
      </c>
      <c r="AA133" s="111">
        <v>0</v>
      </c>
      <c r="AB133" s="111">
        <v>0</v>
      </c>
      <c r="AC133" s="111">
        <v>0</v>
      </c>
      <c r="AD133" s="111">
        <v>0</v>
      </c>
      <c r="AE133" s="111">
        <v>0</v>
      </c>
      <c r="AF133" s="111">
        <v>0</v>
      </c>
      <c r="AG133" s="111">
        <v>0</v>
      </c>
      <c r="AH133" s="111">
        <v>0</v>
      </c>
      <c r="AI133" s="111">
        <v>0</v>
      </c>
      <c r="AJ133" s="111">
        <v>0</v>
      </c>
      <c r="AK133" s="111">
        <v>0</v>
      </c>
      <c r="AL133" s="111">
        <v>0</v>
      </c>
      <c r="AM133" s="111">
        <v>0</v>
      </c>
      <c r="AN133" s="111">
        <v>0</v>
      </c>
      <c r="AO133" s="111">
        <v>0</v>
      </c>
      <c r="AP133" s="111">
        <v>0</v>
      </c>
      <c r="AQ133" s="111">
        <v>0</v>
      </c>
      <c r="AR133" s="111">
        <v>0</v>
      </c>
      <c r="AS133" s="111">
        <v>0</v>
      </c>
      <c r="AT133" s="111">
        <v>0</v>
      </c>
      <c r="AU133" s="111">
        <v>0</v>
      </c>
      <c r="AV133" s="111">
        <v>0</v>
      </c>
      <c r="AW133" s="111">
        <v>0</v>
      </c>
      <c r="AX133" s="111">
        <v>0</v>
      </c>
      <c r="AY133" s="111">
        <v>0</v>
      </c>
    </row>
    <row r="134" spans="1:51" x14ac:dyDescent="0.2">
      <c r="A134" s="114"/>
      <c r="B134" s="125">
        <v>13</v>
      </c>
      <c r="C134" s="111">
        <v>0</v>
      </c>
      <c r="D134" s="111">
        <v>0</v>
      </c>
      <c r="E134" s="111">
        <v>0</v>
      </c>
      <c r="F134" s="111">
        <v>0</v>
      </c>
      <c r="G134" s="111">
        <v>0</v>
      </c>
      <c r="H134" s="111">
        <v>0</v>
      </c>
      <c r="I134" s="111">
        <v>0</v>
      </c>
      <c r="J134" s="111">
        <v>0</v>
      </c>
      <c r="K134" s="111">
        <v>0</v>
      </c>
      <c r="L134" s="111">
        <v>0</v>
      </c>
      <c r="M134" s="111">
        <v>0</v>
      </c>
      <c r="N134" s="111">
        <v>0</v>
      </c>
      <c r="O134" s="111">
        <v>0</v>
      </c>
      <c r="P134" s="111">
        <v>0</v>
      </c>
      <c r="Q134" s="111">
        <v>0</v>
      </c>
      <c r="R134" s="111">
        <v>0</v>
      </c>
      <c r="S134" s="111">
        <v>0</v>
      </c>
      <c r="T134" s="111">
        <v>0</v>
      </c>
      <c r="U134" s="111">
        <v>0</v>
      </c>
      <c r="V134" s="111">
        <v>0</v>
      </c>
      <c r="W134" s="111">
        <v>0</v>
      </c>
      <c r="X134" s="111">
        <v>0</v>
      </c>
      <c r="Y134" s="111">
        <v>0</v>
      </c>
      <c r="Z134" s="111">
        <v>0</v>
      </c>
      <c r="AA134" s="111">
        <v>0</v>
      </c>
      <c r="AB134" s="111">
        <v>0</v>
      </c>
      <c r="AC134" s="111">
        <v>0</v>
      </c>
      <c r="AD134" s="111">
        <v>0</v>
      </c>
      <c r="AE134" s="111">
        <v>0</v>
      </c>
      <c r="AF134" s="111">
        <v>0</v>
      </c>
      <c r="AG134" s="111">
        <v>0</v>
      </c>
      <c r="AH134" s="111">
        <v>0</v>
      </c>
      <c r="AI134" s="111">
        <v>0</v>
      </c>
      <c r="AJ134" s="111">
        <v>0</v>
      </c>
      <c r="AK134" s="111">
        <v>0</v>
      </c>
      <c r="AL134" s="111">
        <v>0</v>
      </c>
      <c r="AM134" s="111">
        <v>0</v>
      </c>
      <c r="AN134" s="111">
        <v>0</v>
      </c>
      <c r="AO134" s="111">
        <v>0</v>
      </c>
      <c r="AP134" s="111">
        <v>0</v>
      </c>
      <c r="AQ134" s="111">
        <v>0</v>
      </c>
      <c r="AR134" s="111">
        <v>0</v>
      </c>
      <c r="AS134" s="111">
        <v>0</v>
      </c>
      <c r="AT134" s="111">
        <v>0</v>
      </c>
      <c r="AU134" s="111">
        <v>0</v>
      </c>
      <c r="AV134" s="111">
        <v>0</v>
      </c>
      <c r="AW134" s="111">
        <v>0</v>
      </c>
      <c r="AX134" s="111">
        <v>0</v>
      </c>
      <c r="AY134" s="111">
        <v>0</v>
      </c>
    </row>
    <row r="135" spans="1:51" x14ac:dyDescent="0.2">
      <c r="A135" s="114"/>
      <c r="B135" s="125">
        <v>14</v>
      </c>
      <c r="C135" s="111">
        <v>0</v>
      </c>
      <c r="D135" s="111">
        <v>0</v>
      </c>
      <c r="E135" s="111">
        <v>0</v>
      </c>
      <c r="F135" s="111">
        <v>0</v>
      </c>
      <c r="G135" s="111">
        <v>0</v>
      </c>
      <c r="H135" s="111">
        <v>0</v>
      </c>
      <c r="I135" s="111">
        <v>0</v>
      </c>
      <c r="J135" s="111">
        <v>0</v>
      </c>
      <c r="K135" s="111">
        <v>0</v>
      </c>
      <c r="L135" s="111">
        <v>0</v>
      </c>
      <c r="M135" s="111">
        <v>0</v>
      </c>
      <c r="N135" s="111">
        <v>0</v>
      </c>
      <c r="O135" s="111">
        <v>0</v>
      </c>
      <c r="P135" s="111">
        <v>0</v>
      </c>
      <c r="Q135" s="111">
        <v>0</v>
      </c>
      <c r="R135" s="111">
        <v>0</v>
      </c>
      <c r="S135" s="111">
        <v>0</v>
      </c>
      <c r="T135" s="111">
        <v>0</v>
      </c>
      <c r="U135" s="111">
        <v>0</v>
      </c>
      <c r="V135" s="111">
        <v>0</v>
      </c>
      <c r="W135" s="111">
        <v>0</v>
      </c>
      <c r="X135" s="111">
        <v>0</v>
      </c>
      <c r="Y135" s="111">
        <v>0</v>
      </c>
      <c r="Z135" s="111">
        <v>0</v>
      </c>
      <c r="AA135" s="111">
        <v>0</v>
      </c>
      <c r="AB135" s="111">
        <v>0</v>
      </c>
      <c r="AC135" s="111">
        <v>0</v>
      </c>
      <c r="AD135" s="111">
        <v>0</v>
      </c>
      <c r="AE135" s="111">
        <v>0</v>
      </c>
      <c r="AF135" s="111">
        <v>0</v>
      </c>
      <c r="AG135" s="111">
        <v>0</v>
      </c>
      <c r="AH135" s="111">
        <v>0</v>
      </c>
      <c r="AI135" s="111">
        <v>0</v>
      </c>
      <c r="AJ135" s="111">
        <v>0</v>
      </c>
      <c r="AK135" s="111">
        <v>0</v>
      </c>
      <c r="AL135" s="111">
        <v>0</v>
      </c>
      <c r="AM135" s="111">
        <v>0</v>
      </c>
      <c r="AN135" s="111">
        <v>0</v>
      </c>
      <c r="AO135" s="111">
        <v>0</v>
      </c>
      <c r="AP135" s="111">
        <v>0</v>
      </c>
      <c r="AQ135" s="111">
        <v>0</v>
      </c>
      <c r="AR135" s="111">
        <v>0</v>
      </c>
      <c r="AS135" s="111">
        <v>0</v>
      </c>
      <c r="AT135" s="111">
        <v>0</v>
      </c>
      <c r="AU135" s="111">
        <v>0</v>
      </c>
      <c r="AV135" s="111">
        <v>0</v>
      </c>
      <c r="AW135" s="111">
        <v>0</v>
      </c>
      <c r="AX135" s="111">
        <v>0</v>
      </c>
      <c r="AY135" s="111">
        <v>0</v>
      </c>
    </row>
    <row r="136" spans="1:51" x14ac:dyDescent="0.2">
      <c r="A136" s="114"/>
      <c r="B136" s="125">
        <v>15</v>
      </c>
      <c r="C136" s="111">
        <v>0</v>
      </c>
      <c r="D136" s="111">
        <v>0</v>
      </c>
      <c r="E136" s="111">
        <v>0</v>
      </c>
      <c r="F136" s="111">
        <v>0</v>
      </c>
      <c r="G136" s="111">
        <v>0</v>
      </c>
      <c r="H136" s="111">
        <v>0</v>
      </c>
      <c r="I136" s="111">
        <v>0</v>
      </c>
      <c r="J136" s="111">
        <v>0</v>
      </c>
      <c r="K136" s="111">
        <v>0</v>
      </c>
      <c r="L136" s="111">
        <v>0</v>
      </c>
      <c r="M136" s="111">
        <v>0</v>
      </c>
      <c r="N136" s="111">
        <v>0</v>
      </c>
      <c r="O136" s="111">
        <v>0</v>
      </c>
      <c r="P136" s="111">
        <v>0</v>
      </c>
      <c r="Q136" s="111">
        <v>0</v>
      </c>
      <c r="R136" s="111">
        <v>0</v>
      </c>
      <c r="S136" s="111">
        <v>0</v>
      </c>
      <c r="T136" s="111">
        <v>0</v>
      </c>
      <c r="U136" s="111">
        <v>0</v>
      </c>
      <c r="V136" s="111">
        <v>0</v>
      </c>
      <c r="W136" s="111">
        <v>0</v>
      </c>
      <c r="X136" s="111">
        <v>0</v>
      </c>
      <c r="Y136" s="111">
        <v>0</v>
      </c>
      <c r="Z136" s="111">
        <v>0</v>
      </c>
      <c r="AA136" s="111">
        <v>0</v>
      </c>
      <c r="AB136" s="111">
        <v>0</v>
      </c>
      <c r="AC136" s="111">
        <v>0</v>
      </c>
      <c r="AD136" s="111">
        <v>0</v>
      </c>
      <c r="AE136" s="111">
        <v>0</v>
      </c>
      <c r="AF136" s="111">
        <v>0</v>
      </c>
      <c r="AG136" s="111">
        <v>0</v>
      </c>
      <c r="AH136" s="111">
        <v>0</v>
      </c>
      <c r="AI136" s="111">
        <v>0</v>
      </c>
      <c r="AJ136" s="111">
        <v>0</v>
      </c>
      <c r="AK136" s="111">
        <v>0</v>
      </c>
      <c r="AL136" s="111">
        <v>0</v>
      </c>
      <c r="AM136" s="111">
        <v>0</v>
      </c>
      <c r="AN136" s="111">
        <v>0</v>
      </c>
      <c r="AO136" s="111">
        <v>0</v>
      </c>
      <c r="AP136" s="111">
        <v>0</v>
      </c>
      <c r="AQ136" s="111">
        <v>0</v>
      </c>
      <c r="AR136" s="111">
        <v>0</v>
      </c>
      <c r="AS136" s="111">
        <v>0</v>
      </c>
      <c r="AT136" s="111">
        <v>0</v>
      </c>
      <c r="AU136" s="111">
        <v>0</v>
      </c>
      <c r="AV136" s="111">
        <v>0</v>
      </c>
      <c r="AW136" s="111">
        <v>0</v>
      </c>
      <c r="AX136" s="111">
        <v>0</v>
      </c>
      <c r="AY136" s="111">
        <v>0</v>
      </c>
    </row>
    <row r="137" spans="1:51" x14ac:dyDescent="0.2">
      <c r="A137" s="114"/>
      <c r="B137" s="125">
        <v>16</v>
      </c>
      <c r="C137" s="111">
        <v>0</v>
      </c>
      <c r="D137" s="111">
        <v>0</v>
      </c>
      <c r="E137" s="111">
        <v>0</v>
      </c>
      <c r="F137" s="111">
        <v>0</v>
      </c>
      <c r="G137" s="111">
        <v>0</v>
      </c>
      <c r="H137" s="111">
        <v>0</v>
      </c>
      <c r="I137" s="111">
        <v>0</v>
      </c>
      <c r="J137" s="111">
        <v>0</v>
      </c>
      <c r="K137" s="111">
        <v>0</v>
      </c>
      <c r="L137" s="111">
        <v>0</v>
      </c>
      <c r="M137" s="111">
        <v>0</v>
      </c>
      <c r="N137" s="111">
        <v>0</v>
      </c>
      <c r="O137" s="111">
        <v>0</v>
      </c>
      <c r="P137" s="111">
        <v>0</v>
      </c>
      <c r="Q137" s="111">
        <v>0</v>
      </c>
      <c r="R137" s="111">
        <v>0</v>
      </c>
      <c r="S137" s="111">
        <v>0</v>
      </c>
      <c r="T137" s="111">
        <v>0</v>
      </c>
      <c r="U137" s="111">
        <v>0</v>
      </c>
      <c r="V137" s="111">
        <v>0</v>
      </c>
      <c r="W137" s="111">
        <v>0</v>
      </c>
      <c r="X137" s="111">
        <v>0</v>
      </c>
      <c r="Y137" s="111">
        <v>0</v>
      </c>
      <c r="Z137" s="111">
        <v>0</v>
      </c>
      <c r="AA137" s="111">
        <v>0</v>
      </c>
      <c r="AB137" s="111">
        <v>0</v>
      </c>
      <c r="AC137" s="111">
        <v>0</v>
      </c>
      <c r="AD137" s="111">
        <v>0</v>
      </c>
      <c r="AE137" s="111">
        <v>0</v>
      </c>
      <c r="AF137" s="111">
        <v>0</v>
      </c>
      <c r="AG137" s="111">
        <v>0</v>
      </c>
      <c r="AH137" s="111">
        <v>0</v>
      </c>
      <c r="AI137" s="111">
        <v>0</v>
      </c>
      <c r="AJ137" s="111">
        <v>0</v>
      </c>
      <c r="AK137" s="111">
        <v>0</v>
      </c>
      <c r="AL137" s="111">
        <v>0</v>
      </c>
      <c r="AM137" s="111">
        <v>0</v>
      </c>
      <c r="AN137" s="111">
        <v>0</v>
      </c>
      <c r="AO137" s="111">
        <v>0</v>
      </c>
      <c r="AP137" s="111">
        <v>0</v>
      </c>
      <c r="AQ137" s="111">
        <v>0</v>
      </c>
      <c r="AR137" s="111">
        <v>0</v>
      </c>
      <c r="AS137" s="111">
        <v>0</v>
      </c>
      <c r="AT137" s="111">
        <v>0</v>
      </c>
      <c r="AU137" s="111">
        <v>0</v>
      </c>
      <c r="AV137" s="111">
        <v>0</v>
      </c>
      <c r="AW137" s="111">
        <v>0</v>
      </c>
      <c r="AX137" s="111">
        <v>0</v>
      </c>
      <c r="AY137" s="111">
        <v>0</v>
      </c>
    </row>
    <row r="138" spans="1:51" x14ac:dyDescent="0.2">
      <c r="A138" s="114"/>
      <c r="B138" s="125">
        <v>17</v>
      </c>
      <c r="C138" s="111">
        <v>0</v>
      </c>
      <c r="D138" s="111">
        <v>0</v>
      </c>
      <c r="E138" s="111">
        <v>0</v>
      </c>
      <c r="F138" s="111">
        <v>0</v>
      </c>
      <c r="G138" s="111">
        <v>0</v>
      </c>
      <c r="H138" s="111">
        <v>0</v>
      </c>
      <c r="I138" s="111">
        <v>0</v>
      </c>
      <c r="J138" s="111">
        <v>0</v>
      </c>
      <c r="K138" s="111">
        <v>0</v>
      </c>
      <c r="L138" s="111">
        <v>0</v>
      </c>
      <c r="M138" s="111">
        <v>0</v>
      </c>
      <c r="N138" s="111">
        <v>0</v>
      </c>
      <c r="O138" s="111">
        <v>0</v>
      </c>
      <c r="P138" s="111">
        <v>0</v>
      </c>
      <c r="Q138" s="111">
        <v>0</v>
      </c>
      <c r="R138" s="111">
        <v>0</v>
      </c>
      <c r="S138" s="111">
        <v>0</v>
      </c>
      <c r="T138" s="111">
        <v>0</v>
      </c>
      <c r="U138" s="111">
        <v>0</v>
      </c>
      <c r="V138" s="111">
        <v>0</v>
      </c>
      <c r="W138" s="111">
        <v>0</v>
      </c>
      <c r="X138" s="111">
        <v>0</v>
      </c>
      <c r="Y138" s="111">
        <v>0</v>
      </c>
      <c r="Z138" s="111">
        <v>0</v>
      </c>
      <c r="AA138" s="111">
        <v>0</v>
      </c>
      <c r="AB138" s="111">
        <v>0</v>
      </c>
      <c r="AC138" s="111">
        <v>0</v>
      </c>
      <c r="AD138" s="111">
        <v>0</v>
      </c>
      <c r="AE138" s="111">
        <v>0</v>
      </c>
      <c r="AF138" s="111">
        <v>0</v>
      </c>
      <c r="AG138" s="111">
        <v>0</v>
      </c>
      <c r="AH138" s="111">
        <v>0</v>
      </c>
      <c r="AI138" s="111">
        <v>0</v>
      </c>
      <c r="AJ138" s="111">
        <v>0</v>
      </c>
      <c r="AK138" s="111">
        <v>0</v>
      </c>
      <c r="AL138" s="111">
        <v>0</v>
      </c>
      <c r="AM138" s="111">
        <v>0</v>
      </c>
      <c r="AN138" s="111">
        <v>0</v>
      </c>
      <c r="AO138" s="111">
        <v>0</v>
      </c>
      <c r="AP138" s="111">
        <v>0</v>
      </c>
      <c r="AQ138" s="111">
        <v>0</v>
      </c>
      <c r="AR138" s="111">
        <v>0</v>
      </c>
      <c r="AS138" s="111">
        <v>0</v>
      </c>
      <c r="AT138" s="111">
        <v>0</v>
      </c>
      <c r="AU138" s="111">
        <v>0</v>
      </c>
      <c r="AV138" s="111">
        <v>0</v>
      </c>
      <c r="AW138" s="111">
        <v>0</v>
      </c>
      <c r="AX138" s="111">
        <v>0</v>
      </c>
      <c r="AY138" s="111">
        <v>0</v>
      </c>
    </row>
    <row r="139" spans="1:51" x14ac:dyDescent="0.2">
      <c r="A139" s="114"/>
      <c r="B139" s="125">
        <v>18</v>
      </c>
      <c r="C139" s="111">
        <v>0</v>
      </c>
      <c r="D139" s="111">
        <v>0</v>
      </c>
      <c r="E139" s="111">
        <v>0</v>
      </c>
      <c r="F139" s="111">
        <v>0</v>
      </c>
      <c r="G139" s="111">
        <v>0</v>
      </c>
      <c r="H139" s="111">
        <v>0</v>
      </c>
      <c r="I139" s="111">
        <v>0</v>
      </c>
      <c r="J139" s="111">
        <v>0</v>
      </c>
      <c r="K139" s="111">
        <v>0</v>
      </c>
      <c r="L139" s="111">
        <v>0</v>
      </c>
      <c r="M139" s="111">
        <v>0</v>
      </c>
      <c r="N139" s="111">
        <v>0</v>
      </c>
      <c r="O139" s="111">
        <v>0</v>
      </c>
      <c r="P139" s="111">
        <v>0</v>
      </c>
      <c r="Q139" s="111">
        <v>0</v>
      </c>
      <c r="R139" s="111">
        <v>0</v>
      </c>
      <c r="S139" s="111">
        <v>0</v>
      </c>
      <c r="T139" s="111">
        <v>0</v>
      </c>
      <c r="U139" s="111">
        <v>0</v>
      </c>
      <c r="V139" s="111">
        <v>0</v>
      </c>
      <c r="W139" s="111">
        <v>0</v>
      </c>
      <c r="X139" s="111">
        <v>0</v>
      </c>
      <c r="Y139" s="111">
        <v>0</v>
      </c>
      <c r="Z139" s="111">
        <v>0</v>
      </c>
      <c r="AA139" s="111">
        <v>0</v>
      </c>
      <c r="AB139" s="111">
        <v>0</v>
      </c>
      <c r="AC139" s="111">
        <v>0</v>
      </c>
      <c r="AD139" s="111">
        <v>0</v>
      </c>
      <c r="AE139" s="111">
        <v>0</v>
      </c>
      <c r="AF139" s="111">
        <v>0</v>
      </c>
      <c r="AG139" s="111">
        <v>0</v>
      </c>
      <c r="AH139" s="111">
        <v>0</v>
      </c>
      <c r="AI139" s="111">
        <v>0</v>
      </c>
      <c r="AJ139" s="111">
        <v>0</v>
      </c>
      <c r="AK139" s="111">
        <v>0</v>
      </c>
      <c r="AL139" s="111">
        <v>0</v>
      </c>
      <c r="AM139" s="111">
        <v>0</v>
      </c>
      <c r="AN139" s="111">
        <v>0</v>
      </c>
      <c r="AO139" s="111">
        <v>0</v>
      </c>
      <c r="AP139" s="111">
        <v>0</v>
      </c>
      <c r="AQ139" s="111">
        <v>0</v>
      </c>
      <c r="AR139" s="111">
        <v>0</v>
      </c>
      <c r="AS139" s="111">
        <v>0</v>
      </c>
      <c r="AT139" s="111">
        <v>0</v>
      </c>
      <c r="AU139" s="111">
        <v>0</v>
      </c>
      <c r="AV139" s="111">
        <v>0</v>
      </c>
      <c r="AW139" s="111">
        <v>0</v>
      </c>
      <c r="AX139" s="111">
        <v>0</v>
      </c>
      <c r="AY139" s="111">
        <v>0</v>
      </c>
    </row>
    <row r="140" spans="1:51" x14ac:dyDescent="0.2">
      <c r="A140" s="114"/>
      <c r="B140" s="125">
        <v>19</v>
      </c>
      <c r="C140" s="111">
        <v>0</v>
      </c>
      <c r="D140" s="111">
        <v>0</v>
      </c>
      <c r="E140" s="111">
        <v>0</v>
      </c>
      <c r="F140" s="111">
        <v>0</v>
      </c>
      <c r="G140" s="111">
        <v>0</v>
      </c>
      <c r="H140" s="111">
        <v>0</v>
      </c>
      <c r="I140" s="111">
        <v>0</v>
      </c>
      <c r="J140" s="111">
        <v>0</v>
      </c>
      <c r="K140" s="111">
        <v>0</v>
      </c>
      <c r="L140" s="111">
        <v>0</v>
      </c>
      <c r="M140" s="111">
        <v>0</v>
      </c>
      <c r="N140" s="111">
        <v>0</v>
      </c>
      <c r="O140" s="111">
        <v>0</v>
      </c>
      <c r="P140" s="111">
        <v>0</v>
      </c>
      <c r="Q140" s="111">
        <v>0</v>
      </c>
      <c r="R140" s="111">
        <v>0</v>
      </c>
      <c r="S140" s="111">
        <v>0</v>
      </c>
      <c r="T140" s="111">
        <v>0</v>
      </c>
      <c r="U140" s="111">
        <v>0</v>
      </c>
      <c r="V140" s="111">
        <v>0</v>
      </c>
      <c r="W140" s="111">
        <v>0</v>
      </c>
      <c r="X140" s="111">
        <v>0</v>
      </c>
      <c r="Y140" s="111">
        <v>0</v>
      </c>
      <c r="Z140" s="111">
        <v>0</v>
      </c>
      <c r="AA140" s="111">
        <v>0</v>
      </c>
      <c r="AB140" s="111">
        <v>0</v>
      </c>
      <c r="AC140" s="111">
        <v>0</v>
      </c>
      <c r="AD140" s="111">
        <v>0</v>
      </c>
      <c r="AE140" s="111">
        <v>0</v>
      </c>
      <c r="AF140" s="111">
        <v>0</v>
      </c>
      <c r="AG140" s="111">
        <v>0</v>
      </c>
      <c r="AH140" s="111">
        <v>0</v>
      </c>
      <c r="AI140" s="111">
        <v>0</v>
      </c>
      <c r="AJ140" s="111">
        <v>0</v>
      </c>
      <c r="AK140" s="111">
        <v>0</v>
      </c>
      <c r="AL140" s="111">
        <v>0</v>
      </c>
      <c r="AM140" s="111">
        <v>0</v>
      </c>
      <c r="AN140" s="111">
        <v>0</v>
      </c>
      <c r="AO140" s="111">
        <v>0</v>
      </c>
      <c r="AP140" s="111">
        <v>0</v>
      </c>
      <c r="AQ140" s="111">
        <v>0</v>
      </c>
      <c r="AR140" s="111">
        <v>0</v>
      </c>
      <c r="AS140" s="111">
        <v>0</v>
      </c>
      <c r="AT140" s="111">
        <v>0</v>
      </c>
      <c r="AU140" s="111">
        <v>0</v>
      </c>
      <c r="AV140" s="111">
        <v>0</v>
      </c>
      <c r="AW140" s="111">
        <v>0</v>
      </c>
      <c r="AX140" s="111">
        <v>0</v>
      </c>
      <c r="AY140" s="111">
        <v>0</v>
      </c>
    </row>
    <row r="141" spans="1:51" x14ac:dyDescent="0.2">
      <c r="A141" s="114"/>
      <c r="B141" s="125">
        <v>20</v>
      </c>
      <c r="C141" s="111">
        <v>0</v>
      </c>
      <c r="D141" s="111">
        <v>0</v>
      </c>
      <c r="E141" s="111">
        <v>0</v>
      </c>
      <c r="F141" s="111">
        <v>0</v>
      </c>
      <c r="G141" s="111">
        <v>0</v>
      </c>
      <c r="H141" s="111">
        <v>0</v>
      </c>
      <c r="I141" s="111">
        <v>0</v>
      </c>
      <c r="J141" s="111">
        <v>0</v>
      </c>
      <c r="K141" s="111">
        <v>0</v>
      </c>
      <c r="L141" s="111">
        <v>0</v>
      </c>
      <c r="M141" s="111">
        <v>0</v>
      </c>
      <c r="N141" s="111">
        <v>0</v>
      </c>
      <c r="O141" s="111">
        <v>0</v>
      </c>
      <c r="P141" s="111">
        <v>0</v>
      </c>
      <c r="Q141" s="111">
        <v>0</v>
      </c>
      <c r="R141" s="111">
        <v>0</v>
      </c>
      <c r="S141" s="111">
        <v>0</v>
      </c>
      <c r="T141" s="111">
        <v>0</v>
      </c>
      <c r="U141" s="111">
        <v>0</v>
      </c>
      <c r="V141" s="111">
        <v>0</v>
      </c>
      <c r="W141" s="111">
        <v>0</v>
      </c>
      <c r="X141" s="111">
        <v>0</v>
      </c>
      <c r="Y141" s="111">
        <v>0</v>
      </c>
      <c r="Z141" s="111">
        <v>0</v>
      </c>
      <c r="AA141" s="111">
        <v>0</v>
      </c>
      <c r="AB141" s="111">
        <v>0</v>
      </c>
      <c r="AC141" s="111">
        <v>0</v>
      </c>
      <c r="AD141" s="111">
        <v>0</v>
      </c>
      <c r="AE141" s="111">
        <v>0</v>
      </c>
      <c r="AF141" s="111">
        <v>0</v>
      </c>
      <c r="AG141" s="111">
        <v>0</v>
      </c>
      <c r="AH141" s="111">
        <v>0</v>
      </c>
      <c r="AI141" s="111">
        <v>0</v>
      </c>
      <c r="AJ141" s="111">
        <v>0</v>
      </c>
      <c r="AK141" s="111">
        <v>0</v>
      </c>
      <c r="AL141" s="111">
        <v>0</v>
      </c>
      <c r="AM141" s="111">
        <v>0</v>
      </c>
      <c r="AN141" s="111">
        <v>0</v>
      </c>
      <c r="AO141" s="111">
        <v>0</v>
      </c>
      <c r="AP141" s="111">
        <v>0</v>
      </c>
      <c r="AQ141" s="111">
        <v>0</v>
      </c>
      <c r="AR141" s="111">
        <v>0</v>
      </c>
      <c r="AS141" s="111">
        <v>0</v>
      </c>
      <c r="AT141" s="111">
        <v>0</v>
      </c>
      <c r="AU141" s="111">
        <v>0</v>
      </c>
      <c r="AV141" s="111">
        <v>0</v>
      </c>
      <c r="AW141" s="111">
        <v>0</v>
      </c>
      <c r="AX141" s="111">
        <v>0</v>
      </c>
      <c r="AY141" s="111">
        <v>0</v>
      </c>
    </row>
    <row r="142" spans="1:51" x14ac:dyDescent="0.2">
      <c r="A142" s="114"/>
      <c r="B142" s="125">
        <v>21</v>
      </c>
      <c r="C142" s="111">
        <v>0</v>
      </c>
      <c r="D142" s="111">
        <v>0</v>
      </c>
      <c r="E142" s="111">
        <v>0</v>
      </c>
      <c r="F142" s="111">
        <v>0</v>
      </c>
      <c r="G142" s="111">
        <v>0</v>
      </c>
      <c r="H142" s="111">
        <v>0</v>
      </c>
      <c r="I142" s="111">
        <v>0</v>
      </c>
      <c r="J142" s="111">
        <v>0</v>
      </c>
      <c r="K142" s="111">
        <v>0</v>
      </c>
      <c r="L142" s="111">
        <v>0</v>
      </c>
      <c r="M142" s="111">
        <v>0</v>
      </c>
      <c r="N142" s="111">
        <v>0</v>
      </c>
      <c r="O142" s="111">
        <v>0</v>
      </c>
      <c r="P142" s="111">
        <v>0</v>
      </c>
      <c r="Q142" s="111">
        <v>0</v>
      </c>
      <c r="R142" s="111">
        <v>0</v>
      </c>
      <c r="S142" s="111">
        <v>0</v>
      </c>
      <c r="T142" s="111">
        <v>0</v>
      </c>
      <c r="U142" s="111">
        <v>0</v>
      </c>
      <c r="V142" s="111">
        <v>0</v>
      </c>
      <c r="W142" s="111">
        <v>0</v>
      </c>
      <c r="X142" s="111">
        <v>0</v>
      </c>
      <c r="Y142" s="111">
        <v>0</v>
      </c>
      <c r="Z142" s="111">
        <v>0</v>
      </c>
      <c r="AA142" s="111">
        <v>0</v>
      </c>
      <c r="AB142" s="111">
        <v>0</v>
      </c>
      <c r="AC142" s="111">
        <v>0</v>
      </c>
      <c r="AD142" s="111">
        <v>0</v>
      </c>
      <c r="AE142" s="111">
        <v>0</v>
      </c>
      <c r="AF142" s="111">
        <v>0</v>
      </c>
      <c r="AG142" s="111">
        <v>0</v>
      </c>
      <c r="AH142" s="111">
        <v>0</v>
      </c>
      <c r="AI142" s="111">
        <v>0</v>
      </c>
      <c r="AJ142" s="111">
        <v>0</v>
      </c>
      <c r="AK142" s="111">
        <v>0</v>
      </c>
      <c r="AL142" s="111">
        <v>0</v>
      </c>
      <c r="AM142" s="111">
        <v>0</v>
      </c>
      <c r="AN142" s="111">
        <v>0</v>
      </c>
      <c r="AO142" s="111">
        <v>0</v>
      </c>
      <c r="AP142" s="111">
        <v>0</v>
      </c>
      <c r="AQ142" s="111">
        <v>0</v>
      </c>
      <c r="AR142" s="111">
        <v>0</v>
      </c>
      <c r="AS142" s="111">
        <v>0</v>
      </c>
      <c r="AT142" s="111">
        <v>0</v>
      </c>
      <c r="AU142" s="111">
        <v>0</v>
      </c>
      <c r="AV142" s="111">
        <v>0</v>
      </c>
      <c r="AW142" s="111">
        <v>0</v>
      </c>
      <c r="AX142" s="111">
        <v>0</v>
      </c>
      <c r="AY142" s="111">
        <v>0</v>
      </c>
    </row>
    <row r="143" spans="1:51" x14ac:dyDescent="0.2">
      <c r="A143" s="114"/>
      <c r="B143" s="125">
        <v>22</v>
      </c>
      <c r="C143" s="111">
        <v>0</v>
      </c>
      <c r="D143" s="111">
        <v>0</v>
      </c>
      <c r="E143" s="111">
        <v>0</v>
      </c>
      <c r="F143" s="111">
        <v>0</v>
      </c>
      <c r="G143" s="111">
        <v>0</v>
      </c>
      <c r="H143" s="111">
        <v>0</v>
      </c>
      <c r="I143" s="111">
        <v>0</v>
      </c>
      <c r="J143" s="111">
        <v>0</v>
      </c>
      <c r="K143" s="111">
        <v>0</v>
      </c>
      <c r="L143" s="111">
        <v>0</v>
      </c>
      <c r="M143" s="111">
        <v>0</v>
      </c>
      <c r="N143" s="111">
        <v>0</v>
      </c>
      <c r="O143" s="111">
        <v>0</v>
      </c>
      <c r="P143" s="111">
        <v>0</v>
      </c>
      <c r="Q143" s="111">
        <v>0</v>
      </c>
      <c r="R143" s="111">
        <v>0</v>
      </c>
      <c r="S143" s="111">
        <v>0</v>
      </c>
      <c r="T143" s="111">
        <v>0</v>
      </c>
      <c r="U143" s="111">
        <v>0</v>
      </c>
      <c r="V143" s="111">
        <v>0</v>
      </c>
      <c r="W143" s="111">
        <v>0</v>
      </c>
      <c r="X143" s="111">
        <v>0</v>
      </c>
      <c r="Y143" s="111">
        <v>0</v>
      </c>
      <c r="Z143" s="111">
        <v>0</v>
      </c>
      <c r="AA143" s="111">
        <v>0</v>
      </c>
      <c r="AB143" s="111">
        <v>0</v>
      </c>
      <c r="AC143" s="111">
        <v>0</v>
      </c>
      <c r="AD143" s="111">
        <v>0</v>
      </c>
      <c r="AE143" s="111">
        <v>0</v>
      </c>
      <c r="AF143" s="111">
        <v>0</v>
      </c>
      <c r="AG143" s="111">
        <v>0</v>
      </c>
      <c r="AH143" s="111">
        <v>0</v>
      </c>
      <c r="AI143" s="111">
        <v>0</v>
      </c>
      <c r="AJ143" s="111">
        <v>0</v>
      </c>
      <c r="AK143" s="111">
        <v>0</v>
      </c>
      <c r="AL143" s="111">
        <v>0</v>
      </c>
      <c r="AM143" s="111">
        <v>0</v>
      </c>
      <c r="AN143" s="111">
        <v>0</v>
      </c>
      <c r="AO143" s="111">
        <v>0</v>
      </c>
      <c r="AP143" s="111">
        <v>0</v>
      </c>
      <c r="AQ143" s="111">
        <v>0</v>
      </c>
      <c r="AR143" s="111">
        <v>0</v>
      </c>
      <c r="AS143" s="111">
        <v>0</v>
      </c>
      <c r="AT143" s="111">
        <v>0</v>
      </c>
      <c r="AU143" s="111">
        <v>0</v>
      </c>
      <c r="AV143" s="111">
        <v>0</v>
      </c>
      <c r="AW143" s="111">
        <v>0</v>
      </c>
      <c r="AX143" s="111">
        <v>0</v>
      </c>
      <c r="AY143" s="111">
        <v>0</v>
      </c>
    </row>
    <row r="144" spans="1:51" x14ac:dyDescent="0.2">
      <c r="A144" s="114"/>
      <c r="B144" s="125">
        <v>23</v>
      </c>
      <c r="C144" s="111">
        <v>0</v>
      </c>
      <c r="D144" s="111">
        <v>0</v>
      </c>
      <c r="E144" s="111">
        <v>0</v>
      </c>
      <c r="F144" s="111">
        <v>0</v>
      </c>
      <c r="G144" s="111">
        <v>0</v>
      </c>
      <c r="H144" s="111">
        <v>0</v>
      </c>
      <c r="I144" s="111">
        <v>0</v>
      </c>
      <c r="J144" s="111">
        <v>0</v>
      </c>
      <c r="K144" s="111">
        <v>0</v>
      </c>
      <c r="L144" s="111">
        <v>0</v>
      </c>
      <c r="M144" s="111">
        <v>0</v>
      </c>
      <c r="N144" s="111">
        <v>0</v>
      </c>
      <c r="O144" s="111">
        <v>0</v>
      </c>
      <c r="P144" s="111">
        <v>0</v>
      </c>
      <c r="Q144" s="111">
        <v>0</v>
      </c>
      <c r="R144" s="111">
        <v>0</v>
      </c>
      <c r="S144" s="111">
        <v>0</v>
      </c>
      <c r="T144" s="111">
        <v>0</v>
      </c>
      <c r="U144" s="111">
        <v>0</v>
      </c>
      <c r="V144" s="111">
        <v>0</v>
      </c>
      <c r="W144" s="111">
        <v>0</v>
      </c>
      <c r="X144" s="111">
        <v>0</v>
      </c>
      <c r="Y144" s="111">
        <v>0</v>
      </c>
      <c r="Z144" s="111">
        <v>0</v>
      </c>
      <c r="AA144" s="111">
        <v>0</v>
      </c>
      <c r="AB144" s="111">
        <v>0</v>
      </c>
      <c r="AC144" s="111">
        <v>0</v>
      </c>
      <c r="AD144" s="111">
        <v>0</v>
      </c>
      <c r="AE144" s="111">
        <v>0</v>
      </c>
      <c r="AF144" s="111">
        <v>0</v>
      </c>
      <c r="AG144" s="111">
        <v>0</v>
      </c>
      <c r="AH144" s="111">
        <v>0</v>
      </c>
      <c r="AI144" s="111">
        <v>0</v>
      </c>
      <c r="AJ144" s="111">
        <v>0</v>
      </c>
      <c r="AK144" s="111">
        <v>0</v>
      </c>
      <c r="AL144" s="111">
        <v>0</v>
      </c>
      <c r="AM144" s="111">
        <v>0</v>
      </c>
      <c r="AN144" s="111">
        <v>0</v>
      </c>
      <c r="AO144" s="111">
        <v>0</v>
      </c>
      <c r="AP144" s="111">
        <v>0</v>
      </c>
      <c r="AQ144" s="111">
        <v>0</v>
      </c>
      <c r="AR144" s="111">
        <v>0</v>
      </c>
      <c r="AS144" s="111">
        <v>0</v>
      </c>
      <c r="AT144" s="111">
        <v>0</v>
      </c>
      <c r="AU144" s="111">
        <v>0</v>
      </c>
      <c r="AV144" s="111">
        <v>0</v>
      </c>
      <c r="AW144" s="111">
        <v>0</v>
      </c>
      <c r="AX144" s="111">
        <v>0</v>
      </c>
      <c r="AY144" s="111">
        <v>0</v>
      </c>
    </row>
    <row r="145" spans="1:51" x14ac:dyDescent="0.2">
      <c r="A145" s="114"/>
      <c r="B145" s="125">
        <v>24</v>
      </c>
      <c r="C145" s="111">
        <v>0</v>
      </c>
      <c r="D145" s="111">
        <v>0</v>
      </c>
      <c r="E145" s="111">
        <v>0</v>
      </c>
      <c r="F145" s="111">
        <v>0</v>
      </c>
      <c r="G145" s="111">
        <v>0</v>
      </c>
      <c r="H145" s="111">
        <v>0</v>
      </c>
      <c r="I145" s="111">
        <v>0</v>
      </c>
      <c r="J145" s="111">
        <v>0</v>
      </c>
      <c r="K145" s="111">
        <v>0</v>
      </c>
      <c r="L145" s="111">
        <v>0</v>
      </c>
      <c r="M145" s="111">
        <v>0</v>
      </c>
      <c r="N145" s="111">
        <v>0</v>
      </c>
      <c r="O145" s="111">
        <v>0</v>
      </c>
      <c r="P145" s="111">
        <v>0</v>
      </c>
      <c r="Q145" s="111">
        <v>0</v>
      </c>
      <c r="R145" s="111">
        <v>0</v>
      </c>
      <c r="S145" s="111">
        <v>0</v>
      </c>
      <c r="T145" s="111">
        <v>0</v>
      </c>
      <c r="U145" s="111">
        <v>0</v>
      </c>
      <c r="V145" s="111">
        <v>0</v>
      </c>
      <c r="W145" s="111">
        <v>0</v>
      </c>
      <c r="X145" s="111">
        <v>0</v>
      </c>
      <c r="Y145" s="111">
        <v>0</v>
      </c>
      <c r="Z145" s="111">
        <v>0</v>
      </c>
      <c r="AA145" s="111">
        <v>0</v>
      </c>
      <c r="AB145" s="111">
        <v>0</v>
      </c>
      <c r="AC145" s="111">
        <v>0</v>
      </c>
      <c r="AD145" s="111">
        <v>0</v>
      </c>
      <c r="AE145" s="111">
        <v>0</v>
      </c>
      <c r="AF145" s="111">
        <v>0</v>
      </c>
      <c r="AG145" s="111">
        <v>0</v>
      </c>
      <c r="AH145" s="111">
        <v>0</v>
      </c>
      <c r="AI145" s="111">
        <v>0</v>
      </c>
      <c r="AJ145" s="111">
        <v>0</v>
      </c>
      <c r="AK145" s="111">
        <v>0</v>
      </c>
      <c r="AL145" s="111">
        <v>0</v>
      </c>
      <c r="AM145" s="111">
        <v>0</v>
      </c>
      <c r="AN145" s="111">
        <v>0</v>
      </c>
      <c r="AO145" s="111">
        <v>0</v>
      </c>
      <c r="AP145" s="111">
        <v>0</v>
      </c>
      <c r="AQ145" s="111">
        <v>0</v>
      </c>
      <c r="AR145" s="111">
        <v>0</v>
      </c>
      <c r="AS145" s="111">
        <v>0</v>
      </c>
      <c r="AT145" s="111">
        <v>0</v>
      </c>
      <c r="AU145" s="111">
        <v>0</v>
      </c>
      <c r="AV145" s="111">
        <v>0</v>
      </c>
      <c r="AW145" s="111">
        <v>0</v>
      </c>
      <c r="AX145" s="111">
        <v>0</v>
      </c>
      <c r="AY145" s="111">
        <v>0</v>
      </c>
    </row>
    <row r="146" spans="1:51" x14ac:dyDescent="0.2">
      <c r="A146" s="114"/>
      <c r="B146" s="132">
        <v>25</v>
      </c>
      <c r="C146" s="111">
        <v>0</v>
      </c>
      <c r="D146" s="111">
        <v>0</v>
      </c>
      <c r="E146" s="111">
        <v>0</v>
      </c>
      <c r="F146" s="111">
        <v>0</v>
      </c>
      <c r="G146" s="111">
        <v>0</v>
      </c>
      <c r="H146" s="111">
        <v>0</v>
      </c>
      <c r="I146" s="111">
        <v>0</v>
      </c>
      <c r="J146" s="111">
        <v>0</v>
      </c>
      <c r="K146" s="111">
        <v>0</v>
      </c>
      <c r="L146" s="111">
        <v>0</v>
      </c>
      <c r="M146" s="111">
        <v>0</v>
      </c>
      <c r="N146" s="111">
        <v>0</v>
      </c>
      <c r="O146" s="111">
        <v>0</v>
      </c>
      <c r="P146" s="111">
        <v>0</v>
      </c>
      <c r="Q146" s="111">
        <v>0</v>
      </c>
      <c r="R146" s="111">
        <v>0</v>
      </c>
      <c r="S146" s="111">
        <v>0</v>
      </c>
      <c r="T146" s="111">
        <v>0</v>
      </c>
      <c r="U146" s="111">
        <v>0</v>
      </c>
      <c r="V146" s="111">
        <v>0</v>
      </c>
      <c r="W146" s="111">
        <v>0</v>
      </c>
      <c r="X146" s="111">
        <v>0</v>
      </c>
      <c r="Y146" s="111">
        <v>0</v>
      </c>
      <c r="Z146" s="111">
        <v>0</v>
      </c>
      <c r="AA146" s="111">
        <v>0</v>
      </c>
      <c r="AB146" s="111">
        <v>0</v>
      </c>
      <c r="AC146" s="111">
        <v>0</v>
      </c>
      <c r="AD146" s="111">
        <v>0</v>
      </c>
      <c r="AE146" s="111">
        <v>0</v>
      </c>
      <c r="AF146" s="111">
        <v>0</v>
      </c>
      <c r="AG146" s="111">
        <v>0</v>
      </c>
      <c r="AH146" s="111">
        <v>0</v>
      </c>
      <c r="AI146" s="111">
        <v>0</v>
      </c>
      <c r="AJ146" s="111">
        <v>0</v>
      </c>
      <c r="AK146" s="111">
        <v>0</v>
      </c>
      <c r="AL146" s="111">
        <v>0</v>
      </c>
      <c r="AM146" s="111">
        <v>0</v>
      </c>
      <c r="AN146" s="111">
        <v>0</v>
      </c>
      <c r="AO146" s="111">
        <v>0</v>
      </c>
      <c r="AP146" s="111">
        <v>0</v>
      </c>
      <c r="AQ146" s="111">
        <v>0</v>
      </c>
      <c r="AR146" s="111">
        <v>0</v>
      </c>
      <c r="AS146" s="111">
        <v>0</v>
      </c>
      <c r="AT146" s="111">
        <v>0</v>
      </c>
      <c r="AU146" s="111">
        <v>0</v>
      </c>
      <c r="AV146" s="111">
        <v>0</v>
      </c>
      <c r="AW146" s="111">
        <v>0</v>
      </c>
      <c r="AX146" s="111">
        <v>0</v>
      </c>
      <c r="AY146" s="111">
        <v>0</v>
      </c>
    </row>
    <row r="147" spans="1:51" x14ac:dyDescent="0.2">
      <c r="A147" s="114"/>
      <c r="B147" s="132">
        <v>26</v>
      </c>
      <c r="C147" s="111">
        <v>0</v>
      </c>
      <c r="D147" s="111">
        <v>0</v>
      </c>
      <c r="E147" s="111">
        <v>0</v>
      </c>
      <c r="F147" s="111">
        <v>0</v>
      </c>
      <c r="G147" s="111">
        <v>0</v>
      </c>
      <c r="H147" s="111">
        <v>0</v>
      </c>
      <c r="I147" s="111">
        <v>0</v>
      </c>
      <c r="J147" s="111">
        <v>0</v>
      </c>
      <c r="K147" s="111">
        <v>0</v>
      </c>
      <c r="L147" s="111">
        <v>0</v>
      </c>
      <c r="M147" s="111">
        <v>0</v>
      </c>
      <c r="N147" s="111">
        <v>0</v>
      </c>
      <c r="O147" s="111">
        <v>0</v>
      </c>
      <c r="P147" s="111">
        <v>0</v>
      </c>
      <c r="Q147" s="111">
        <v>0</v>
      </c>
      <c r="R147" s="111">
        <v>0</v>
      </c>
      <c r="S147" s="111">
        <v>0</v>
      </c>
      <c r="T147" s="111">
        <v>0</v>
      </c>
      <c r="U147" s="111">
        <v>0</v>
      </c>
      <c r="V147" s="111">
        <v>0</v>
      </c>
      <c r="W147" s="111">
        <v>0</v>
      </c>
      <c r="X147" s="111">
        <v>0</v>
      </c>
      <c r="Y147" s="111">
        <v>0</v>
      </c>
      <c r="Z147" s="111">
        <v>0</v>
      </c>
      <c r="AA147" s="111">
        <v>0</v>
      </c>
      <c r="AB147" s="111">
        <v>0</v>
      </c>
      <c r="AC147" s="111">
        <v>0</v>
      </c>
      <c r="AD147" s="111">
        <v>0</v>
      </c>
      <c r="AE147" s="111">
        <v>0</v>
      </c>
      <c r="AF147" s="111">
        <v>0</v>
      </c>
      <c r="AG147" s="111">
        <v>0</v>
      </c>
      <c r="AH147" s="111">
        <v>0</v>
      </c>
      <c r="AI147" s="111">
        <v>0</v>
      </c>
      <c r="AJ147" s="111">
        <v>0</v>
      </c>
      <c r="AK147" s="111">
        <v>0</v>
      </c>
      <c r="AL147" s="111">
        <v>0</v>
      </c>
      <c r="AM147" s="111">
        <v>0</v>
      </c>
      <c r="AN147" s="111">
        <v>0</v>
      </c>
      <c r="AO147" s="111">
        <v>0</v>
      </c>
      <c r="AP147" s="111">
        <v>0</v>
      </c>
      <c r="AQ147" s="111">
        <v>0</v>
      </c>
      <c r="AR147" s="111">
        <v>0</v>
      </c>
      <c r="AS147" s="111">
        <v>0</v>
      </c>
      <c r="AT147" s="111">
        <v>0</v>
      </c>
      <c r="AU147" s="111">
        <v>0</v>
      </c>
      <c r="AV147" s="111">
        <v>0</v>
      </c>
      <c r="AW147" s="111">
        <v>0</v>
      </c>
      <c r="AX147" s="111">
        <v>0</v>
      </c>
      <c r="AY147" s="111">
        <v>0</v>
      </c>
    </row>
    <row r="148" spans="1:51" x14ac:dyDescent="0.2">
      <c r="A148" s="114"/>
      <c r="B148" s="132">
        <v>27</v>
      </c>
      <c r="C148" s="111">
        <v>0</v>
      </c>
      <c r="D148" s="111">
        <v>0</v>
      </c>
      <c r="E148" s="111">
        <v>0</v>
      </c>
      <c r="F148" s="111">
        <v>0</v>
      </c>
      <c r="G148" s="111">
        <v>0</v>
      </c>
      <c r="H148" s="111">
        <v>0</v>
      </c>
      <c r="I148" s="111">
        <v>0</v>
      </c>
      <c r="J148" s="111">
        <v>0</v>
      </c>
      <c r="K148" s="111">
        <v>0</v>
      </c>
      <c r="L148" s="111">
        <v>0</v>
      </c>
      <c r="M148" s="111">
        <v>0</v>
      </c>
      <c r="N148" s="111">
        <v>0</v>
      </c>
      <c r="O148" s="111">
        <v>0</v>
      </c>
      <c r="P148" s="111">
        <v>0</v>
      </c>
      <c r="Q148" s="111">
        <v>0</v>
      </c>
      <c r="R148" s="111">
        <v>0</v>
      </c>
      <c r="S148" s="111">
        <v>0</v>
      </c>
      <c r="T148" s="111">
        <v>0</v>
      </c>
      <c r="U148" s="111">
        <v>0</v>
      </c>
      <c r="V148" s="111">
        <v>0</v>
      </c>
      <c r="W148" s="111">
        <v>0</v>
      </c>
      <c r="X148" s="111">
        <v>0</v>
      </c>
      <c r="Y148" s="111">
        <v>0</v>
      </c>
      <c r="Z148" s="111">
        <v>0</v>
      </c>
      <c r="AA148" s="111">
        <v>0</v>
      </c>
      <c r="AB148" s="111">
        <v>0</v>
      </c>
      <c r="AC148" s="111">
        <v>0</v>
      </c>
      <c r="AD148" s="111">
        <v>0</v>
      </c>
      <c r="AE148" s="111">
        <v>0</v>
      </c>
      <c r="AF148" s="111">
        <v>0</v>
      </c>
      <c r="AG148" s="111">
        <v>0</v>
      </c>
      <c r="AH148" s="111">
        <v>0</v>
      </c>
      <c r="AI148" s="111">
        <v>0</v>
      </c>
      <c r="AJ148" s="111">
        <v>0</v>
      </c>
      <c r="AK148" s="111">
        <v>0</v>
      </c>
      <c r="AL148" s="111">
        <v>0</v>
      </c>
      <c r="AM148" s="111">
        <v>0</v>
      </c>
      <c r="AN148" s="111">
        <v>0</v>
      </c>
      <c r="AO148" s="111">
        <v>0</v>
      </c>
      <c r="AP148" s="111">
        <v>0</v>
      </c>
      <c r="AQ148" s="111">
        <v>0</v>
      </c>
      <c r="AR148" s="111">
        <v>0</v>
      </c>
      <c r="AS148" s="111">
        <v>0</v>
      </c>
      <c r="AT148" s="111">
        <v>0</v>
      </c>
      <c r="AU148" s="111">
        <v>0</v>
      </c>
      <c r="AV148" s="111">
        <v>0</v>
      </c>
      <c r="AW148" s="111">
        <v>0</v>
      </c>
      <c r="AX148" s="111">
        <v>0</v>
      </c>
      <c r="AY148" s="111">
        <v>0</v>
      </c>
    </row>
    <row r="149" spans="1:51" x14ac:dyDescent="0.2">
      <c r="A149" s="114"/>
      <c r="B149" s="132">
        <v>28</v>
      </c>
      <c r="C149" s="111">
        <v>0</v>
      </c>
      <c r="D149" s="111">
        <v>0</v>
      </c>
      <c r="E149" s="111">
        <v>0</v>
      </c>
      <c r="F149" s="111">
        <v>0</v>
      </c>
      <c r="G149" s="111">
        <v>0</v>
      </c>
      <c r="H149" s="111">
        <v>0</v>
      </c>
      <c r="I149" s="111">
        <v>0</v>
      </c>
      <c r="J149" s="111">
        <v>0</v>
      </c>
      <c r="K149" s="111">
        <v>0</v>
      </c>
      <c r="L149" s="111">
        <v>0</v>
      </c>
      <c r="M149" s="111">
        <v>0</v>
      </c>
      <c r="N149" s="111">
        <v>0</v>
      </c>
      <c r="O149" s="111">
        <v>0</v>
      </c>
      <c r="P149" s="111">
        <v>0</v>
      </c>
      <c r="Q149" s="111">
        <v>0</v>
      </c>
      <c r="R149" s="111">
        <v>0</v>
      </c>
      <c r="S149" s="111">
        <v>0</v>
      </c>
      <c r="T149" s="111">
        <v>0</v>
      </c>
      <c r="U149" s="111">
        <v>0</v>
      </c>
      <c r="V149" s="111">
        <v>0</v>
      </c>
      <c r="W149" s="111">
        <v>0</v>
      </c>
      <c r="X149" s="111">
        <v>0</v>
      </c>
      <c r="Y149" s="111">
        <v>0</v>
      </c>
      <c r="Z149" s="111">
        <v>0</v>
      </c>
      <c r="AA149" s="111">
        <v>0</v>
      </c>
      <c r="AB149" s="111">
        <v>0</v>
      </c>
      <c r="AC149" s="111">
        <v>0</v>
      </c>
      <c r="AD149" s="111">
        <v>0</v>
      </c>
      <c r="AE149" s="111">
        <v>0</v>
      </c>
      <c r="AF149" s="111">
        <v>0</v>
      </c>
      <c r="AG149" s="111">
        <v>0</v>
      </c>
      <c r="AH149" s="111">
        <v>0</v>
      </c>
      <c r="AI149" s="111">
        <v>0</v>
      </c>
      <c r="AJ149" s="111">
        <v>0</v>
      </c>
      <c r="AK149" s="111">
        <v>0</v>
      </c>
      <c r="AL149" s="111">
        <v>0</v>
      </c>
      <c r="AM149" s="111">
        <v>0</v>
      </c>
      <c r="AN149" s="111">
        <v>0</v>
      </c>
      <c r="AO149" s="111">
        <v>0</v>
      </c>
      <c r="AP149" s="111">
        <v>0</v>
      </c>
      <c r="AQ149" s="111">
        <v>0</v>
      </c>
      <c r="AR149" s="111">
        <v>0</v>
      </c>
      <c r="AS149" s="111">
        <v>0</v>
      </c>
      <c r="AT149" s="111">
        <v>0</v>
      </c>
      <c r="AU149" s="111">
        <v>0</v>
      </c>
      <c r="AV149" s="111">
        <v>0</v>
      </c>
      <c r="AW149" s="111">
        <v>0</v>
      </c>
      <c r="AX149" s="111">
        <v>0</v>
      </c>
      <c r="AY149" s="111">
        <v>0</v>
      </c>
    </row>
    <row r="150" spans="1:51" x14ac:dyDescent="0.2">
      <c r="A150" s="114"/>
      <c r="B150" s="132">
        <v>29</v>
      </c>
      <c r="C150" s="111">
        <v>0</v>
      </c>
      <c r="D150" s="111">
        <v>0</v>
      </c>
      <c r="E150" s="111">
        <v>0</v>
      </c>
      <c r="F150" s="111">
        <v>0</v>
      </c>
      <c r="G150" s="111">
        <v>0</v>
      </c>
      <c r="H150" s="111">
        <v>0</v>
      </c>
      <c r="I150" s="111">
        <v>0</v>
      </c>
      <c r="J150" s="111">
        <v>0</v>
      </c>
      <c r="K150" s="111">
        <v>0</v>
      </c>
      <c r="L150" s="111">
        <v>0</v>
      </c>
      <c r="M150" s="111">
        <v>0</v>
      </c>
      <c r="N150" s="111">
        <v>0</v>
      </c>
      <c r="O150" s="111">
        <v>0</v>
      </c>
      <c r="P150" s="111">
        <v>0</v>
      </c>
      <c r="Q150" s="111">
        <v>0</v>
      </c>
      <c r="R150" s="111">
        <v>0</v>
      </c>
      <c r="S150" s="111">
        <v>0</v>
      </c>
      <c r="T150" s="111">
        <v>0</v>
      </c>
      <c r="U150" s="111">
        <v>0</v>
      </c>
      <c r="V150" s="111">
        <v>0</v>
      </c>
      <c r="W150" s="111">
        <v>0</v>
      </c>
      <c r="X150" s="111">
        <v>0</v>
      </c>
      <c r="Y150" s="111">
        <v>0</v>
      </c>
      <c r="Z150" s="111">
        <v>0</v>
      </c>
      <c r="AA150" s="111">
        <v>0</v>
      </c>
      <c r="AB150" s="111">
        <v>0</v>
      </c>
      <c r="AC150" s="111">
        <v>0</v>
      </c>
      <c r="AD150" s="111">
        <v>0</v>
      </c>
      <c r="AE150" s="111">
        <v>0</v>
      </c>
      <c r="AF150" s="111">
        <v>0</v>
      </c>
      <c r="AG150" s="111">
        <v>0</v>
      </c>
      <c r="AH150" s="111">
        <v>0</v>
      </c>
      <c r="AI150" s="111">
        <v>0</v>
      </c>
      <c r="AJ150" s="111">
        <v>0</v>
      </c>
      <c r="AK150" s="111">
        <v>0</v>
      </c>
      <c r="AL150" s="111">
        <v>0</v>
      </c>
      <c r="AM150" s="111">
        <v>0</v>
      </c>
      <c r="AN150" s="111">
        <v>0</v>
      </c>
      <c r="AO150" s="111">
        <v>0</v>
      </c>
      <c r="AP150" s="111">
        <v>0</v>
      </c>
      <c r="AQ150" s="111">
        <v>0</v>
      </c>
      <c r="AR150" s="111">
        <v>0</v>
      </c>
      <c r="AS150" s="111">
        <v>0</v>
      </c>
      <c r="AT150" s="111">
        <v>0</v>
      </c>
      <c r="AU150" s="111">
        <v>0</v>
      </c>
      <c r="AV150" s="111">
        <v>0</v>
      </c>
      <c r="AW150" s="111">
        <v>0</v>
      </c>
      <c r="AX150" s="111">
        <v>0</v>
      </c>
      <c r="AY150" s="111">
        <v>0</v>
      </c>
    </row>
    <row r="151" spans="1:51" x14ac:dyDescent="0.2">
      <c r="A151" s="114"/>
      <c r="B151" s="132">
        <v>30</v>
      </c>
      <c r="C151" s="111">
        <v>0</v>
      </c>
      <c r="D151" s="111">
        <v>0</v>
      </c>
      <c r="E151" s="111">
        <v>0</v>
      </c>
      <c r="F151" s="111">
        <v>0</v>
      </c>
      <c r="G151" s="111">
        <v>0</v>
      </c>
      <c r="H151" s="111">
        <v>0</v>
      </c>
      <c r="I151" s="111">
        <v>0</v>
      </c>
      <c r="J151" s="111">
        <v>0</v>
      </c>
      <c r="K151" s="111">
        <v>0</v>
      </c>
      <c r="L151" s="111">
        <v>0</v>
      </c>
      <c r="M151" s="111">
        <v>0</v>
      </c>
      <c r="N151" s="111">
        <v>0</v>
      </c>
      <c r="O151" s="111">
        <v>0</v>
      </c>
      <c r="P151" s="111">
        <v>0</v>
      </c>
      <c r="Q151" s="111">
        <v>0</v>
      </c>
      <c r="R151" s="111">
        <v>0</v>
      </c>
      <c r="S151" s="111">
        <v>0</v>
      </c>
      <c r="T151" s="111">
        <v>0</v>
      </c>
      <c r="U151" s="111">
        <v>0</v>
      </c>
      <c r="V151" s="111">
        <v>0</v>
      </c>
      <c r="W151" s="111">
        <v>0</v>
      </c>
      <c r="X151" s="111">
        <v>0</v>
      </c>
      <c r="Y151" s="111">
        <v>0</v>
      </c>
      <c r="Z151" s="111">
        <v>0</v>
      </c>
      <c r="AA151" s="111">
        <v>0</v>
      </c>
      <c r="AB151" s="111">
        <v>0</v>
      </c>
      <c r="AC151" s="111">
        <v>0</v>
      </c>
      <c r="AD151" s="111">
        <v>0</v>
      </c>
      <c r="AE151" s="111">
        <v>0</v>
      </c>
      <c r="AF151" s="111">
        <v>0</v>
      </c>
      <c r="AG151" s="111">
        <v>0</v>
      </c>
      <c r="AH151" s="111">
        <v>0</v>
      </c>
      <c r="AI151" s="111">
        <v>0</v>
      </c>
      <c r="AJ151" s="111">
        <v>0</v>
      </c>
      <c r="AK151" s="111">
        <v>0</v>
      </c>
      <c r="AL151" s="111">
        <v>0</v>
      </c>
      <c r="AM151" s="111">
        <v>0</v>
      </c>
      <c r="AN151" s="111">
        <v>0</v>
      </c>
      <c r="AO151" s="111">
        <v>0</v>
      </c>
      <c r="AP151" s="111">
        <v>0</v>
      </c>
      <c r="AQ151" s="111">
        <v>0</v>
      </c>
      <c r="AR151" s="111">
        <v>0</v>
      </c>
      <c r="AS151" s="111">
        <v>0</v>
      </c>
      <c r="AT151" s="111">
        <v>0</v>
      </c>
      <c r="AU151" s="111">
        <v>0</v>
      </c>
      <c r="AV151" s="111">
        <v>0</v>
      </c>
      <c r="AW151" s="111">
        <v>0</v>
      </c>
      <c r="AX151" s="111">
        <v>0</v>
      </c>
      <c r="AY151" s="111">
        <v>0</v>
      </c>
    </row>
    <row r="152" spans="1:51" x14ac:dyDescent="0.2">
      <c r="A152" s="114"/>
      <c r="B152" s="132">
        <v>31</v>
      </c>
      <c r="C152" s="111">
        <v>0</v>
      </c>
      <c r="D152" s="111">
        <v>0</v>
      </c>
      <c r="E152" s="111">
        <v>0</v>
      </c>
      <c r="F152" s="111">
        <v>0</v>
      </c>
      <c r="G152" s="111">
        <v>0</v>
      </c>
      <c r="H152" s="111">
        <v>0</v>
      </c>
      <c r="I152" s="111">
        <v>0</v>
      </c>
      <c r="J152" s="111">
        <v>0</v>
      </c>
      <c r="K152" s="111">
        <v>0</v>
      </c>
      <c r="L152" s="111">
        <v>0</v>
      </c>
      <c r="M152" s="111">
        <v>0</v>
      </c>
      <c r="N152" s="111">
        <v>0</v>
      </c>
      <c r="O152" s="111">
        <v>0</v>
      </c>
      <c r="P152" s="111">
        <v>0</v>
      </c>
      <c r="Q152" s="111">
        <v>0</v>
      </c>
      <c r="R152" s="111">
        <v>0</v>
      </c>
      <c r="S152" s="111">
        <v>0</v>
      </c>
      <c r="T152" s="111">
        <v>0</v>
      </c>
      <c r="U152" s="111">
        <v>0</v>
      </c>
      <c r="V152" s="111">
        <v>0</v>
      </c>
      <c r="W152" s="111">
        <v>0</v>
      </c>
      <c r="X152" s="111">
        <v>0</v>
      </c>
      <c r="Y152" s="111">
        <v>0</v>
      </c>
      <c r="Z152" s="111">
        <v>0</v>
      </c>
      <c r="AA152" s="111">
        <v>0</v>
      </c>
      <c r="AB152" s="111">
        <v>0</v>
      </c>
      <c r="AC152" s="111">
        <v>0</v>
      </c>
      <c r="AD152" s="111">
        <v>0</v>
      </c>
      <c r="AE152" s="111">
        <v>0</v>
      </c>
      <c r="AF152" s="111">
        <v>0</v>
      </c>
      <c r="AG152" s="111">
        <v>0</v>
      </c>
      <c r="AH152" s="111">
        <v>0</v>
      </c>
      <c r="AI152" s="111">
        <v>0</v>
      </c>
      <c r="AJ152" s="111">
        <v>0</v>
      </c>
      <c r="AK152" s="111">
        <v>0</v>
      </c>
      <c r="AL152" s="111">
        <v>0</v>
      </c>
      <c r="AM152" s="111">
        <v>0</v>
      </c>
      <c r="AN152" s="111">
        <v>0</v>
      </c>
      <c r="AO152" s="111">
        <v>0</v>
      </c>
      <c r="AP152" s="111">
        <v>0</v>
      </c>
      <c r="AQ152" s="111">
        <v>0</v>
      </c>
      <c r="AR152" s="111">
        <v>0</v>
      </c>
      <c r="AS152" s="111">
        <v>0</v>
      </c>
      <c r="AT152" s="111">
        <v>0</v>
      </c>
      <c r="AU152" s="111">
        <v>0</v>
      </c>
      <c r="AV152" s="111">
        <v>0</v>
      </c>
      <c r="AW152" s="111">
        <v>0</v>
      </c>
      <c r="AX152" s="111">
        <v>0</v>
      </c>
      <c r="AY152" s="111">
        <v>0</v>
      </c>
    </row>
    <row r="153" spans="1:51" x14ac:dyDescent="0.2">
      <c r="A153" s="114"/>
      <c r="B153" s="132">
        <v>32</v>
      </c>
      <c r="C153" s="111">
        <v>0</v>
      </c>
      <c r="D153" s="111">
        <v>0</v>
      </c>
      <c r="E153" s="111">
        <v>0</v>
      </c>
      <c r="F153" s="111">
        <v>0</v>
      </c>
      <c r="G153" s="111">
        <v>0</v>
      </c>
      <c r="H153" s="111">
        <v>0</v>
      </c>
      <c r="I153" s="111">
        <v>0</v>
      </c>
      <c r="J153" s="111">
        <v>0</v>
      </c>
      <c r="K153" s="111">
        <v>0</v>
      </c>
      <c r="L153" s="111">
        <v>0</v>
      </c>
      <c r="M153" s="111">
        <v>0</v>
      </c>
      <c r="N153" s="111">
        <v>0</v>
      </c>
      <c r="O153" s="111">
        <v>0</v>
      </c>
      <c r="P153" s="111">
        <v>0</v>
      </c>
      <c r="Q153" s="111">
        <v>0</v>
      </c>
      <c r="R153" s="111">
        <v>0</v>
      </c>
      <c r="S153" s="111">
        <v>0</v>
      </c>
      <c r="T153" s="111">
        <v>0</v>
      </c>
      <c r="U153" s="111">
        <v>0</v>
      </c>
      <c r="V153" s="111">
        <v>0</v>
      </c>
      <c r="W153" s="111">
        <v>0</v>
      </c>
      <c r="X153" s="111">
        <v>0</v>
      </c>
      <c r="Y153" s="111">
        <v>0</v>
      </c>
      <c r="Z153" s="111">
        <v>0</v>
      </c>
      <c r="AA153" s="111">
        <v>0</v>
      </c>
      <c r="AB153" s="111">
        <v>0</v>
      </c>
      <c r="AC153" s="111">
        <v>0</v>
      </c>
      <c r="AD153" s="111">
        <v>0</v>
      </c>
      <c r="AE153" s="111">
        <v>0</v>
      </c>
      <c r="AF153" s="111">
        <v>0</v>
      </c>
      <c r="AG153" s="111">
        <v>0</v>
      </c>
      <c r="AH153" s="111">
        <v>0</v>
      </c>
      <c r="AI153" s="111">
        <v>0</v>
      </c>
      <c r="AJ153" s="111">
        <v>0</v>
      </c>
      <c r="AK153" s="111">
        <v>0</v>
      </c>
      <c r="AL153" s="111">
        <v>0</v>
      </c>
      <c r="AM153" s="111">
        <v>0</v>
      </c>
      <c r="AN153" s="111">
        <v>0</v>
      </c>
      <c r="AO153" s="111">
        <v>0</v>
      </c>
      <c r="AP153" s="111">
        <v>0</v>
      </c>
      <c r="AQ153" s="111">
        <v>0</v>
      </c>
      <c r="AR153" s="111">
        <v>0</v>
      </c>
      <c r="AS153" s="111">
        <v>0</v>
      </c>
      <c r="AT153" s="111">
        <v>0</v>
      </c>
      <c r="AU153" s="111">
        <v>0</v>
      </c>
      <c r="AV153" s="111">
        <v>0</v>
      </c>
      <c r="AW153" s="111">
        <v>0</v>
      </c>
      <c r="AX153" s="111">
        <v>0</v>
      </c>
      <c r="AY153" s="111">
        <v>0</v>
      </c>
    </row>
    <row r="154" spans="1:51" x14ac:dyDescent="0.2">
      <c r="A154" s="114"/>
      <c r="B154" s="132">
        <v>33</v>
      </c>
      <c r="C154" s="111">
        <v>0</v>
      </c>
      <c r="D154" s="111">
        <v>0</v>
      </c>
      <c r="E154" s="111">
        <v>0</v>
      </c>
      <c r="F154" s="111">
        <v>0</v>
      </c>
      <c r="G154" s="111">
        <v>0</v>
      </c>
      <c r="H154" s="111">
        <v>0</v>
      </c>
      <c r="I154" s="111">
        <v>0</v>
      </c>
      <c r="J154" s="111">
        <v>0</v>
      </c>
      <c r="K154" s="111">
        <v>0</v>
      </c>
      <c r="L154" s="111">
        <v>0</v>
      </c>
      <c r="M154" s="111">
        <v>0</v>
      </c>
      <c r="N154" s="111">
        <v>0</v>
      </c>
      <c r="O154" s="111">
        <v>0</v>
      </c>
      <c r="P154" s="111">
        <v>0</v>
      </c>
      <c r="Q154" s="111">
        <v>0</v>
      </c>
      <c r="R154" s="111">
        <v>0</v>
      </c>
      <c r="S154" s="111">
        <v>0</v>
      </c>
      <c r="T154" s="111">
        <v>0</v>
      </c>
      <c r="U154" s="111">
        <v>0</v>
      </c>
      <c r="V154" s="111">
        <v>0</v>
      </c>
      <c r="W154" s="111">
        <v>0</v>
      </c>
      <c r="X154" s="111">
        <v>0</v>
      </c>
      <c r="Y154" s="111">
        <v>0</v>
      </c>
      <c r="Z154" s="111">
        <v>0</v>
      </c>
      <c r="AA154" s="111">
        <v>0</v>
      </c>
      <c r="AB154" s="111">
        <v>0</v>
      </c>
      <c r="AC154" s="111">
        <v>0</v>
      </c>
      <c r="AD154" s="111">
        <v>0</v>
      </c>
      <c r="AE154" s="111">
        <v>0</v>
      </c>
      <c r="AF154" s="111">
        <v>0</v>
      </c>
      <c r="AG154" s="111">
        <v>0</v>
      </c>
      <c r="AH154" s="111">
        <v>0</v>
      </c>
      <c r="AI154" s="111">
        <v>0</v>
      </c>
      <c r="AJ154" s="111">
        <v>0</v>
      </c>
      <c r="AK154" s="111">
        <v>0</v>
      </c>
      <c r="AL154" s="111">
        <v>0</v>
      </c>
      <c r="AM154" s="111">
        <v>0</v>
      </c>
      <c r="AN154" s="111">
        <v>0</v>
      </c>
      <c r="AO154" s="111">
        <v>0</v>
      </c>
      <c r="AP154" s="111">
        <v>0</v>
      </c>
      <c r="AQ154" s="111">
        <v>0</v>
      </c>
      <c r="AR154" s="111">
        <v>0</v>
      </c>
      <c r="AS154" s="111">
        <v>0</v>
      </c>
      <c r="AT154" s="111">
        <v>0</v>
      </c>
      <c r="AU154" s="111">
        <v>0</v>
      </c>
      <c r="AV154" s="111">
        <v>0</v>
      </c>
      <c r="AW154" s="111">
        <v>0</v>
      </c>
      <c r="AX154" s="111">
        <v>0</v>
      </c>
      <c r="AY154" s="111">
        <v>0</v>
      </c>
    </row>
    <row r="155" spans="1:51" x14ac:dyDescent="0.2">
      <c r="A155" s="114"/>
      <c r="B155" s="132">
        <v>34</v>
      </c>
      <c r="C155" s="111">
        <v>0</v>
      </c>
      <c r="D155" s="111">
        <v>0</v>
      </c>
      <c r="E155" s="111">
        <v>0</v>
      </c>
      <c r="F155" s="111">
        <v>0</v>
      </c>
      <c r="G155" s="111">
        <v>0</v>
      </c>
      <c r="H155" s="111">
        <v>0</v>
      </c>
      <c r="I155" s="111">
        <v>0</v>
      </c>
      <c r="J155" s="111">
        <v>0</v>
      </c>
      <c r="K155" s="111">
        <v>0</v>
      </c>
      <c r="L155" s="111">
        <v>0</v>
      </c>
      <c r="M155" s="111">
        <v>0</v>
      </c>
      <c r="N155" s="111">
        <v>0</v>
      </c>
      <c r="O155" s="111">
        <v>0</v>
      </c>
      <c r="P155" s="111">
        <v>0</v>
      </c>
      <c r="Q155" s="111">
        <v>0</v>
      </c>
      <c r="R155" s="111">
        <v>0</v>
      </c>
      <c r="S155" s="111">
        <v>0</v>
      </c>
      <c r="T155" s="111">
        <v>0</v>
      </c>
      <c r="U155" s="111">
        <v>0</v>
      </c>
      <c r="V155" s="111">
        <v>0</v>
      </c>
      <c r="W155" s="111">
        <v>0</v>
      </c>
      <c r="X155" s="111">
        <v>0</v>
      </c>
      <c r="Y155" s="111">
        <v>0</v>
      </c>
      <c r="Z155" s="111">
        <v>0</v>
      </c>
      <c r="AA155" s="111">
        <v>0</v>
      </c>
      <c r="AB155" s="111">
        <v>0</v>
      </c>
      <c r="AC155" s="111">
        <v>0</v>
      </c>
      <c r="AD155" s="111">
        <v>0</v>
      </c>
      <c r="AE155" s="111">
        <v>0</v>
      </c>
      <c r="AF155" s="111">
        <v>0</v>
      </c>
      <c r="AG155" s="111">
        <v>0</v>
      </c>
      <c r="AH155" s="111">
        <v>0</v>
      </c>
      <c r="AI155" s="111">
        <v>0</v>
      </c>
      <c r="AJ155" s="111">
        <v>0</v>
      </c>
      <c r="AK155" s="111">
        <v>0</v>
      </c>
      <c r="AL155" s="111">
        <v>0</v>
      </c>
      <c r="AM155" s="111">
        <v>0</v>
      </c>
      <c r="AN155" s="111">
        <v>0</v>
      </c>
      <c r="AO155" s="111">
        <v>0</v>
      </c>
      <c r="AP155" s="111">
        <v>0</v>
      </c>
      <c r="AQ155" s="111">
        <v>0</v>
      </c>
      <c r="AR155" s="111">
        <v>0</v>
      </c>
      <c r="AS155" s="111">
        <v>0</v>
      </c>
      <c r="AT155" s="111">
        <v>0</v>
      </c>
      <c r="AU155" s="111">
        <v>0</v>
      </c>
      <c r="AV155" s="111">
        <v>0</v>
      </c>
      <c r="AW155" s="111">
        <v>0</v>
      </c>
      <c r="AX155" s="111">
        <v>0</v>
      </c>
      <c r="AY155" s="111">
        <v>0</v>
      </c>
    </row>
    <row r="156" spans="1:51" x14ac:dyDescent="0.2">
      <c r="A156" s="114"/>
      <c r="B156" s="132">
        <v>35</v>
      </c>
      <c r="C156" s="111">
        <v>0</v>
      </c>
      <c r="D156" s="111">
        <v>0</v>
      </c>
      <c r="E156" s="111">
        <v>0</v>
      </c>
      <c r="F156" s="111">
        <v>0</v>
      </c>
      <c r="G156" s="111">
        <v>0</v>
      </c>
      <c r="H156" s="111">
        <v>0</v>
      </c>
      <c r="I156" s="111">
        <v>0</v>
      </c>
      <c r="J156" s="111">
        <v>0</v>
      </c>
      <c r="K156" s="111">
        <v>0</v>
      </c>
      <c r="L156" s="111">
        <v>0</v>
      </c>
      <c r="M156" s="111">
        <v>0</v>
      </c>
      <c r="N156" s="111">
        <v>0</v>
      </c>
      <c r="O156" s="111">
        <v>0</v>
      </c>
      <c r="P156" s="111">
        <v>0</v>
      </c>
      <c r="Q156" s="111">
        <v>0</v>
      </c>
      <c r="R156" s="111">
        <v>0</v>
      </c>
      <c r="S156" s="111">
        <v>0</v>
      </c>
      <c r="T156" s="111">
        <v>0</v>
      </c>
      <c r="U156" s="111">
        <v>0</v>
      </c>
      <c r="V156" s="111">
        <v>0</v>
      </c>
      <c r="W156" s="111">
        <v>0</v>
      </c>
      <c r="X156" s="111">
        <v>0</v>
      </c>
      <c r="Y156" s="111">
        <v>0</v>
      </c>
      <c r="Z156" s="111">
        <v>0</v>
      </c>
      <c r="AA156" s="111">
        <v>0</v>
      </c>
      <c r="AB156" s="111">
        <v>0</v>
      </c>
      <c r="AC156" s="111">
        <v>0</v>
      </c>
      <c r="AD156" s="111">
        <v>0</v>
      </c>
      <c r="AE156" s="111">
        <v>0</v>
      </c>
      <c r="AF156" s="111">
        <v>0</v>
      </c>
      <c r="AG156" s="111">
        <v>0</v>
      </c>
      <c r="AH156" s="111">
        <v>0</v>
      </c>
      <c r="AI156" s="111">
        <v>0</v>
      </c>
      <c r="AJ156" s="111">
        <v>0</v>
      </c>
      <c r="AK156" s="111">
        <v>0</v>
      </c>
      <c r="AL156" s="111">
        <v>0</v>
      </c>
      <c r="AM156" s="111">
        <v>0</v>
      </c>
      <c r="AN156" s="111">
        <v>0</v>
      </c>
      <c r="AO156" s="111">
        <v>0</v>
      </c>
      <c r="AP156" s="111">
        <v>0</v>
      </c>
      <c r="AQ156" s="111">
        <v>0</v>
      </c>
      <c r="AR156" s="111">
        <v>0</v>
      </c>
      <c r="AS156" s="111">
        <v>0</v>
      </c>
      <c r="AT156" s="111">
        <v>0</v>
      </c>
      <c r="AU156" s="111">
        <v>0</v>
      </c>
      <c r="AV156" s="111">
        <v>0</v>
      </c>
      <c r="AW156" s="111">
        <v>0</v>
      </c>
      <c r="AX156" s="111">
        <v>0</v>
      </c>
      <c r="AY156" s="111">
        <v>0</v>
      </c>
    </row>
    <row r="157" spans="1:51" x14ac:dyDescent="0.2">
      <c r="A157" s="114"/>
      <c r="B157" s="132">
        <v>36</v>
      </c>
      <c r="C157" s="111">
        <v>0</v>
      </c>
      <c r="D157" s="111">
        <v>0</v>
      </c>
      <c r="E157" s="111">
        <v>0</v>
      </c>
      <c r="F157" s="111">
        <v>0</v>
      </c>
      <c r="G157" s="111">
        <v>0</v>
      </c>
      <c r="H157" s="111">
        <v>0</v>
      </c>
      <c r="I157" s="111">
        <v>0</v>
      </c>
      <c r="J157" s="111">
        <v>0</v>
      </c>
      <c r="K157" s="111">
        <v>0</v>
      </c>
      <c r="L157" s="111">
        <v>0</v>
      </c>
      <c r="M157" s="111">
        <v>0</v>
      </c>
      <c r="N157" s="111">
        <v>0</v>
      </c>
      <c r="O157" s="111">
        <v>0</v>
      </c>
      <c r="P157" s="111">
        <v>0</v>
      </c>
      <c r="Q157" s="111">
        <v>0</v>
      </c>
      <c r="R157" s="111">
        <v>0</v>
      </c>
      <c r="S157" s="111">
        <v>0</v>
      </c>
      <c r="T157" s="111">
        <v>0</v>
      </c>
      <c r="U157" s="111">
        <v>0</v>
      </c>
      <c r="V157" s="111">
        <v>0</v>
      </c>
      <c r="W157" s="111">
        <v>0</v>
      </c>
      <c r="X157" s="111">
        <v>0</v>
      </c>
      <c r="Y157" s="111">
        <v>0</v>
      </c>
      <c r="Z157" s="111">
        <v>0</v>
      </c>
      <c r="AA157" s="111">
        <v>0</v>
      </c>
      <c r="AB157" s="111">
        <v>0</v>
      </c>
      <c r="AC157" s="111">
        <v>0</v>
      </c>
      <c r="AD157" s="111">
        <v>0</v>
      </c>
      <c r="AE157" s="111">
        <v>0</v>
      </c>
      <c r="AF157" s="111">
        <v>0</v>
      </c>
      <c r="AG157" s="111">
        <v>0</v>
      </c>
      <c r="AH157" s="111">
        <v>0</v>
      </c>
      <c r="AI157" s="111">
        <v>0</v>
      </c>
      <c r="AJ157" s="111">
        <v>0</v>
      </c>
      <c r="AK157" s="111">
        <v>0</v>
      </c>
      <c r="AL157" s="111">
        <v>0</v>
      </c>
      <c r="AM157" s="111">
        <v>0</v>
      </c>
      <c r="AN157" s="111">
        <v>0</v>
      </c>
      <c r="AO157" s="111">
        <v>0</v>
      </c>
      <c r="AP157" s="111">
        <v>0</v>
      </c>
      <c r="AQ157" s="111">
        <v>0</v>
      </c>
      <c r="AR157" s="111">
        <v>0</v>
      </c>
      <c r="AS157" s="111">
        <v>0</v>
      </c>
      <c r="AT157" s="111">
        <v>0</v>
      </c>
      <c r="AU157" s="111">
        <v>0</v>
      </c>
      <c r="AV157" s="111">
        <v>0</v>
      </c>
      <c r="AW157" s="111">
        <v>0</v>
      </c>
      <c r="AX157" s="111">
        <v>0</v>
      </c>
      <c r="AY157" s="111">
        <v>0</v>
      </c>
    </row>
    <row r="158" spans="1:51" x14ac:dyDescent="0.2">
      <c r="A158" s="114"/>
      <c r="B158" s="135">
        <v>37</v>
      </c>
      <c r="C158" s="111">
        <v>0</v>
      </c>
      <c r="D158" s="111">
        <v>0</v>
      </c>
      <c r="E158" s="111">
        <v>0</v>
      </c>
      <c r="F158" s="111">
        <v>0</v>
      </c>
      <c r="G158" s="111">
        <v>0</v>
      </c>
      <c r="H158" s="111">
        <v>0</v>
      </c>
      <c r="I158" s="111">
        <v>0</v>
      </c>
      <c r="J158" s="111">
        <v>0</v>
      </c>
      <c r="K158" s="111">
        <v>0</v>
      </c>
      <c r="L158" s="111">
        <v>0</v>
      </c>
      <c r="M158" s="111">
        <v>0</v>
      </c>
      <c r="N158" s="111">
        <v>0</v>
      </c>
      <c r="O158" s="111">
        <v>0</v>
      </c>
      <c r="P158" s="111">
        <v>0</v>
      </c>
      <c r="Q158" s="111">
        <v>0</v>
      </c>
      <c r="R158" s="111">
        <v>0</v>
      </c>
      <c r="S158" s="111">
        <v>0</v>
      </c>
      <c r="T158" s="111">
        <v>0</v>
      </c>
      <c r="U158" s="111">
        <v>0</v>
      </c>
      <c r="V158" s="111">
        <v>0</v>
      </c>
      <c r="W158" s="111">
        <v>0</v>
      </c>
      <c r="X158" s="111">
        <v>0</v>
      </c>
      <c r="Y158" s="111">
        <v>0</v>
      </c>
      <c r="Z158" s="111">
        <v>0</v>
      </c>
      <c r="AA158" s="111">
        <v>0</v>
      </c>
      <c r="AB158" s="111">
        <v>0</v>
      </c>
      <c r="AC158" s="111">
        <v>0</v>
      </c>
      <c r="AD158" s="111">
        <v>0</v>
      </c>
      <c r="AE158" s="111">
        <v>0</v>
      </c>
      <c r="AF158" s="111">
        <v>0</v>
      </c>
      <c r="AG158" s="111">
        <v>0</v>
      </c>
      <c r="AH158" s="111">
        <v>0</v>
      </c>
      <c r="AI158" s="111">
        <v>0</v>
      </c>
      <c r="AJ158" s="111">
        <v>0</v>
      </c>
      <c r="AK158" s="111">
        <v>0</v>
      </c>
      <c r="AL158" s="111">
        <v>0</v>
      </c>
      <c r="AM158" s="111">
        <v>0</v>
      </c>
      <c r="AN158" s="111">
        <v>0</v>
      </c>
      <c r="AO158" s="111">
        <v>0</v>
      </c>
      <c r="AP158" s="111">
        <v>0</v>
      </c>
      <c r="AQ158" s="111">
        <v>0</v>
      </c>
      <c r="AR158" s="111">
        <v>0</v>
      </c>
      <c r="AS158" s="111">
        <v>0</v>
      </c>
      <c r="AT158" s="111">
        <v>0</v>
      </c>
      <c r="AU158" s="111">
        <v>0</v>
      </c>
      <c r="AV158" s="111">
        <v>0</v>
      </c>
      <c r="AW158" s="111">
        <v>0</v>
      </c>
      <c r="AX158" s="111">
        <v>0</v>
      </c>
      <c r="AY158" s="111">
        <v>0</v>
      </c>
    </row>
    <row r="159" spans="1:51" x14ac:dyDescent="0.2">
      <c r="A159" s="114"/>
      <c r="B159" s="135">
        <v>38</v>
      </c>
      <c r="C159" s="111">
        <v>0</v>
      </c>
      <c r="D159" s="111">
        <v>0</v>
      </c>
      <c r="E159" s="111">
        <v>0</v>
      </c>
      <c r="F159" s="111">
        <v>0</v>
      </c>
      <c r="G159" s="111">
        <v>0</v>
      </c>
      <c r="H159" s="111">
        <v>0</v>
      </c>
      <c r="I159" s="111">
        <v>0</v>
      </c>
      <c r="J159" s="111">
        <v>0</v>
      </c>
      <c r="K159" s="111">
        <v>0</v>
      </c>
      <c r="L159" s="111">
        <v>0</v>
      </c>
      <c r="M159" s="111">
        <v>0</v>
      </c>
      <c r="N159" s="111">
        <v>0</v>
      </c>
      <c r="O159" s="111">
        <v>0</v>
      </c>
      <c r="P159" s="111">
        <v>0</v>
      </c>
      <c r="Q159" s="111">
        <v>0</v>
      </c>
      <c r="R159" s="111">
        <v>0</v>
      </c>
      <c r="S159" s="111">
        <v>0</v>
      </c>
      <c r="T159" s="111">
        <v>0</v>
      </c>
      <c r="U159" s="111">
        <v>0</v>
      </c>
      <c r="V159" s="111">
        <v>0</v>
      </c>
      <c r="W159" s="111">
        <v>0</v>
      </c>
      <c r="X159" s="111">
        <v>0</v>
      </c>
      <c r="Y159" s="111">
        <v>0</v>
      </c>
      <c r="Z159" s="111">
        <v>0</v>
      </c>
      <c r="AA159" s="111">
        <v>0</v>
      </c>
      <c r="AB159" s="111">
        <v>0</v>
      </c>
      <c r="AC159" s="111">
        <v>0</v>
      </c>
      <c r="AD159" s="111">
        <v>0</v>
      </c>
      <c r="AE159" s="111">
        <v>0</v>
      </c>
      <c r="AF159" s="111">
        <v>0</v>
      </c>
      <c r="AG159" s="111">
        <v>0</v>
      </c>
      <c r="AH159" s="111">
        <v>0</v>
      </c>
      <c r="AI159" s="111">
        <v>0</v>
      </c>
      <c r="AJ159" s="111">
        <v>0</v>
      </c>
      <c r="AK159" s="111">
        <v>0</v>
      </c>
      <c r="AL159" s="111">
        <v>0</v>
      </c>
      <c r="AM159" s="111">
        <v>0</v>
      </c>
      <c r="AN159" s="111">
        <v>0</v>
      </c>
      <c r="AO159" s="111">
        <v>0</v>
      </c>
      <c r="AP159" s="111">
        <v>0</v>
      </c>
      <c r="AQ159" s="111">
        <v>0</v>
      </c>
      <c r="AR159" s="111">
        <v>0</v>
      </c>
      <c r="AS159" s="111">
        <v>0</v>
      </c>
      <c r="AT159" s="111">
        <v>0</v>
      </c>
      <c r="AU159" s="111">
        <v>0</v>
      </c>
      <c r="AV159" s="111">
        <v>0</v>
      </c>
      <c r="AW159" s="111">
        <v>0</v>
      </c>
      <c r="AX159" s="111">
        <v>0</v>
      </c>
      <c r="AY159" s="111">
        <v>0</v>
      </c>
    </row>
    <row r="160" spans="1:51" x14ac:dyDescent="0.2">
      <c r="A160" s="114"/>
      <c r="B160" s="135">
        <v>39</v>
      </c>
      <c r="C160" s="111">
        <v>0</v>
      </c>
      <c r="D160" s="111">
        <v>0</v>
      </c>
      <c r="E160" s="111">
        <v>0</v>
      </c>
      <c r="F160" s="111">
        <v>0</v>
      </c>
      <c r="G160" s="111">
        <v>0</v>
      </c>
      <c r="H160" s="111">
        <v>0</v>
      </c>
      <c r="I160" s="111">
        <v>0</v>
      </c>
      <c r="J160" s="111">
        <v>0</v>
      </c>
      <c r="K160" s="111">
        <v>0</v>
      </c>
      <c r="L160" s="111">
        <v>0</v>
      </c>
      <c r="M160" s="111">
        <v>0</v>
      </c>
      <c r="N160" s="111">
        <v>0</v>
      </c>
      <c r="O160" s="111">
        <v>0</v>
      </c>
      <c r="P160" s="111">
        <v>0</v>
      </c>
      <c r="Q160" s="111">
        <v>0</v>
      </c>
      <c r="R160" s="111">
        <v>0</v>
      </c>
      <c r="S160" s="111">
        <v>0</v>
      </c>
      <c r="T160" s="111">
        <v>0</v>
      </c>
      <c r="U160" s="111">
        <v>0</v>
      </c>
      <c r="V160" s="111">
        <v>0</v>
      </c>
      <c r="W160" s="111">
        <v>0</v>
      </c>
      <c r="X160" s="111">
        <v>0</v>
      </c>
      <c r="Y160" s="111">
        <v>0</v>
      </c>
      <c r="Z160" s="111">
        <v>0</v>
      </c>
      <c r="AA160" s="111">
        <v>0</v>
      </c>
      <c r="AB160" s="111">
        <v>0</v>
      </c>
      <c r="AC160" s="111">
        <v>0</v>
      </c>
      <c r="AD160" s="111">
        <v>0</v>
      </c>
      <c r="AE160" s="111">
        <v>0</v>
      </c>
      <c r="AF160" s="111">
        <v>0</v>
      </c>
      <c r="AG160" s="111">
        <v>0</v>
      </c>
      <c r="AH160" s="111">
        <v>0</v>
      </c>
      <c r="AI160" s="111">
        <v>0</v>
      </c>
      <c r="AJ160" s="111">
        <v>0</v>
      </c>
      <c r="AK160" s="111">
        <v>0</v>
      </c>
      <c r="AL160" s="111">
        <v>0</v>
      </c>
      <c r="AM160" s="111">
        <v>0</v>
      </c>
      <c r="AN160" s="111">
        <v>0</v>
      </c>
      <c r="AO160" s="111">
        <v>0</v>
      </c>
      <c r="AP160" s="111">
        <v>0</v>
      </c>
      <c r="AQ160" s="111">
        <v>0</v>
      </c>
      <c r="AR160" s="111">
        <v>0</v>
      </c>
      <c r="AS160" s="111">
        <v>0</v>
      </c>
      <c r="AT160" s="111">
        <v>0</v>
      </c>
      <c r="AU160" s="111">
        <v>0</v>
      </c>
      <c r="AV160" s="111">
        <v>0</v>
      </c>
      <c r="AW160" s="111">
        <v>0</v>
      </c>
      <c r="AX160" s="111">
        <v>0</v>
      </c>
      <c r="AY160" s="111">
        <v>0</v>
      </c>
    </row>
    <row r="161" spans="1:52" x14ac:dyDescent="0.2">
      <c r="A161" s="114"/>
      <c r="B161" s="135">
        <v>40</v>
      </c>
      <c r="C161" s="111">
        <v>0</v>
      </c>
      <c r="D161" s="111">
        <v>0</v>
      </c>
      <c r="E161" s="111">
        <v>0</v>
      </c>
      <c r="F161" s="111">
        <v>0</v>
      </c>
      <c r="G161" s="111">
        <v>0</v>
      </c>
      <c r="H161" s="111">
        <v>0</v>
      </c>
      <c r="I161" s="111">
        <v>0</v>
      </c>
      <c r="J161" s="111">
        <v>0</v>
      </c>
      <c r="K161" s="111">
        <v>0</v>
      </c>
      <c r="L161" s="111">
        <v>0</v>
      </c>
      <c r="M161" s="111">
        <v>0</v>
      </c>
      <c r="N161" s="111">
        <v>0</v>
      </c>
      <c r="O161" s="111">
        <v>0</v>
      </c>
      <c r="P161" s="111">
        <v>0</v>
      </c>
      <c r="Q161" s="111">
        <v>0</v>
      </c>
      <c r="R161" s="111">
        <v>0</v>
      </c>
      <c r="S161" s="111">
        <v>0</v>
      </c>
      <c r="T161" s="111">
        <v>0</v>
      </c>
      <c r="U161" s="111">
        <v>0</v>
      </c>
      <c r="V161" s="111">
        <v>0</v>
      </c>
      <c r="W161" s="111">
        <v>0</v>
      </c>
      <c r="X161" s="111">
        <v>0</v>
      </c>
      <c r="Y161" s="111">
        <v>0</v>
      </c>
      <c r="Z161" s="111">
        <v>0</v>
      </c>
      <c r="AA161" s="111">
        <v>0</v>
      </c>
      <c r="AB161" s="111">
        <v>0</v>
      </c>
      <c r="AC161" s="111">
        <v>0</v>
      </c>
      <c r="AD161" s="111">
        <v>0</v>
      </c>
      <c r="AE161" s="111">
        <v>0</v>
      </c>
      <c r="AF161" s="111">
        <v>0</v>
      </c>
      <c r="AG161" s="111">
        <v>0</v>
      </c>
      <c r="AH161" s="111">
        <v>0</v>
      </c>
      <c r="AI161" s="111">
        <v>0</v>
      </c>
      <c r="AJ161" s="111">
        <v>0</v>
      </c>
      <c r="AK161" s="111">
        <v>0</v>
      </c>
      <c r="AL161" s="111">
        <v>0</v>
      </c>
      <c r="AM161" s="111">
        <v>0</v>
      </c>
      <c r="AN161" s="111">
        <v>0</v>
      </c>
      <c r="AO161" s="111">
        <v>0</v>
      </c>
      <c r="AP161" s="111">
        <v>0</v>
      </c>
      <c r="AQ161" s="111">
        <v>0</v>
      </c>
      <c r="AR161" s="111">
        <v>0</v>
      </c>
      <c r="AS161" s="111">
        <v>0</v>
      </c>
      <c r="AT161" s="111">
        <v>0</v>
      </c>
      <c r="AU161" s="111">
        <v>0</v>
      </c>
      <c r="AV161" s="111">
        <v>0</v>
      </c>
      <c r="AW161" s="111">
        <v>0</v>
      </c>
      <c r="AX161" s="111">
        <v>0</v>
      </c>
      <c r="AY161" s="111">
        <v>0</v>
      </c>
    </row>
    <row r="162" spans="1:52" x14ac:dyDescent="0.2">
      <c r="A162" s="114"/>
      <c r="B162" s="135">
        <v>41</v>
      </c>
      <c r="C162" s="111">
        <v>0</v>
      </c>
      <c r="D162" s="111">
        <v>0</v>
      </c>
      <c r="E162" s="111">
        <v>0</v>
      </c>
      <c r="F162" s="111">
        <v>0</v>
      </c>
      <c r="G162" s="111">
        <v>0</v>
      </c>
      <c r="H162" s="111">
        <v>0</v>
      </c>
      <c r="I162" s="111">
        <v>0</v>
      </c>
      <c r="J162" s="111">
        <v>0</v>
      </c>
      <c r="K162" s="111">
        <v>0</v>
      </c>
      <c r="L162" s="111">
        <v>0</v>
      </c>
      <c r="M162" s="111">
        <v>0</v>
      </c>
      <c r="N162" s="111">
        <v>0</v>
      </c>
      <c r="O162" s="111">
        <v>0</v>
      </c>
      <c r="P162" s="111">
        <v>0</v>
      </c>
      <c r="Q162" s="111">
        <v>0</v>
      </c>
      <c r="R162" s="111">
        <v>0</v>
      </c>
      <c r="S162" s="111">
        <v>0</v>
      </c>
      <c r="T162" s="111">
        <v>0</v>
      </c>
      <c r="U162" s="111">
        <v>0</v>
      </c>
      <c r="V162" s="111">
        <v>0</v>
      </c>
      <c r="W162" s="111">
        <v>0</v>
      </c>
      <c r="X162" s="111">
        <v>0</v>
      </c>
      <c r="Y162" s="111">
        <v>0</v>
      </c>
      <c r="Z162" s="111">
        <v>0</v>
      </c>
      <c r="AA162" s="111">
        <v>0</v>
      </c>
      <c r="AB162" s="111">
        <v>0</v>
      </c>
      <c r="AC162" s="111">
        <v>0</v>
      </c>
      <c r="AD162" s="111">
        <v>0</v>
      </c>
      <c r="AE162" s="111">
        <v>0</v>
      </c>
      <c r="AF162" s="111">
        <v>0</v>
      </c>
      <c r="AG162" s="111">
        <v>0</v>
      </c>
      <c r="AH162" s="111">
        <v>0</v>
      </c>
      <c r="AI162" s="111">
        <v>0</v>
      </c>
      <c r="AJ162" s="111">
        <v>0</v>
      </c>
      <c r="AK162" s="111">
        <v>0</v>
      </c>
      <c r="AL162" s="111">
        <v>0</v>
      </c>
      <c r="AM162" s="111">
        <v>0</v>
      </c>
      <c r="AN162" s="111">
        <v>0</v>
      </c>
      <c r="AO162" s="111">
        <v>0</v>
      </c>
      <c r="AP162" s="111">
        <v>0</v>
      </c>
      <c r="AQ162" s="111">
        <v>0</v>
      </c>
      <c r="AR162" s="111">
        <v>0</v>
      </c>
      <c r="AS162" s="111">
        <v>0</v>
      </c>
      <c r="AT162" s="111">
        <v>0</v>
      </c>
      <c r="AU162" s="111">
        <v>0</v>
      </c>
      <c r="AV162" s="111">
        <v>0</v>
      </c>
      <c r="AW162" s="111">
        <v>0</v>
      </c>
      <c r="AX162" s="111">
        <v>0</v>
      </c>
      <c r="AY162" s="111">
        <v>0</v>
      </c>
    </row>
    <row r="163" spans="1:52" x14ac:dyDescent="0.2">
      <c r="A163" s="114"/>
      <c r="B163" s="135">
        <v>42</v>
      </c>
      <c r="C163" s="111">
        <v>0</v>
      </c>
      <c r="D163" s="111">
        <v>0</v>
      </c>
      <c r="E163" s="111">
        <v>0</v>
      </c>
      <c r="F163" s="111">
        <v>0</v>
      </c>
      <c r="G163" s="111">
        <v>0</v>
      </c>
      <c r="H163" s="111">
        <v>0</v>
      </c>
      <c r="I163" s="111">
        <v>0</v>
      </c>
      <c r="J163" s="111">
        <v>0</v>
      </c>
      <c r="K163" s="111">
        <v>0</v>
      </c>
      <c r="L163" s="111">
        <v>0</v>
      </c>
      <c r="M163" s="111">
        <v>0</v>
      </c>
      <c r="N163" s="111">
        <v>0</v>
      </c>
      <c r="O163" s="111">
        <v>0</v>
      </c>
      <c r="P163" s="111">
        <v>0</v>
      </c>
      <c r="Q163" s="111">
        <v>0</v>
      </c>
      <c r="R163" s="111">
        <v>0</v>
      </c>
      <c r="S163" s="111">
        <v>0</v>
      </c>
      <c r="T163" s="111">
        <v>0</v>
      </c>
      <c r="U163" s="111">
        <v>0</v>
      </c>
      <c r="V163" s="111">
        <v>0</v>
      </c>
      <c r="W163" s="111">
        <v>0</v>
      </c>
      <c r="X163" s="111">
        <v>0</v>
      </c>
      <c r="Y163" s="111">
        <v>0</v>
      </c>
      <c r="Z163" s="111">
        <v>0</v>
      </c>
      <c r="AA163" s="111">
        <v>0</v>
      </c>
      <c r="AB163" s="111">
        <v>0</v>
      </c>
      <c r="AC163" s="111">
        <v>0</v>
      </c>
      <c r="AD163" s="111">
        <v>0</v>
      </c>
      <c r="AE163" s="111">
        <v>0</v>
      </c>
      <c r="AF163" s="111">
        <v>0</v>
      </c>
      <c r="AG163" s="111">
        <v>0</v>
      </c>
      <c r="AH163" s="111">
        <v>0</v>
      </c>
      <c r="AI163" s="111">
        <v>0</v>
      </c>
      <c r="AJ163" s="111">
        <v>0</v>
      </c>
      <c r="AK163" s="111">
        <v>0</v>
      </c>
      <c r="AL163" s="111">
        <v>0</v>
      </c>
      <c r="AM163" s="111">
        <v>0</v>
      </c>
      <c r="AN163" s="111">
        <v>0</v>
      </c>
      <c r="AO163" s="111">
        <v>0</v>
      </c>
      <c r="AP163" s="111">
        <v>0</v>
      </c>
      <c r="AQ163" s="111">
        <v>0</v>
      </c>
      <c r="AR163" s="111">
        <v>0</v>
      </c>
      <c r="AS163" s="111">
        <v>0</v>
      </c>
      <c r="AT163" s="111">
        <v>0</v>
      </c>
      <c r="AU163" s="111">
        <v>0</v>
      </c>
      <c r="AV163" s="111">
        <v>0</v>
      </c>
      <c r="AW163" s="111">
        <v>0</v>
      </c>
      <c r="AX163" s="111">
        <v>0</v>
      </c>
      <c r="AY163" s="111">
        <v>0</v>
      </c>
    </row>
    <row r="164" spans="1:52" x14ac:dyDescent="0.2">
      <c r="A164" s="114"/>
      <c r="B164" s="135">
        <v>43</v>
      </c>
      <c r="C164" s="111">
        <v>0</v>
      </c>
      <c r="D164" s="111">
        <v>0</v>
      </c>
      <c r="E164" s="111">
        <v>0</v>
      </c>
      <c r="F164" s="111">
        <v>0</v>
      </c>
      <c r="G164" s="111">
        <v>0</v>
      </c>
      <c r="H164" s="111">
        <v>0</v>
      </c>
      <c r="I164" s="111">
        <v>0</v>
      </c>
      <c r="J164" s="111">
        <v>0</v>
      </c>
      <c r="K164" s="111">
        <v>0</v>
      </c>
      <c r="L164" s="111">
        <v>0</v>
      </c>
      <c r="M164" s="111">
        <v>0</v>
      </c>
      <c r="N164" s="111">
        <v>0</v>
      </c>
      <c r="O164" s="111">
        <v>0</v>
      </c>
      <c r="P164" s="111">
        <v>0</v>
      </c>
      <c r="Q164" s="111">
        <v>0</v>
      </c>
      <c r="R164" s="111">
        <v>0</v>
      </c>
      <c r="S164" s="111">
        <v>0</v>
      </c>
      <c r="T164" s="111">
        <v>0</v>
      </c>
      <c r="U164" s="111">
        <v>0</v>
      </c>
      <c r="V164" s="111">
        <v>0</v>
      </c>
      <c r="W164" s="111">
        <v>0</v>
      </c>
      <c r="X164" s="111">
        <v>0</v>
      </c>
      <c r="Y164" s="111">
        <v>0</v>
      </c>
      <c r="Z164" s="111">
        <v>0</v>
      </c>
      <c r="AA164" s="111">
        <v>0</v>
      </c>
      <c r="AB164" s="111">
        <v>0</v>
      </c>
      <c r="AC164" s="111">
        <v>0</v>
      </c>
      <c r="AD164" s="111">
        <v>0</v>
      </c>
      <c r="AE164" s="111">
        <v>0</v>
      </c>
      <c r="AF164" s="111">
        <v>0</v>
      </c>
      <c r="AG164" s="111">
        <v>0</v>
      </c>
      <c r="AH164" s="111">
        <v>0</v>
      </c>
      <c r="AI164" s="111">
        <v>0</v>
      </c>
      <c r="AJ164" s="111">
        <v>0</v>
      </c>
      <c r="AK164" s="111">
        <v>0</v>
      </c>
      <c r="AL164" s="111">
        <v>0</v>
      </c>
      <c r="AM164" s="111">
        <v>0</v>
      </c>
      <c r="AN164" s="111">
        <v>0</v>
      </c>
      <c r="AO164" s="111">
        <v>0</v>
      </c>
      <c r="AP164" s="111">
        <v>0</v>
      </c>
      <c r="AQ164" s="111">
        <v>0</v>
      </c>
      <c r="AR164" s="111">
        <v>0</v>
      </c>
      <c r="AS164" s="111">
        <v>0</v>
      </c>
      <c r="AT164" s="111">
        <v>0</v>
      </c>
      <c r="AU164" s="111">
        <v>0</v>
      </c>
      <c r="AV164" s="111">
        <v>0</v>
      </c>
      <c r="AW164" s="111">
        <v>0</v>
      </c>
      <c r="AX164" s="111">
        <v>0</v>
      </c>
      <c r="AY164" s="111">
        <v>0</v>
      </c>
    </row>
    <row r="165" spans="1:52" x14ac:dyDescent="0.2">
      <c r="A165" s="114"/>
      <c r="B165" s="135">
        <v>44</v>
      </c>
      <c r="C165" s="111">
        <v>0</v>
      </c>
      <c r="D165" s="111">
        <v>0</v>
      </c>
      <c r="E165" s="111">
        <v>0</v>
      </c>
      <c r="F165" s="111">
        <v>0</v>
      </c>
      <c r="G165" s="111">
        <v>0</v>
      </c>
      <c r="H165" s="111">
        <v>0</v>
      </c>
      <c r="I165" s="111">
        <v>0</v>
      </c>
      <c r="J165" s="111">
        <v>0</v>
      </c>
      <c r="K165" s="111">
        <v>0</v>
      </c>
      <c r="L165" s="111">
        <v>0</v>
      </c>
      <c r="M165" s="111">
        <v>0</v>
      </c>
      <c r="N165" s="111">
        <v>0</v>
      </c>
      <c r="O165" s="111">
        <v>0</v>
      </c>
      <c r="P165" s="111">
        <v>0</v>
      </c>
      <c r="Q165" s="111">
        <v>0</v>
      </c>
      <c r="R165" s="111">
        <v>0</v>
      </c>
      <c r="S165" s="111">
        <v>0</v>
      </c>
      <c r="T165" s="111">
        <v>0</v>
      </c>
      <c r="U165" s="111">
        <v>0</v>
      </c>
      <c r="V165" s="111">
        <v>0</v>
      </c>
      <c r="W165" s="111">
        <v>0</v>
      </c>
      <c r="X165" s="111">
        <v>0</v>
      </c>
      <c r="Y165" s="111">
        <v>0</v>
      </c>
      <c r="Z165" s="111">
        <v>0</v>
      </c>
      <c r="AA165" s="111">
        <v>0</v>
      </c>
      <c r="AB165" s="111">
        <v>0</v>
      </c>
      <c r="AC165" s="111">
        <v>0</v>
      </c>
      <c r="AD165" s="111">
        <v>0</v>
      </c>
      <c r="AE165" s="111">
        <v>0</v>
      </c>
      <c r="AF165" s="111">
        <v>0</v>
      </c>
      <c r="AG165" s="111">
        <v>0</v>
      </c>
      <c r="AH165" s="111">
        <v>0</v>
      </c>
      <c r="AI165" s="111">
        <v>0</v>
      </c>
      <c r="AJ165" s="111">
        <v>0</v>
      </c>
      <c r="AK165" s="111">
        <v>0</v>
      </c>
      <c r="AL165" s="111">
        <v>0</v>
      </c>
      <c r="AM165" s="111">
        <v>0</v>
      </c>
      <c r="AN165" s="111">
        <v>0</v>
      </c>
      <c r="AO165" s="111">
        <v>0</v>
      </c>
      <c r="AP165" s="111">
        <v>0</v>
      </c>
      <c r="AQ165" s="111">
        <v>0</v>
      </c>
      <c r="AR165" s="111">
        <v>0</v>
      </c>
      <c r="AS165" s="111">
        <v>0</v>
      </c>
      <c r="AT165" s="111">
        <v>0</v>
      </c>
      <c r="AU165" s="111">
        <v>0</v>
      </c>
      <c r="AV165" s="111">
        <v>0</v>
      </c>
      <c r="AW165" s="111">
        <v>0</v>
      </c>
      <c r="AX165" s="111">
        <v>0</v>
      </c>
      <c r="AY165" s="111">
        <v>0</v>
      </c>
    </row>
    <row r="166" spans="1:52" x14ac:dyDescent="0.2">
      <c r="A166" s="114"/>
      <c r="B166" s="135">
        <v>45</v>
      </c>
      <c r="C166" s="111">
        <v>0</v>
      </c>
      <c r="D166" s="111">
        <v>0</v>
      </c>
      <c r="E166" s="111">
        <v>0</v>
      </c>
      <c r="F166" s="111">
        <v>0</v>
      </c>
      <c r="G166" s="111">
        <v>0</v>
      </c>
      <c r="H166" s="111">
        <v>0</v>
      </c>
      <c r="I166" s="111">
        <v>0</v>
      </c>
      <c r="J166" s="111">
        <v>0</v>
      </c>
      <c r="K166" s="111">
        <v>0</v>
      </c>
      <c r="L166" s="111">
        <v>0</v>
      </c>
      <c r="M166" s="111">
        <v>0</v>
      </c>
      <c r="N166" s="111">
        <v>0</v>
      </c>
      <c r="O166" s="111">
        <v>0</v>
      </c>
      <c r="P166" s="111">
        <v>0</v>
      </c>
      <c r="Q166" s="111">
        <v>0</v>
      </c>
      <c r="R166" s="111">
        <v>0</v>
      </c>
      <c r="S166" s="111">
        <v>0</v>
      </c>
      <c r="T166" s="111">
        <v>0</v>
      </c>
      <c r="U166" s="111">
        <v>0</v>
      </c>
      <c r="V166" s="111">
        <v>0</v>
      </c>
      <c r="W166" s="111">
        <v>0</v>
      </c>
      <c r="X166" s="111">
        <v>0</v>
      </c>
      <c r="Y166" s="111">
        <v>0</v>
      </c>
      <c r="Z166" s="111">
        <v>0</v>
      </c>
      <c r="AA166" s="111">
        <v>0</v>
      </c>
      <c r="AB166" s="111">
        <v>0</v>
      </c>
      <c r="AC166" s="111">
        <v>0</v>
      </c>
      <c r="AD166" s="111">
        <v>0</v>
      </c>
      <c r="AE166" s="111">
        <v>0</v>
      </c>
      <c r="AF166" s="111">
        <v>0</v>
      </c>
      <c r="AG166" s="111">
        <v>0</v>
      </c>
      <c r="AH166" s="111">
        <v>0</v>
      </c>
      <c r="AI166" s="111">
        <v>0</v>
      </c>
      <c r="AJ166" s="111">
        <v>0</v>
      </c>
      <c r="AK166" s="111">
        <v>0</v>
      </c>
      <c r="AL166" s="111">
        <v>0</v>
      </c>
      <c r="AM166" s="111">
        <v>0</v>
      </c>
      <c r="AN166" s="111">
        <v>0</v>
      </c>
      <c r="AO166" s="111">
        <v>0</v>
      </c>
      <c r="AP166" s="111">
        <v>0</v>
      </c>
      <c r="AQ166" s="111">
        <v>0</v>
      </c>
      <c r="AR166" s="111">
        <v>0</v>
      </c>
      <c r="AS166" s="111">
        <v>0</v>
      </c>
      <c r="AT166" s="111">
        <v>0</v>
      </c>
      <c r="AU166" s="111">
        <v>0</v>
      </c>
      <c r="AV166" s="111">
        <v>0</v>
      </c>
      <c r="AW166" s="111">
        <v>0</v>
      </c>
      <c r="AX166" s="111">
        <v>0</v>
      </c>
      <c r="AY166" s="111">
        <v>0</v>
      </c>
    </row>
    <row r="167" spans="1:52" x14ac:dyDescent="0.2">
      <c r="A167" s="114"/>
      <c r="B167" s="135">
        <v>46</v>
      </c>
      <c r="C167" s="111">
        <v>0</v>
      </c>
      <c r="D167" s="111">
        <v>0</v>
      </c>
      <c r="E167" s="111">
        <v>0</v>
      </c>
      <c r="F167" s="111">
        <v>0</v>
      </c>
      <c r="G167" s="111">
        <v>0</v>
      </c>
      <c r="H167" s="111">
        <v>0</v>
      </c>
      <c r="I167" s="111">
        <v>0</v>
      </c>
      <c r="J167" s="111">
        <v>0</v>
      </c>
      <c r="K167" s="111">
        <v>0</v>
      </c>
      <c r="L167" s="111">
        <v>0</v>
      </c>
      <c r="M167" s="111">
        <v>0</v>
      </c>
      <c r="N167" s="111">
        <v>0</v>
      </c>
      <c r="O167" s="111">
        <v>0</v>
      </c>
      <c r="P167" s="111">
        <v>0</v>
      </c>
      <c r="Q167" s="111">
        <v>0</v>
      </c>
      <c r="R167" s="111">
        <v>0</v>
      </c>
      <c r="S167" s="111">
        <v>0</v>
      </c>
      <c r="T167" s="111">
        <v>0</v>
      </c>
      <c r="U167" s="111">
        <v>0</v>
      </c>
      <c r="V167" s="111">
        <v>0</v>
      </c>
      <c r="W167" s="111">
        <v>0</v>
      </c>
      <c r="X167" s="111">
        <v>0</v>
      </c>
      <c r="Y167" s="111">
        <v>0</v>
      </c>
      <c r="Z167" s="111">
        <v>0</v>
      </c>
      <c r="AA167" s="111">
        <v>0</v>
      </c>
      <c r="AB167" s="111">
        <v>0</v>
      </c>
      <c r="AC167" s="111">
        <v>0</v>
      </c>
      <c r="AD167" s="111">
        <v>0</v>
      </c>
      <c r="AE167" s="111">
        <v>0</v>
      </c>
      <c r="AF167" s="111">
        <v>0</v>
      </c>
      <c r="AG167" s="111">
        <v>0</v>
      </c>
      <c r="AH167" s="111">
        <v>0</v>
      </c>
      <c r="AI167" s="111">
        <v>0</v>
      </c>
      <c r="AJ167" s="111">
        <v>0</v>
      </c>
      <c r="AK167" s="111">
        <v>0</v>
      </c>
      <c r="AL167" s="111">
        <v>0</v>
      </c>
      <c r="AM167" s="111">
        <v>0</v>
      </c>
      <c r="AN167" s="111">
        <v>0</v>
      </c>
      <c r="AO167" s="111">
        <v>0</v>
      </c>
      <c r="AP167" s="111">
        <v>0</v>
      </c>
      <c r="AQ167" s="111">
        <v>0</v>
      </c>
      <c r="AR167" s="111">
        <v>0</v>
      </c>
      <c r="AS167" s="111">
        <v>0</v>
      </c>
      <c r="AT167" s="111">
        <v>0</v>
      </c>
      <c r="AU167" s="111">
        <v>0</v>
      </c>
      <c r="AV167" s="111">
        <v>0</v>
      </c>
      <c r="AW167" s="111">
        <v>0</v>
      </c>
      <c r="AX167" s="111">
        <v>0</v>
      </c>
      <c r="AY167" s="111">
        <v>0</v>
      </c>
    </row>
    <row r="168" spans="1:52" x14ac:dyDescent="0.2">
      <c r="A168" s="114"/>
      <c r="B168" s="135">
        <v>47</v>
      </c>
      <c r="C168" s="111">
        <v>0</v>
      </c>
      <c r="D168" s="111">
        <v>0</v>
      </c>
      <c r="E168" s="111">
        <v>0</v>
      </c>
      <c r="F168" s="111">
        <v>0</v>
      </c>
      <c r="G168" s="111">
        <v>0</v>
      </c>
      <c r="H168" s="111">
        <v>0</v>
      </c>
      <c r="I168" s="111">
        <v>0</v>
      </c>
      <c r="J168" s="111">
        <v>0</v>
      </c>
      <c r="K168" s="111">
        <v>0</v>
      </c>
      <c r="L168" s="111">
        <v>0</v>
      </c>
      <c r="M168" s="111">
        <v>0</v>
      </c>
      <c r="N168" s="111">
        <v>0</v>
      </c>
      <c r="O168" s="111">
        <v>0</v>
      </c>
      <c r="P168" s="111">
        <v>0</v>
      </c>
      <c r="Q168" s="111">
        <v>0</v>
      </c>
      <c r="R168" s="111">
        <v>0</v>
      </c>
      <c r="S168" s="111">
        <v>0</v>
      </c>
      <c r="T168" s="111">
        <v>0</v>
      </c>
      <c r="U168" s="111">
        <v>0</v>
      </c>
      <c r="V168" s="111">
        <v>0</v>
      </c>
      <c r="W168" s="111">
        <v>0</v>
      </c>
      <c r="X168" s="111">
        <v>0</v>
      </c>
      <c r="Y168" s="111">
        <v>0</v>
      </c>
      <c r="Z168" s="111">
        <v>0</v>
      </c>
      <c r="AA168" s="111">
        <v>0</v>
      </c>
      <c r="AB168" s="111">
        <v>0</v>
      </c>
      <c r="AC168" s="111">
        <v>0</v>
      </c>
      <c r="AD168" s="111">
        <v>0</v>
      </c>
      <c r="AE168" s="111">
        <v>0</v>
      </c>
      <c r="AF168" s="111">
        <v>0</v>
      </c>
      <c r="AG168" s="111">
        <v>0</v>
      </c>
      <c r="AH168" s="111">
        <v>0</v>
      </c>
      <c r="AI168" s="111">
        <v>0</v>
      </c>
      <c r="AJ168" s="111">
        <v>0</v>
      </c>
      <c r="AK168" s="111">
        <v>0</v>
      </c>
      <c r="AL168" s="111">
        <v>0</v>
      </c>
      <c r="AM168" s="111">
        <v>0</v>
      </c>
      <c r="AN168" s="111">
        <v>0</v>
      </c>
      <c r="AO168" s="111">
        <v>0</v>
      </c>
      <c r="AP168" s="111">
        <v>0</v>
      </c>
      <c r="AQ168" s="111">
        <v>0</v>
      </c>
      <c r="AR168" s="111">
        <v>0</v>
      </c>
      <c r="AS168" s="111">
        <v>0</v>
      </c>
      <c r="AT168" s="111">
        <v>0</v>
      </c>
      <c r="AU168" s="111">
        <v>0</v>
      </c>
      <c r="AV168" s="111">
        <v>0</v>
      </c>
      <c r="AW168" s="111">
        <v>0</v>
      </c>
      <c r="AX168" s="111">
        <v>0</v>
      </c>
      <c r="AY168" s="111">
        <v>0</v>
      </c>
    </row>
    <row r="169" spans="1:52" x14ac:dyDescent="0.2">
      <c r="A169" s="114"/>
      <c r="B169" s="135">
        <v>48</v>
      </c>
      <c r="C169" s="111">
        <v>0</v>
      </c>
      <c r="D169" s="111">
        <v>0</v>
      </c>
      <c r="E169" s="111">
        <v>0</v>
      </c>
      <c r="F169" s="111">
        <v>0</v>
      </c>
      <c r="G169" s="111">
        <v>0</v>
      </c>
      <c r="H169" s="111">
        <v>0</v>
      </c>
      <c r="I169" s="111">
        <v>0</v>
      </c>
      <c r="J169" s="111">
        <v>0</v>
      </c>
      <c r="K169" s="111">
        <v>0</v>
      </c>
      <c r="L169" s="111">
        <v>0</v>
      </c>
      <c r="M169" s="111">
        <v>0</v>
      </c>
      <c r="N169" s="111">
        <v>0</v>
      </c>
      <c r="O169" s="111">
        <v>0</v>
      </c>
      <c r="P169" s="111">
        <v>0</v>
      </c>
      <c r="Q169" s="111">
        <v>0</v>
      </c>
      <c r="R169" s="111">
        <v>0</v>
      </c>
      <c r="S169" s="111">
        <v>0</v>
      </c>
      <c r="T169" s="111">
        <v>0</v>
      </c>
      <c r="U169" s="111">
        <v>0</v>
      </c>
      <c r="V169" s="111">
        <v>0</v>
      </c>
      <c r="W169" s="111">
        <v>0</v>
      </c>
      <c r="X169" s="111">
        <v>0</v>
      </c>
      <c r="Y169" s="111">
        <v>0</v>
      </c>
      <c r="Z169" s="111">
        <v>0</v>
      </c>
      <c r="AA169" s="111">
        <v>0</v>
      </c>
      <c r="AB169" s="111">
        <v>0</v>
      </c>
      <c r="AC169" s="111">
        <v>0</v>
      </c>
      <c r="AD169" s="111">
        <v>0</v>
      </c>
      <c r="AE169" s="111">
        <v>0</v>
      </c>
      <c r="AF169" s="111">
        <v>0</v>
      </c>
      <c r="AG169" s="111">
        <v>0</v>
      </c>
      <c r="AH169" s="111">
        <v>0</v>
      </c>
      <c r="AI169" s="111">
        <v>0</v>
      </c>
      <c r="AJ169" s="111">
        <v>0</v>
      </c>
      <c r="AK169" s="111">
        <v>0</v>
      </c>
      <c r="AL169" s="111">
        <v>0</v>
      </c>
      <c r="AM169" s="111">
        <v>0</v>
      </c>
      <c r="AN169" s="111">
        <v>0</v>
      </c>
      <c r="AO169" s="111">
        <v>0</v>
      </c>
      <c r="AP169" s="111">
        <v>0</v>
      </c>
      <c r="AQ169" s="111">
        <v>0</v>
      </c>
      <c r="AR169" s="111">
        <v>0</v>
      </c>
      <c r="AS169" s="111">
        <v>0</v>
      </c>
      <c r="AT169" s="111">
        <v>0</v>
      </c>
      <c r="AU169" s="111">
        <v>0</v>
      </c>
      <c r="AV169" s="111">
        <v>0</v>
      </c>
      <c r="AW169" s="111">
        <v>0</v>
      </c>
      <c r="AX169" s="111">
        <v>0</v>
      </c>
      <c r="AY169" s="111">
        <v>0</v>
      </c>
    </row>
    <row r="170" spans="1:52" x14ac:dyDescent="0.2">
      <c r="A170" s="133"/>
      <c r="B170" s="137" t="s">
        <v>296</v>
      </c>
      <c r="C170" s="119">
        <v>0</v>
      </c>
      <c r="D170" s="130">
        <v>0</v>
      </c>
      <c r="E170" s="130">
        <v>0</v>
      </c>
      <c r="F170" s="130">
        <v>0</v>
      </c>
      <c r="G170" s="130">
        <v>0</v>
      </c>
      <c r="H170" s="130">
        <v>0</v>
      </c>
      <c r="I170" s="130">
        <v>0</v>
      </c>
      <c r="J170" s="130">
        <v>0</v>
      </c>
      <c r="K170" s="130">
        <v>0</v>
      </c>
      <c r="L170" s="130">
        <v>0</v>
      </c>
      <c r="M170" s="130">
        <v>0</v>
      </c>
      <c r="N170" s="130">
        <v>0</v>
      </c>
      <c r="O170" s="130">
        <v>0</v>
      </c>
      <c r="P170" s="130">
        <v>0</v>
      </c>
      <c r="Q170" s="130">
        <v>0</v>
      </c>
      <c r="R170" s="130">
        <v>0</v>
      </c>
      <c r="S170" s="130">
        <v>0</v>
      </c>
      <c r="T170" s="130">
        <v>0</v>
      </c>
      <c r="U170" s="130">
        <v>0</v>
      </c>
      <c r="V170" s="130">
        <v>0</v>
      </c>
      <c r="W170" s="130">
        <v>0</v>
      </c>
      <c r="X170" s="130">
        <v>0</v>
      </c>
      <c r="Y170" s="130">
        <v>0</v>
      </c>
      <c r="Z170" s="130">
        <v>0</v>
      </c>
      <c r="AA170" s="130">
        <v>0</v>
      </c>
      <c r="AB170" s="130">
        <v>0</v>
      </c>
      <c r="AC170" s="130">
        <v>0</v>
      </c>
      <c r="AD170" s="130">
        <v>0</v>
      </c>
      <c r="AE170" s="130">
        <v>0</v>
      </c>
      <c r="AF170" s="130">
        <v>0</v>
      </c>
      <c r="AG170" s="130">
        <v>0</v>
      </c>
      <c r="AH170" s="130">
        <v>0</v>
      </c>
      <c r="AI170" s="130">
        <v>0</v>
      </c>
      <c r="AJ170" s="130">
        <v>0</v>
      </c>
      <c r="AK170" s="130">
        <v>0</v>
      </c>
      <c r="AL170" s="130">
        <v>0</v>
      </c>
      <c r="AM170" s="130">
        <v>0</v>
      </c>
      <c r="AN170" s="130">
        <v>0</v>
      </c>
      <c r="AO170" s="130">
        <v>0</v>
      </c>
      <c r="AP170" s="130">
        <v>0</v>
      </c>
      <c r="AQ170" s="130">
        <v>0</v>
      </c>
      <c r="AR170" s="130">
        <v>0</v>
      </c>
      <c r="AS170" s="130">
        <v>0</v>
      </c>
      <c r="AT170" s="130">
        <v>0</v>
      </c>
      <c r="AU170" s="130">
        <v>0</v>
      </c>
      <c r="AV170" s="130">
        <v>0</v>
      </c>
      <c r="AW170" s="130">
        <v>0</v>
      </c>
      <c r="AX170" s="130">
        <v>0</v>
      </c>
      <c r="AY170" s="130">
        <v>0</v>
      </c>
      <c r="AZ170" s="112">
        <f>SUM($D170:$AY170)</f>
        <v>0</v>
      </c>
    </row>
    <row r="172" spans="1:52" x14ac:dyDescent="0.2">
      <c r="A172" s="107" t="s">
        <v>124</v>
      </c>
      <c r="B172" s="138" t="s">
        <v>297</v>
      </c>
      <c r="C172" s="139">
        <v>0.1</v>
      </c>
      <c r="D172" s="139">
        <v>0</v>
      </c>
      <c r="E172" s="139">
        <v>0</v>
      </c>
      <c r="F172" s="139">
        <v>0</v>
      </c>
      <c r="G172" s="139">
        <v>0</v>
      </c>
      <c r="H172" s="139">
        <v>0.12385740000000001</v>
      </c>
      <c r="I172" s="139">
        <v>0.12385740000000001</v>
      </c>
      <c r="J172" s="139">
        <v>0.12385740000000001</v>
      </c>
      <c r="K172" s="139">
        <v>0.12385740000000001</v>
      </c>
      <c r="L172" s="139">
        <v>0.12385740000000001</v>
      </c>
      <c r="M172" s="139">
        <v>0.12385740000000001</v>
      </c>
      <c r="N172" s="139">
        <v>0.12385740000000001</v>
      </c>
      <c r="O172" s="139">
        <v>0.12385740000000001</v>
      </c>
      <c r="P172" s="139">
        <v>0.12385740000000001</v>
      </c>
      <c r="Q172" s="139">
        <v>0.12385740000000001</v>
      </c>
      <c r="R172" s="139">
        <v>0.12385740000000001</v>
      </c>
      <c r="S172" s="139">
        <v>0.12385740000000001</v>
      </c>
      <c r="T172" s="139">
        <v>0.12385740000000001</v>
      </c>
      <c r="U172" s="139">
        <v>0.12385740000000001</v>
      </c>
      <c r="V172" s="139">
        <v>0.12385740000000001</v>
      </c>
      <c r="W172" s="139">
        <v>0.12385740000000001</v>
      </c>
      <c r="X172" s="139">
        <v>0.12385740000000001</v>
      </c>
      <c r="Y172" s="139">
        <v>0.12385740000000001</v>
      </c>
      <c r="Z172" s="139">
        <v>0.12385740000000001</v>
      </c>
      <c r="AA172" s="139">
        <v>0.12385740000000001</v>
      </c>
      <c r="AB172" s="139">
        <v>0.12385740000000001</v>
      </c>
      <c r="AC172" s="139">
        <v>0.12385740000000001</v>
      </c>
      <c r="AD172" s="139">
        <v>0.12385740000000001</v>
      </c>
      <c r="AE172" s="139">
        <v>0.12385740000000001</v>
      </c>
      <c r="AF172" s="139">
        <v>0.12385740000000001</v>
      </c>
      <c r="AG172" s="139">
        <v>0.12385740000000001</v>
      </c>
      <c r="AH172" s="139">
        <v>0.12385740000000001</v>
      </c>
      <c r="AI172" s="139">
        <v>0.12385740000000001</v>
      </c>
      <c r="AJ172" s="139">
        <v>0.12385740000000001</v>
      </c>
      <c r="AK172" s="139">
        <v>0.12385740000000001</v>
      </c>
      <c r="AL172" s="139">
        <v>0.12385740000000001</v>
      </c>
      <c r="AM172" s="139">
        <v>0.12385740000000001</v>
      </c>
      <c r="AN172" s="139">
        <v>0.12385740000000001</v>
      </c>
      <c r="AO172" s="139">
        <v>0.12385740000000001</v>
      </c>
      <c r="AP172" s="139">
        <v>0.12385740000000001</v>
      </c>
      <c r="AQ172" s="139">
        <v>0.12385740000000001</v>
      </c>
      <c r="AR172" s="139">
        <v>0.12385740000000001</v>
      </c>
      <c r="AS172" s="139">
        <v>0.12385740000000001</v>
      </c>
      <c r="AT172" s="139">
        <v>0.12385740000000001</v>
      </c>
      <c r="AU172" s="139">
        <v>0.12385740000000001</v>
      </c>
      <c r="AV172" s="139">
        <v>0.12385740000000001</v>
      </c>
      <c r="AW172" s="139">
        <v>0.12385740000000001</v>
      </c>
      <c r="AX172" s="139">
        <v>0.12385740000000001</v>
      </c>
      <c r="AY172" s="139">
        <v>0.12385740000000001</v>
      </c>
    </row>
    <row r="174" spans="1:52" x14ac:dyDescent="0.2">
      <c r="A174" s="107" t="s">
        <v>272</v>
      </c>
    </row>
    <row r="175" spans="1:52" x14ac:dyDescent="0.2">
      <c r="A175" s="140" t="s">
        <v>125</v>
      </c>
      <c r="B175" s="140" t="s">
        <v>298</v>
      </c>
      <c r="C175" s="129" t="s">
        <v>293</v>
      </c>
      <c r="D175" s="129">
        <f t="shared" ref="D175:AY175" si="1">SUM(D95:D98)</f>
        <v>0</v>
      </c>
      <c r="E175" s="129">
        <f t="shared" si="1"/>
        <v>0</v>
      </c>
      <c r="F175" s="129">
        <f t="shared" si="1"/>
        <v>0</v>
      </c>
      <c r="G175" s="129">
        <f t="shared" si="1"/>
        <v>0</v>
      </c>
      <c r="H175" s="129">
        <f t="shared" si="1"/>
        <v>225.43810185246105</v>
      </c>
      <c r="I175" s="129">
        <f t="shared" si="1"/>
        <v>225.43810185246105</v>
      </c>
      <c r="J175" s="129">
        <f t="shared" si="1"/>
        <v>225.43810185246105</v>
      </c>
      <c r="K175" s="129">
        <f t="shared" si="1"/>
        <v>225.43810185246105</v>
      </c>
      <c r="L175" s="129">
        <f t="shared" si="1"/>
        <v>248.87620370492209</v>
      </c>
      <c r="M175" s="129">
        <f t="shared" si="1"/>
        <v>225.43810185246105</v>
      </c>
      <c r="N175" s="129">
        <f t="shared" si="1"/>
        <v>225.43810185246105</v>
      </c>
      <c r="O175" s="129">
        <f t="shared" si="1"/>
        <v>225.43810185246105</v>
      </c>
      <c r="P175" s="129">
        <f t="shared" si="1"/>
        <v>225.43810185246105</v>
      </c>
      <c r="Q175" s="129">
        <f t="shared" si="1"/>
        <v>230.87620370492209</v>
      </c>
      <c r="R175" s="129">
        <f t="shared" si="1"/>
        <v>253.31430555738314</v>
      </c>
      <c r="S175" s="129">
        <f t="shared" si="1"/>
        <v>256.75240740984418</v>
      </c>
      <c r="T175" s="129">
        <f t="shared" si="1"/>
        <v>280.19050926230523</v>
      </c>
      <c r="U175" s="129">
        <f t="shared" si="1"/>
        <v>225.43810185246105</v>
      </c>
      <c r="V175" s="129">
        <f t="shared" si="1"/>
        <v>225.43810185246105</v>
      </c>
      <c r="W175" s="129">
        <f t="shared" si="1"/>
        <v>225.43810185246105</v>
      </c>
      <c r="X175" s="129">
        <f t="shared" si="1"/>
        <v>225.43810185246105</v>
      </c>
      <c r="Y175" s="129">
        <f t="shared" si="1"/>
        <v>225.43810185246105</v>
      </c>
      <c r="Z175" s="129">
        <f t="shared" si="1"/>
        <v>225.43810185246105</v>
      </c>
      <c r="AA175" s="129">
        <f t="shared" si="1"/>
        <v>225.43810185246105</v>
      </c>
      <c r="AB175" s="129">
        <f t="shared" si="1"/>
        <v>225.43810185246105</v>
      </c>
      <c r="AC175" s="129">
        <f t="shared" si="1"/>
        <v>250.87620370492209</v>
      </c>
      <c r="AD175" s="129">
        <f t="shared" si="1"/>
        <v>225.43810185246105</v>
      </c>
      <c r="AE175" s="129">
        <f t="shared" si="1"/>
        <v>225.43810185246105</v>
      </c>
      <c r="AF175" s="129">
        <f t="shared" si="1"/>
        <v>225.87620370492209</v>
      </c>
      <c r="AG175" s="129">
        <f t="shared" si="1"/>
        <v>225.43810185246105</v>
      </c>
      <c r="AH175" s="129">
        <f t="shared" si="1"/>
        <v>235.87620370492209</v>
      </c>
      <c r="AI175" s="129">
        <f t="shared" si="1"/>
        <v>225.43810185246105</v>
      </c>
      <c r="AJ175" s="129">
        <f t="shared" si="1"/>
        <v>225.43810185246105</v>
      </c>
      <c r="AK175" s="129">
        <f t="shared" si="1"/>
        <v>225.43810185246105</v>
      </c>
      <c r="AL175" s="129">
        <f t="shared" si="1"/>
        <v>225.43810185246105</v>
      </c>
      <c r="AM175" s="129">
        <f t="shared" si="1"/>
        <v>225.43810185246105</v>
      </c>
      <c r="AN175" s="129">
        <f t="shared" si="1"/>
        <v>225.43810185246105</v>
      </c>
      <c r="AO175" s="129">
        <f t="shared" si="1"/>
        <v>246.87620370492209</v>
      </c>
      <c r="AP175" s="129">
        <f t="shared" si="1"/>
        <v>225.43810185246105</v>
      </c>
      <c r="AQ175" s="129">
        <f t="shared" si="1"/>
        <v>225.43810185246105</v>
      </c>
      <c r="AR175" s="129">
        <f t="shared" si="1"/>
        <v>225.43810185246105</v>
      </c>
      <c r="AS175" s="129">
        <f t="shared" si="1"/>
        <v>225.43810185246105</v>
      </c>
      <c r="AT175" s="129">
        <f t="shared" si="1"/>
        <v>225.43810185246105</v>
      </c>
      <c r="AU175" s="129">
        <f t="shared" si="1"/>
        <v>225.43810185246105</v>
      </c>
      <c r="AV175" s="129">
        <f t="shared" si="1"/>
        <v>225.43810185246105</v>
      </c>
      <c r="AW175" s="129">
        <f t="shared" si="1"/>
        <v>231.87620370492209</v>
      </c>
      <c r="AX175" s="129">
        <f t="shared" si="1"/>
        <v>225.43810185246105</v>
      </c>
      <c r="AY175" s="129">
        <f t="shared" si="1"/>
        <v>225.43810185246105</v>
      </c>
    </row>
    <row r="176" spans="1:52" x14ac:dyDescent="0.2">
      <c r="A176" s="130"/>
      <c r="B176" s="141" t="s">
        <v>299</v>
      </c>
      <c r="C176" s="130" t="s">
        <v>293</v>
      </c>
      <c r="D176" s="130">
        <v>0</v>
      </c>
      <c r="E176" s="130">
        <v>0</v>
      </c>
      <c r="F176" s="130">
        <v>0</v>
      </c>
      <c r="G176" s="130">
        <v>0</v>
      </c>
      <c r="H176" s="130">
        <v>225.43810185246105</v>
      </c>
      <c r="I176" s="130">
        <v>225.43810185246105</v>
      </c>
      <c r="J176" s="130">
        <v>225.43810185246105</v>
      </c>
      <c r="K176" s="130">
        <v>202</v>
      </c>
      <c r="L176" s="130">
        <v>248.87620370492209</v>
      </c>
      <c r="M176" s="130">
        <v>225.43810185246105</v>
      </c>
      <c r="N176" s="130">
        <v>225.43810185246105</v>
      </c>
      <c r="O176" s="130">
        <v>225.43810185246105</v>
      </c>
      <c r="P176" s="130">
        <v>220</v>
      </c>
      <c r="Q176" s="130">
        <v>203</v>
      </c>
      <c r="R176" s="130">
        <v>222</v>
      </c>
      <c r="S176" s="130">
        <v>202</v>
      </c>
      <c r="T176" s="130">
        <v>280.19050926230523</v>
      </c>
      <c r="U176" s="130">
        <v>225.43810185246105</v>
      </c>
      <c r="V176" s="130">
        <v>225.43810185246105</v>
      </c>
      <c r="W176" s="130">
        <v>225.43810185246105</v>
      </c>
      <c r="X176" s="130">
        <v>225.43810185246105</v>
      </c>
      <c r="Y176" s="130">
        <v>225.43810185246105</v>
      </c>
      <c r="Z176" s="130">
        <v>225.43810185246105</v>
      </c>
      <c r="AA176" s="130">
        <v>225.43810185246105</v>
      </c>
      <c r="AB176" s="130">
        <v>200</v>
      </c>
      <c r="AC176" s="130">
        <v>250.87620370492209</v>
      </c>
      <c r="AD176" s="130">
        <v>225.43810185246105</v>
      </c>
      <c r="AE176" s="130">
        <v>225</v>
      </c>
      <c r="AF176" s="130">
        <v>225.87620370492209</v>
      </c>
      <c r="AG176" s="130">
        <v>215</v>
      </c>
      <c r="AH176" s="130">
        <v>235.87620370492209</v>
      </c>
      <c r="AI176" s="130">
        <v>225.43810185246105</v>
      </c>
      <c r="AJ176" s="130">
        <v>225.43810185246105</v>
      </c>
      <c r="AK176" s="130">
        <v>225.43810185246105</v>
      </c>
      <c r="AL176" s="130">
        <v>225.43810185246105</v>
      </c>
      <c r="AM176" s="130">
        <v>225.43810185246105</v>
      </c>
      <c r="AN176" s="130">
        <v>204</v>
      </c>
      <c r="AO176" s="130">
        <v>246.87620370492209</v>
      </c>
      <c r="AP176" s="130">
        <v>225.43810185246105</v>
      </c>
      <c r="AQ176" s="130">
        <v>225.43810185246105</v>
      </c>
      <c r="AR176" s="130">
        <v>225.43810185246105</v>
      </c>
      <c r="AS176" s="130">
        <v>225.43810185246105</v>
      </c>
      <c r="AT176" s="130">
        <v>225.43810185246105</v>
      </c>
      <c r="AU176" s="130">
        <v>225.43810185246105</v>
      </c>
      <c r="AV176" s="130">
        <v>219</v>
      </c>
      <c r="AW176" s="130">
        <v>231.87620370492209</v>
      </c>
      <c r="AX176" s="130">
        <v>225.43810185246105</v>
      </c>
      <c r="AY176" s="130">
        <v>225.43810185246105</v>
      </c>
    </row>
    <row r="177" spans="1:51" x14ac:dyDescent="0.2">
      <c r="A177" s="140" t="s">
        <v>133</v>
      </c>
      <c r="B177" s="140" t="s">
        <v>298</v>
      </c>
      <c r="C177" s="129" t="s">
        <v>293</v>
      </c>
      <c r="D177" s="129">
        <f t="shared" ref="D177:AY177" si="2">SUM(D100:D107)</f>
        <v>119.06044900021661</v>
      </c>
      <c r="E177" s="129">
        <f t="shared" si="2"/>
        <v>130.72564194057031</v>
      </c>
      <c r="F177" s="129">
        <f t="shared" si="2"/>
        <v>18.725641940570313</v>
      </c>
      <c r="G177" s="129">
        <f t="shared" si="2"/>
        <v>0</v>
      </c>
      <c r="H177" s="129">
        <f t="shared" si="2"/>
        <v>0</v>
      </c>
      <c r="I177" s="129">
        <f t="shared" si="2"/>
        <v>0</v>
      </c>
      <c r="J177" s="129">
        <f t="shared" si="2"/>
        <v>56.526273309148237</v>
      </c>
      <c r="K177" s="129">
        <f t="shared" si="2"/>
        <v>56.526273309148237</v>
      </c>
      <c r="L177" s="129">
        <f t="shared" si="2"/>
        <v>56.526273309148237</v>
      </c>
      <c r="M177" s="129">
        <f t="shared" si="2"/>
        <v>56.526273309148237</v>
      </c>
      <c r="N177" s="129">
        <f t="shared" si="2"/>
        <v>56.526273309148237</v>
      </c>
      <c r="O177" s="129">
        <f t="shared" si="2"/>
        <v>56.526273309148237</v>
      </c>
      <c r="P177" s="129">
        <f t="shared" si="2"/>
        <v>56.526273309148237</v>
      </c>
      <c r="Q177" s="129">
        <f t="shared" si="2"/>
        <v>56.526273309148237</v>
      </c>
      <c r="R177" s="129">
        <f t="shared" si="2"/>
        <v>56.526273309148237</v>
      </c>
      <c r="S177" s="129">
        <f t="shared" si="2"/>
        <v>56.526273309148237</v>
      </c>
      <c r="T177" s="129">
        <f t="shared" si="2"/>
        <v>56.526273309148237</v>
      </c>
      <c r="U177" s="129">
        <f t="shared" si="2"/>
        <v>0</v>
      </c>
      <c r="V177" s="129">
        <f t="shared" si="2"/>
        <v>113.05254661829646</v>
      </c>
      <c r="W177" s="129">
        <f t="shared" si="2"/>
        <v>56.526273309148237</v>
      </c>
      <c r="X177" s="129">
        <f t="shared" si="2"/>
        <v>56.526273309148237</v>
      </c>
      <c r="Y177" s="129">
        <f t="shared" si="2"/>
        <v>56.526273309148237</v>
      </c>
      <c r="Z177" s="129">
        <f t="shared" si="2"/>
        <v>56.526273309148237</v>
      </c>
      <c r="AA177" s="129">
        <f t="shared" si="2"/>
        <v>56.526273309148237</v>
      </c>
      <c r="AB177" s="129">
        <f t="shared" si="2"/>
        <v>56.526273309148237</v>
      </c>
      <c r="AC177" s="129">
        <f t="shared" si="2"/>
        <v>56.526273309148237</v>
      </c>
      <c r="AD177" s="129">
        <f t="shared" si="2"/>
        <v>56.526273309148237</v>
      </c>
      <c r="AE177" s="129">
        <f t="shared" si="2"/>
        <v>56.526273309148237</v>
      </c>
      <c r="AF177" s="129">
        <f t="shared" si="2"/>
        <v>56.526273309148237</v>
      </c>
      <c r="AG177" s="129">
        <f t="shared" si="2"/>
        <v>56.526273309148237</v>
      </c>
      <c r="AH177" s="129">
        <f t="shared" si="2"/>
        <v>56.526273309148237</v>
      </c>
      <c r="AI177" s="129">
        <f t="shared" si="2"/>
        <v>56.526273309148237</v>
      </c>
      <c r="AJ177" s="129">
        <f t="shared" si="2"/>
        <v>56.526273309148237</v>
      </c>
      <c r="AK177" s="129">
        <f t="shared" si="2"/>
        <v>56.526273309148237</v>
      </c>
      <c r="AL177" s="129">
        <f t="shared" si="2"/>
        <v>56.526273309148237</v>
      </c>
      <c r="AM177" s="129">
        <f t="shared" si="2"/>
        <v>56.526273309148237</v>
      </c>
      <c r="AN177" s="129">
        <f t="shared" si="2"/>
        <v>56.526273309148237</v>
      </c>
      <c r="AO177" s="129">
        <f t="shared" si="2"/>
        <v>56.526273309148237</v>
      </c>
      <c r="AP177" s="129">
        <f t="shared" si="2"/>
        <v>56.526273309148237</v>
      </c>
      <c r="AQ177" s="129">
        <f t="shared" si="2"/>
        <v>56.526273309148237</v>
      </c>
      <c r="AR177" s="129">
        <f t="shared" si="2"/>
        <v>56.526273309148237</v>
      </c>
      <c r="AS177" s="129">
        <f t="shared" si="2"/>
        <v>56.526273309148237</v>
      </c>
      <c r="AT177" s="129">
        <f t="shared" si="2"/>
        <v>56.526273309148237</v>
      </c>
      <c r="AU177" s="129">
        <f t="shared" si="2"/>
        <v>56.526273309148237</v>
      </c>
      <c r="AV177" s="129">
        <f t="shared" si="2"/>
        <v>56.526273309148237</v>
      </c>
      <c r="AW177" s="129">
        <f t="shared" si="2"/>
        <v>56.526273309148237</v>
      </c>
      <c r="AX177" s="129">
        <f t="shared" si="2"/>
        <v>56.526273309148237</v>
      </c>
      <c r="AY177" s="129">
        <f t="shared" si="2"/>
        <v>56.526273309148237</v>
      </c>
    </row>
    <row r="178" spans="1:51" x14ac:dyDescent="0.2">
      <c r="A178" s="130"/>
      <c r="B178" s="141" t="s">
        <v>299</v>
      </c>
      <c r="C178" s="130" t="s">
        <v>293</v>
      </c>
      <c r="D178" s="130">
        <v>97</v>
      </c>
      <c r="E178" s="130">
        <v>112</v>
      </c>
      <c r="F178" s="130">
        <v>18.725641940570313</v>
      </c>
      <c r="G178" s="130">
        <v>0</v>
      </c>
      <c r="H178" s="130">
        <v>0</v>
      </c>
      <c r="I178" s="130">
        <v>0</v>
      </c>
      <c r="J178" s="130">
        <v>56.526273309148237</v>
      </c>
      <c r="K178" s="130">
        <v>56.526273309148237</v>
      </c>
      <c r="L178" s="130">
        <v>56.526273309148237</v>
      </c>
      <c r="M178" s="130">
        <v>56.526273309148237</v>
      </c>
      <c r="N178" s="130">
        <v>56.526273309148237</v>
      </c>
      <c r="O178" s="130">
        <v>56.526273309148237</v>
      </c>
      <c r="P178" s="130">
        <v>56.526273309148237</v>
      </c>
      <c r="Q178" s="130">
        <v>56.526273309148237</v>
      </c>
      <c r="R178" s="130">
        <v>56.526273309148237</v>
      </c>
      <c r="S178" s="130">
        <v>56.526273309148237</v>
      </c>
      <c r="T178" s="130">
        <v>56.526273309148237</v>
      </c>
      <c r="U178" s="130">
        <v>0</v>
      </c>
      <c r="V178" s="130">
        <v>113.05254661829646</v>
      </c>
      <c r="W178" s="130">
        <v>56.526273309148237</v>
      </c>
      <c r="X178" s="130">
        <v>56.526273309148237</v>
      </c>
      <c r="Y178" s="130">
        <v>56.526273309148237</v>
      </c>
      <c r="Z178" s="130">
        <v>56.526273309148237</v>
      </c>
      <c r="AA178" s="130">
        <v>56.526273309148237</v>
      </c>
      <c r="AB178" s="130">
        <v>56.526273309148237</v>
      </c>
      <c r="AC178" s="130">
        <v>56.526273309148237</v>
      </c>
      <c r="AD178" s="130">
        <v>56.526273309148237</v>
      </c>
      <c r="AE178" s="130">
        <v>56.526273309148237</v>
      </c>
      <c r="AF178" s="130">
        <v>56.526273309148237</v>
      </c>
      <c r="AG178" s="130">
        <v>56.526273309148237</v>
      </c>
      <c r="AH178" s="130">
        <v>56.526273309148237</v>
      </c>
      <c r="AI178" s="130">
        <v>56.526273309148237</v>
      </c>
      <c r="AJ178" s="130">
        <v>56.526273309148237</v>
      </c>
      <c r="AK178" s="130">
        <v>56.526273309148237</v>
      </c>
      <c r="AL178" s="130">
        <v>56.526273309148237</v>
      </c>
      <c r="AM178" s="130">
        <v>56.526273309148237</v>
      </c>
      <c r="AN178" s="130">
        <v>56.526273309148237</v>
      </c>
      <c r="AO178" s="130">
        <v>56.526273309148237</v>
      </c>
      <c r="AP178" s="130">
        <v>56.526273309148237</v>
      </c>
      <c r="AQ178" s="130">
        <v>56.526273309148237</v>
      </c>
      <c r="AR178" s="130">
        <v>56.526273309148237</v>
      </c>
      <c r="AS178" s="130">
        <v>56.526273309148237</v>
      </c>
      <c r="AT178" s="130">
        <v>56.526273309148237</v>
      </c>
      <c r="AU178" s="130">
        <v>56.526273309148237</v>
      </c>
      <c r="AV178" s="130">
        <v>56.526273309148237</v>
      </c>
      <c r="AW178" s="130">
        <v>56.526273309148237</v>
      </c>
      <c r="AX178" s="130">
        <v>56.526273309148237</v>
      </c>
      <c r="AY178" s="130">
        <v>56.526273309148237</v>
      </c>
    </row>
    <row r="179" spans="1:51" x14ac:dyDescent="0.2">
      <c r="A179" s="140" t="s">
        <v>134</v>
      </c>
      <c r="B179" s="140" t="s">
        <v>298</v>
      </c>
      <c r="C179" s="129" t="s">
        <v>293</v>
      </c>
      <c r="D179" s="129">
        <f t="shared" ref="D179:AY179" si="3">SUM(D109:D120)</f>
        <v>92.858592234154742</v>
      </c>
      <c r="E179" s="129">
        <f t="shared" si="3"/>
        <v>5.8585922341547416</v>
      </c>
      <c r="F179" s="129">
        <f t="shared" si="3"/>
        <v>0</v>
      </c>
      <c r="G179" s="129">
        <f t="shared" si="3"/>
        <v>0</v>
      </c>
      <c r="H179" s="129">
        <f t="shared" si="3"/>
        <v>0</v>
      </c>
      <c r="I179" s="129">
        <f t="shared" si="3"/>
        <v>76.899609668421817</v>
      </c>
      <c r="J179" s="129">
        <f t="shared" si="3"/>
        <v>85.566226022298039</v>
      </c>
      <c r="K179" s="129">
        <f t="shared" si="3"/>
        <v>82.706794193621704</v>
      </c>
      <c r="L179" s="129">
        <f t="shared" si="3"/>
        <v>82.706794193621704</v>
      </c>
      <c r="M179" s="129">
        <f t="shared" si="3"/>
        <v>97.190880165857891</v>
      </c>
      <c r="N179" s="129">
        <f t="shared" si="3"/>
        <v>112.16022373628005</v>
      </c>
      <c r="O179" s="129">
        <f t="shared" si="3"/>
        <v>115.63440791168735</v>
      </c>
      <c r="P179" s="129">
        <f t="shared" si="3"/>
        <v>119.92276931334219</v>
      </c>
      <c r="Q179" s="129">
        <f t="shared" si="3"/>
        <v>91.886720992488733</v>
      </c>
      <c r="R179" s="129">
        <f t="shared" si="3"/>
        <v>89.190441526531075</v>
      </c>
      <c r="S179" s="129">
        <f t="shared" si="3"/>
        <v>82.706794193621704</v>
      </c>
      <c r="T179" s="129">
        <f t="shared" si="3"/>
        <v>82.706794193621704</v>
      </c>
      <c r="U179" s="129">
        <f t="shared" si="3"/>
        <v>82.706794193621704</v>
      </c>
      <c r="V179" s="129">
        <f t="shared" si="3"/>
        <v>76.899609668421817</v>
      </c>
      <c r="W179" s="129">
        <f t="shared" si="3"/>
        <v>88.513978718821591</v>
      </c>
      <c r="X179" s="129">
        <f t="shared" si="3"/>
        <v>82.706794193621704</v>
      </c>
      <c r="Y179" s="129">
        <f t="shared" si="3"/>
        <v>82.706794193621704</v>
      </c>
      <c r="Z179" s="129">
        <f t="shared" si="3"/>
        <v>82.706794193621704</v>
      </c>
      <c r="AA179" s="129">
        <f t="shared" si="3"/>
        <v>99.372505790774326</v>
      </c>
      <c r="AB179" s="129">
        <f t="shared" si="3"/>
        <v>107.2896787564471</v>
      </c>
      <c r="AC179" s="129">
        <f t="shared" si="3"/>
        <v>101.61640369235685</v>
      </c>
      <c r="AD179" s="129">
        <f t="shared" si="3"/>
        <v>110.26895779039141</v>
      </c>
      <c r="AE179" s="129">
        <f t="shared" si="3"/>
        <v>103.95993222170523</v>
      </c>
      <c r="AF179" s="129">
        <f t="shared" si="3"/>
        <v>95.945287114635363</v>
      </c>
      <c r="AG179" s="129">
        <f t="shared" si="3"/>
        <v>88.881646297783249</v>
      </c>
      <c r="AH179" s="129">
        <f t="shared" si="3"/>
        <v>82.706794193621704</v>
      </c>
      <c r="AI179" s="129">
        <f t="shared" si="3"/>
        <v>83.614313920635439</v>
      </c>
      <c r="AJ179" s="129">
        <f t="shared" si="3"/>
        <v>82.706794193621704</v>
      </c>
      <c r="AK179" s="129">
        <f t="shared" si="3"/>
        <v>82.706794193621704</v>
      </c>
      <c r="AL179" s="129">
        <f t="shared" si="3"/>
        <v>82.706794193621704</v>
      </c>
      <c r="AM179" s="129">
        <f t="shared" si="3"/>
        <v>92.957169196864982</v>
      </c>
      <c r="AN179" s="129">
        <f t="shared" si="3"/>
        <v>82.706794193621704</v>
      </c>
      <c r="AO179" s="129">
        <f t="shared" si="3"/>
        <v>82.706794193621704</v>
      </c>
      <c r="AP179" s="129">
        <f t="shared" si="3"/>
        <v>92.613430943878583</v>
      </c>
      <c r="AQ179" s="129">
        <f t="shared" si="3"/>
        <v>82.706794193621704</v>
      </c>
      <c r="AR179" s="129">
        <f t="shared" si="3"/>
        <v>82.706794193621704</v>
      </c>
      <c r="AS179" s="129">
        <f t="shared" si="3"/>
        <v>86.076714089884746</v>
      </c>
      <c r="AT179" s="129">
        <f t="shared" si="3"/>
        <v>82.89258202533334</v>
      </c>
      <c r="AU179" s="129">
        <f t="shared" si="3"/>
        <v>84.862855817165979</v>
      </c>
      <c r="AV179" s="129">
        <f t="shared" si="3"/>
        <v>82.706794193621704</v>
      </c>
      <c r="AW179" s="129">
        <f t="shared" si="3"/>
        <v>82.706794193621704</v>
      </c>
      <c r="AX179" s="129">
        <f t="shared" si="3"/>
        <v>95.560466295983147</v>
      </c>
      <c r="AY179" s="129">
        <f t="shared" si="3"/>
        <v>82.706794193621704</v>
      </c>
    </row>
    <row r="180" spans="1:51" x14ac:dyDescent="0.2">
      <c r="A180" s="130"/>
      <c r="B180" s="141" t="s">
        <v>299</v>
      </c>
      <c r="C180" s="130" t="s">
        <v>293</v>
      </c>
      <c r="D180" s="130">
        <v>87</v>
      </c>
      <c r="E180" s="130">
        <v>5.8585922341547416</v>
      </c>
      <c r="F180" s="130">
        <v>0</v>
      </c>
      <c r="G180" s="130">
        <v>0</v>
      </c>
      <c r="H180" s="130">
        <v>0</v>
      </c>
      <c r="I180" s="130">
        <v>76.899609668421817</v>
      </c>
      <c r="J180" s="130">
        <v>85.566226022298039</v>
      </c>
      <c r="K180" s="130">
        <v>82.706794193621704</v>
      </c>
      <c r="L180" s="130">
        <v>82.706794193621704</v>
      </c>
      <c r="M180" s="130">
        <v>97.190880165857891</v>
      </c>
      <c r="N180" s="130">
        <v>112.16022373628005</v>
      </c>
      <c r="O180" s="130">
        <v>115.63440791168735</v>
      </c>
      <c r="P180" s="130">
        <v>119.92276931334219</v>
      </c>
      <c r="Q180" s="130">
        <v>91.886720992488733</v>
      </c>
      <c r="R180" s="130">
        <v>89.190441526531075</v>
      </c>
      <c r="S180" s="130">
        <v>82.706794193621704</v>
      </c>
      <c r="T180" s="130">
        <v>82.706794193621704</v>
      </c>
      <c r="U180" s="130">
        <v>82.706794193621704</v>
      </c>
      <c r="V180" s="130">
        <v>76.899609668421817</v>
      </c>
      <c r="W180" s="130">
        <v>88.513978718821591</v>
      </c>
      <c r="X180" s="130">
        <v>82.706794193621704</v>
      </c>
      <c r="Y180" s="130">
        <v>82.706794193621704</v>
      </c>
      <c r="Z180" s="130">
        <v>82.706794193621704</v>
      </c>
      <c r="AA180" s="130">
        <v>99.372505790774326</v>
      </c>
      <c r="AB180" s="130">
        <v>107.2896787564471</v>
      </c>
      <c r="AC180" s="130">
        <v>101.61640369235685</v>
      </c>
      <c r="AD180" s="130">
        <v>110.26895779039141</v>
      </c>
      <c r="AE180" s="130">
        <v>103.95993222170523</v>
      </c>
      <c r="AF180" s="130">
        <v>95.945287114635363</v>
      </c>
      <c r="AG180" s="130">
        <v>88.881646297783249</v>
      </c>
      <c r="AH180" s="130">
        <v>82.706794193621704</v>
      </c>
      <c r="AI180" s="130">
        <v>83.614313920635439</v>
      </c>
      <c r="AJ180" s="130">
        <v>82.706794193621704</v>
      </c>
      <c r="AK180" s="130">
        <v>82.706794193621704</v>
      </c>
      <c r="AL180" s="130">
        <v>82.706794193621704</v>
      </c>
      <c r="AM180" s="130">
        <v>92.957169196864982</v>
      </c>
      <c r="AN180" s="130">
        <v>82.706794193621704</v>
      </c>
      <c r="AO180" s="130">
        <v>82.706794193621704</v>
      </c>
      <c r="AP180" s="130">
        <v>92.613430943878583</v>
      </c>
      <c r="AQ180" s="130">
        <v>82.706794193621704</v>
      </c>
      <c r="AR180" s="130">
        <v>82.706794193621704</v>
      </c>
      <c r="AS180" s="130">
        <v>86.076714089884746</v>
      </c>
      <c r="AT180" s="130">
        <v>82.89258202533334</v>
      </c>
      <c r="AU180" s="130">
        <v>84.862855817165979</v>
      </c>
      <c r="AV180" s="130">
        <v>82.706794193621704</v>
      </c>
      <c r="AW180" s="130">
        <v>82.706794193621704</v>
      </c>
      <c r="AX180" s="130">
        <v>95.560466295983147</v>
      </c>
      <c r="AY180" s="130">
        <v>82.706794193621704</v>
      </c>
    </row>
    <row r="181" spans="1:51" x14ac:dyDescent="0.2">
      <c r="A181" s="140" t="s">
        <v>123</v>
      </c>
      <c r="B181" s="140" t="s">
        <v>298</v>
      </c>
      <c r="C181" s="129" t="s">
        <v>293</v>
      </c>
      <c r="D181" s="129">
        <f t="shared" ref="D181:AY181" si="4">(1-D172)*SUM(D122:D169)</f>
        <v>119.76984239335687</v>
      </c>
      <c r="E181" s="129">
        <f t="shared" si="4"/>
        <v>110.90283035244735</v>
      </c>
      <c r="F181" s="129">
        <f t="shared" si="4"/>
        <v>18.130941433419437</v>
      </c>
      <c r="G181" s="129">
        <f t="shared" si="4"/>
        <v>0</v>
      </c>
      <c r="H181" s="129">
        <f t="shared" si="4"/>
        <v>543.97253578612356</v>
      </c>
      <c r="I181" s="129">
        <f t="shared" si="4"/>
        <v>605.27845521837094</v>
      </c>
      <c r="J181" s="129">
        <f t="shared" si="4"/>
        <v>585.05140348872669</v>
      </c>
      <c r="K181" s="129">
        <f t="shared" si="4"/>
        <v>585.05140348872669</v>
      </c>
      <c r="L181" s="129">
        <f t="shared" si="4"/>
        <v>687.50894532585994</v>
      </c>
      <c r="M181" s="129">
        <f t="shared" si="4"/>
        <v>793.39910284638711</v>
      </c>
      <c r="N181" s="129">
        <f t="shared" si="4"/>
        <v>817.97479034120136</v>
      </c>
      <c r="O181" s="129">
        <f t="shared" si="4"/>
        <v>848.30980551337132</v>
      </c>
      <c r="P181" s="129">
        <f t="shared" si="4"/>
        <v>649.98837886015417</v>
      </c>
      <c r="Q181" s="129">
        <f t="shared" si="4"/>
        <v>630.91543447709137</v>
      </c>
      <c r="R181" s="129">
        <f t="shared" si="4"/>
        <v>585.05140348872669</v>
      </c>
      <c r="S181" s="129">
        <f t="shared" si="4"/>
        <v>585.05140348872669</v>
      </c>
      <c r="T181" s="129">
        <f t="shared" si="4"/>
        <v>585.05140348872669</v>
      </c>
      <c r="U181" s="129">
        <f t="shared" si="4"/>
        <v>543.97253578612356</v>
      </c>
      <c r="V181" s="129">
        <f t="shared" si="4"/>
        <v>626.13027119132983</v>
      </c>
      <c r="W181" s="129">
        <f t="shared" si="4"/>
        <v>585.05140348872669</v>
      </c>
      <c r="X181" s="129">
        <f t="shared" si="4"/>
        <v>585.05140348872669</v>
      </c>
      <c r="Y181" s="129">
        <f t="shared" si="4"/>
        <v>585.05140348872669</v>
      </c>
      <c r="Z181" s="129">
        <f t="shared" si="4"/>
        <v>702.94133085341753</v>
      </c>
      <c r="AA181" s="129">
        <f t="shared" si="4"/>
        <v>758.94583689661113</v>
      </c>
      <c r="AB181" s="129">
        <f t="shared" si="4"/>
        <v>718.81421807393929</v>
      </c>
      <c r="AC181" s="129">
        <f t="shared" si="4"/>
        <v>780.02066390674906</v>
      </c>
      <c r="AD181" s="129">
        <f t="shared" si="4"/>
        <v>735.39187252880004</v>
      </c>
      <c r="AE181" s="129">
        <f t="shared" si="4"/>
        <v>678.69786795430161</v>
      </c>
      <c r="AF181" s="129">
        <f t="shared" si="4"/>
        <v>628.73107847912343</v>
      </c>
      <c r="AG181" s="129">
        <f t="shared" si="4"/>
        <v>585.05140348872669</v>
      </c>
      <c r="AH181" s="129">
        <f t="shared" si="4"/>
        <v>591.47101744136171</v>
      </c>
      <c r="AI181" s="129">
        <f t="shared" si="4"/>
        <v>585.05140348872669</v>
      </c>
      <c r="AJ181" s="129">
        <f t="shared" si="4"/>
        <v>585.05140348872669</v>
      </c>
      <c r="AK181" s="129">
        <f t="shared" si="4"/>
        <v>585.05140348872669</v>
      </c>
      <c r="AL181" s="129">
        <f t="shared" si="4"/>
        <v>657.56051643891442</v>
      </c>
      <c r="AM181" s="129">
        <f t="shared" si="4"/>
        <v>585.05140348872669</v>
      </c>
      <c r="AN181" s="129">
        <f t="shared" si="4"/>
        <v>585.05140348872669</v>
      </c>
      <c r="AO181" s="129">
        <f t="shared" si="4"/>
        <v>655.1289804411382</v>
      </c>
      <c r="AP181" s="129">
        <f t="shared" si="4"/>
        <v>585.05140348872669</v>
      </c>
      <c r="AQ181" s="129">
        <f t="shared" si="4"/>
        <v>585.05140348872669</v>
      </c>
      <c r="AR181" s="129">
        <f t="shared" si="4"/>
        <v>608.88954622144706</v>
      </c>
      <c r="AS181" s="129">
        <f t="shared" si="4"/>
        <v>586.3656296385102</v>
      </c>
      <c r="AT181" s="129">
        <f t="shared" si="4"/>
        <v>600.30295435780931</v>
      </c>
      <c r="AU181" s="129">
        <f t="shared" si="4"/>
        <v>585.05140348872669</v>
      </c>
      <c r="AV181" s="129">
        <f t="shared" si="4"/>
        <v>585.05140348872669</v>
      </c>
      <c r="AW181" s="129">
        <f t="shared" si="4"/>
        <v>675.97572206242853</v>
      </c>
      <c r="AX181" s="129">
        <f t="shared" si="4"/>
        <v>585.05140348872669</v>
      </c>
      <c r="AY181" s="129">
        <f t="shared" si="4"/>
        <v>585.05140348872669</v>
      </c>
    </row>
    <row r="182" spans="1:51" x14ac:dyDescent="0.2">
      <c r="A182" s="130"/>
      <c r="B182" s="141" t="s">
        <v>299</v>
      </c>
      <c r="C182" s="130" t="s">
        <v>293</v>
      </c>
      <c r="D182" s="130">
        <v>99</v>
      </c>
      <c r="E182" s="130">
        <v>92.771888919027916</v>
      </c>
      <c r="F182" s="130">
        <v>18.130941433419437</v>
      </c>
      <c r="G182" s="130">
        <v>0</v>
      </c>
      <c r="H182" s="130">
        <v>474</v>
      </c>
      <c r="I182" s="130">
        <v>605.27845521837094</v>
      </c>
      <c r="J182" s="130">
        <v>585.05140348872669</v>
      </c>
      <c r="K182" s="130">
        <v>468.10977567935726</v>
      </c>
      <c r="L182" s="130">
        <v>449.70781642554113</v>
      </c>
      <c r="M182" s="130">
        <v>527.54810227584676</v>
      </c>
      <c r="N182" s="130">
        <v>517.50041319683635</v>
      </c>
      <c r="O182" s="130">
        <v>774.19290334307686</v>
      </c>
      <c r="P182" s="130">
        <v>597.64070053887997</v>
      </c>
      <c r="Q182" s="130">
        <v>630.91543447709137</v>
      </c>
      <c r="R182" s="130">
        <v>585.05140348872669</v>
      </c>
      <c r="S182" s="130">
        <v>585.05140348872669</v>
      </c>
      <c r="T182" s="130">
        <v>585.05140348872669</v>
      </c>
      <c r="U182" s="130">
        <v>543.97253578612356</v>
      </c>
      <c r="V182" s="130">
        <v>626.13027119132983</v>
      </c>
      <c r="W182" s="130">
        <v>585.05140348872669</v>
      </c>
      <c r="X182" s="130">
        <v>585.05140348872669</v>
      </c>
      <c r="Y182" s="130">
        <v>450.49576452688325</v>
      </c>
      <c r="Z182" s="130">
        <v>504.46401288270766</v>
      </c>
      <c r="AA182" s="130">
        <v>606.27341281266342</v>
      </c>
      <c r="AB182" s="130">
        <v>496.28279405914719</v>
      </c>
      <c r="AC182" s="130">
        <v>608.42705683859219</v>
      </c>
      <c r="AD182" s="130">
        <v>628.50691514221148</v>
      </c>
      <c r="AE182" s="130">
        <v>628.84334085974331</v>
      </c>
      <c r="AF182" s="130">
        <v>628.73107847912343</v>
      </c>
      <c r="AG182" s="130">
        <v>577.7242698090779</v>
      </c>
      <c r="AH182" s="130">
        <v>591.47101744136171</v>
      </c>
      <c r="AI182" s="130">
        <v>585.05140348872669</v>
      </c>
      <c r="AJ182" s="130">
        <v>585.05140348872669</v>
      </c>
      <c r="AK182" s="130">
        <v>502.29191553529569</v>
      </c>
      <c r="AL182" s="130">
        <v>657.56051643891442</v>
      </c>
      <c r="AM182" s="130">
        <v>585.05140348872669</v>
      </c>
      <c r="AN182" s="130">
        <v>505.06718978605829</v>
      </c>
      <c r="AO182" s="130">
        <v>655.1289804411382</v>
      </c>
      <c r="AP182" s="130">
        <v>585.05140348872669</v>
      </c>
      <c r="AQ182" s="130">
        <v>557.84334085974331</v>
      </c>
      <c r="AR182" s="130">
        <v>607.3895322399519</v>
      </c>
      <c r="AS182" s="130">
        <v>568.95801714588333</v>
      </c>
      <c r="AT182" s="130">
        <v>600.30295435780931</v>
      </c>
      <c r="AU182" s="130">
        <v>585.05140348872669</v>
      </c>
      <c r="AV182" s="130">
        <v>481.27341281266348</v>
      </c>
      <c r="AW182" s="130">
        <v>675.97572206242853</v>
      </c>
      <c r="AX182" s="130">
        <v>585.05140348872669</v>
      </c>
      <c r="AY182" s="130">
        <v>585.05140348872669</v>
      </c>
    </row>
    <row r="184" spans="1:51" x14ac:dyDescent="0.2">
      <c r="A184" s="107" t="s">
        <v>300</v>
      </c>
    </row>
    <row r="185" spans="1:51" x14ac:dyDescent="0.2">
      <c r="A185" s="131" t="s">
        <v>125</v>
      </c>
      <c r="B185" s="128">
        <v>1</v>
      </c>
      <c r="C185" s="129">
        <v>252.98302175887409</v>
      </c>
      <c r="D185" s="129">
        <v>0</v>
      </c>
      <c r="E185" s="129">
        <v>0</v>
      </c>
      <c r="F185" s="129">
        <v>0</v>
      </c>
      <c r="G185" s="129">
        <v>0</v>
      </c>
      <c r="H185" s="129">
        <v>225.43810185246105</v>
      </c>
      <c r="I185" s="129">
        <v>225.43810185246105</v>
      </c>
      <c r="J185" s="129">
        <v>225.43810185246105</v>
      </c>
      <c r="K185" s="129">
        <v>202</v>
      </c>
      <c r="L185" s="129">
        <v>225.43810185246105</v>
      </c>
      <c r="M185" s="129">
        <v>225.43810185246105</v>
      </c>
      <c r="N185" s="129">
        <v>225.43810185246105</v>
      </c>
      <c r="O185" s="129">
        <v>225.43810185246105</v>
      </c>
      <c r="P185" s="129">
        <v>220</v>
      </c>
      <c r="Q185" s="129">
        <v>197.56189814753895</v>
      </c>
      <c r="R185" s="129">
        <v>194.12379629507791</v>
      </c>
      <c r="S185" s="129">
        <v>170.68569444261686</v>
      </c>
      <c r="T185" s="129">
        <v>225.43810185246105</v>
      </c>
      <c r="U185" s="129">
        <v>225.43810185246105</v>
      </c>
      <c r="V185" s="129">
        <v>225.43810185246105</v>
      </c>
      <c r="W185" s="129">
        <v>225.43810185246105</v>
      </c>
      <c r="X185" s="129">
        <v>225.43810185246105</v>
      </c>
      <c r="Y185" s="129">
        <v>225.43810185246105</v>
      </c>
      <c r="Z185" s="129">
        <v>225.43810185246105</v>
      </c>
      <c r="AA185" s="129">
        <v>225.43810185246105</v>
      </c>
      <c r="AB185" s="129">
        <v>200</v>
      </c>
      <c r="AC185" s="129">
        <v>225.43810185246105</v>
      </c>
      <c r="AD185" s="129">
        <v>225.43810185246105</v>
      </c>
      <c r="AE185" s="129">
        <v>225</v>
      </c>
      <c r="AF185" s="129">
        <v>225.43810185246105</v>
      </c>
      <c r="AG185" s="129">
        <v>215</v>
      </c>
      <c r="AH185" s="129">
        <v>225.43810185246105</v>
      </c>
      <c r="AI185" s="129">
        <v>225.43810185246105</v>
      </c>
      <c r="AJ185" s="129">
        <v>225.43810185246105</v>
      </c>
      <c r="AK185" s="129">
        <v>225.43810185246105</v>
      </c>
      <c r="AL185" s="129">
        <v>225.43810185246105</v>
      </c>
      <c r="AM185" s="129">
        <v>225.43810185246105</v>
      </c>
      <c r="AN185" s="129">
        <v>204</v>
      </c>
      <c r="AO185" s="129">
        <v>225.43810185246105</v>
      </c>
      <c r="AP185" s="129">
        <v>225.43810185246105</v>
      </c>
      <c r="AQ185" s="129">
        <v>225.43810185246105</v>
      </c>
      <c r="AR185" s="129">
        <v>225.43810185246105</v>
      </c>
      <c r="AS185" s="129">
        <v>225.43810185246105</v>
      </c>
      <c r="AT185" s="129">
        <v>225.43810185246105</v>
      </c>
      <c r="AU185" s="129">
        <v>225.43810185246105</v>
      </c>
      <c r="AV185" s="129">
        <v>219</v>
      </c>
      <c r="AW185" s="129">
        <v>225.43810185246105</v>
      </c>
      <c r="AX185" s="129">
        <v>225.43810185246105</v>
      </c>
      <c r="AY185" s="129">
        <v>225.43810185246105</v>
      </c>
    </row>
    <row r="186" spans="1:51" x14ac:dyDescent="0.2">
      <c r="A186" s="114"/>
      <c r="B186" s="125">
        <v>2</v>
      </c>
      <c r="C186" s="111">
        <v>0</v>
      </c>
      <c r="D186" s="111">
        <v>0</v>
      </c>
      <c r="E186" s="111">
        <v>0</v>
      </c>
      <c r="F186" s="111">
        <v>0</v>
      </c>
      <c r="G186" s="111">
        <v>0</v>
      </c>
      <c r="H186" s="111">
        <v>0</v>
      </c>
      <c r="I186" s="111">
        <v>0</v>
      </c>
      <c r="J186" s="111">
        <v>0</v>
      </c>
      <c r="K186" s="111">
        <v>0</v>
      </c>
      <c r="L186" s="111">
        <v>23.438101852461045</v>
      </c>
      <c r="M186" s="111">
        <v>0</v>
      </c>
      <c r="N186" s="111">
        <v>0</v>
      </c>
      <c r="O186" s="111">
        <v>0</v>
      </c>
      <c r="P186" s="111">
        <v>0</v>
      </c>
      <c r="Q186" s="111">
        <v>5.4381018524610454</v>
      </c>
      <c r="R186" s="111">
        <v>27.876203704922091</v>
      </c>
      <c r="S186" s="111">
        <v>31.314305557383136</v>
      </c>
      <c r="T186" s="111">
        <v>54.752407409844182</v>
      </c>
      <c r="U186" s="111">
        <v>0</v>
      </c>
      <c r="V186" s="111">
        <v>0</v>
      </c>
      <c r="W186" s="111">
        <v>0</v>
      </c>
      <c r="X186" s="111">
        <v>0</v>
      </c>
      <c r="Y186" s="111">
        <v>0</v>
      </c>
      <c r="Z186" s="111">
        <v>0</v>
      </c>
      <c r="AA186" s="111">
        <v>0</v>
      </c>
      <c r="AB186" s="111">
        <v>0</v>
      </c>
      <c r="AC186" s="111">
        <v>25.438101852461045</v>
      </c>
      <c r="AD186" s="111">
        <v>0</v>
      </c>
      <c r="AE186" s="111">
        <v>0</v>
      </c>
      <c r="AF186" s="111">
        <v>0.43810185246104538</v>
      </c>
      <c r="AG186" s="111">
        <v>0</v>
      </c>
      <c r="AH186" s="111">
        <v>10.438101852461045</v>
      </c>
      <c r="AI186" s="111">
        <v>0</v>
      </c>
      <c r="AJ186" s="111">
        <v>0</v>
      </c>
      <c r="AK186" s="111">
        <v>0</v>
      </c>
      <c r="AL186" s="111">
        <v>0</v>
      </c>
      <c r="AM186" s="111">
        <v>0</v>
      </c>
      <c r="AN186" s="111">
        <v>0</v>
      </c>
      <c r="AO186" s="111">
        <v>21.438101852461045</v>
      </c>
      <c r="AP186" s="111">
        <v>0</v>
      </c>
      <c r="AQ186" s="111">
        <v>0</v>
      </c>
      <c r="AR186" s="111">
        <v>0</v>
      </c>
      <c r="AS186" s="111">
        <v>0</v>
      </c>
      <c r="AT186" s="111">
        <v>0</v>
      </c>
      <c r="AU186" s="111">
        <v>0</v>
      </c>
      <c r="AV186" s="111">
        <v>0</v>
      </c>
      <c r="AW186" s="111">
        <v>6.4381018524610454</v>
      </c>
      <c r="AX186" s="111">
        <v>0</v>
      </c>
      <c r="AY186" s="111">
        <v>0</v>
      </c>
    </row>
    <row r="187" spans="1:51" x14ac:dyDescent="0.2">
      <c r="A187" s="114"/>
      <c r="B187" s="132">
        <v>3</v>
      </c>
      <c r="C187" s="111">
        <v>0</v>
      </c>
      <c r="D187" s="111">
        <v>0</v>
      </c>
      <c r="E187" s="111">
        <v>0</v>
      </c>
      <c r="F187" s="111">
        <v>0</v>
      </c>
      <c r="G187" s="111">
        <v>0</v>
      </c>
      <c r="H187" s="111">
        <v>0</v>
      </c>
      <c r="I187" s="111">
        <v>0</v>
      </c>
      <c r="J187" s="111">
        <v>0</v>
      </c>
      <c r="K187" s="111">
        <v>0</v>
      </c>
      <c r="L187" s="111">
        <v>0</v>
      </c>
      <c r="M187" s="111">
        <v>0</v>
      </c>
      <c r="N187" s="111">
        <v>0</v>
      </c>
      <c r="O187" s="111">
        <v>0</v>
      </c>
      <c r="P187" s="111">
        <v>0</v>
      </c>
      <c r="Q187" s="111">
        <v>0</v>
      </c>
      <c r="R187" s="111">
        <v>0</v>
      </c>
      <c r="S187" s="111">
        <v>0</v>
      </c>
      <c r="T187" s="111">
        <v>0</v>
      </c>
      <c r="U187" s="111">
        <v>0</v>
      </c>
      <c r="V187" s="111">
        <v>0</v>
      </c>
      <c r="W187" s="111">
        <v>0</v>
      </c>
      <c r="X187" s="111">
        <v>0</v>
      </c>
      <c r="Y187" s="111">
        <v>0</v>
      </c>
      <c r="Z187" s="111">
        <v>0</v>
      </c>
      <c r="AA187" s="111">
        <v>0</v>
      </c>
      <c r="AB187" s="111">
        <v>0</v>
      </c>
      <c r="AC187" s="111">
        <v>0</v>
      </c>
      <c r="AD187" s="111">
        <v>0</v>
      </c>
      <c r="AE187" s="111">
        <v>0</v>
      </c>
      <c r="AF187" s="111">
        <v>0</v>
      </c>
      <c r="AG187" s="111">
        <v>0</v>
      </c>
      <c r="AH187" s="111">
        <v>0</v>
      </c>
      <c r="AI187" s="111">
        <v>0</v>
      </c>
      <c r="AJ187" s="111">
        <v>0</v>
      </c>
      <c r="AK187" s="111">
        <v>0</v>
      </c>
      <c r="AL187" s="111">
        <v>0</v>
      </c>
      <c r="AM187" s="111">
        <v>0</v>
      </c>
      <c r="AN187" s="111">
        <v>0</v>
      </c>
      <c r="AO187" s="111">
        <v>0</v>
      </c>
      <c r="AP187" s="111">
        <v>0</v>
      </c>
      <c r="AQ187" s="111">
        <v>0</v>
      </c>
      <c r="AR187" s="111">
        <v>0</v>
      </c>
      <c r="AS187" s="111">
        <v>0</v>
      </c>
      <c r="AT187" s="111">
        <v>0</v>
      </c>
      <c r="AU187" s="111">
        <v>0</v>
      </c>
      <c r="AV187" s="111">
        <v>0</v>
      </c>
      <c r="AW187" s="111">
        <v>0</v>
      </c>
      <c r="AX187" s="111">
        <v>0</v>
      </c>
      <c r="AY187" s="111">
        <v>0</v>
      </c>
    </row>
    <row r="188" spans="1:51" x14ac:dyDescent="0.2">
      <c r="A188" s="133"/>
      <c r="B188" s="134">
        <v>4</v>
      </c>
      <c r="C188" s="111">
        <v>0</v>
      </c>
      <c r="D188" s="111">
        <v>0</v>
      </c>
      <c r="E188" s="111">
        <v>0</v>
      </c>
      <c r="F188" s="111">
        <v>0</v>
      </c>
      <c r="G188" s="111">
        <v>0</v>
      </c>
      <c r="H188" s="111">
        <v>0</v>
      </c>
      <c r="I188" s="111">
        <v>0</v>
      </c>
      <c r="J188" s="111">
        <v>0</v>
      </c>
      <c r="K188" s="111">
        <v>0</v>
      </c>
      <c r="L188" s="111">
        <v>0</v>
      </c>
      <c r="M188" s="111">
        <v>0</v>
      </c>
      <c r="N188" s="111">
        <v>0</v>
      </c>
      <c r="O188" s="111">
        <v>0</v>
      </c>
      <c r="P188" s="111">
        <v>0</v>
      </c>
      <c r="Q188" s="111">
        <v>0</v>
      </c>
      <c r="R188" s="111">
        <v>0</v>
      </c>
      <c r="S188" s="111">
        <v>0</v>
      </c>
      <c r="T188" s="111">
        <v>0</v>
      </c>
      <c r="U188" s="111">
        <v>0</v>
      </c>
      <c r="V188" s="111">
        <v>0</v>
      </c>
      <c r="W188" s="111">
        <v>0</v>
      </c>
      <c r="X188" s="111">
        <v>0</v>
      </c>
      <c r="Y188" s="111">
        <v>0</v>
      </c>
      <c r="Z188" s="111">
        <v>0</v>
      </c>
      <c r="AA188" s="111">
        <v>0</v>
      </c>
      <c r="AB188" s="111">
        <v>0</v>
      </c>
      <c r="AC188" s="111">
        <v>0</v>
      </c>
      <c r="AD188" s="111">
        <v>0</v>
      </c>
      <c r="AE188" s="111">
        <v>0</v>
      </c>
      <c r="AF188" s="111">
        <v>0</v>
      </c>
      <c r="AG188" s="111">
        <v>0</v>
      </c>
      <c r="AH188" s="111">
        <v>0</v>
      </c>
      <c r="AI188" s="111">
        <v>0</v>
      </c>
      <c r="AJ188" s="111">
        <v>0</v>
      </c>
      <c r="AK188" s="111">
        <v>0</v>
      </c>
      <c r="AL188" s="111">
        <v>0</v>
      </c>
      <c r="AM188" s="111">
        <v>0</v>
      </c>
      <c r="AN188" s="111">
        <v>0</v>
      </c>
      <c r="AO188" s="111">
        <v>0</v>
      </c>
      <c r="AP188" s="111">
        <v>0</v>
      </c>
      <c r="AQ188" s="111">
        <v>0</v>
      </c>
      <c r="AR188" s="111">
        <v>0</v>
      </c>
      <c r="AS188" s="111">
        <v>0</v>
      </c>
      <c r="AT188" s="111">
        <v>0</v>
      </c>
      <c r="AU188" s="111">
        <v>0</v>
      </c>
      <c r="AV188" s="111">
        <v>0</v>
      </c>
      <c r="AW188" s="111">
        <v>0</v>
      </c>
      <c r="AX188" s="111">
        <v>0</v>
      </c>
      <c r="AY188" s="111">
        <v>0</v>
      </c>
    </row>
    <row r="189" spans="1:51" x14ac:dyDescent="0.2">
      <c r="A189" s="131" t="s">
        <v>133</v>
      </c>
      <c r="B189" s="128">
        <v>1</v>
      </c>
      <c r="C189" s="129">
        <v>119.06044900021661</v>
      </c>
      <c r="D189" s="129">
        <v>97</v>
      </c>
      <c r="E189" s="129">
        <v>89.939550999783393</v>
      </c>
      <c r="F189" s="129">
        <v>0</v>
      </c>
      <c r="G189" s="129">
        <v>0</v>
      </c>
      <c r="H189" s="129">
        <v>0</v>
      </c>
      <c r="I189" s="129">
        <v>0</v>
      </c>
      <c r="J189" s="129">
        <v>56.526273309148237</v>
      </c>
      <c r="K189" s="129">
        <v>56.526273309148237</v>
      </c>
      <c r="L189" s="129">
        <v>56.526273309148237</v>
      </c>
      <c r="M189" s="129">
        <v>56.526273309148237</v>
      </c>
      <c r="N189" s="129">
        <v>56.526273309148237</v>
      </c>
      <c r="O189" s="129">
        <v>56.526273309148237</v>
      </c>
      <c r="P189" s="129">
        <v>56.526273309148237</v>
      </c>
      <c r="Q189" s="129">
        <v>56.526273309148237</v>
      </c>
      <c r="R189" s="129">
        <v>56.526273309148237</v>
      </c>
      <c r="S189" s="129">
        <v>56.526273309148237</v>
      </c>
      <c r="T189" s="129">
        <v>56.526273309148237</v>
      </c>
      <c r="U189" s="129">
        <v>0</v>
      </c>
      <c r="V189" s="129">
        <v>113.05254661829646</v>
      </c>
      <c r="W189" s="129">
        <v>56.526273309148237</v>
      </c>
      <c r="X189" s="129">
        <v>56.526273309148237</v>
      </c>
      <c r="Y189" s="129">
        <v>56.526273309148237</v>
      </c>
      <c r="Z189" s="129">
        <v>56.526273309148237</v>
      </c>
      <c r="AA189" s="129">
        <v>56.526273309148237</v>
      </c>
      <c r="AB189" s="129">
        <v>56.526273309148237</v>
      </c>
      <c r="AC189" s="129">
        <v>56.526273309148237</v>
      </c>
      <c r="AD189" s="129">
        <v>56.526273309148237</v>
      </c>
      <c r="AE189" s="129">
        <v>56.526273309148237</v>
      </c>
      <c r="AF189" s="129">
        <v>56.526273309148237</v>
      </c>
      <c r="AG189" s="129">
        <v>56.526273309148237</v>
      </c>
      <c r="AH189" s="129">
        <v>56.526273309148237</v>
      </c>
      <c r="AI189" s="129">
        <v>56.526273309148237</v>
      </c>
      <c r="AJ189" s="129">
        <v>56.526273309148237</v>
      </c>
      <c r="AK189" s="129">
        <v>56.526273309148237</v>
      </c>
      <c r="AL189" s="129">
        <v>56.526273309148237</v>
      </c>
      <c r="AM189" s="129">
        <v>56.526273309148237</v>
      </c>
      <c r="AN189" s="129">
        <v>56.526273309148237</v>
      </c>
      <c r="AO189" s="129">
        <v>56.526273309148237</v>
      </c>
      <c r="AP189" s="129">
        <v>56.526273309148237</v>
      </c>
      <c r="AQ189" s="129">
        <v>56.526273309148237</v>
      </c>
      <c r="AR189" s="129">
        <v>56.526273309148237</v>
      </c>
      <c r="AS189" s="129">
        <v>56.526273309148237</v>
      </c>
      <c r="AT189" s="129">
        <v>56.526273309148237</v>
      </c>
      <c r="AU189" s="129">
        <v>56.526273309148237</v>
      </c>
      <c r="AV189" s="129">
        <v>56.526273309148237</v>
      </c>
      <c r="AW189" s="129">
        <v>56.526273309148237</v>
      </c>
      <c r="AX189" s="129">
        <v>56.526273309148237</v>
      </c>
      <c r="AY189" s="129">
        <v>56.526273309148237</v>
      </c>
    </row>
    <row r="190" spans="1:51" x14ac:dyDescent="0.2">
      <c r="A190" s="114"/>
      <c r="B190" s="124">
        <v>2</v>
      </c>
      <c r="C190" s="111">
        <v>0</v>
      </c>
      <c r="D190" s="111">
        <v>0</v>
      </c>
      <c r="E190" s="111">
        <v>22.060449000216607</v>
      </c>
      <c r="F190" s="111">
        <v>18.725641940570313</v>
      </c>
      <c r="G190" s="111">
        <v>0</v>
      </c>
      <c r="H190" s="111">
        <v>0</v>
      </c>
      <c r="I190" s="111">
        <v>0</v>
      </c>
      <c r="J190" s="111">
        <v>0</v>
      </c>
      <c r="K190" s="111">
        <v>0</v>
      </c>
      <c r="L190" s="111">
        <v>0</v>
      </c>
      <c r="M190" s="111">
        <v>0</v>
      </c>
      <c r="N190" s="111">
        <v>0</v>
      </c>
      <c r="O190" s="111">
        <v>0</v>
      </c>
      <c r="P190" s="111">
        <v>0</v>
      </c>
      <c r="Q190" s="111">
        <v>0</v>
      </c>
      <c r="R190" s="111">
        <v>0</v>
      </c>
      <c r="S190" s="111">
        <v>0</v>
      </c>
      <c r="T190" s="111">
        <v>0</v>
      </c>
      <c r="U190" s="111">
        <v>0</v>
      </c>
      <c r="V190" s="111">
        <v>0</v>
      </c>
      <c r="W190" s="111">
        <v>0</v>
      </c>
      <c r="X190" s="111">
        <v>0</v>
      </c>
      <c r="Y190" s="111">
        <v>0</v>
      </c>
      <c r="Z190" s="111">
        <v>0</v>
      </c>
      <c r="AA190" s="111">
        <v>0</v>
      </c>
      <c r="AB190" s="111">
        <v>0</v>
      </c>
      <c r="AC190" s="111">
        <v>0</v>
      </c>
      <c r="AD190" s="111">
        <v>0</v>
      </c>
      <c r="AE190" s="111">
        <v>0</v>
      </c>
      <c r="AF190" s="111">
        <v>0</v>
      </c>
      <c r="AG190" s="111">
        <v>0</v>
      </c>
      <c r="AH190" s="111">
        <v>0</v>
      </c>
      <c r="AI190" s="111">
        <v>0</v>
      </c>
      <c r="AJ190" s="111">
        <v>0</v>
      </c>
      <c r="AK190" s="111">
        <v>0</v>
      </c>
      <c r="AL190" s="111">
        <v>0</v>
      </c>
      <c r="AM190" s="111">
        <v>0</v>
      </c>
      <c r="AN190" s="111">
        <v>0</v>
      </c>
      <c r="AO190" s="111">
        <v>0</v>
      </c>
      <c r="AP190" s="111">
        <v>0</v>
      </c>
      <c r="AQ190" s="111">
        <v>0</v>
      </c>
      <c r="AR190" s="111">
        <v>0</v>
      </c>
      <c r="AS190" s="111">
        <v>0</v>
      </c>
      <c r="AT190" s="111">
        <v>0</v>
      </c>
      <c r="AU190" s="111">
        <v>0</v>
      </c>
      <c r="AV190" s="111">
        <v>0</v>
      </c>
      <c r="AW190" s="111">
        <v>0</v>
      </c>
      <c r="AX190" s="111">
        <v>0</v>
      </c>
      <c r="AY190" s="111">
        <v>0</v>
      </c>
    </row>
    <row r="191" spans="1:51" x14ac:dyDescent="0.2">
      <c r="A191" s="114"/>
      <c r="B191" s="125">
        <v>3</v>
      </c>
      <c r="C191" s="111">
        <v>0</v>
      </c>
      <c r="D191" s="111">
        <v>0</v>
      </c>
      <c r="E191" s="111">
        <v>0</v>
      </c>
      <c r="F191" s="111">
        <v>0</v>
      </c>
      <c r="G191" s="111">
        <v>0</v>
      </c>
      <c r="H191" s="111">
        <v>0</v>
      </c>
      <c r="I191" s="111">
        <v>0</v>
      </c>
      <c r="J191" s="111">
        <v>0</v>
      </c>
      <c r="K191" s="111">
        <v>0</v>
      </c>
      <c r="L191" s="111">
        <v>0</v>
      </c>
      <c r="M191" s="111">
        <v>0</v>
      </c>
      <c r="N191" s="111">
        <v>0</v>
      </c>
      <c r="O191" s="111">
        <v>0</v>
      </c>
      <c r="P191" s="111">
        <v>0</v>
      </c>
      <c r="Q191" s="111">
        <v>0</v>
      </c>
      <c r="R191" s="111">
        <v>0</v>
      </c>
      <c r="S191" s="111">
        <v>0</v>
      </c>
      <c r="T191" s="111">
        <v>0</v>
      </c>
      <c r="U191" s="111">
        <v>0</v>
      </c>
      <c r="V191" s="111">
        <v>0</v>
      </c>
      <c r="W191" s="111">
        <v>0</v>
      </c>
      <c r="X191" s="111">
        <v>0</v>
      </c>
      <c r="Y191" s="111">
        <v>0</v>
      </c>
      <c r="Z191" s="111">
        <v>0</v>
      </c>
      <c r="AA191" s="111">
        <v>0</v>
      </c>
      <c r="AB191" s="111">
        <v>0</v>
      </c>
      <c r="AC191" s="111">
        <v>0</v>
      </c>
      <c r="AD191" s="111">
        <v>0</v>
      </c>
      <c r="AE191" s="111">
        <v>0</v>
      </c>
      <c r="AF191" s="111">
        <v>0</v>
      </c>
      <c r="AG191" s="111">
        <v>0</v>
      </c>
      <c r="AH191" s="111">
        <v>0</v>
      </c>
      <c r="AI191" s="111">
        <v>0</v>
      </c>
      <c r="AJ191" s="111">
        <v>0</v>
      </c>
      <c r="AK191" s="111">
        <v>0</v>
      </c>
      <c r="AL191" s="111">
        <v>0</v>
      </c>
      <c r="AM191" s="111">
        <v>0</v>
      </c>
      <c r="AN191" s="111">
        <v>0</v>
      </c>
      <c r="AO191" s="111">
        <v>0</v>
      </c>
      <c r="AP191" s="111">
        <v>0</v>
      </c>
      <c r="AQ191" s="111">
        <v>0</v>
      </c>
      <c r="AR191" s="111">
        <v>0</v>
      </c>
      <c r="AS191" s="111">
        <v>0</v>
      </c>
      <c r="AT191" s="111">
        <v>0</v>
      </c>
      <c r="AU191" s="111">
        <v>0</v>
      </c>
      <c r="AV191" s="111">
        <v>0</v>
      </c>
      <c r="AW191" s="111">
        <v>0</v>
      </c>
      <c r="AX191" s="111">
        <v>0</v>
      </c>
      <c r="AY191" s="111">
        <v>0</v>
      </c>
    </row>
    <row r="192" spans="1:51" x14ac:dyDescent="0.2">
      <c r="A192" s="114"/>
      <c r="B192" s="125">
        <v>4</v>
      </c>
      <c r="C192" s="111">
        <v>0</v>
      </c>
      <c r="D192" s="111">
        <v>0</v>
      </c>
      <c r="E192" s="111">
        <v>0</v>
      </c>
      <c r="F192" s="111">
        <v>0</v>
      </c>
      <c r="G192" s="111">
        <v>0</v>
      </c>
      <c r="H192" s="111">
        <v>0</v>
      </c>
      <c r="I192" s="111">
        <v>0</v>
      </c>
      <c r="J192" s="111">
        <v>0</v>
      </c>
      <c r="K192" s="111">
        <v>0</v>
      </c>
      <c r="L192" s="111">
        <v>0</v>
      </c>
      <c r="M192" s="111">
        <v>0</v>
      </c>
      <c r="N192" s="111">
        <v>0</v>
      </c>
      <c r="O192" s="111">
        <v>0</v>
      </c>
      <c r="P192" s="111">
        <v>0</v>
      </c>
      <c r="Q192" s="111">
        <v>0</v>
      </c>
      <c r="R192" s="111">
        <v>0</v>
      </c>
      <c r="S192" s="111">
        <v>0</v>
      </c>
      <c r="T192" s="111">
        <v>0</v>
      </c>
      <c r="U192" s="111">
        <v>0</v>
      </c>
      <c r="V192" s="111">
        <v>0</v>
      </c>
      <c r="W192" s="111">
        <v>0</v>
      </c>
      <c r="X192" s="111">
        <v>0</v>
      </c>
      <c r="Y192" s="111">
        <v>0</v>
      </c>
      <c r="Z192" s="111">
        <v>0</v>
      </c>
      <c r="AA192" s="111">
        <v>0</v>
      </c>
      <c r="AB192" s="111">
        <v>0</v>
      </c>
      <c r="AC192" s="111">
        <v>0</v>
      </c>
      <c r="AD192" s="111">
        <v>0</v>
      </c>
      <c r="AE192" s="111">
        <v>0</v>
      </c>
      <c r="AF192" s="111">
        <v>0</v>
      </c>
      <c r="AG192" s="111">
        <v>0</v>
      </c>
      <c r="AH192" s="111">
        <v>0</v>
      </c>
      <c r="AI192" s="111">
        <v>0</v>
      </c>
      <c r="AJ192" s="111">
        <v>0</v>
      </c>
      <c r="AK192" s="111">
        <v>0</v>
      </c>
      <c r="AL192" s="111">
        <v>0</v>
      </c>
      <c r="AM192" s="111">
        <v>0</v>
      </c>
      <c r="AN192" s="111">
        <v>0</v>
      </c>
      <c r="AO192" s="111">
        <v>0</v>
      </c>
      <c r="AP192" s="111">
        <v>0</v>
      </c>
      <c r="AQ192" s="111">
        <v>0</v>
      </c>
      <c r="AR192" s="111">
        <v>0</v>
      </c>
      <c r="AS192" s="111">
        <v>0</v>
      </c>
      <c r="AT192" s="111">
        <v>0</v>
      </c>
      <c r="AU192" s="111">
        <v>0</v>
      </c>
      <c r="AV192" s="111">
        <v>0</v>
      </c>
      <c r="AW192" s="111">
        <v>0</v>
      </c>
      <c r="AX192" s="111">
        <v>0</v>
      </c>
      <c r="AY192" s="111">
        <v>0</v>
      </c>
    </row>
    <row r="193" spans="1:51" x14ac:dyDescent="0.2">
      <c r="A193" s="114"/>
      <c r="B193" s="132">
        <v>5</v>
      </c>
      <c r="C193" s="111">
        <v>0</v>
      </c>
      <c r="D193" s="111">
        <v>0</v>
      </c>
      <c r="E193" s="111">
        <v>0</v>
      </c>
      <c r="F193" s="111">
        <v>0</v>
      </c>
      <c r="G193" s="111">
        <v>0</v>
      </c>
      <c r="H193" s="111">
        <v>0</v>
      </c>
      <c r="I193" s="111">
        <v>0</v>
      </c>
      <c r="J193" s="111">
        <v>0</v>
      </c>
      <c r="K193" s="111">
        <v>0</v>
      </c>
      <c r="L193" s="111">
        <v>0</v>
      </c>
      <c r="M193" s="111">
        <v>0</v>
      </c>
      <c r="N193" s="111">
        <v>0</v>
      </c>
      <c r="O193" s="111">
        <v>0</v>
      </c>
      <c r="P193" s="111">
        <v>0</v>
      </c>
      <c r="Q193" s="111">
        <v>0</v>
      </c>
      <c r="R193" s="111">
        <v>0</v>
      </c>
      <c r="S193" s="111">
        <v>0</v>
      </c>
      <c r="T193" s="111">
        <v>0</v>
      </c>
      <c r="U193" s="111">
        <v>0</v>
      </c>
      <c r="V193" s="111">
        <v>0</v>
      </c>
      <c r="W193" s="111">
        <v>0</v>
      </c>
      <c r="X193" s="111">
        <v>0</v>
      </c>
      <c r="Y193" s="111">
        <v>0</v>
      </c>
      <c r="Z193" s="111">
        <v>0</v>
      </c>
      <c r="AA193" s="111">
        <v>0</v>
      </c>
      <c r="AB193" s="111">
        <v>0</v>
      </c>
      <c r="AC193" s="111">
        <v>0</v>
      </c>
      <c r="AD193" s="111">
        <v>0</v>
      </c>
      <c r="AE193" s="111">
        <v>0</v>
      </c>
      <c r="AF193" s="111">
        <v>0</v>
      </c>
      <c r="AG193" s="111">
        <v>0</v>
      </c>
      <c r="AH193" s="111">
        <v>0</v>
      </c>
      <c r="AI193" s="111">
        <v>0</v>
      </c>
      <c r="AJ193" s="111">
        <v>0</v>
      </c>
      <c r="AK193" s="111">
        <v>0</v>
      </c>
      <c r="AL193" s="111">
        <v>0</v>
      </c>
      <c r="AM193" s="111">
        <v>0</v>
      </c>
      <c r="AN193" s="111">
        <v>0</v>
      </c>
      <c r="AO193" s="111">
        <v>0</v>
      </c>
      <c r="AP193" s="111">
        <v>0</v>
      </c>
      <c r="AQ193" s="111">
        <v>0</v>
      </c>
      <c r="AR193" s="111">
        <v>0</v>
      </c>
      <c r="AS193" s="111">
        <v>0</v>
      </c>
      <c r="AT193" s="111">
        <v>0</v>
      </c>
      <c r="AU193" s="111">
        <v>0</v>
      </c>
      <c r="AV193" s="111">
        <v>0</v>
      </c>
      <c r="AW193" s="111">
        <v>0</v>
      </c>
      <c r="AX193" s="111">
        <v>0</v>
      </c>
      <c r="AY193" s="111">
        <v>0</v>
      </c>
    </row>
    <row r="194" spans="1:51" x14ac:dyDescent="0.2">
      <c r="A194" s="114"/>
      <c r="B194" s="132">
        <v>6</v>
      </c>
      <c r="C194" s="111">
        <v>0</v>
      </c>
      <c r="D194" s="111">
        <v>0</v>
      </c>
      <c r="E194" s="111">
        <v>0</v>
      </c>
      <c r="F194" s="111">
        <v>0</v>
      </c>
      <c r="G194" s="111">
        <v>0</v>
      </c>
      <c r="H194" s="111">
        <v>0</v>
      </c>
      <c r="I194" s="111">
        <v>0</v>
      </c>
      <c r="J194" s="111">
        <v>0</v>
      </c>
      <c r="K194" s="111">
        <v>0</v>
      </c>
      <c r="L194" s="111">
        <v>0</v>
      </c>
      <c r="M194" s="111">
        <v>0</v>
      </c>
      <c r="N194" s="111">
        <v>0</v>
      </c>
      <c r="O194" s="111">
        <v>0</v>
      </c>
      <c r="P194" s="111">
        <v>0</v>
      </c>
      <c r="Q194" s="111">
        <v>0</v>
      </c>
      <c r="R194" s="111">
        <v>0</v>
      </c>
      <c r="S194" s="111">
        <v>0</v>
      </c>
      <c r="T194" s="111">
        <v>0</v>
      </c>
      <c r="U194" s="111">
        <v>0</v>
      </c>
      <c r="V194" s="111">
        <v>0</v>
      </c>
      <c r="W194" s="111">
        <v>0</v>
      </c>
      <c r="X194" s="111">
        <v>0</v>
      </c>
      <c r="Y194" s="111">
        <v>0</v>
      </c>
      <c r="Z194" s="111">
        <v>0</v>
      </c>
      <c r="AA194" s="111">
        <v>0</v>
      </c>
      <c r="AB194" s="111">
        <v>0</v>
      </c>
      <c r="AC194" s="111">
        <v>0</v>
      </c>
      <c r="AD194" s="111">
        <v>0</v>
      </c>
      <c r="AE194" s="111">
        <v>0</v>
      </c>
      <c r="AF194" s="111">
        <v>0</v>
      </c>
      <c r="AG194" s="111">
        <v>0</v>
      </c>
      <c r="AH194" s="111">
        <v>0</v>
      </c>
      <c r="AI194" s="111">
        <v>0</v>
      </c>
      <c r="AJ194" s="111">
        <v>0</v>
      </c>
      <c r="AK194" s="111">
        <v>0</v>
      </c>
      <c r="AL194" s="111">
        <v>0</v>
      </c>
      <c r="AM194" s="111">
        <v>0</v>
      </c>
      <c r="AN194" s="111">
        <v>0</v>
      </c>
      <c r="AO194" s="111">
        <v>0</v>
      </c>
      <c r="AP194" s="111">
        <v>0</v>
      </c>
      <c r="AQ194" s="111">
        <v>0</v>
      </c>
      <c r="AR194" s="111">
        <v>0</v>
      </c>
      <c r="AS194" s="111">
        <v>0</v>
      </c>
      <c r="AT194" s="111">
        <v>0</v>
      </c>
      <c r="AU194" s="111">
        <v>0</v>
      </c>
      <c r="AV194" s="111">
        <v>0</v>
      </c>
      <c r="AW194" s="111">
        <v>0</v>
      </c>
      <c r="AX194" s="111">
        <v>0</v>
      </c>
      <c r="AY194" s="111">
        <v>0</v>
      </c>
    </row>
    <row r="195" spans="1:51" x14ac:dyDescent="0.2">
      <c r="A195" s="114"/>
      <c r="B195" s="135">
        <v>7</v>
      </c>
      <c r="C195" s="111">
        <v>0</v>
      </c>
      <c r="D195" s="111">
        <v>0</v>
      </c>
      <c r="E195" s="111">
        <v>0</v>
      </c>
      <c r="F195" s="111">
        <v>0</v>
      </c>
      <c r="G195" s="111">
        <v>0</v>
      </c>
      <c r="H195" s="111">
        <v>0</v>
      </c>
      <c r="I195" s="111">
        <v>0</v>
      </c>
      <c r="J195" s="111">
        <v>0</v>
      </c>
      <c r="K195" s="111">
        <v>0</v>
      </c>
      <c r="L195" s="111">
        <v>0</v>
      </c>
      <c r="M195" s="111">
        <v>0</v>
      </c>
      <c r="N195" s="111">
        <v>0</v>
      </c>
      <c r="O195" s="111">
        <v>0</v>
      </c>
      <c r="P195" s="111">
        <v>0</v>
      </c>
      <c r="Q195" s="111">
        <v>0</v>
      </c>
      <c r="R195" s="111">
        <v>0</v>
      </c>
      <c r="S195" s="111">
        <v>0</v>
      </c>
      <c r="T195" s="111">
        <v>0</v>
      </c>
      <c r="U195" s="111">
        <v>0</v>
      </c>
      <c r="V195" s="111">
        <v>0</v>
      </c>
      <c r="W195" s="111">
        <v>0</v>
      </c>
      <c r="X195" s="111">
        <v>0</v>
      </c>
      <c r="Y195" s="111">
        <v>0</v>
      </c>
      <c r="Z195" s="111">
        <v>0</v>
      </c>
      <c r="AA195" s="111">
        <v>0</v>
      </c>
      <c r="AB195" s="111">
        <v>0</v>
      </c>
      <c r="AC195" s="111">
        <v>0</v>
      </c>
      <c r="AD195" s="111">
        <v>0</v>
      </c>
      <c r="AE195" s="111">
        <v>0</v>
      </c>
      <c r="AF195" s="111">
        <v>0</v>
      </c>
      <c r="AG195" s="111">
        <v>0</v>
      </c>
      <c r="AH195" s="111">
        <v>0</v>
      </c>
      <c r="AI195" s="111">
        <v>0</v>
      </c>
      <c r="AJ195" s="111">
        <v>0</v>
      </c>
      <c r="AK195" s="111">
        <v>0</v>
      </c>
      <c r="AL195" s="111">
        <v>0</v>
      </c>
      <c r="AM195" s="111">
        <v>0</v>
      </c>
      <c r="AN195" s="111">
        <v>0</v>
      </c>
      <c r="AO195" s="111">
        <v>0</v>
      </c>
      <c r="AP195" s="111">
        <v>0</v>
      </c>
      <c r="AQ195" s="111">
        <v>0</v>
      </c>
      <c r="AR195" s="111">
        <v>0</v>
      </c>
      <c r="AS195" s="111">
        <v>0</v>
      </c>
      <c r="AT195" s="111">
        <v>0</v>
      </c>
      <c r="AU195" s="111">
        <v>0</v>
      </c>
      <c r="AV195" s="111">
        <v>0</v>
      </c>
      <c r="AW195" s="111">
        <v>0</v>
      </c>
      <c r="AX195" s="111">
        <v>0</v>
      </c>
      <c r="AY195" s="111">
        <v>0</v>
      </c>
    </row>
    <row r="196" spans="1:51" x14ac:dyDescent="0.2">
      <c r="A196" s="133"/>
      <c r="B196" s="134">
        <v>8</v>
      </c>
      <c r="C196" s="119">
        <v>0</v>
      </c>
      <c r="D196" s="119">
        <v>0</v>
      </c>
      <c r="E196" s="119">
        <v>0</v>
      </c>
      <c r="F196" s="119">
        <v>0</v>
      </c>
      <c r="G196" s="119">
        <v>0</v>
      </c>
      <c r="H196" s="119">
        <v>0</v>
      </c>
      <c r="I196" s="119">
        <v>0</v>
      </c>
      <c r="J196" s="119">
        <v>0</v>
      </c>
      <c r="K196" s="119">
        <v>0</v>
      </c>
      <c r="L196" s="119">
        <v>0</v>
      </c>
      <c r="M196" s="119">
        <v>0</v>
      </c>
      <c r="N196" s="119">
        <v>0</v>
      </c>
      <c r="O196" s="119">
        <v>0</v>
      </c>
      <c r="P196" s="119">
        <v>0</v>
      </c>
      <c r="Q196" s="119">
        <v>0</v>
      </c>
      <c r="R196" s="119">
        <v>0</v>
      </c>
      <c r="S196" s="119">
        <v>0</v>
      </c>
      <c r="T196" s="119">
        <v>0</v>
      </c>
      <c r="U196" s="119">
        <v>0</v>
      </c>
      <c r="V196" s="119">
        <v>0</v>
      </c>
      <c r="W196" s="119">
        <v>0</v>
      </c>
      <c r="X196" s="119">
        <v>0</v>
      </c>
      <c r="Y196" s="119">
        <v>0</v>
      </c>
      <c r="Z196" s="119">
        <v>0</v>
      </c>
      <c r="AA196" s="119">
        <v>0</v>
      </c>
      <c r="AB196" s="119">
        <v>0</v>
      </c>
      <c r="AC196" s="119">
        <v>0</v>
      </c>
      <c r="AD196" s="119">
        <v>0</v>
      </c>
      <c r="AE196" s="119">
        <v>0</v>
      </c>
      <c r="AF196" s="119">
        <v>0</v>
      </c>
      <c r="AG196" s="119">
        <v>0</v>
      </c>
      <c r="AH196" s="119">
        <v>0</v>
      </c>
      <c r="AI196" s="119">
        <v>0</v>
      </c>
      <c r="AJ196" s="119">
        <v>0</v>
      </c>
      <c r="AK196" s="119">
        <v>0</v>
      </c>
      <c r="AL196" s="119">
        <v>0</v>
      </c>
      <c r="AM196" s="119">
        <v>0</v>
      </c>
      <c r="AN196" s="119">
        <v>0</v>
      </c>
      <c r="AO196" s="119">
        <v>0</v>
      </c>
      <c r="AP196" s="119">
        <v>0</v>
      </c>
      <c r="AQ196" s="119">
        <v>0</v>
      </c>
      <c r="AR196" s="119">
        <v>0</v>
      </c>
      <c r="AS196" s="119">
        <v>0</v>
      </c>
      <c r="AT196" s="119">
        <v>0</v>
      </c>
      <c r="AU196" s="119">
        <v>0</v>
      </c>
      <c r="AV196" s="119">
        <v>0</v>
      </c>
      <c r="AW196" s="119">
        <v>0</v>
      </c>
      <c r="AX196" s="119">
        <v>0</v>
      </c>
      <c r="AY196" s="119">
        <v>0</v>
      </c>
    </row>
    <row r="197" spans="1:51" x14ac:dyDescent="0.2">
      <c r="A197" s="136" t="s">
        <v>134</v>
      </c>
      <c r="B197" s="124">
        <v>1</v>
      </c>
      <c r="C197" s="111">
        <v>81.770886882284614</v>
      </c>
      <c r="D197" s="111">
        <v>87</v>
      </c>
      <c r="E197" s="111">
        <v>0</v>
      </c>
      <c r="F197" s="111">
        <v>0</v>
      </c>
      <c r="G197" s="111">
        <v>0</v>
      </c>
      <c r="H197" s="111">
        <v>0</v>
      </c>
      <c r="I197" s="111">
        <v>76.899609668421817</v>
      </c>
      <c r="J197" s="111">
        <v>85.566226022298039</v>
      </c>
      <c r="K197" s="111">
        <v>82.706794193621704</v>
      </c>
      <c r="L197" s="111">
        <v>82.706794193621704</v>
      </c>
      <c r="M197" s="111">
        <v>97.190880165857891</v>
      </c>
      <c r="N197" s="111">
        <v>112.16022373628005</v>
      </c>
      <c r="O197" s="111">
        <v>115.63440791168735</v>
      </c>
      <c r="P197" s="111">
        <v>119.92276931334219</v>
      </c>
      <c r="Q197" s="111">
        <v>91.886720992488733</v>
      </c>
      <c r="R197" s="111">
        <v>89.190441526531075</v>
      </c>
      <c r="S197" s="111">
        <v>82.706794193621704</v>
      </c>
      <c r="T197" s="111">
        <v>82.706794193621704</v>
      </c>
      <c r="U197" s="111">
        <v>82.706794193621704</v>
      </c>
      <c r="V197" s="111">
        <v>76.899609668421817</v>
      </c>
      <c r="W197" s="111">
        <v>88.513978718821591</v>
      </c>
      <c r="X197" s="111">
        <v>82.706794193621704</v>
      </c>
      <c r="Y197" s="111">
        <v>82.706794193621704</v>
      </c>
      <c r="Z197" s="111">
        <v>82.706794193621704</v>
      </c>
      <c r="AA197" s="111">
        <v>99.372505790774326</v>
      </c>
      <c r="AB197" s="111">
        <v>107.2896787564471</v>
      </c>
      <c r="AC197" s="111">
        <v>101.61640369235685</v>
      </c>
      <c r="AD197" s="111">
        <v>110.26895779039141</v>
      </c>
      <c r="AE197" s="111">
        <v>103.95993222170523</v>
      </c>
      <c r="AF197" s="111">
        <v>95.945287114635363</v>
      </c>
      <c r="AG197" s="111">
        <v>88.881646297783249</v>
      </c>
      <c r="AH197" s="111">
        <v>82.706794193621704</v>
      </c>
      <c r="AI197" s="111">
        <v>83.614313920635439</v>
      </c>
      <c r="AJ197" s="111">
        <v>82.706794193621704</v>
      </c>
      <c r="AK197" s="111">
        <v>82.706794193621704</v>
      </c>
      <c r="AL197" s="111">
        <v>82.706794193621704</v>
      </c>
      <c r="AM197" s="111">
        <v>92.957169196864982</v>
      </c>
      <c r="AN197" s="111">
        <v>82.706794193621704</v>
      </c>
      <c r="AO197" s="111">
        <v>82.706794193621704</v>
      </c>
      <c r="AP197" s="111">
        <v>92.613430943878583</v>
      </c>
      <c r="AQ197" s="111">
        <v>82.706794193621704</v>
      </c>
      <c r="AR197" s="111">
        <v>82.706794193621704</v>
      </c>
      <c r="AS197" s="111">
        <v>86.076714089884746</v>
      </c>
      <c r="AT197" s="111">
        <v>82.89258202533334</v>
      </c>
      <c r="AU197" s="111">
        <v>84.862855817165979</v>
      </c>
      <c r="AV197" s="111">
        <v>82.706794193621704</v>
      </c>
      <c r="AW197" s="111">
        <v>82.706794193621704</v>
      </c>
      <c r="AX197" s="111">
        <v>95.560466295983147</v>
      </c>
      <c r="AY197" s="111">
        <v>82.706794193621704</v>
      </c>
    </row>
    <row r="198" spans="1:51" x14ac:dyDescent="0.2">
      <c r="A198" s="114"/>
      <c r="B198" s="124">
        <v>2</v>
      </c>
      <c r="C198" s="111">
        <v>17.599720017077317</v>
      </c>
      <c r="D198" s="111">
        <v>0</v>
      </c>
      <c r="E198" s="111">
        <v>5.8585922341547416</v>
      </c>
      <c r="F198" s="111">
        <v>0</v>
      </c>
      <c r="G198" s="111">
        <v>0</v>
      </c>
      <c r="H198" s="111">
        <v>0</v>
      </c>
      <c r="I198" s="111">
        <v>0</v>
      </c>
      <c r="J198" s="111">
        <v>0</v>
      </c>
      <c r="K198" s="111">
        <v>0</v>
      </c>
      <c r="L198" s="111">
        <v>0</v>
      </c>
      <c r="M198" s="111">
        <v>0</v>
      </c>
      <c r="N198" s="111">
        <v>0</v>
      </c>
      <c r="O198" s="111">
        <v>0</v>
      </c>
      <c r="P198" s="111">
        <v>0</v>
      </c>
      <c r="Q198" s="111">
        <v>0</v>
      </c>
      <c r="R198" s="111">
        <v>0</v>
      </c>
      <c r="S198" s="111">
        <v>0</v>
      </c>
      <c r="T198" s="111">
        <v>0</v>
      </c>
      <c r="U198" s="111">
        <v>0</v>
      </c>
      <c r="V198" s="111">
        <v>0</v>
      </c>
      <c r="W198" s="111">
        <v>0</v>
      </c>
      <c r="X198" s="111">
        <v>0</v>
      </c>
      <c r="Y198" s="111">
        <v>0</v>
      </c>
      <c r="Z198" s="111">
        <v>0</v>
      </c>
      <c r="AA198" s="111">
        <v>0</v>
      </c>
      <c r="AB198" s="111">
        <v>0</v>
      </c>
      <c r="AC198" s="111">
        <v>0</v>
      </c>
      <c r="AD198" s="111">
        <v>0</v>
      </c>
      <c r="AE198" s="111">
        <v>0</v>
      </c>
      <c r="AF198" s="111">
        <v>0</v>
      </c>
      <c r="AG198" s="111">
        <v>0</v>
      </c>
      <c r="AH198" s="111">
        <v>0</v>
      </c>
      <c r="AI198" s="111">
        <v>0</v>
      </c>
      <c r="AJ198" s="111">
        <v>0</v>
      </c>
      <c r="AK198" s="111">
        <v>0</v>
      </c>
      <c r="AL198" s="111">
        <v>0</v>
      </c>
      <c r="AM198" s="111">
        <v>0</v>
      </c>
      <c r="AN198" s="111">
        <v>0</v>
      </c>
      <c r="AO198" s="111">
        <v>0</v>
      </c>
      <c r="AP198" s="111">
        <v>0</v>
      </c>
      <c r="AQ198" s="111">
        <v>0</v>
      </c>
      <c r="AR198" s="111">
        <v>0</v>
      </c>
      <c r="AS198" s="111">
        <v>0</v>
      </c>
      <c r="AT198" s="111">
        <v>0</v>
      </c>
      <c r="AU198" s="111">
        <v>0</v>
      </c>
      <c r="AV198" s="111">
        <v>0</v>
      </c>
      <c r="AW198" s="111">
        <v>0</v>
      </c>
      <c r="AX198" s="111">
        <v>0</v>
      </c>
      <c r="AY198" s="111">
        <v>0</v>
      </c>
    </row>
    <row r="199" spans="1:51" x14ac:dyDescent="0.2">
      <c r="A199" s="114"/>
      <c r="B199" s="124">
        <v>3</v>
      </c>
      <c r="C199" s="111">
        <v>0</v>
      </c>
      <c r="D199" s="111">
        <v>0</v>
      </c>
      <c r="E199" s="111">
        <v>0</v>
      </c>
      <c r="F199" s="111">
        <v>0</v>
      </c>
      <c r="G199" s="111">
        <v>0</v>
      </c>
      <c r="H199" s="111">
        <v>0</v>
      </c>
      <c r="I199" s="111">
        <v>0</v>
      </c>
      <c r="J199" s="111">
        <v>0</v>
      </c>
      <c r="K199" s="111">
        <v>0</v>
      </c>
      <c r="L199" s="111">
        <v>0</v>
      </c>
      <c r="M199" s="111">
        <v>0</v>
      </c>
      <c r="N199" s="111">
        <v>0</v>
      </c>
      <c r="O199" s="111">
        <v>0</v>
      </c>
      <c r="P199" s="111">
        <v>0</v>
      </c>
      <c r="Q199" s="111">
        <v>0</v>
      </c>
      <c r="R199" s="111">
        <v>0</v>
      </c>
      <c r="S199" s="111">
        <v>0</v>
      </c>
      <c r="T199" s="111">
        <v>0</v>
      </c>
      <c r="U199" s="111">
        <v>0</v>
      </c>
      <c r="V199" s="111">
        <v>0</v>
      </c>
      <c r="W199" s="111">
        <v>0</v>
      </c>
      <c r="X199" s="111">
        <v>0</v>
      </c>
      <c r="Y199" s="111">
        <v>0</v>
      </c>
      <c r="Z199" s="111">
        <v>0</v>
      </c>
      <c r="AA199" s="111">
        <v>0</v>
      </c>
      <c r="AB199" s="111">
        <v>0</v>
      </c>
      <c r="AC199" s="111">
        <v>0</v>
      </c>
      <c r="AD199" s="111">
        <v>0</v>
      </c>
      <c r="AE199" s="111">
        <v>0</v>
      </c>
      <c r="AF199" s="111">
        <v>0</v>
      </c>
      <c r="AG199" s="111">
        <v>0</v>
      </c>
      <c r="AH199" s="111">
        <v>0</v>
      </c>
      <c r="AI199" s="111">
        <v>0</v>
      </c>
      <c r="AJ199" s="111">
        <v>0</v>
      </c>
      <c r="AK199" s="111">
        <v>0</v>
      </c>
      <c r="AL199" s="111">
        <v>0</v>
      </c>
      <c r="AM199" s="111">
        <v>0</v>
      </c>
      <c r="AN199" s="111">
        <v>0</v>
      </c>
      <c r="AO199" s="111">
        <v>0</v>
      </c>
      <c r="AP199" s="111">
        <v>0</v>
      </c>
      <c r="AQ199" s="111">
        <v>0</v>
      </c>
      <c r="AR199" s="111">
        <v>0</v>
      </c>
      <c r="AS199" s="111">
        <v>0</v>
      </c>
      <c r="AT199" s="111">
        <v>0</v>
      </c>
      <c r="AU199" s="111">
        <v>0</v>
      </c>
      <c r="AV199" s="111">
        <v>0</v>
      </c>
      <c r="AW199" s="111">
        <v>0</v>
      </c>
      <c r="AX199" s="111">
        <v>0</v>
      </c>
      <c r="AY199" s="111">
        <v>0</v>
      </c>
    </row>
    <row r="200" spans="1:51" x14ac:dyDescent="0.2">
      <c r="A200" s="114"/>
      <c r="B200" s="125">
        <v>4</v>
      </c>
      <c r="C200" s="111">
        <v>0</v>
      </c>
      <c r="D200" s="111">
        <v>0</v>
      </c>
      <c r="E200" s="111">
        <v>0</v>
      </c>
      <c r="F200" s="111">
        <v>0</v>
      </c>
      <c r="G200" s="111">
        <v>0</v>
      </c>
      <c r="H200" s="111">
        <v>0</v>
      </c>
      <c r="I200" s="111">
        <v>0</v>
      </c>
      <c r="J200" s="111">
        <v>0</v>
      </c>
      <c r="K200" s="111">
        <v>0</v>
      </c>
      <c r="L200" s="111">
        <v>0</v>
      </c>
      <c r="M200" s="111">
        <v>0</v>
      </c>
      <c r="N200" s="111">
        <v>0</v>
      </c>
      <c r="O200" s="111">
        <v>0</v>
      </c>
      <c r="P200" s="111">
        <v>0</v>
      </c>
      <c r="Q200" s="111">
        <v>0</v>
      </c>
      <c r="R200" s="111">
        <v>0</v>
      </c>
      <c r="S200" s="111">
        <v>0</v>
      </c>
      <c r="T200" s="111">
        <v>0</v>
      </c>
      <c r="U200" s="111">
        <v>0</v>
      </c>
      <c r="V200" s="111">
        <v>0</v>
      </c>
      <c r="W200" s="111">
        <v>0</v>
      </c>
      <c r="X200" s="111">
        <v>0</v>
      </c>
      <c r="Y200" s="111">
        <v>0</v>
      </c>
      <c r="Z200" s="111">
        <v>0</v>
      </c>
      <c r="AA200" s="111">
        <v>0</v>
      </c>
      <c r="AB200" s="111">
        <v>0</v>
      </c>
      <c r="AC200" s="111">
        <v>0</v>
      </c>
      <c r="AD200" s="111">
        <v>0</v>
      </c>
      <c r="AE200" s="111">
        <v>0</v>
      </c>
      <c r="AF200" s="111">
        <v>0</v>
      </c>
      <c r="AG200" s="111">
        <v>0</v>
      </c>
      <c r="AH200" s="111">
        <v>0</v>
      </c>
      <c r="AI200" s="111">
        <v>0</v>
      </c>
      <c r="AJ200" s="111">
        <v>0</v>
      </c>
      <c r="AK200" s="111">
        <v>0</v>
      </c>
      <c r="AL200" s="111">
        <v>0</v>
      </c>
      <c r="AM200" s="111">
        <v>0</v>
      </c>
      <c r="AN200" s="111">
        <v>0</v>
      </c>
      <c r="AO200" s="111">
        <v>0</v>
      </c>
      <c r="AP200" s="111">
        <v>0</v>
      </c>
      <c r="AQ200" s="111">
        <v>0</v>
      </c>
      <c r="AR200" s="111">
        <v>0</v>
      </c>
      <c r="AS200" s="111">
        <v>0</v>
      </c>
      <c r="AT200" s="111">
        <v>0</v>
      </c>
      <c r="AU200" s="111">
        <v>0</v>
      </c>
      <c r="AV200" s="111">
        <v>0</v>
      </c>
      <c r="AW200" s="111">
        <v>0</v>
      </c>
      <c r="AX200" s="111">
        <v>0</v>
      </c>
      <c r="AY200" s="111">
        <v>0</v>
      </c>
    </row>
    <row r="201" spans="1:51" x14ac:dyDescent="0.2">
      <c r="A201" s="114"/>
      <c r="B201" s="125">
        <v>5</v>
      </c>
      <c r="C201" s="111">
        <v>0</v>
      </c>
      <c r="D201" s="111">
        <v>0</v>
      </c>
      <c r="E201" s="111">
        <v>0</v>
      </c>
      <c r="F201" s="111">
        <v>0</v>
      </c>
      <c r="G201" s="111">
        <v>0</v>
      </c>
      <c r="H201" s="111">
        <v>0</v>
      </c>
      <c r="I201" s="111">
        <v>0</v>
      </c>
      <c r="J201" s="111">
        <v>0</v>
      </c>
      <c r="K201" s="111">
        <v>0</v>
      </c>
      <c r="L201" s="111">
        <v>0</v>
      </c>
      <c r="M201" s="111">
        <v>0</v>
      </c>
      <c r="N201" s="111">
        <v>0</v>
      </c>
      <c r="O201" s="111">
        <v>0</v>
      </c>
      <c r="P201" s="111">
        <v>0</v>
      </c>
      <c r="Q201" s="111">
        <v>0</v>
      </c>
      <c r="R201" s="111">
        <v>0</v>
      </c>
      <c r="S201" s="111">
        <v>0</v>
      </c>
      <c r="T201" s="111">
        <v>0</v>
      </c>
      <c r="U201" s="111">
        <v>0</v>
      </c>
      <c r="V201" s="111">
        <v>0</v>
      </c>
      <c r="W201" s="111">
        <v>0</v>
      </c>
      <c r="X201" s="111">
        <v>0</v>
      </c>
      <c r="Y201" s="111">
        <v>0</v>
      </c>
      <c r="Z201" s="111">
        <v>0</v>
      </c>
      <c r="AA201" s="111">
        <v>0</v>
      </c>
      <c r="AB201" s="111">
        <v>0</v>
      </c>
      <c r="AC201" s="111">
        <v>0</v>
      </c>
      <c r="AD201" s="111">
        <v>0</v>
      </c>
      <c r="AE201" s="111">
        <v>0</v>
      </c>
      <c r="AF201" s="111">
        <v>0</v>
      </c>
      <c r="AG201" s="111">
        <v>0</v>
      </c>
      <c r="AH201" s="111">
        <v>0</v>
      </c>
      <c r="AI201" s="111">
        <v>0</v>
      </c>
      <c r="AJ201" s="111">
        <v>0</v>
      </c>
      <c r="AK201" s="111">
        <v>0</v>
      </c>
      <c r="AL201" s="111">
        <v>0</v>
      </c>
      <c r="AM201" s="111">
        <v>0</v>
      </c>
      <c r="AN201" s="111">
        <v>0</v>
      </c>
      <c r="AO201" s="111">
        <v>0</v>
      </c>
      <c r="AP201" s="111">
        <v>0</v>
      </c>
      <c r="AQ201" s="111">
        <v>0</v>
      </c>
      <c r="AR201" s="111">
        <v>0</v>
      </c>
      <c r="AS201" s="111">
        <v>0</v>
      </c>
      <c r="AT201" s="111">
        <v>0</v>
      </c>
      <c r="AU201" s="111">
        <v>0</v>
      </c>
      <c r="AV201" s="111">
        <v>0</v>
      </c>
      <c r="AW201" s="111">
        <v>0</v>
      </c>
      <c r="AX201" s="111">
        <v>0</v>
      </c>
      <c r="AY201" s="111">
        <v>0</v>
      </c>
    </row>
    <row r="202" spans="1:51" x14ac:dyDescent="0.2">
      <c r="A202" s="114"/>
      <c r="B202" s="125">
        <v>6</v>
      </c>
      <c r="C202" s="111">
        <v>0</v>
      </c>
      <c r="D202" s="111">
        <v>0</v>
      </c>
      <c r="E202" s="111">
        <v>0</v>
      </c>
      <c r="F202" s="111">
        <v>0</v>
      </c>
      <c r="G202" s="111">
        <v>0</v>
      </c>
      <c r="H202" s="111">
        <v>0</v>
      </c>
      <c r="I202" s="111">
        <v>0</v>
      </c>
      <c r="J202" s="111">
        <v>0</v>
      </c>
      <c r="K202" s="111">
        <v>0</v>
      </c>
      <c r="L202" s="111">
        <v>0</v>
      </c>
      <c r="M202" s="111">
        <v>0</v>
      </c>
      <c r="N202" s="111">
        <v>0</v>
      </c>
      <c r="O202" s="111">
        <v>0</v>
      </c>
      <c r="P202" s="111">
        <v>0</v>
      </c>
      <c r="Q202" s="111">
        <v>0</v>
      </c>
      <c r="R202" s="111">
        <v>0</v>
      </c>
      <c r="S202" s="111">
        <v>0</v>
      </c>
      <c r="T202" s="111">
        <v>0</v>
      </c>
      <c r="U202" s="111">
        <v>0</v>
      </c>
      <c r="V202" s="111">
        <v>0</v>
      </c>
      <c r="W202" s="111">
        <v>0</v>
      </c>
      <c r="X202" s="111">
        <v>0</v>
      </c>
      <c r="Y202" s="111">
        <v>0</v>
      </c>
      <c r="Z202" s="111">
        <v>0</v>
      </c>
      <c r="AA202" s="111">
        <v>0</v>
      </c>
      <c r="AB202" s="111">
        <v>0</v>
      </c>
      <c r="AC202" s="111">
        <v>0</v>
      </c>
      <c r="AD202" s="111">
        <v>0</v>
      </c>
      <c r="AE202" s="111">
        <v>0</v>
      </c>
      <c r="AF202" s="111">
        <v>0</v>
      </c>
      <c r="AG202" s="111">
        <v>0</v>
      </c>
      <c r="AH202" s="111">
        <v>0</v>
      </c>
      <c r="AI202" s="111">
        <v>0</v>
      </c>
      <c r="AJ202" s="111">
        <v>0</v>
      </c>
      <c r="AK202" s="111">
        <v>0</v>
      </c>
      <c r="AL202" s="111">
        <v>0</v>
      </c>
      <c r="AM202" s="111">
        <v>0</v>
      </c>
      <c r="AN202" s="111">
        <v>0</v>
      </c>
      <c r="AO202" s="111">
        <v>0</v>
      </c>
      <c r="AP202" s="111">
        <v>0</v>
      </c>
      <c r="AQ202" s="111">
        <v>0</v>
      </c>
      <c r="AR202" s="111">
        <v>0</v>
      </c>
      <c r="AS202" s="111">
        <v>0</v>
      </c>
      <c r="AT202" s="111">
        <v>0</v>
      </c>
      <c r="AU202" s="111">
        <v>0</v>
      </c>
      <c r="AV202" s="111">
        <v>0</v>
      </c>
      <c r="AW202" s="111">
        <v>0</v>
      </c>
      <c r="AX202" s="111">
        <v>0</v>
      </c>
      <c r="AY202" s="111">
        <v>0</v>
      </c>
    </row>
    <row r="203" spans="1:51" x14ac:dyDescent="0.2">
      <c r="A203" s="114"/>
      <c r="B203" s="132">
        <v>7</v>
      </c>
      <c r="C203" s="111">
        <v>0</v>
      </c>
      <c r="D203" s="111">
        <v>0</v>
      </c>
      <c r="E203" s="111">
        <v>0</v>
      </c>
      <c r="F203" s="111">
        <v>0</v>
      </c>
      <c r="G203" s="111">
        <v>0</v>
      </c>
      <c r="H203" s="111">
        <v>0</v>
      </c>
      <c r="I203" s="111">
        <v>0</v>
      </c>
      <c r="J203" s="111">
        <v>0</v>
      </c>
      <c r="K203" s="111">
        <v>0</v>
      </c>
      <c r="L203" s="111">
        <v>0</v>
      </c>
      <c r="M203" s="111">
        <v>0</v>
      </c>
      <c r="N203" s="111">
        <v>0</v>
      </c>
      <c r="O203" s="111">
        <v>0</v>
      </c>
      <c r="P203" s="111">
        <v>0</v>
      </c>
      <c r="Q203" s="111">
        <v>0</v>
      </c>
      <c r="R203" s="111">
        <v>0</v>
      </c>
      <c r="S203" s="111">
        <v>0</v>
      </c>
      <c r="T203" s="111">
        <v>0</v>
      </c>
      <c r="U203" s="111">
        <v>0</v>
      </c>
      <c r="V203" s="111">
        <v>0</v>
      </c>
      <c r="W203" s="111">
        <v>0</v>
      </c>
      <c r="X203" s="111">
        <v>0</v>
      </c>
      <c r="Y203" s="111">
        <v>0</v>
      </c>
      <c r="Z203" s="111">
        <v>0</v>
      </c>
      <c r="AA203" s="111">
        <v>0</v>
      </c>
      <c r="AB203" s="111">
        <v>0</v>
      </c>
      <c r="AC203" s="111">
        <v>0</v>
      </c>
      <c r="AD203" s="111">
        <v>0</v>
      </c>
      <c r="AE203" s="111">
        <v>0</v>
      </c>
      <c r="AF203" s="111">
        <v>0</v>
      </c>
      <c r="AG203" s="111">
        <v>0</v>
      </c>
      <c r="AH203" s="111">
        <v>0</v>
      </c>
      <c r="AI203" s="111">
        <v>0</v>
      </c>
      <c r="AJ203" s="111">
        <v>0</v>
      </c>
      <c r="AK203" s="111">
        <v>0</v>
      </c>
      <c r="AL203" s="111">
        <v>0</v>
      </c>
      <c r="AM203" s="111">
        <v>0</v>
      </c>
      <c r="AN203" s="111">
        <v>0</v>
      </c>
      <c r="AO203" s="111">
        <v>0</v>
      </c>
      <c r="AP203" s="111">
        <v>0</v>
      </c>
      <c r="AQ203" s="111">
        <v>0</v>
      </c>
      <c r="AR203" s="111">
        <v>0</v>
      </c>
      <c r="AS203" s="111">
        <v>0</v>
      </c>
      <c r="AT203" s="111">
        <v>0</v>
      </c>
      <c r="AU203" s="111">
        <v>0</v>
      </c>
      <c r="AV203" s="111">
        <v>0</v>
      </c>
      <c r="AW203" s="111">
        <v>0</v>
      </c>
      <c r="AX203" s="111">
        <v>0</v>
      </c>
      <c r="AY203" s="111">
        <v>0</v>
      </c>
    </row>
    <row r="204" spans="1:51" x14ac:dyDescent="0.2">
      <c r="A204" s="114"/>
      <c r="B204" s="132">
        <v>8</v>
      </c>
      <c r="C204" s="111">
        <v>0</v>
      </c>
      <c r="D204" s="111">
        <v>0</v>
      </c>
      <c r="E204" s="111">
        <v>0</v>
      </c>
      <c r="F204" s="111">
        <v>0</v>
      </c>
      <c r="G204" s="111">
        <v>0</v>
      </c>
      <c r="H204" s="111">
        <v>0</v>
      </c>
      <c r="I204" s="111">
        <v>0</v>
      </c>
      <c r="J204" s="111">
        <v>0</v>
      </c>
      <c r="K204" s="111">
        <v>0</v>
      </c>
      <c r="L204" s="111">
        <v>0</v>
      </c>
      <c r="M204" s="111">
        <v>0</v>
      </c>
      <c r="N204" s="111">
        <v>0</v>
      </c>
      <c r="O204" s="111">
        <v>0</v>
      </c>
      <c r="P204" s="111">
        <v>0</v>
      </c>
      <c r="Q204" s="111">
        <v>0</v>
      </c>
      <c r="R204" s="111">
        <v>0</v>
      </c>
      <c r="S204" s="111">
        <v>0</v>
      </c>
      <c r="T204" s="111">
        <v>0</v>
      </c>
      <c r="U204" s="111">
        <v>0</v>
      </c>
      <c r="V204" s="111">
        <v>0</v>
      </c>
      <c r="W204" s="111">
        <v>0</v>
      </c>
      <c r="X204" s="111">
        <v>0</v>
      </c>
      <c r="Y204" s="111">
        <v>0</v>
      </c>
      <c r="Z204" s="111">
        <v>0</v>
      </c>
      <c r="AA204" s="111">
        <v>0</v>
      </c>
      <c r="AB204" s="111">
        <v>0</v>
      </c>
      <c r="AC204" s="111">
        <v>0</v>
      </c>
      <c r="AD204" s="111">
        <v>0</v>
      </c>
      <c r="AE204" s="111">
        <v>0</v>
      </c>
      <c r="AF204" s="111">
        <v>0</v>
      </c>
      <c r="AG204" s="111">
        <v>0</v>
      </c>
      <c r="AH204" s="111">
        <v>0</v>
      </c>
      <c r="AI204" s="111">
        <v>0</v>
      </c>
      <c r="AJ204" s="111">
        <v>0</v>
      </c>
      <c r="AK204" s="111">
        <v>0</v>
      </c>
      <c r="AL204" s="111">
        <v>0</v>
      </c>
      <c r="AM204" s="111">
        <v>0</v>
      </c>
      <c r="AN204" s="111">
        <v>0</v>
      </c>
      <c r="AO204" s="111">
        <v>0</v>
      </c>
      <c r="AP204" s="111">
        <v>0</v>
      </c>
      <c r="AQ204" s="111">
        <v>0</v>
      </c>
      <c r="AR204" s="111">
        <v>0</v>
      </c>
      <c r="AS204" s="111">
        <v>0</v>
      </c>
      <c r="AT204" s="111">
        <v>0</v>
      </c>
      <c r="AU204" s="111">
        <v>0</v>
      </c>
      <c r="AV204" s="111">
        <v>0</v>
      </c>
      <c r="AW204" s="111">
        <v>0</v>
      </c>
      <c r="AX204" s="111">
        <v>0</v>
      </c>
      <c r="AY204" s="111">
        <v>0</v>
      </c>
    </row>
    <row r="205" spans="1:51" x14ac:dyDescent="0.2">
      <c r="A205" s="114"/>
      <c r="B205" s="132">
        <v>9</v>
      </c>
      <c r="C205" s="111">
        <v>0</v>
      </c>
      <c r="D205" s="111">
        <v>0</v>
      </c>
      <c r="E205" s="111">
        <v>0</v>
      </c>
      <c r="F205" s="111">
        <v>0</v>
      </c>
      <c r="G205" s="111">
        <v>0</v>
      </c>
      <c r="H205" s="111">
        <v>0</v>
      </c>
      <c r="I205" s="111">
        <v>0</v>
      </c>
      <c r="J205" s="111">
        <v>0</v>
      </c>
      <c r="K205" s="111">
        <v>0</v>
      </c>
      <c r="L205" s="111">
        <v>0</v>
      </c>
      <c r="M205" s="111">
        <v>0</v>
      </c>
      <c r="N205" s="111">
        <v>0</v>
      </c>
      <c r="O205" s="111">
        <v>0</v>
      </c>
      <c r="P205" s="111">
        <v>0</v>
      </c>
      <c r="Q205" s="111">
        <v>0</v>
      </c>
      <c r="R205" s="111">
        <v>0</v>
      </c>
      <c r="S205" s="111">
        <v>0</v>
      </c>
      <c r="T205" s="111">
        <v>0</v>
      </c>
      <c r="U205" s="111">
        <v>0</v>
      </c>
      <c r="V205" s="111">
        <v>0</v>
      </c>
      <c r="W205" s="111">
        <v>0</v>
      </c>
      <c r="X205" s="111">
        <v>0</v>
      </c>
      <c r="Y205" s="111">
        <v>0</v>
      </c>
      <c r="Z205" s="111">
        <v>0</v>
      </c>
      <c r="AA205" s="111">
        <v>0</v>
      </c>
      <c r="AB205" s="111">
        <v>0</v>
      </c>
      <c r="AC205" s="111">
        <v>0</v>
      </c>
      <c r="AD205" s="111">
        <v>0</v>
      </c>
      <c r="AE205" s="111">
        <v>0</v>
      </c>
      <c r="AF205" s="111">
        <v>0</v>
      </c>
      <c r="AG205" s="111">
        <v>0</v>
      </c>
      <c r="AH205" s="111">
        <v>0</v>
      </c>
      <c r="AI205" s="111">
        <v>0</v>
      </c>
      <c r="AJ205" s="111">
        <v>0</v>
      </c>
      <c r="AK205" s="111">
        <v>0</v>
      </c>
      <c r="AL205" s="111">
        <v>0</v>
      </c>
      <c r="AM205" s="111">
        <v>0</v>
      </c>
      <c r="AN205" s="111">
        <v>0</v>
      </c>
      <c r="AO205" s="111">
        <v>0</v>
      </c>
      <c r="AP205" s="111">
        <v>0</v>
      </c>
      <c r="AQ205" s="111">
        <v>0</v>
      </c>
      <c r="AR205" s="111">
        <v>0</v>
      </c>
      <c r="AS205" s="111">
        <v>0</v>
      </c>
      <c r="AT205" s="111">
        <v>0</v>
      </c>
      <c r="AU205" s="111">
        <v>0</v>
      </c>
      <c r="AV205" s="111">
        <v>0</v>
      </c>
      <c r="AW205" s="111">
        <v>0</v>
      </c>
      <c r="AX205" s="111">
        <v>0</v>
      </c>
      <c r="AY205" s="111">
        <v>0</v>
      </c>
    </row>
    <row r="206" spans="1:51" x14ac:dyDescent="0.2">
      <c r="A206" s="114"/>
      <c r="B206" s="135">
        <v>10</v>
      </c>
      <c r="C206" s="111">
        <v>0</v>
      </c>
      <c r="D206" s="111">
        <v>0</v>
      </c>
      <c r="E206" s="111">
        <v>0</v>
      </c>
      <c r="F206" s="111">
        <v>0</v>
      </c>
      <c r="G206" s="111">
        <v>0</v>
      </c>
      <c r="H206" s="111">
        <v>0</v>
      </c>
      <c r="I206" s="111">
        <v>0</v>
      </c>
      <c r="J206" s="111">
        <v>0</v>
      </c>
      <c r="K206" s="111">
        <v>0</v>
      </c>
      <c r="L206" s="111">
        <v>0</v>
      </c>
      <c r="M206" s="111">
        <v>0</v>
      </c>
      <c r="N206" s="111">
        <v>0</v>
      </c>
      <c r="O206" s="111">
        <v>0</v>
      </c>
      <c r="P206" s="111">
        <v>0</v>
      </c>
      <c r="Q206" s="111">
        <v>0</v>
      </c>
      <c r="R206" s="111">
        <v>0</v>
      </c>
      <c r="S206" s="111">
        <v>0</v>
      </c>
      <c r="T206" s="111">
        <v>0</v>
      </c>
      <c r="U206" s="111">
        <v>0</v>
      </c>
      <c r="V206" s="111">
        <v>0</v>
      </c>
      <c r="W206" s="111">
        <v>0</v>
      </c>
      <c r="X206" s="111">
        <v>0</v>
      </c>
      <c r="Y206" s="111">
        <v>0</v>
      </c>
      <c r="Z206" s="111">
        <v>0</v>
      </c>
      <c r="AA206" s="111">
        <v>0</v>
      </c>
      <c r="AB206" s="111">
        <v>0</v>
      </c>
      <c r="AC206" s="111">
        <v>0</v>
      </c>
      <c r="AD206" s="111">
        <v>0</v>
      </c>
      <c r="AE206" s="111">
        <v>0</v>
      </c>
      <c r="AF206" s="111">
        <v>0</v>
      </c>
      <c r="AG206" s="111">
        <v>0</v>
      </c>
      <c r="AH206" s="111">
        <v>0</v>
      </c>
      <c r="AI206" s="111">
        <v>0</v>
      </c>
      <c r="AJ206" s="111">
        <v>0</v>
      </c>
      <c r="AK206" s="111">
        <v>0</v>
      </c>
      <c r="AL206" s="111">
        <v>0</v>
      </c>
      <c r="AM206" s="111">
        <v>0</v>
      </c>
      <c r="AN206" s="111">
        <v>0</v>
      </c>
      <c r="AO206" s="111">
        <v>0</v>
      </c>
      <c r="AP206" s="111">
        <v>0</v>
      </c>
      <c r="AQ206" s="111">
        <v>0</v>
      </c>
      <c r="AR206" s="111">
        <v>0</v>
      </c>
      <c r="AS206" s="111">
        <v>0</v>
      </c>
      <c r="AT206" s="111">
        <v>0</v>
      </c>
      <c r="AU206" s="111">
        <v>0</v>
      </c>
      <c r="AV206" s="111">
        <v>0</v>
      </c>
      <c r="AW206" s="111">
        <v>0</v>
      </c>
      <c r="AX206" s="111">
        <v>0</v>
      </c>
      <c r="AY206" s="111">
        <v>0</v>
      </c>
    </row>
    <row r="207" spans="1:51" x14ac:dyDescent="0.2">
      <c r="A207" s="114"/>
      <c r="B207" s="135">
        <v>11</v>
      </c>
      <c r="C207" s="111">
        <v>0</v>
      </c>
      <c r="D207" s="111">
        <v>0</v>
      </c>
      <c r="E207" s="111">
        <v>0</v>
      </c>
      <c r="F207" s="111">
        <v>0</v>
      </c>
      <c r="G207" s="111">
        <v>0</v>
      </c>
      <c r="H207" s="111">
        <v>0</v>
      </c>
      <c r="I207" s="111">
        <v>0</v>
      </c>
      <c r="J207" s="111">
        <v>0</v>
      </c>
      <c r="K207" s="111">
        <v>0</v>
      </c>
      <c r="L207" s="111">
        <v>0</v>
      </c>
      <c r="M207" s="111">
        <v>0</v>
      </c>
      <c r="N207" s="111">
        <v>0</v>
      </c>
      <c r="O207" s="111">
        <v>0</v>
      </c>
      <c r="P207" s="111">
        <v>0</v>
      </c>
      <c r="Q207" s="111">
        <v>0</v>
      </c>
      <c r="R207" s="111">
        <v>0</v>
      </c>
      <c r="S207" s="111">
        <v>0</v>
      </c>
      <c r="T207" s="111">
        <v>0</v>
      </c>
      <c r="U207" s="111">
        <v>0</v>
      </c>
      <c r="V207" s="111">
        <v>0</v>
      </c>
      <c r="W207" s="111">
        <v>0</v>
      </c>
      <c r="X207" s="111">
        <v>0</v>
      </c>
      <c r="Y207" s="111">
        <v>0</v>
      </c>
      <c r="Z207" s="111">
        <v>0</v>
      </c>
      <c r="AA207" s="111">
        <v>0</v>
      </c>
      <c r="AB207" s="111">
        <v>0</v>
      </c>
      <c r="AC207" s="111">
        <v>0</v>
      </c>
      <c r="AD207" s="111">
        <v>0</v>
      </c>
      <c r="AE207" s="111">
        <v>0</v>
      </c>
      <c r="AF207" s="111">
        <v>0</v>
      </c>
      <c r="AG207" s="111">
        <v>0</v>
      </c>
      <c r="AH207" s="111">
        <v>0</v>
      </c>
      <c r="AI207" s="111">
        <v>0</v>
      </c>
      <c r="AJ207" s="111">
        <v>0</v>
      </c>
      <c r="AK207" s="111">
        <v>0</v>
      </c>
      <c r="AL207" s="111">
        <v>0</v>
      </c>
      <c r="AM207" s="111">
        <v>0</v>
      </c>
      <c r="AN207" s="111">
        <v>0</v>
      </c>
      <c r="AO207" s="111">
        <v>0</v>
      </c>
      <c r="AP207" s="111">
        <v>0</v>
      </c>
      <c r="AQ207" s="111">
        <v>0</v>
      </c>
      <c r="AR207" s="111">
        <v>0</v>
      </c>
      <c r="AS207" s="111">
        <v>0</v>
      </c>
      <c r="AT207" s="111">
        <v>0</v>
      </c>
      <c r="AU207" s="111">
        <v>0</v>
      </c>
      <c r="AV207" s="111">
        <v>0</v>
      </c>
      <c r="AW207" s="111">
        <v>0</v>
      </c>
      <c r="AX207" s="111">
        <v>0</v>
      </c>
      <c r="AY207" s="111">
        <v>0</v>
      </c>
    </row>
    <row r="208" spans="1:51" x14ac:dyDescent="0.2">
      <c r="A208" s="114"/>
      <c r="B208" s="135">
        <v>12</v>
      </c>
      <c r="C208" s="111">
        <v>0</v>
      </c>
      <c r="D208" s="111">
        <v>0</v>
      </c>
      <c r="E208" s="111">
        <v>0</v>
      </c>
      <c r="F208" s="111">
        <v>0</v>
      </c>
      <c r="G208" s="111">
        <v>0</v>
      </c>
      <c r="H208" s="111">
        <v>0</v>
      </c>
      <c r="I208" s="111">
        <v>0</v>
      </c>
      <c r="J208" s="111">
        <v>0</v>
      </c>
      <c r="K208" s="111">
        <v>0</v>
      </c>
      <c r="L208" s="111">
        <v>0</v>
      </c>
      <c r="M208" s="111">
        <v>0</v>
      </c>
      <c r="N208" s="111">
        <v>0</v>
      </c>
      <c r="O208" s="111">
        <v>0</v>
      </c>
      <c r="P208" s="111">
        <v>0</v>
      </c>
      <c r="Q208" s="111">
        <v>0</v>
      </c>
      <c r="R208" s="111">
        <v>0</v>
      </c>
      <c r="S208" s="111">
        <v>0</v>
      </c>
      <c r="T208" s="111">
        <v>0</v>
      </c>
      <c r="U208" s="111">
        <v>0</v>
      </c>
      <c r="V208" s="111">
        <v>0</v>
      </c>
      <c r="W208" s="111">
        <v>0</v>
      </c>
      <c r="X208" s="111">
        <v>0</v>
      </c>
      <c r="Y208" s="111">
        <v>0</v>
      </c>
      <c r="Z208" s="111">
        <v>0</v>
      </c>
      <c r="AA208" s="111">
        <v>0</v>
      </c>
      <c r="AB208" s="111">
        <v>0</v>
      </c>
      <c r="AC208" s="111">
        <v>0</v>
      </c>
      <c r="AD208" s="111">
        <v>0</v>
      </c>
      <c r="AE208" s="111">
        <v>0</v>
      </c>
      <c r="AF208" s="111">
        <v>0</v>
      </c>
      <c r="AG208" s="111">
        <v>0</v>
      </c>
      <c r="AH208" s="111">
        <v>0</v>
      </c>
      <c r="AI208" s="111">
        <v>0</v>
      </c>
      <c r="AJ208" s="111">
        <v>0</v>
      </c>
      <c r="AK208" s="111">
        <v>0</v>
      </c>
      <c r="AL208" s="111">
        <v>0</v>
      </c>
      <c r="AM208" s="111">
        <v>0</v>
      </c>
      <c r="AN208" s="111">
        <v>0</v>
      </c>
      <c r="AO208" s="111">
        <v>0</v>
      </c>
      <c r="AP208" s="111">
        <v>0</v>
      </c>
      <c r="AQ208" s="111">
        <v>0</v>
      </c>
      <c r="AR208" s="111">
        <v>0</v>
      </c>
      <c r="AS208" s="111">
        <v>0</v>
      </c>
      <c r="AT208" s="111">
        <v>0</v>
      </c>
      <c r="AU208" s="111">
        <v>0</v>
      </c>
      <c r="AV208" s="111">
        <v>0</v>
      </c>
      <c r="AW208" s="111">
        <v>0</v>
      </c>
      <c r="AX208" s="111">
        <v>0</v>
      </c>
      <c r="AY208" s="111">
        <v>0</v>
      </c>
    </row>
    <row r="209" spans="1:51" x14ac:dyDescent="0.2">
      <c r="A209" s="131" t="s">
        <v>123</v>
      </c>
      <c r="B209" s="128">
        <v>1</v>
      </c>
      <c r="C209" s="129">
        <v>695.90587144643223</v>
      </c>
      <c r="D209" s="129">
        <v>58.967889505870744</v>
      </c>
      <c r="E209" s="129">
        <v>72.002046525671048</v>
      </c>
      <c r="F209" s="129">
        <v>0</v>
      </c>
      <c r="G209" s="129">
        <v>0</v>
      </c>
      <c r="H209" s="129">
        <v>474</v>
      </c>
      <c r="I209" s="129">
        <v>543.97253578612356</v>
      </c>
      <c r="J209" s="129">
        <v>585.05140348872669</v>
      </c>
      <c r="K209" s="129">
        <v>468.10977567935726</v>
      </c>
      <c r="L209" s="129">
        <v>347.25027458840788</v>
      </c>
      <c r="M209" s="129">
        <v>319.20040291818628</v>
      </c>
      <c r="N209" s="129">
        <v>284.57702634436157</v>
      </c>
      <c r="O209" s="129">
        <v>510.93450131843224</v>
      </c>
      <c r="P209" s="129">
        <v>532.7037251674526</v>
      </c>
      <c r="Q209" s="129">
        <v>585.05140348872669</v>
      </c>
      <c r="R209" s="129">
        <v>585.05140348872669</v>
      </c>
      <c r="S209" s="129">
        <v>585.05140348872669</v>
      </c>
      <c r="T209" s="129">
        <v>585.05140348872669</v>
      </c>
      <c r="U209" s="129">
        <v>543.97253578612356</v>
      </c>
      <c r="V209" s="129">
        <v>626.13027119132983</v>
      </c>
      <c r="W209" s="129">
        <v>585.05140348872669</v>
      </c>
      <c r="X209" s="129">
        <v>585.05140348872669</v>
      </c>
      <c r="Y209" s="129">
        <v>450.49576452688325</v>
      </c>
      <c r="Z209" s="129">
        <v>386.57408551801683</v>
      </c>
      <c r="AA209" s="129">
        <v>432.37897940477899</v>
      </c>
      <c r="AB209" s="129">
        <v>362.51997947393465</v>
      </c>
      <c r="AC209" s="129">
        <v>413.45779642056982</v>
      </c>
      <c r="AD209" s="129">
        <v>478.16644610213814</v>
      </c>
      <c r="AE209" s="129">
        <v>535.19687639416838</v>
      </c>
      <c r="AF209" s="129">
        <v>585.05140348872669</v>
      </c>
      <c r="AG209" s="129">
        <v>577.7242698090779</v>
      </c>
      <c r="AH209" s="129">
        <v>585.05140348872669</v>
      </c>
      <c r="AI209" s="129">
        <v>585.05140348872669</v>
      </c>
      <c r="AJ209" s="129">
        <v>585.05140348872669</v>
      </c>
      <c r="AK209" s="129">
        <v>502.29191553529569</v>
      </c>
      <c r="AL209" s="129">
        <v>585.05140348872669</v>
      </c>
      <c r="AM209" s="129">
        <v>585.05140348872669</v>
      </c>
      <c r="AN209" s="129">
        <v>505.06718978605829</v>
      </c>
      <c r="AO209" s="129">
        <v>585.05140348872669</v>
      </c>
      <c r="AP209" s="129">
        <v>585.05140348872669</v>
      </c>
      <c r="AQ209" s="129">
        <v>557.84334085974331</v>
      </c>
      <c r="AR209" s="129">
        <v>583.55138950723153</v>
      </c>
      <c r="AS209" s="129">
        <v>567.64379099609982</v>
      </c>
      <c r="AT209" s="129">
        <v>585.05140348872669</v>
      </c>
      <c r="AU209" s="129">
        <v>585.05140348872669</v>
      </c>
      <c r="AV209" s="129">
        <v>481.27341281266348</v>
      </c>
      <c r="AW209" s="129">
        <v>585.05140348872669</v>
      </c>
      <c r="AX209" s="129">
        <v>585.05140348872669</v>
      </c>
      <c r="AY209" s="129">
        <v>585.05140348872669</v>
      </c>
    </row>
    <row r="210" spans="1:51" x14ac:dyDescent="0.2">
      <c r="A210" s="114"/>
      <c r="B210" s="124">
        <v>2</v>
      </c>
      <c r="C210" s="111">
        <v>99.789348166831118</v>
      </c>
      <c r="D210" s="115">
        <v>40.032110494129256</v>
      </c>
      <c r="E210" s="115">
        <v>20.769842393356868</v>
      </c>
      <c r="F210" s="115">
        <v>18.130941433419437</v>
      </c>
      <c r="G210" s="115">
        <v>0</v>
      </c>
      <c r="H210" s="115">
        <v>0</v>
      </c>
      <c r="I210" s="115">
        <v>61.305919432247336</v>
      </c>
      <c r="J210" s="115">
        <v>0</v>
      </c>
      <c r="K210" s="115">
        <v>0</v>
      </c>
      <c r="L210" s="115">
        <v>102.45754183713323</v>
      </c>
      <c r="M210" s="115">
        <v>208.34769935766047</v>
      </c>
      <c r="N210" s="115">
        <v>232.92338685247475</v>
      </c>
      <c r="O210" s="115">
        <v>263.25840202464462</v>
      </c>
      <c r="P210" s="115">
        <v>64.936975371427422</v>
      </c>
      <c r="Q210" s="115">
        <v>45.864030988364718</v>
      </c>
      <c r="R210" s="115">
        <v>0</v>
      </c>
      <c r="S210" s="115">
        <v>0</v>
      </c>
      <c r="T210" s="115">
        <v>0</v>
      </c>
      <c r="U210" s="115">
        <v>0</v>
      </c>
      <c r="V210" s="115">
        <v>0</v>
      </c>
      <c r="W210" s="115">
        <v>0</v>
      </c>
      <c r="X210" s="115">
        <v>0</v>
      </c>
      <c r="Y210" s="115">
        <v>0</v>
      </c>
      <c r="Z210" s="115">
        <v>117.88992736469082</v>
      </c>
      <c r="AA210" s="115">
        <v>173.89443340788446</v>
      </c>
      <c r="AB210" s="115">
        <v>133.76281458521257</v>
      </c>
      <c r="AC210" s="115">
        <v>194.96926041802234</v>
      </c>
      <c r="AD210" s="115">
        <v>150.34046904007334</v>
      </c>
      <c r="AE210" s="115">
        <v>93.646464465574894</v>
      </c>
      <c r="AF210" s="115">
        <v>43.679674990396762</v>
      </c>
      <c r="AG210" s="115">
        <v>0</v>
      </c>
      <c r="AH210" s="115">
        <v>6.4196139526350633</v>
      </c>
      <c r="AI210" s="115">
        <v>0</v>
      </c>
      <c r="AJ210" s="115">
        <v>0</v>
      </c>
      <c r="AK210" s="115">
        <v>0</v>
      </c>
      <c r="AL210" s="115">
        <v>72.509112950187713</v>
      </c>
      <c r="AM210" s="115">
        <v>0</v>
      </c>
      <c r="AN210" s="115">
        <v>0</v>
      </c>
      <c r="AO210" s="115">
        <v>70.077576952411519</v>
      </c>
      <c r="AP210" s="115">
        <v>0</v>
      </c>
      <c r="AQ210" s="115">
        <v>0</v>
      </c>
      <c r="AR210" s="115">
        <v>23.838142732720339</v>
      </c>
      <c r="AS210" s="115">
        <v>1.3142261497835197</v>
      </c>
      <c r="AT210" s="115">
        <v>15.251550869082584</v>
      </c>
      <c r="AU210" s="115">
        <v>0</v>
      </c>
      <c r="AV210" s="115">
        <v>0</v>
      </c>
      <c r="AW210" s="115">
        <v>90.924318573701782</v>
      </c>
      <c r="AX210" s="115">
        <v>0</v>
      </c>
      <c r="AY210" s="115">
        <v>0</v>
      </c>
    </row>
    <row r="211" spans="1:51" x14ac:dyDescent="0.2">
      <c r="A211" s="114"/>
      <c r="B211" s="124">
        <v>3</v>
      </c>
      <c r="C211" s="111">
        <v>0</v>
      </c>
      <c r="D211" s="115">
        <v>0</v>
      </c>
      <c r="E211" s="115">
        <v>0</v>
      </c>
      <c r="F211" s="115">
        <v>0</v>
      </c>
      <c r="G211" s="115">
        <v>0</v>
      </c>
      <c r="H211" s="115">
        <v>0</v>
      </c>
      <c r="I211" s="115">
        <v>0</v>
      </c>
      <c r="J211" s="115">
        <v>0</v>
      </c>
      <c r="K211" s="115">
        <v>0</v>
      </c>
      <c r="L211" s="115">
        <v>0</v>
      </c>
      <c r="M211" s="115">
        <v>0</v>
      </c>
      <c r="N211" s="115">
        <v>0</v>
      </c>
      <c r="O211" s="115">
        <v>0</v>
      </c>
      <c r="P211" s="115">
        <v>0</v>
      </c>
      <c r="Q211" s="115">
        <v>0</v>
      </c>
      <c r="R211" s="115">
        <v>0</v>
      </c>
      <c r="S211" s="115">
        <v>0</v>
      </c>
      <c r="T211" s="115">
        <v>0</v>
      </c>
      <c r="U211" s="115">
        <v>0</v>
      </c>
      <c r="V211" s="115">
        <v>0</v>
      </c>
      <c r="W211" s="115">
        <v>0</v>
      </c>
      <c r="X211" s="115">
        <v>0</v>
      </c>
      <c r="Y211" s="115">
        <v>0</v>
      </c>
      <c r="Z211" s="115">
        <v>0</v>
      </c>
      <c r="AA211" s="115">
        <v>0</v>
      </c>
      <c r="AB211" s="115">
        <v>0</v>
      </c>
      <c r="AC211" s="115">
        <v>0</v>
      </c>
      <c r="AD211" s="115">
        <v>0</v>
      </c>
      <c r="AE211" s="115">
        <v>0</v>
      </c>
      <c r="AF211" s="115">
        <v>0</v>
      </c>
      <c r="AG211" s="115">
        <v>0</v>
      </c>
      <c r="AH211" s="115">
        <v>0</v>
      </c>
      <c r="AI211" s="115">
        <v>0</v>
      </c>
      <c r="AJ211" s="115">
        <v>0</v>
      </c>
      <c r="AK211" s="115">
        <v>0</v>
      </c>
      <c r="AL211" s="115">
        <v>0</v>
      </c>
      <c r="AM211" s="115">
        <v>0</v>
      </c>
      <c r="AN211" s="115">
        <v>0</v>
      </c>
      <c r="AO211" s="115">
        <v>0</v>
      </c>
      <c r="AP211" s="115">
        <v>0</v>
      </c>
      <c r="AQ211" s="115">
        <v>0</v>
      </c>
      <c r="AR211" s="115">
        <v>0</v>
      </c>
      <c r="AS211" s="115">
        <v>0</v>
      </c>
      <c r="AT211" s="115">
        <v>0</v>
      </c>
      <c r="AU211" s="115">
        <v>0</v>
      </c>
      <c r="AV211" s="115">
        <v>0</v>
      </c>
      <c r="AW211" s="115">
        <v>0</v>
      </c>
      <c r="AX211" s="115">
        <v>0</v>
      </c>
      <c r="AY211" s="115">
        <v>0</v>
      </c>
    </row>
    <row r="212" spans="1:51" x14ac:dyDescent="0.2">
      <c r="A212" s="114"/>
      <c r="B212" s="124">
        <v>4</v>
      </c>
      <c r="C212" s="111">
        <v>0</v>
      </c>
      <c r="D212" s="115">
        <v>0</v>
      </c>
      <c r="E212" s="115">
        <v>0</v>
      </c>
      <c r="F212" s="115">
        <v>0</v>
      </c>
      <c r="G212" s="115">
        <v>0</v>
      </c>
      <c r="H212" s="115">
        <v>0</v>
      </c>
      <c r="I212" s="115">
        <v>0</v>
      </c>
      <c r="J212" s="115">
        <v>0</v>
      </c>
      <c r="K212" s="115">
        <v>0</v>
      </c>
      <c r="L212" s="115">
        <v>0</v>
      </c>
      <c r="M212" s="115">
        <v>0</v>
      </c>
      <c r="N212" s="115">
        <v>0</v>
      </c>
      <c r="O212" s="115">
        <v>0</v>
      </c>
      <c r="P212" s="115">
        <v>0</v>
      </c>
      <c r="Q212" s="115">
        <v>0</v>
      </c>
      <c r="R212" s="115">
        <v>0</v>
      </c>
      <c r="S212" s="115">
        <v>0</v>
      </c>
      <c r="T212" s="115">
        <v>0</v>
      </c>
      <c r="U212" s="115">
        <v>0</v>
      </c>
      <c r="V212" s="115">
        <v>0</v>
      </c>
      <c r="W212" s="115">
        <v>0</v>
      </c>
      <c r="X212" s="115">
        <v>0</v>
      </c>
      <c r="Y212" s="115">
        <v>0</v>
      </c>
      <c r="Z212" s="115">
        <v>0</v>
      </c>
      <c r="AA212" s="115">
        <v>0</v>
      </c>
      <c r="AB212" s="115">
        <v>0</v>
      </c>
      <c r="AC212" s="115">
        <v>0</v>
      </c>
      <c r="AD212" s="115">
        <v>0</v>
      </c>
      <c r="AE212" s="115">
        <v>0</v>
      </c>
      <c r="AF212" s="115">
        <v>0</v>
      </c>
      <c r="AG212" s="115">
        <v>0</v>
      </c>
      <c r="AH212" s="115">
        <v>0</v>
      </c>
      <c r="AI212" s="115">
        <v>0</v>
      </c>
      <c r="AJ212" s="115">
        <v>0</v>
      </c>
      <c r="AK212" s="115">
        <v>0</v>
      </c>
      <c r="AL212" s="115">
        <v>0</v>
      </c>
      <c r="AM212" s="115">
        <v>0</v>
      </c>
      <c r="AN212" s="115">
        <v>0</v>
      </c>
      <c r="AO212" s="115">
        <v>0</v>
      </c>
      <c r="AP212" s="115">
        <v>0</v>
      </c>
      <c r="AQ212" s="115">
        <v>0</v>
      </c>
      <c r="AR212" s="115">
        <v>0</v>
      </c>
      <c r="AS212" s="115">
        <v>0</v>
      </c>
      <c r="AT212" s="115">
        <v>0</v>
      </c>
      <c r="AU212" s="115">
        <v>0</v>
      </c>
      <c r="AV212" s="115">
        <v>0</v>
      </c>
      <c r="AW212" s="115">
        <v>0</v>
      </c>
      <c r="AX212" s="115">
        <v>0</v>
      </c>
      <c r="AY212" s="115">
        <v>0</v>
      </c>
    </row>
    <row r="213" spans="1:51" x14ac:dyDescent="0.2">
      <c r="A213" s="114"/>
      <c r="B213" s="124">
        <v>5</v>
      </c>
      <c r="C213" s="111">
        <v>0</v>
      </c>
      <c r="D213" s="115">
        <v>0</v>
      </c>
      <c r="E213" s="115">
        <v>0</v>
      </c>
      <c r="F213" s="115">
        <v>0</v>
      </c>
      <c r="G213" s="115">
        <v>0</v>
      </c>
      <c r="H213" s="115">
        <v>0</v>
      </c>
      <c r="I213" s="115">
        <v>0</v>
      </c>
      <c r="J213" s="115">
        <v>0</v>
      </c>
      <c r="K213" s="115">
        <v>0</v>
      </c>
      <c r="L213" s="115">
        <v>0</v>
      </c>
      <c r="M213" s="115">
        <v>0</v>
      </c>
      <c r="N213" s="115">
        <v>0</v>
      </c>
      <c r="O213" s="115">
        <v>0</v>
      </c>
      <c r="P213" s="115">
        <v>0</v>
      </c>
      <c r="Q213" s="115">
        <v>0</v>
      </c>
      <c r="R213" s="115">
        <v>0</v>
      </c>
      <c r="S213" s="115">
        <v>0</v>
      </c>
      <c r="T213" s="115">
        <v>0</v>
      </c>
      <c r="U213" s="115">
        <v>0</v>
      </c>
      <c r="V213" s="115">
        <v>0</v>
      </c>
      <c r="W213" s="115">
        <v>0</v>
      </c>
      <c r="X213" s="115">
        <v>0</v>
      </c>
      <c r="Y213" s="115">
        <v>0</v>
      </c>
      <c r="Z213" s="115">
        <v>0</v>
      </c>
      <c r="AA213" s="115">
        <v>0</v>
      </c>
      <c r="AB213" s="115">
        <v>0</v>
      </c>
      <c r="AC213" s="115">
        <v>0</v>
      </c>
      <c r="AD213" s="115">
        <v>0</v>
      </c>
      <c r="AE213" s="115">
        <v>0</v>
      </c>
      <c r="AF213" s="115">
        <v>0</v>
      </c>
      <c r="AG213" s="115">
        <v>0</v>
      </c>
      <c r="AH213" s="115">
        <v>0</v>
      </c>
      <c r="AI213" s="115">
        <v>0</v>
      </c>
      <c r="AJ213" s="115">
        <v>0</v>
      </c>
      <c r="AK213" s="115">
        <v>0</v>
      </c>
      <c r="AL213" s="115">
        <v>0</v>
      </c>
      <c r="AM213" s="115">
        <v>0</v>
      </c>
      <c r="AN213" s="115">
        <v>0</v>
      </c>
      <c r="AO213" s="115">
        <v>0</v>
      </c>
      <c r="AP213" s="115">
        <v>0</v>
      </c>
      <c r="AQ213" s="115">
        <v>0</v>
      </c>
      <c r="AR213" s="115">
        <v>0</v>
      </c>
      <c r="AS213" s="115">
        <v>0</v>
      </c>
      <c r="AT213" s="115">
        <v>0</v>
      </c>
      <c r="AU213" s="115">
        <v>0</v>
      </c>
      <c r="AV213" s="115">
        <v>0</v>
      </c>
      <c r="AW213" s="115">
        <v>0</v>
      </c>
      <c r="AX213" s="115">
        <v>0</v>
      </c>
      <c r="AY213" s="115">
        <v>0</v>
      </c>
    </row>
    <row r="214" spans="1:51" x14ac:dyDescent="0.2">
      <c r="A214" s="114"/>
      <c r="B214" s="124">
        <v>6</v>
      </c>
      <c r="C214" s="111">
        <v>0</v>
      </c>
      <c r="D214" s="115">
        <v>0</v>
      </c>
      <c r="E214" s="115">
        <v>0</v>
      </c>
      <c r="F214" s="115">
        <v>0</v>
      </c>
      <c r="G214" s="115">
        <v>0</v>
      </c>
      <c r="H214" s="115">
        <v>0</v>
      </c>
      <c r="I214" s="115">
        <v>0</v>
      </c>
      <c r="J214" s="115">
        <v>0</v>
      </c>
      <c r="K214" s="115">
        <v>0</v>
      </c>
      <c r="L214" s="115">
        <v>0</v>
      </c>
      <c r="M214" s="115">
        <v>0</v>
      </c>
      <c r="N214" s="115">
        <v>0</v>
      </c>
      <c r="O214" s="115">
        <v>0</v>
      </c>
      <c r="P214" s="115">
        <v>0</v>
      </c>
      <c r="Q214" s="115">
        <v>0</v>
      </c>
      <c r="R214" s="115">
        <v>0</v>
      </c>
      <c r="S214" s="115">
        <v>0</v>
      </c>
      <c r="T214" s="115">
        <v>0</v>
      </c>
      <c r="U214" s="115">
        <v>0</v>
      </c>
      <c r="V214" s="115">
        <v>0</v>
      </c>
      <c r="W214" s="115">
        <v>0</v>
      </c>
      <c r="X214" s="115">
        <v>0</v>
      </c>
      <c r="Y214" s="115">
        <v>0</v>
      </c>
      <c r="Z214" s="115">
        <v>0</v>
      </c>
      <c r="AA214" s="115">
        <v>0</v>
      </c>
      <c r="AB214" s="115">
        <v>0</v>
      </c>
      <c r="AC214" s="115">
        <v>0</v>
      </c>
      <c r="AD214" s="115">
        <v>0</v>
      </c>
      <c r="AE214" s="115">
        <v>0</v>
      </c>
      <c r="AF214" s="115">
        <v>0</v>
      </c>
      <c r="AG214" s="115">
        <v>0</v>
      </c>
      <c r="AH214" s="115">
        <v>0</v>
      </c>
      <c r="AI214" s="115">
        <v>0</v>
      </c>
      <c r="AJ214" s="115">
        <v>0</v>
      </c>
      <c r="AK214" s="115">
        <v>0</v>
      </c>
      <c r="AL214" s="115">
        <v>0</v>
      </c>
      <c r="AM214" s="115">
        <v>0</v>
      </c>
      <c r="AN214" s="115">
        <v>0</v>
      </c>
      <c r="AO214" s="115">
        <v>0</v>
      </c>
      <c r="AP214" s="115">
        <v>0</v>
      </c>
      <c r="AQ214" s="115">
        <v>0</v>
      </c>
      <c r="AR214" s="115">
        <v>0</v>
      </c>
      <c r="AS214" s="115">
        <v>0</v>
      </c>
      <c r="AT214" s="115">
        <v>0</v>
      </c>
      <c r="AU214" s="115">
        <v>0</v>
      </c>
      <c r="AV214" s="115">
        <v>0</v>
      </c>
      <c r="AW214" s="115">
        <v>0</v>
      </c>
      <c r="AX214" s="115">
        <v>0</v>
      </c>
      <c r="AY214" s="115">
        <v>0</v>
      </c>
    </row>
    <row r="215" spans="1:51" x14ac:dyDescent="0.2">
      <c r="A215" s="114"/>
      <c r="B215" s="124">
        <v>7</v>
      </c>
      <c r="C215" s="111">
        <v>0</v>
      </c>
      <c r="D215" s="115">
        <v>0</v>
      </c>
      <c r="E215" s="115">
        <v>0</v>
      </c>
      <c r="F215" s="115">
        <v>0</v>
      </c>
      <c r="G215" s="115">
        <v>0</v>
      </c>
      <c r="H215" s="115">
        <v>0</v>
      </c>
      <c r="I215" s="115">
        <v>0</v>
      </c>
      <c r="J215" s="115">
        <v>0</v>
      </c>
      <c r="K215" s="115">
        <v>0</v>
      </c>
      <c r="L215" s="115">
        <v>0</v>
      </c>
      <c r="M215" s="115">
        <v>0</v>
      </c>
      <c r="N215" s="115">
        <v>0</v>
      </c>
      <c r="O215" s="115">
        <v>0</v>
      </c>
      <c r="P215" s="115">
        <v>0</v>
      </c>
      <c r="Q215" s="115">
        <v>0</v>
      </c>
      <c r="R215" s="115">
        <v>0</v>
      </c>
      <c r="S215" s="115">
        <v>0</v>
      </c>
      <c r="T215" s="115">
        <v>0</v>
      </c>
      <c r="U215" s="115">
        <v>0</v>
      </c>
      <c r="V215" s="115">
        <v>0</v>
      </c>
      <c r="W215" s="115">
        <v>0</v>
      </c>
      <c r="X215" s="115">
        <v>0</v>
      </c>
      <c r="Y215" s="115">
        <v>0</v>
      </c>
      <c r="Z215" s="115">
        <v>0</v>
      </c>
      <c r="AA215" s="115">
        <v>0</v>
      </c>
      <c r="AB215" s="115">
        <v>0</v>
      </c>
      <c r="AC215" s="115">
        <v>0</v>
      </c>
      <c r="AD215" s="115">
        <v>0</v>
      </c>
      <c r="AE215" s="115">
        <v>0</v>
      </c>
      <c r="AF215" s="115">
        <v>0</v>
      </c>
      <c r="AG215" s="115">
        <v>0</v>
      </c>
      <c r="AH215" s="115">
        <v>0</v>
      </c>
      <c r="AI215" s="115">
        <v>0</v>
      </c>
      <c r="AJ215" s="115">
        <v>0</v>
      </c>
      <c r="AK215" s="115">
        <v>0</v>
      </c>
      <c r="AL215" s="115">
        <v>0</v>
      </c>
      <c r="AM215" s="115">
        <v>0</v>
      </c>
      <c r="AN215" s="115">
        <v>0</v>
      </c>
      <c r="AO215" s="115">
        <v>0</v>
      </c>
      <c r="AP215" s="115">
        <v>0</v>
      </c>
      <c r="AQ215" s="115">
        <v>0</v>
      </c>
      <c r="AR215" s="115">
        <v>0</v>
      </c>
      <c r="AS215" s="115">
        <v>0</v>
      </c>
      <c r="AT215" s="115">
        <v>0</v>
      </c>
      <c r="AU215" s="115">
        <v>0</v>
      </c>
      <c r="AV215" s="115">
        <v>0</v>
      </c>
      <c r="AW215" s="115">
        <v>0</v>
      </c>
      <c r="AX215" s="115">
        <v>0</v>
      </c>
      <c r="AY215" s="115">
        <v>0</v>
      </c>
    </row>
    <row r="216" spans="1:51" x14ac:dyDescent="0.2">
      <c r="A216" s="114"/>
      <c r="B216" s="124">
        <v>8</v>
      </c>
      <c r="C216" s="111">
        <v>0</v>
      </c>
      <c r="D216" s="115">
        <v>0</v>
      </c>
      <c r="E216" s="115">
        <v>0</v>
      </c>
      <c r="F216" s="115">
        <v>0</v>
      </c>
      <c r="G216" s="115">
        <v>0</v>
      </c>
      <c r="H216" s="115">
        <v>0</v>
      </c>
      <c r="I216" s="115">
        <v>0</v>
      </c>
      <c r="J216" s="115">
        <v>0</v>
      </c>
      <c r="K216" s="115">
        <v>0</v>
      </c>
      <c r="L216" s="115">
        <v>0</v>
      </c>
      <c r="M216" s="115">
        <v>0</v>
      </c>
      <c r="N216" s="115">
        <v>0</v>
      </c>
      <c r="O216" s="115">
        <v>0</v>
      </c>
      <c r="P216" s="115">
        <v>0</v>
      </c>
      <c r="Q216" s="115">
        <v>0</v>
      </c>
      <c r="R216" s="115">
        <v>0</v>
      </c>
      <c r="S216" s="115">
        <v>0</v>
      </c>
      <c r="T216" s="115">
        <v>0</v>
      </c>
      <c r="U216" s="115">
        <v>0</v>
      </c>
      <c r="V216" s="115">
        <v>0</v>
      </c>
      <c r="W216" s="115">
        <v>0</v>
      </c>
      <c r="X216" s="115">
        <v>0</v>
      </c>
      <c r="Y216" s="115">
        <v>0</v>
      </c>
      <c r="Z216" s="115">
        <v>0</v>
      </c>
      <c r="AA216" s="115">
        <v>0</v>
      </c>
      <c r="AB216" s="115">
        <v>0</v>
      </c>
      <c r="AC216" s="115">
        <v>0</v>
      </c>
      <c r="AD216" s="115">
        <v>0</v>
      </c>
      <c r="AE216" s="115">
        <v>0</v>
      </c>
      <c r="AF216" s="115">
        <v>0</v>
      </c>
      <c r="AG216" s="115">
        <v>0</v>
      </c>
      <c r="AH216" s="115">
        <v>0</v>
      </c>
      <c r="AI216" s="115">
        <v>0</v>
      </c>
      <c r="AJ216" s="115">
        <v>0</v>
      </c>
      <c r="AK216" s="115">
        <v>0</v>
      </c>
      <c r="AL216" s="115">
        <v>0</v>
      </c>
      <c r="AM216" s="115">
        <v>0</v>
      </c>
      <c r="AN216" s="115">
        <v>0</v>
      </c>
      <c r="AO216" s="115">
        <v>0</v>
      </c>
      <c r="AP216" s="115">
        <v>0</v>
      </c>
      <c r="AQ216" s="115">
        <v>0</v>
      </c>
      <c r="AR216" s="115">
        <v>0</v>
      </c>
      <c r="AS216" s="115">
        <v>0</v>
      </c>
      <c r="AT216" s="115">
        <v>0</v>
      </c>
      <c r="AU216" s="115">
        <v>0</v>
      </c>
      <c r="AV216" s="115">
        <v>0</v>
      </c>
      <c r="AW216" s="115">
        <v>0</v>
      </c>
      <c r="AX216" s="115">
        <v>0</v>
      </c>
      <c r="AY216" s="115">
        <v>0</v>
      </c>
    </row>
    <row r="217" spans="1:51" x14ac:dyDescent="0.2">
      <c r="A217" s="114"/>
      <c r="B217" s="124">
        <v>9</v>
      </c>
      <c r="C217" s="111">
        <v>0</v>
      </c>
      <c r="D217" s="115">
        <v>0</v>
      </c>
      <c r="E217" s="115">
        <v>0</v>
      </c>
      <c r="F217" s="115">
        <v>0</v>
      </c>
      <c r="G217" s="115">
        <v>0</v>
      </c>
      <c r="H217" s="115">
        <v>0</v>
      </c>
      <c r="I217" s="115">
        <v>0</v>
      </c>
      <c r="J217" s="115">
        <v>0</v>
      </c>
      <c r="K217" s="115">
        <v>0</v>
      </c>
      <c r="L217" s="115">
        <v>0</v>
      </c>
      <c r="M217" s="115">
        <v>0</v>
      </c>
      <c r="N217" s="115">
        <v>0</v>
      </c>
      <c r="O217" s="115">
        <v>0</v>
      </c>
      <c r="P217" s="115">
        <v>0</v>
      </c>
      <c r="Q217" s="115">
        <v>0</v>
      </c>
      <c r="R217" s="115">
        <v>0</v>
      </c>
      <c r="S217" s="115">
        <v>0</v>
      </c>
      <c r="T217" s="115">
        <v>0</v>
      </c>
      <c r="U217" s="115">
        <v>0</v>
      </c>
      <c r="V217" s="115">
        <v>0</v>
      </c>
      <c r="W217" s="115">
        <v>0</v>
      </c>
      <c r="X217" s="115">
        <v>0</v>
      </c>
      <c r="Y217" s="115">
        <v>0</v>
      </c>
      <c r="Z217" s="115">
        <v>0</v>
      </c>
      <c r="AA217" s="115">
        <v>0</v>
      </c>
      <c r="AB217" s="115">
        <v>0</v>
      </c>
      <c r="AC217" s="115">
        <v>0</v>
      </c>
      <c r="AD217" s="115">
        <v>0</v>
      </c>
      <c r="AE217" s="115">
        <v>0</v>
      </c>
      <c r="AF217" s="115">
        <v>0</v>
      </c>
      <c r="AG217" s="115">
        <v>0</v>
      </c>
      <c r="AH217" s="115">
        <v>0</v>
      </c>
      <c r="AI217" s="115">
        <v>0</v>
      </c>
      <c r="AJ217" s="115">
        <v>0</v>
      </c>
      <c r="AK217" s="115">
        <v>0</v>
      </c>
      <c r="AL217" s="115">
        <v>0</v>
      </c>
      <c r="AM217" s="115">
        <v>0</v>
      </c>
      <c r="AN217" s="115">
        <v>0</v>
      </c>
      <c r="AO217" s="115">
        <v>0</v>
      </c>
      <c r="AP217" s="115">
        <v>0</v>
      </c>
      <c r="AQ217" s="115">
        <v>0</v>
      </c>
      <c r="AR217" s="115">
        <v>0</v>
      </c>
      <c r="AS217" s="115">
        <v>0</v>
      </c>
      <c r="AT217" s="115">
        <v>0</v>
      </c>
      <c r="AU217" s="115">
        <v>0</v>
      </c>
      <c r="AV217" s="115">
        <v>0</v>
      </c>
      <c r="AW217" s="115">
        <v>0</v>
      </c>
      <c r="AX217" s="115">
        <v>0</v>
      </c>
      <c r="AY217" s="115">
        <v>0</v>
      </c>
    </row>
    <row r="218" spans="1:51" x14ac:dyDescent="0.2">
      <c r="A218" s="114"/>
      <c r="B218" s="124">
        <v>10</v>
      </c>
      <c r="C218" s="111">
        <v>0</v>
      </c>
      <c r="D218" s="115">
        <v>0</v>
      </c>
      <c r="E218" s="115">
        <v>0</v>
      </c>
      <c r="F218" s="115">
        <v>0</v>
      </c>
      <c r="G218" s="115">
        <v>0</v>
      </c>
      <c r="H218" s="115">
        <v>0</v>
      </c>
      <c r="I218" s="115">
        <v>0</v>
      </c>
      <c r="J218" s="115">
        <v>0</v>
      </c>
      <c r="K218" s="115">
        <v>0</v>
      </c>
      <c r="L218" s="115">
        <v>0</v>
      </c>
      <c r="M218" s="115">
        <v>0</v>
      </c>
      <c r="N218" s="115">
        <v>0</v>
      </c>
      <c r="O218" s="115">
        <v>0</v>
      </c>
      <c r="P218" s="115">
        <v>0</v>
      </c>
      <c r="Q218" s="115">
        <v>0</v>
      </c>
      <c r="R218" s="115">
        <v>0</v>
      </c>
      <c r="S218" s="115">
        <v>0</v>
      </c>
      <c r="T218" s="115">
        <v>0</v>
      </c>
      <c r="U218" s="115">
        <v>0</v>
      </c>
      <c r="V218" s="115">
        <v>0</v>
      </c>
      <c r="W218" s="115">
        <v>0</v>
      </c>
      <c r="X218" s="115">
        <v>0</v>
      </c>
      <c r="Y218" s="115">
        <v>0</v>
      </c>
      <c r="Z218" s="115">
        <v>0</v>
      </c>
      <c r="AA218" s="115">
        <v>0</v>
      </c>
      <c r="AB218" s="115">
        <v>0</v>
      </c>
      <c r="AC218" s="115">
        <v>0</v>
      </c>
      <c r="AD218" s="115">
        <v>0</v>
      </c>
      <c r="AE218" s="115">
        <v>0</v>
      </c>
      <c r="AF218" s="115">
        <v>0</v>
      </c>
      <c r="AG218" s="115">
        <v>0</v>
      </c>
      <c r="AH218" s="115">
        <v>0</v>
      </c>
      <c r="AI218" s="115">
        <v>0</v>
      </c>
      <c r="AJ218" s="115">
        <v>0</v>
      </c>
      <c r="AK218" s="115">
        <v>0</v>
      </c>
      <c r="AL218" s="115">
        <v>0</v>
      </c>
      <c r="AM218" s="115">
        <v>0</v>
      </c>
      <c r="AN218" s="115">
        <v>0</v>
      </c>
      <c r="AO218" s="115">
        <v>0</v>
      </c>
      <c r="AP218" s="115">
        <v>0</v>
      </c>
      <c r="AQ218" s="115">
        <v>0</v>
      </c>
      <c r="AR218" s="115">
        <v>0</v>
      </c>
      <c r="AS218" s="115">
        <v>0</v>
      </c>
      <c r="AT218" s="115">
        <v>0</v>
      </c>
      <c r="AU218" s="115">
        <v>0</v>
      </c>
      <c r="AV218" s="115">
        <v>0</v>
      </c>
      <c r="AW218" s="115">
        <v>0</v>
      </c>
      <c r="AX218" s="115">
        <v>0</v>
      </c>
      <c r="AY218" s="115">
        <v>0</v>
      </c>
    </row>
    <row r="219" spans="1:51" x14ac:dyDescent="0.2">
      <c r="A219" s="114"/>
      <c r="B219" s="124">
        <v>11</v>
      </c>
      <c r="C219" s="111">
        <v>0</v>
      </c>
      <c r="D219" s="115">
        <v>0</v>
      </c>
      <c r="E219" s="115">
        <v>0</v>
      </c>
      <c r="F219" s="115">
        <v>0</v>
      </c>
      <c r="G219" s="115">
        <v>0</v>
      </c>
      <c r="H219" s="115">
        <v>0</v>
      </c>
      <c r="I219" s="115">
        <v>0</v>
      </c>
      <c r="J219" s="115">
        <v>0</v>
      </c>
      <c r="K219" s="115">
        <v>0</v>
      </c>
      <c r="L219" s="115">
        <v>0</v>
      </c>
      <c r="M219" s="115">
        <v>0</v>
      </c>
      <c r="N219" s="115">
        <v>0</v>
      </c>
      <c r="O219" s="115">
        <v>0</v>
      </c>
      <c r="P219" s="115">
        <v>0</v>
      </c>
      <c r="Q219" s="115">
        <v>0</v>
      </c>
      <c r="R219" s="115">
        <v>0</v>
      </c>
      <c r="S219" s="115">
        <v>0</v>
      </c>
      <c r="T219" s="115">
        <v>0</v>
      </c>
      <c r="U219" s="115">
        <v>0</v>
      </c>
      <c r="V219" s="115">
        <v>0</v>
      </c>
      <c r="W219" s="115">
        <v>0</v>
      </c>
      <c r="X219" s="115">
        <v>0</v>
      </c>
      <c r="Y219" s="115">
        <v>0</v>
      </c>
      <c r="Z219" s="115">
        <v>0</v>
      </c>
      <c r="AA219" s="115">
        <v>0</v>
      </c>
      <c r="AB219" s="115">
        <v>0</v>
      </c>
      <c r="AC219" s="115">
        <v>0</v>
      </c>
      <c r="AD219" s="115">
        <v>0</v>
      </c>
      <c r="AE219" s="115">
        <v>0</v>
      </c>
      <c r="AF219" s="115">
        <v>0</v>
      </c>
      <c r="AG219" s="115">
        <v>0</v>
      </c>
      <c r="AH219" s="115">
        <v>0</v>
      </c>
      <c r="AI219" s="115">
        <v>0</v>
      </c>
      <c r="AJ219" s="115">
        <v>0</v>
      </c>
      <c r="AK219" s="115">
        <v>0</v>
      </c>
      <c r="AL219" s="115">
        <v>0</v>
      </c>
      <c r="AM219" s="115">
        <v>0</v>
      </c>
      <c r="AN219" s="115">
        <v>0</v>
      </c>
      <c r="AO219" s="115">
        <v>0</v>
      </c>
      <c r="AP219" s="115">
        <v>0</v>
      </c>
      <c r="AQ219" s="115">
        <v>0</v>
      </c>
      <c r="AR219" s="115">
        <v>0</v>
      </c>
      <c r="AS219" s="115">
        <v>0</v>
      </c>
      <c r="AT219" s="115">
        <v>0</v>
      </c>
      <c r="AU219" s="115">
        <v>0</v>
      </c>
      <c r="AV219" s="115">
        <v>0</v>
      </c>
      <c r="AW219" s="115">
        <v>0</v>
      </c>
      <c r="AX219" s="115">
        <v>0</v>
      </c>
      <c r="AY219" s="115">
        <v>0</v>
      </c>
    </row>
    <row r="220" spans="1:51" x14ac:dyDescent="0.2">
      <c r="A220" s="114"/>
      <c r="B220" s="124">
        <v>12</v>
      </c>
      <c r="C220" s="111">
        <v>0</v>
      </c>
      <c r="D220" s="115">
        <v>0</v>
      </c>
      <c r="E220" s="115">
        <v>0</v>
      </c>
      <c r="F220" s="115">
        <v>0</v>
      </c>
      <c r="G220" s="115">
        <v>0</v>
      </c>
      <c r="H220" s="115">
        <v>0</v>
      </c>
      <c r="I220" s="115">
        <v>0</v>
      </c>
      <c r="J220" s="115">
        <v>0</v>
      </c>
      <c r="K220" s="115">
        <v>0</v>
      </c>
      <c r="L220" s="115">
        <v>0</v>
      </c>
      <c r="M220" s="115">
        <v>0</v>
      </c>
      <c r="N220" s="115">
        <v>0</v>
      </c>
      <c r="O220" s="115">
        <v>0</v>
      </c>
      <c r="P220" s="115">
        <v>0</v>
      </c>
      <c r="Q220" s="115">
        <v>0</v>
      </c>
      <c r="R220" s="115">
        <v>0</v>
      </c>
      <c r="S220" s="115">
        <v>0</v>
      </c>
      <c r="T220" s="115">
        <v>0</v>
      </c>
      <c r="U220" s="115">
        <v>0</v>
      </c>
      <c r="V220" s="115">
        <v>0</v>
      </c>
      <c r="W220" s="115">
        <v>0</v>
      </c>
      <c r="X220" s="115">
        <v>0</v>
      </c>
      <c r="Y220" s="115">
        <v>0</v>
      </c>
      <c r="Z220" s="115">
        <v>0</v>
      </c>
      <c r="AA220" s="115">
        <v>0</v>
      </c>
      <c r="AB220" s="115">
        <v>0</v>
      </c>
      <c r="AC220" s="115">
        <v>0</v>
      </c>
      <c r="AD220" s="115">
        <v>0</v>
      </c>
      <c r="AE220" s="115">
        <v>0</v>
      </c>
      <c r="AF220" s="115">
        <v>0</v>
      </c>
      <c r="AG220" s="115">
        <v>0</v>
      </c>
      <c r="AH220" s="115">
        <v>0</v>
      </c>
      <c r="AI220" s="115">
        <v>0</v>
      </c>
      <c r="AJ220" s="115">
        <v>0</v>
      </c>
      <c r="AK220" s="115">
        <v>0</v>
      </c>
      <c r="AL220" s="115">
        <v>0</v>
      </c>
      <c r="AM220" s="115">
        <v>0</v>
      </c>
      <c r="AN220" s="115">
        <v>0</v>
      </c>
      <c r="AO220" s="115">
        <v>0</v>
      </c>
      <c r="AP220" s="115">
        <v>0</v>
      </c>
      <c r="AQ220" s="115">
        <v>0</v>
      </c>
      <c r="AR220" s="115">
        <v>0</v>
      </c>
      <c r="AS220" s="115">
        <v>0</v>
      </c>
      <c r="AT220" s="115">
        <v>0</v>
      </c>
      <c r="AU220" s="115">
        <v>0</v>
      </c>
      <c r="AV220" s="115">
        <v>0</v>
      </c>
      <c r="AW220" s="115">
        <v>0</v>
      </c>
      <c r="AX220" s="115">
        <v>0</v>
      </c>
      <c r="AY220" s="115">
        <v>0</v>
      </c>
    </row>
    <row r="221" spans="1:51" x14ac:dyDescent="0.2">
      <c r="A221" s="114"/>
      <c r="B221" s="125">
        <v>13</v>
      </c>
      <c r="C221" s="111">
        <v>0</v>
      </c>
      <c r="D221" s="115">
        <v>0</v>
      </c>
      <c r="E221" s="115">
        <v>0</v>
      </c>
      <c r="F221" s="115">
        <v>0</v>
      </c>
      <c r="G221" s="115">
        <v>0</v>
      </c>
      <c r="H221" s="115">
        <v>0</v>
      </c>
      <c r="I221" s="115">
        <v>0</v>
      </c>
      <c r="J221" s="115">
        <v>0</v>
      </c>
      <c r="K221" s="115">
        <v>0</v>
      </c>
      <c r="L221" s="115">
        <v>0</v>
      </c>
      <c r="M221" s="115">
        <v>0</v>
      </c>
      <c r="N221" s="115">
        <v>0</v>
      </c>
      <c r="O221" s="115">
        <v>0</v>
      </c>
      <c r="P221" s="115">
        <v>0</v>
      </c>
      <c r="Q221" s="115">
        <v>0</v>
      </c>
      <c r="R221" s="115">
        <v>0</v>
      </c>
      <c r="S221" s="115">
        <v>0</v>
      </c>
      <c r="T221" s="115">
        <v>0</v>
      </c>
      <c r="U221" s="115">
        <v>0</v>
      </c>
      <c r="V221" s="115">
        <v>0</v>
      </c>
      <c r="W221" s="115">
        <v>0</v>
      </c>
      <c r="X221" s="115">
        <v>0</v>
      </c>
      <c r="Y221" s="115">
        <v>0</v>
      </c>
      <c r="Z221" s="115">
        <v>0</v>
      </c>
      <c r="AA221" s="115">
        <v>0</v>
      </c>
      <c r="AB221" s="115">
        <v>0</v>
      </c>
      <c r="AC221" s="115">
        <v>0</v>
      </c>
      <c r="AD221" s="115">
        <v>0</v>
      </c>
      <c r="AE221" s="115">
        <v>0</v>
      </c>
      <c r="AF221" s="115">
        <v>0</v>
      </c>
      <c r="AG221" s="115">
        <v>0</v>
      </c>
      <c r="AH221" s="115">
        <v>0</v>
      </c>
      <c r="AI221" s="115">
        <v>0</v>
      </c>
      <c r="AJ221" s="115">
        <v>0</v>
      </c>
      <c r="AK221" s="115">
        <v>0</v>
      </c>
      <c r="AL221" s="115">
        <v>0</v>
      </c>
      <c r="AM221" s="115">
        <v>0</v>
      </c>
      <c r="AN221" s="115">
        <v>0</v>
      </c>
      <c r="AO221" s="115">
        <v>0</v>
      </c>
      <c r="AP221" s="115">
        <v>0</v>
      </c>
      <c r="AQ221" s="115">
        <v>0</v>
      </c>
      <c r="AR221" s="115">
        <v>0</v>
      </c>
      <c r="AS221" s="115">
        <v>0</v>
      </c>
      <c r="AT221" s="115">
        <v>0</v>
      </c>
      <c r="AU221" s="115">
        <v>0</v>
      </c>
      <c r="AV221" s="115">
        <v>0</v>
      </c>
      <c r="AW221" s="115">
        <v>0</v>
      </c>
      <c r="AX221" s="115">
        <v>0</v>
      </c>
      <c r="AY221" s="115">
        <v>0</v>
      </c>
    </row>
    <row r="222" spans="1:51" x14ac:dyDescent="0.2">
      <c r="A222" s="114"/>
      <c r="B222" s="125">
        <v>14</v>
      </c>
      <c r="C222" s="111">
        <v>0</v>
      </c>
      <c r="D222" s="115">
        <v>0</v>
      </c>
      <c r="E222" s="115">
        <v>0</v>
      </c>
      <c r="F222" s="115">
        <v>0</v>
      </c>
      <c r="G222" s="115">
        <v>0</v>
      </c>
      <c r="H222" s="115">
        <v>0</v>
      </c>
      <c r="I222" s="115">
        <v>0</v>
      </c>
      <c r="J222" s="115">
        <v>0</v>
      </c>
      <c r="K222" s="115">
        <v>0</v>
      </c>
      <c r="L222" s="115">
        <v>0</v>
      </c>
      <c r="M222" s="115">
        <v>0</v>
      </c>
      <c r="N222" s="115">
        <v>0</v>
      </c>
      <c r="O222" s="115">
        <v>0</v>
      </c>
      <c r="P222" s="115">
        <v>0</v>
      </c>
      <c r="Q222" s="115">
        <v>0</v>
      </c>
      <c r="R222" s="115">
        <v>0</v>
      </c>
      <c r="S222" s="115">
        <v>0</v>
      </c>
      <c r="T222" s="115">
        <v>0</v>
      </c>
      <c r="U222" s="115">
        <v>0</v>
      </c>
      <c r="V222" s="115">
        <v>0</v>
      </c>
      <c r="W222" s="115">
        <v>0</v>
      </c>
      <c r="X222" s="115">
        <v>0</v>
      </c>
      <c r="Y222" s="115">
        <v>0</v>
      </c>
      <c r="Z222" s="115">
        <v>0</v>
      </c>
      <c r="AA222" s="115">
        <v>0</v>
      </c>
      <c r="AB222" s="115">
        <v>0</v>
      </c>
      <c r="AC222" s="115">
        <v>0</v>
      </c>
      <c r="AD222" s="115">
        <v>0</v>
      </c>
      <c r="AE222" s="115">
        <v>0</v>
      </c>
      <c r="AF222" s="115">
        <v>0</v>
      </c>
      <c r="AG222" s="115">
        <v>0</v>
      </c>
      <c r="AH222" s="115">
        <v>0</v>
      </c>
      <c r="AI222" s="115">
        <v>0</v>
      </c>
      <c r="AJ222" s="115">
        <v>0</v>
      </c>
      <c r="AK222" s="115">
        <v>0</v>
      </c>
      <c r="AL222" s="115">
        <v>0</v>
      </c>
      <c r="AM222" s="115">
        <v>0</v>
      </c>
      <c r="AN222" s="115">
        <v>0</v>
      </c>
      <c r="AO222" s="115">
        <v>0</v>
      </c>
      <c r="AP222" s="115">
        <v>0</v>
      </c>
      <c r="AQ222" s="115">
        <v>0</v>
      </c>
      <c r="AR222" s="115">
        <v>0</v>
      </c>
      <c r="AS222" s="115">
        <v>0</v>
      </c>
      <c r="AT222" s="115">
        <v>0</v>
      </c>
      <c r="AU222" s="115">
        <v>0</v>
      </c>
      <c r="AV222" s="115">
        <v>0</v>
      </c>
      <c r="AW222" s="115">
        <v>0</v>
      </c>
      <c r="AX222" s="115">
        <v>0</v>
      </c>
      <c r="AY222" s="115">
        <v>0</v>
      </c>
    </row>
    <row r="223" spans="1:51" x14ac:dyDescent="0.2">
      <c r="A223" s="114"/>
      <c r="B223" s="125">
        <v>15</v>
      </c>
      <c r="C223" s="111">
        <v>0</v>
      </c>
      <c r="D223" s="115">
        <v>0</v>
      </c>
      <c r="E223" s="115">
        <v>0</v>
      </c>
      <c r="F223" s="115">
        <v>0</v>
      </c>
      <c r="G223" s="115">
        <v>0</v>
      </c>
      <c r="H223" s="115">
        <v>0</v>
      </c>
      <c r="I223" s="115">
        <v>0</v>
      </c>
      <c r="J223" s="115">
        <v>0</v>
      </c>
      <c r="K223" s="115">
        <v>0</v>
      </c>
      <c r="L223" s="115">
        <v>0</v>
      </c>
      <c r="M223" s="115">
        <v>0</v>
      </c>
      <c r="N223" s="115">
        <v>0</v>
      </c>
      <c r="O223" s="115">
        <v>0</v>
      </c>
      <c r="P223" s="115">
        <v>0</v>
      </c>
      <c r="Q223" s="115">
        <v>0</v>
      </c>
      <c r="R223" s="115">
        <v>0</v>
      </c>
      <c r="S223" s="115">
        <v>0</v>
      </c>
      <c r="T223" s="115">
        <v>0</v>
      </c>
      <c r="U223" s="115">
        <v>0</v>
      </c>
      <c r="V223" s="115">
        <v>0</v>
      </c>
      <c r="W223" s="115">
        <v>0</v>
      </c>
      <c r="X223" s="115">
        <v>0</v>
      </c>
      <c r="Y223" s="115">
        <v>0</v>
      </c>
      <c r="Z223" s="115">
        <v>0</v>
      </c>
      <c r="AA223" s="115">
        <v>0</v>
      </c>
      <c r="AB223" s="115">
        <v>0</v>
      </c>
      <c r="AC223" s="115">
        <v>0</v>
      </c>
      <c r="AD223" s="115">
        <v>0</v>
      </c>
      <c r="AE223" s="115">
        <v>0</v>
      </c>
      <c r="AF223" s="115">
        <v>0</v>
      </c>
      <c r="AG223" s="115">
        <v>0</v>
      </c>
      <c r="AH223" s="115">
        <v>0</v>
      </c>
      <c r="AI223" s="115">
        <v>0</v>
      </c>
      <c r="AJ223" s="115">
        <v>0</v>
      </c>
      <c r="AK223" s="115">
        <v>0</v>
      </c>
      <c r="AL223" s="115">
        <v>0</v>
      </c>
      <c r="AM223" s="115">
        <v>0</v>
      </c>
      <c r="AN223" s="115">
        <v>0</v>
      </c>
      <c r="AO223" s="115">
        <v>0</v>
      </c>
      <c r="AP223" s="115">
        <v>0</v>
      </c>
      <c r="AQ223" s="115">
        <v>0</v>
      </c>
      <c r="AR223" s="115">
        <v>0</v>
      </c>
      <c r="AS223" s="115">
        <v>0</v>
      </c>
      <c r="AT223" s="115">
        <v>0</v>
      </c>
      <c r="AU223" s="115">
        <v>0</v>
      </c>
      <c r="AV223" s="115">
        <v>0</v>
      </c>
      <c r="AW223" s="115">
        <v>0</v>
      </c>
      <c r="AX223" s="115">
        <v>0</v>
      </c>
      <c r="AY223" s="115">
        <v>0</v>
      </c>
    </row>
    <row r="224" spans="1:51" x14ac:dyDescent="0.2">
      <c r="A224" s="114"/>
      <c r="B224" s="125">
        <v>16</v>
      </c>
      <c r="C224" s="111">
        <v>0</v>
      </c>
      <c r="D224" s="115">
        <v>0</v>
      </c>
      <c r="E224" s="115">
        <v>0</v>
      </c>
      <c r="F224" s="115">
        <v>0</v>
      </c>
      <c r="G224" s="115">
        <v>0</v>
      </c>
      <c r="H224" s="115">
        <v>0</v>
      </c>
      <c r="I224" s="115">
        <v>0</v>
      </c>
      <c r="J224" s="115">
        <v>0</v>
      </c>
      <c r="K224" s="115">
        <v>0</v>
      </c>
      <c r="L224" s="115">
        <v>0</v>
      </c>
      <c r="M224" s="115">
        <v>0</v>
      </c>
      <c r="N224" s="115">
        <v>0</v>
      </c>
      <c r="O224" s="115">
        <v>0</v>
      </c>
      <c r="P224" s="115">
        <v>0</v>
      </c>
      <c r="Q224" s="115">
        <v>0</v>
      </c>
      <c r="R224" s="115">
        <v>0</v>
      </c>
      <c r="S224" s="115">
        <v>0</v>
      </c>
      <c r="T224" s="115">
        <v>0</v>
      </c>
      <c r="U224" s="115">
        <v>0</v>
      </c>
      <c r="V224" s="115">
        <v>0</v>
      </c>
      <c r="W224" s="115">
        <v>0</v>
      </c>
      <c r="X224" s="115">
        <v>0</v>
      </c>
      <c r="Y224" s="115">
        <v>0</v>
      </c>
      <c r="Z224" s="115">
        <v>0</v>
      </c>
      <c r="AA224" s="115">
        <v>0</v>
      </c>
      <c r="AB224" s="115">
        <v>0</v>
      </c>
      <c r="AC224" s="115">
        <v>0</v>
      </c>
      <c r="AD224" s="115">
        <v>0</v>
      </c>
      <c r="AE224" s="115">
        <v>0</v>
      </c>
      <c r="AF224" s="115">
        <v>0</v>
      </c>
      <c r="AG224" s="115">
        <v>0</v>
      </c>
      <c r="AH224" s="115">
        <v>0</v>
      </c>
      <c r="AI224" s="115">
        <v>0</v>
      </c>
      <c r="AJ224" s="115">
        <v>0</v>
      </c>
      <c r="AK224" s="115">
        <v>0</v>
      </c>
      <c r="AL224" s="115">
        <v>0</v>
      </c>
      <c r="AM224" s="115">
        <v>0</v>
      </c>
      <c r="AN224" s="115">
        <v>0</v>
      </c>
      <c r="AO224" s="115">
        <v>0</v>
      </c>
      <c r="AP224" s="115">
        <v>0</v>
      </c>
      <c r="AQ224" s="115">
        <v>0</v>
      </c>
      <c r="AR224" s="115">
        <v>0</v>
      </c>
      <c r="AS224" s="115">
        <v>0</v>
      </c>
      <c r="AT224" s="115">
        <v>0</v>
      </c>
      <c r="AU224" s="115">
        <v>0</v>
      </c>
      <c r="AV224" s="115">
        <v>0</v>
      </c>
      <c r="AW224" s="115">
        <v>0</v>
      </c>
      <c r="AX224" s="115">
        <v>0</v>
      </c>
      <c r="AY224" s="115">
        <v>0</v>
      </c>
    </row>
    <row r="225" spans="1:51" x14ac:dyDescent="0.2">
      <c r="A225" s="114"/>
      <c r="B225" s="125">
        <v>17</v>
      </c>
      <c r="C225" s="111">
        <v>0</v>
      </c>
      <c r="D225" s="115">
        <v>0</v>
      </c>
      <c r="E225" s="115">
        <v>0</v>
      </c>
      <c r="F225" s="115">
        <v>0</v>
      </c>
      <c r="G225" s="115">
        <v>0</v>
      </c>
      <c r="H225" s="115">
        <v>0</v>
      </c>
      <c r="I225" s="115">
        <v>0</v>
      </c>
      <c r="J225" s="115">
        <v>0</v>
      </c>
      <c r="K225" s="115">
        <v>0</v>
      </c>
      <c r="L225" s="115">
        <v>0</v>
      </c>
      <c r="M225" s="115">
        <v>0</v>
      </c>
      <c r="N225" s="115">
        <v>0</v>
      </c>
      <c r="O225" s="115">
        <v>0</v>
      </c>
      <c r="P225" s="115">
        <v>0</v>
      </c>
      <c r="Q225" s="115">
        <v>0</v>
      </c>
      <c r="R225" s="115">
        <v>0</v>
      </c>
      <c r="S225" s="115">
        <v>0</v>
      </c>
      <c r="T225" s="115">
        <v>0</v>
      </c>
      <c r="U225" s="115">
        <v>0</v>
      </c>
      <c r="V225" s="115">
        <v>0</v>
      </c>
      <c r="W225" s="115">
        <v>0</v>
      </c>
      <c r="X225" s="115">
        <v>0</v>
      </c>
      <c r="Y225" s="115">
        <v>0</v>
      </c>
      <c r="Z225" s="115">
        <v>0</v>
      </c>
      <c r="AA225" s="115">
        <v>0</v>
      </c>
      <c r="AB225" s="115">
        <v>0</v>
      </c>
      <c r="AC225" s="115">
        <v>0</v>
      </c>
      <c r="AD225" s="115">
        <v>0</v>
      </c>
      <c r="AE225" s="115">
        <v>0</v>
      </c>
      <c r="AF225" s="115">
        <v>0</v>
      </c>
      <c r="AG225" s="115">
        <v>0</v>
      </c>
      <c r="AH225" s="115">
        <v>0</v>
      </c>
      <c r="AI225" s="115">
        <v>0</v>
      </c>
      <c r="AJ225" s="115">
        <v>0</v>
      </c>
      <c r="AK225" s="115">
        <v>0</v>
      </c>
      <c r="AL225" s="115">
        <v>0</v>
      </c>
      <c r="AM225" s="115">
        <v>0</v>
      </c>
      <c r="AN225" s="115">
        <v>0</v>
      </c>
      <c r="AO225" s="115">
        <v>0</v>
      </c>
      <c r="AP225" s="115">
        <v>0</v>
      </c>
      <c r="AQ225" s="115">
        <v>0</v>
      </c>
      <c r="AR225" s="115">
        <v>0</v>
      </c>
      <c r="AS225" s="115">
        <v>0</v>
      </c>
      <c r="AT225" s="115">
        <v>0</v>
      </c>
      <c r="AU225" s="115">
        <v>0</v>
      </c>
      <c r="AV225" s="115">
        <v>0</v>
      </c>
      <c r="AW225" s="115">
        <v>0</v>
      </c>
      <c r="AX225" s="115">
        <v>0</v>
      </c>
      <c r="AY225" s="115">
        <v>0</v>
      </c>
    </row>
    <row r="226" spans="1:51" x14ac:dyDescent="0.2">
      <c r="A226" s="114"/>
      <c r="B226" s="125">
        <v>18</v>
      </c>
      <c r="C226" s="111">
        <v>0</v>
      </c>
      <c r="D226" s="115">
        <v>0</v>
      </c>
      <c r="E226" s="115">
        <v>0</v>
      </c>
      <c r="F226" s="115">
        <v>0</v>
      </c>
      <c r="G226" s="115">
        <v>0</v>
      </c>
      <c r="H226" s="115">
        <v>0</v>
      </c>
      <c r="I226" s="115">
        <v>0</v>
      </c>
      <c r="J226" s="115">
        <v>0</v>
      </c>
      <c r="K226" s="115">
        <v>0</v>
      </c>
      <c r="L226" s="115">
        <v>0</v>
      </c>
      <c r="M226" s="115">
        <v>0</v>
      </c>
      <c r="N226" s="115">
        <v>0</v>
      </c>
      <c r="O226" s="115">
        <v>0</v>
      </c>
      <c r="P226" s="115">
        <v>0</v>
      </c>
      <c r="Q226" s="115">
        <v>0</v>
      </c>
      <c r="R226" s="115">
        <v>0</v>
      </c>
      <c r="S226" s="115">
        <v>0</v>
      </c>
      <c r="T226" s="115">
        <v>0</v>
      </c>
      <c r="U226" s="115">
        <v>0</v>
      </c>
      <c r="V226" s="115">
        <v>0</v>
      </c>
      <c r="W226" s="115">
        <v>0</v>
      </c>
      <c r="X226" s="115">
        <v>0</v>
      </c>
      <c r="Y226" s="115">
        <v>0</v>
      </c>
      <c r="Z226" s="115">
        <v>0</v>
      </c>
      <c r="AA226" s="115">
        <v>0</v>
      </c>
      <c r="AB226" s="115">
        <v>0</v>
      </c>
      <c r="AC226" s="115">
        <v>0</v>
      </c>
      <c r="AD226" s="115">
        <v>0</v>
      </c>
      <c r="AE226" s="115">
        <v>0</v>
      </c>
      <c r="AF226" s="115">
        <v>0</v>
      </c>
      <c r="AG226" s="115">
        <v>0</v>
      </c>
      <c r="AH226" s="115">
        <v>0</v>
      </c>
      <c r="AI226" s="115">
        <v>0</v>
      </c>
      <c r="AJ226" s="115">
        <v>0</v>
      </c>
      <c r="AK226" s="115">
        <v>0</v>
      </c>
      <c r="AL226" s="115">
        <v>0</v>
      </c>
      <c r="AM226" s="115">
        <v>0</v>
      </c>
      <c r="AN226" s="115">
        <v>0</v>
      </c>
      <c r="AO226" s="115">
        <v>0</v>
      </c>
      <c r="AP226" s="115">
        <v>0</v>
      </c>
      <c r="AQ226" s="115">
        <v>0</v>
      </c>
      <c r="AR226" s="115">
        <v>0</v>
      </c>
      <c r="AS226" s="115">
        <v>0</v>
      </c>
      <c r="AT226" s="115">
        <v>0</v>
      </c>
      <c r="AU226" s="115">
        <v>0</v>
      </c>
      <c r="AV226" s="115">
        <v>0</v>
      </c>
      <c r="AW226" s="115">
        <v>0</v>
      </c>
      <c r="AX226" s="115">
        <v>0</v>
      </c>
      <c r="AY226" s="115">
        <v>0</v>
      </c>
    </row>
    <row r="227" spans="1:51" x14ac:dyDescent="0.2">
      <c r="A227" s="114"/>
      <c r="B227" s="125">
        <v>19</v>
      </c>
      <c r="C227" s="111">
        <v>0</v>
      </c>
      <c r="D227" s="115">
        <v>0</v>
      </c>
      <c r="E227" s="115">
        <v>0</v>
      </c>
      <c r="F227" s="115">
        <v>0</v>
      </c>
      <c r="G227" s="115">
        <v>0</v>
      </c>
      <c r="H227" s="115">
        <v>0</v>
      </c>
      <c r="I227" s="115">
        <v>0</v>
      </c>
      <c r="J227" s="115">
        <v>0</v>
      </c>
      <c r="K227" s="115">
        <v>0</v>
      </c>
      <c r="L227" s="115">
        <v>0</v>
      </c>
      <c r="M227" s="115">
        <v>0</v>
      </c>
      <c r="N227" s="115">
        <v>0</v>
      </c>
      <c r="O227" s="115">
        <v>0</v>
      </c>
      <c r="P227" s="115">
        <v>0</v>
      </c>
      <c r="Q227" s="115">
        <v>0</v>
      </c>
      <c r="R227" s="115">
        <v>0</v>
      </c>
      <c r="S227" s="115">
        <v>0</v>
      </c>
      <c r="T227" s="115">
        <v>0</v>
      </c>
      <c r="U227" s="115">
        <v>0</v>
      </c>
      <c r="V227" s="115">
        <v>0</v>
      </c>
      <c r="W227" s="115">
        <v>0</v>
      </c>
      <c r="X227" s="115">
        <v>0</v>
      </c>
      <c r="Y227" s="115">
        <v>0</v>
      </c>
      <c r="Z227" s="115">
        <v>0</v>
      </c>
      <c r="AA227" s="115">
        <v>0</v>
      </c>
      <c r="AB227" s="115">
        <v>0</v>
      </c>
      <c r="AC227" s="115">
        <v>0</v>
      </c>
      <c r="AD227" s="115">
        <v>0</v>
      </c>
      <c r="AE227" s="115">
        <v>0</v>
      </c>
      <c r="AF227" s="115">
        <v>0</v>
      </c>
      <c r="AG227" s="115">
        <v>0</v>
      </c>
      <c r="AH227" s="115">
        <v>0</v>
      </c>
      <c r="AI227" s="115">
        <v>0</v>
      </c>
      <c r="AJ227" s="115">
        <v>0</v>
      </c>
      <c r="AK227" s="115">
        <v>0</v>
      </c>
      <c r="AL227" s="115">
        <v>0</v>
      </c>
      <c r="AM227" s="115">
        <v>0</v>
      </c>
      <c r="AN227" s="115">
        <v>0</v>
      </c>
      <c r="AO227" s="115">
        <v>0</v>
      </c>
      <c r="AP227" s="115">
        <v>0</v>
      </c>
      <c r="AQ227" s="115">
        <v>0</v>
      </c>
      <c r="AR227" s="115">
        <v>0</v>
      </c>
      <c r="AS227" s="115">
        <v>0</v>
      </c>
      <c r="AT227" s="115">
        <v>0</v>
      </c>
      <c r="AU227" s="115">
        <v>0</v>
      </c>
      <c r="AV227" s="115">
        <v>0</v>
      </c>
      <c r="AW227" s="115">
        <v>0</v>
      </c>
      <c r="AX227" s="115">
        <v>0</v>
      </c>
      <c r="AY227" s="115">
        <v>0</v>
      </c>
    </row>
    <row r="228" spans="1:51" x14ac:dyDescent="0.2">
      <c r="A228" s="114"/>
      <c r="B228" s="125">
        <v>20</v>
      </c>
      <c r="C228" s="111">
        <v>0</v>
      </c>
      <c r="D228" s="115">
        <v>0</v>
      </c>
      <c r="E228" s="115">
        <v>0</v>
      </c>
      <c r="F228" s="115">
        <v>0</v>
      </c>
      <c r="G228" s="115">
        <v>0</v>
      </c>
      <c r="H228" s="115">
        <v>0</v>
      </c>
      <c r="I228" s="115">
        <v>0</v>
      </c>
      <c r="J228" s="115">
        <v>0</v>
      </c>
      <c r="K228" s="115">
        <v>0</v>
      </c>
      <c r="L228" s="115">
        <v>0</v>
      </c>
      <c r="M228" s="115">
        <v>0</v>
      </c>
      <c r="N228" s="115">
        <v>0</v>
      </c>
      <c r="O228" s="115">
        <v>0</v>
      </c>
      <c r="P228" s="115">
        <v>0</v>
      </c>
      <c r="Q228" s="115">
        <v>0</v>
      </c>
      <c r="R228" s="115">
        <v>0</v>
      </c>
      <c r="S228" s="115">
        <v>0</v>
      </c>
      <c r="T228" s="115">
        <v>0</v>
      </c>
      <c r="U228" s="115">
        <v>0</v>
      </c>
      <c r="V228" s="115">
        <v>0</v>
      </c>
      <c r="W228" s="115">
        <v>0</v>
      </c>
      <c r="X228" s="115">
        <v>0</v>
      </c>
      <c r="Y228" s="115">
        <v>0</v>
      </c>
      <c r="Z228" s="115">
        <v>0</v>
      </c>
      <c r="AA228" s="115">
        <v>0</v>
      </c>
      <c r="AB228" s="115">
        <v>0</v>
      </c>
      <c r="AC228" s="115">
        <v>0</v>
      </c>
      <c r="AD228" s="115">
        <v>0</v>
      </c>
      <c r="AE228" s="115">
        <v>0</v>
      </c>
      <c r="AF228" s="115">
        <v>0</v>
      </c>
      <c r="AG228" s="115">
        <v>0</v>
      </c>
      <c r="AH228" s="115">
        <v>0</v>
      </c>
      <c r="AI228" s="115">
        <v>0</v>
      </c>
      <c r="AJ228" s="115">
        <v>0</v>
      </c>
      <c r="AK228" s="115">
        <v>0</v>
      </c>
      <c r="AL228" s="115">
        <v>0</v>
      </c>
      <c r="AM228" s="115">
        <v>0</v>
      </c>
      <c r="AN228" s="115">
        <v>0</v>
      </c>
      <c r="AO228" s="115">
        <v>0</v>
      </c>
      <c r="AP228" s="115">
        <v>0</v>
      </c>
      <c r="AQ228" s="115">
        <v>0</v>
      </c>
      <c r="AR228" s="115">
        <v>0</v>
      </c>
      <c r="AS228" s="115">
        <v>0</v>
      </c>
      <c r="AT228" s="115">
        <v>0</v>
      </c>
      <c r="AU228" s="115">
        <v>0</v>
      </c>
      <c r="AV228" s="115">
        <v>0</v>
      </c>
      <c r="AW228" s="115">
        <v>0</v>
      </c>
      <c r="AX228" s="115">
        <v>0</v>
      </c>
      <c r="AY228" s="115">
        <v>0</v>
      </c>
    </row>
    <row r="229" spans="1:51" x14ac:dyDescent="0.2">
      <c r="A229" s="114"/>
      <c r="B229" s="125">
        <v>21</v>
      </c>
      <c r="C229" s="111">
        <v>0</v>
      </c>
      <c r="D229" s="115">
        <v>0</v>
      </c>
      <c r="E229" s="115">
        <v>0</v>
      </c>
      <c r="F229" s="115">
        <v>0</v>
      </c>
      <c r="G229" s="115">
        <v>0</v>
      </c>
      <c r="H229" s="115">
        <v>0</v>
      </c>
      <c r="I229" s="115">
        <v>0</v>
      </c>
      <c r="J229" s="115">
        <v>0</v>
      </c>
      <c r="K229" s="115">
        <v>0</v>
      </c>
      <c r="L229" s="115">
        <v>0</v>
      </c>
      <c r="M229" s="115">
        <v>0</v>
      </c>
      <c r="N229" s="115">
        <v>0</v>
      </c>
      <c r="O229" s="115">
        <v>0</v>
      </c>
      <c r="P229" s="115">
        <v>0</v>
      </c>
      <c r="Q229" s="115">
        <v>0</v>
      </c>
      <c r="R229" s="115">
        <v>0</v>
      </c>
      <c r="S229" s="115">
        <v>0</v>
      </c>
      <c r="T229" s="115">
        <v>0</v>
      </c>
      <c r="U229" s="115">
        <v>0</v>
      </c>
      <c r="V229" s="115">
        <v>0</v>
      </c>
      <c r="W229" s="115">
        <v>0</v>
      </c>
      <c r="X229" s="115">
        <v>0</v>
      </c>
      <c r="Y229" s="115">
        <v>0</v>
      </c>
      <c r="Z229" s="115">
        <v>0</v>
      </c>
      <c r="AA229" s="115">
        <v>0</v>
      </c>
      <c r="AB229" s="115">
        <v>0</v>
      </c>
      <c r="AC229" s="115">
        <v>0</v>
      </c>
      <c r="AD229" s="115">
        <v>0</v>
      </c>
      <c r="AE229" s="115">
        <v>0</v>
      </c>
      <c r="AF229" s="115">
        <v>0</v>
      </c>
      <c r="AG229" s="115">
        <v>0</v>
      </c>
      <c r="AH229" s="115">
        <v>0</v>
      </c>
      <c r="AI229" s="115">
        <v>0</v>
      </c>
      <c r="AJ229" s="115">
        <v>0</v>
      </c>
      <c r="AK229" s="115">
        <v>0</v>
      </c>
      <c r="AL229" s="115">
        <v>0</v>
      </c>
      <c r="AM229" s="115">
        <v>0</v>
      </c>
      <c r="AN229" s="115">
        <v>0</v>
      </c>
      <c r="AO229" s="115">
        <v>0</v>
      </c>
      <c r="AP229" s="115">
        <v>0</v>
      </c>
      <c r="AQ229" s="115">
        <v>0</v>
      </c>
      <c r="AR229" s="115">
        <v>0</v>
      </c>
      <c r="AS229" s="115">
        <v>0</v>
      </c>
      <c r="AT229" s="115">
        <v>0</v>
      </c>
      <c r="AU229" s="115">
        <v>0</v>
      </c>
      <c r="AV229" s="115">
        <v>0</v>
      </c>
      <c r="AW229" s="115">
        <v>0</v>
      </c>
      <c r="AX229" s="115">
        <v>0</v>
      </c>
      <c r="AY229" s="115">
        <v>0</v>
      </c>
    </row>
    <row r="230" spans="1:51" x14ac:dyDescent="0.2">
      <c r="A230" s="114"/>
      <c r="B230" s="125">
        <v>22</v>
      </c>
      <c r="C230" s="111">
        <v>0</v>
      </c>
      <c r="D230" s="115">
        <v>0</v>
      </c>
      <c r="E230" s="115">
        <v>0</v>
      </c>
      <c r="F230" s="115">
        <v>0</v>
      </c>
      <c r="G230" s="115">
        <v>0</v>
      </c>
      <c r="H230" s="115">
        <v>0</v>
      </c>
      <c r="I230" s="115">
        <v>0</v>
      </c>
      <c r="J230" s="115">
        <v>0</v>
      </c>
      <c r="K230" s="115">
        <v>0</v>
      </c>
      <c r="L230" s="115">
        <v>0</v>
      </c>
      <c r="M230" s="115">
        <v>0</v>
      </c>
      <c r="N230" s="115">
        <v>0</v>
      </c>
      <c r="O230" s="115">
        <v>0</v>
      </c>
      <c r="P230" s="115">
        <v>0</v>
      </c>
      <c r="Q230" s="115">
        <v>0</v>
      </c>
      <c r="R230" s="115">
        <v>0</v>
      </c>
      <c r="S230" s="115">
        <v>0</v>
      </c>
      <c r="T230" s="115">
        <v>0</v>
      </c>
      <c r="U230" s="115">
        <v>0</v>
      </c>
      <c r="V230" s="115">
        <v>0</v>
      </c>
      <c r="W230" s="115">
        <v>0</v>
      </c>
      <c r="X230" s="115">
        <v>0</v>
      </c>
      <c r="Y230" s="115">
        <v>0</v>
      </c>
      <c r="Z230" s="115">
        <v>0</v>
      </c>
      <c r="AA230" s="115">
        <v>0</v>
      </c>
      <c r="AB230" s="115">
        <v>0</v>
      </c>
      <c r="AC230" s="115">
        <v>0</v>
      </c>
      <c r="AD230" s="115">
        <v>0</v>
      </c>
      <c r="AE230" s="115">
        <v>0</v>
      </c>
      <c r="AF230" s="115">
        <v>0</v>
      </c>
      <c r="AG230" s="115">
        <v>0</v>
      </c>
      <c r="AH230" s="115">
        <v>0</v>
      </c>
      <c r="AI230" s="115">
        <v>0</v>
      </c>
      <c r="AJ230" s="115">
        <v>0</v>
      </c>
      <c r="AK230" s="115">
        <v>0</v>
      </c>
      <c r="AL230" s="115">
        <v>0</v>
      </c>
      <c r="AM230" s="115">
        <v>0</v>
      </c>
      <c r="AN230" s="115">
        <v>0</v>
      </c>
      <c r="AO230" s="115">
        <v>0</v>
      </c>
      <c r="AP230" s="115">
        <v>0</v>
      </c>
      <c r="AQ230" s="115">
        <v>0</v>
      </c>
      <c r="AR230" s="115">
        <v>0</v>
      </c>
      <c r="AS230" s="115">
        <v>0</v>
      </c>
      <c r="AT230" s="115">
        <v>0</v>
      </c>
      <c r="AU230" s="115">
        <v>0</v>
      </c>
      <c r="AV230" s="115">
        <v>0</v>
      </c>
      <c r="AW230" s="115">
        <v>0</v>
      </c>
      <c r="AX230" s="115">
        <v>0</v>
      </c>
      <c r="AY230" s="115">
        <v>0</v>
      </c>
    </row>
    <row r="231" spans="1:51" x14ac:dyDescent="0.2">
      <c r="A231" s="114"/>
      <c r="B231" s="125">
        <v>23</v>
      </c>
      <c r="C231" s="111">
        <v>0</v>
      </c>
      <c r="D231" s="115">
        <v>0</v>
      </c>
      <c r="E231" s="115">
        <v>0</v>
      </c>
      <c r="F231" s="115">
        <v>0</v>
      </c>
      <c r="G231" s="115">
        <v>0</v>
      </c>
      <c r="H231" s="115">
        <v>0</v>
      </c>
      <c r="I231" s="115">
        <v>0</v>
      </c>
      <c r="J231" s="115">
        <v>0</v>
      </c>
      <c r="K231" s="115">
        <v>0</v>
      </c>
      <c r="L231" s="115">
        <v>0</v>
      </c>
      <c r="M231" s="115">
        <v>0</v>
      </c>
      <c r="N231" s="115">
        <v>0</v>
      </c>
      <c r="O231" s="115">
        <v>0</v>
      </c>
      <c r="P231" s="115">
        <v>0</v>
      </c>
      <c r="Q231" s="115">
        <v>0</v>
      </c>
      <c r="R231" s="115">
        <v>0</v>
      </c>
      <c r="S231" s="115">
        <v>0</v>
      </c>
      <c r="T231" s="115">
        <v>0</v>
      </c>
      <c r="U231" s="115">
        <v>0</v>
      </c>
      <c r="V231" s="115">
        <v>0</v>
      </c>
      <c r="W231" s="115">
        <v>0</v>
      </c>
      <c r="X231" s="115">
        <v>0</v>
      </c>
      <c r="Y231" s="115">
        <v>0</v>
      </c>
      <c r="Z231" s="115">
        <v>0</v>
      </c>
      <c r="AA231" s="115">
        <v>0</v>
      </c>
      <c r="AB231" s="115">
        <v>0</v>
      </c>
      <c r="AC231" s="115">
        <v>0</v>
      </c>
      <c r="AD231" s="115">
        <v>0</v>
      </c>
      <c r="AE231" s="115">
        <v>0</v>
      </c>
      <c r="AF231" s="115">
        <v>0</v>
      </c>
      <c r="AG231" s="115">
        <v>0</v>
      </c>
      <c r="AH231" s="115">
        <v>0</v>
      </c>
      <c r="AI231" s="115">
        <v>0</v>
      </c>
      <c r="AJ231" s="115">
        <v>0</v>
      </c>
      <c r="AK231" s="115">
        <v>0</v>
      </c>
      <c r="AL231" s="115">
        <v>0</v>
      </c>
      <c r="AM231" s="115">
        <v>0</v>
      </c>
      <c r="AN231" s="115">
        <v>0</v>
      </c>
      <c r="AO231" s="115">
        <v>0</v>
      </c>
      <c r="AP231" s="115">
        <v>0</v>
      </c>
      <c r="AQ231" s="115">
        <v>0</v>
      </c>
      <c r="AR231" s="115">
        <v>0</v>
      </c>
      <c r="AS231" s="115">
        <v>0</v>
      </c>
      <c r="AT231" s="115">
        <v>0</v>
      </c>
      <c r="AU231" s="115">
        <v>0</v>
      </c>
      <c r="AV231" s="115">
        <v>0</v>
      </c>
      <c r="AW231" s="115">
        <v>0</v>
      </c>
      <c r="AX231" s="115">
        <v>0</v>
      </c>
      <c r="AY231" s="115">
        <v>0</v>
      </c>
    </row>
    <row r="232" spans="1:51" x14ac:dyDescent="0.2">
      <c r="A232" s="114"/>
      <c r="B232" s="125">
        <v>24</v>
      </c>
      <c r="C232" s="111">
        <v>0</v>
      </c>
      <c r="D232" s="115">
        <v>0</v>
      </c>
      <c r="E232" s="115">
        <v>0</v>
      </c>
      <c r="F232" s="115">
        <v>0</v>
      </c>
      <c r="G232" s="115">
        <v>0</v>
      </c>
      <c r="H232" s="115">
        <v>0</v>
      </c>
      <c r="I232" s="115">
        <v>0</v>
      </c>
      <c r="J232" s="115">
        <v>0</v>
      </c>
      <c r="K232" s="115">
        <v>0</v>
      </c>
      <c r="L232" s="115">
        <v>0</v>
      </c>
      <c r="M232" s="115">
        <v>0</v>
      </c>
      <c r="N232" s="115">
        <v>0</v>
      </c>
      <c r="O232" s="115">
        <v>0</v>
      </c>
      <c r="P232" s="115">
        <v>0</v>
      </c>
      <c r="Q232" s="115">
        <v>0</v>
      </c>
      <c r="R232" s="115">
        <v>0</v>
      </c>
      <c r="S232" s="115">
        <v>0</v>
      </c>
      <c r="T232" s="115">
        <v>0</v>
      </c>
      <c r="U232" s="115">
        <v>0</v>
      </c>
      <c r="V232" s="115">
        <v>0</v>
      </c>
      <c r="W232" s="115">
        <v>0</v>
      </c>
      <c r="X232" s="115">
        <v>0</v>
      </c>
      <c r="Y232" s="115">
        <v>0</v>
      </c>
      <c r="Z232" s="115">
        <v>0</v>
      </c>
      <c r="AA232" s="115">
        <v>0</v>
      </c>
      <c r="AB232" s="115">
        <v>0</v>
      </c>
      <c r="AC232" s="115">
        <v>0</v>
      </c>
      <c r="AD232" s="115">
        <v>0</v>
      </c>
      <c r="AE232" s="115">
        <v>0</v>
      </c>
      <c r="AF232" s="115">
        <v>0</v>
      </c>
      <c r="AG232" s="115">
        <v>0</v>
      </c>
      <c r="AH232" s="115">
        <v>0</v>
      </c>
      <c r="AI232" s="115">
        <v>0</v>
      </c>
      <c r="AJ232" s="115">
        <v>0</v>
      </c>
      <c r="AK232" s="115">
        <v>0</v>
      </c>
      <c r="AL232" s="115">
        <v>0</v>
      </c>
      <c r="AM232" s="115">
        <v>0</v>
      </c>
      <c r="AN232" s="115">
        <v>0</v>
      </c>
      <c r="AO232" s="115">
        <v>0</v>
      </c>
      <c r="AP232" s="115">
        <v>0</v>
      </c>
      <c r="AQ232" s="115">
        <v>0</v>
      </c>
      <c r="AR232" s="115">
        <v>0</v>
      </c>
      <c r="AS232" s="115">
        <v>0</v>
      </c>
      <c r="AT232" s="115">
        <v>0</v>
      </c>
      <c r="AU232" s="115">
        <v>0</v>
      </c>
      <c r="AV232" s="115">
        <v>0</v>
      </c>
      <c r="AW232" s="115">
        <v>0</v>
      </c>
      <c r="AX232" s="115">
        <v>0</v>
      </c>
      <c r="AY232" s="115">
        <v>0</v>
      </c>
    </row>
    <row r="233" spans="1:51" x14ac:dyDescent="0.2">
      <c r="A233" s="114"/>
      <c r="B233" s="132">
        <v>25</v>
      </c>
      <c r="C233" s="111">
        <v>0</v>
      </c>
      <c r="D233" s="115">
        <v>0</v>
      </c>
      <c r="E233" s="115">
        <v>0</v>
      </c>
      <c r="F233" s="115">
        <v>0</v>
      </c>
      <c r="G233" s="115">
        <v>0</v>
      </c>
      <c r="H233" s="115">
        <v>0</v>
      </c>
      <c r="I233" s="115">
        <v>0</v>
      </c>
      <c r="J233" s="115">
        <v>0</v>
      </c>
      <c r="K233" s="115">
        <v>0</v>
      </c>
      <c r="L233" s="115">
        <v>0</v>
      </c>
      <c r="M233" s="115">
        <v>0</v>
      </c>
      <c r="N233" s="115">
        <v>0</v>
      </c>
      <c r="O233" s="115">
        <v>0</v>
      </c>
      <c r="P233" s="115">
        <v>0</v>
      </c>
      <c r="Q233" s="115">
        <v>0</v>
      </c>
      <c r="R233" s="115">
        <v>0</v>
      </c>
      <c r="S233" s="115">
        <v>0</v>
      </c>
      <c r="T233" s="115">
        <v>0</v>
      </c>
      <c r="U233" s="115">
        <v>0</v>
      </c>
      <c r="V233" s="115">
        <v>0</v>
      </c>
      <c r="W233" s="115">
        <v>0</v>
      </c>
      <c r="X233" s="115">
        <v>0</v>
      </c>
      <c r="Y233" s="115">
        <v>0</v>
      </c>
      <c r="Z233" s="115">
        <v>0</v>
      </c>
      <c r="AA233" s="115">
        <v>0</v>
      </c>
      <c r="AB233" s="115">
        <v>0</v>
      </c>
      <c r="AC233" s="115">
        <v>0</v>
      </c>
      <c r="AD233" s="115">
        <v>0</v>
      </c>
      <c r="AE233" s="115">
        <v>0</v>
      </c>
      <c r="AF233" s="115">
        <v>0</v>
      </c>
      <c r="AG233" s="115">
        <v>0</v>
      </c>
      <c r="AH233" s="115">
        <v>0</v>
      </c>
      <c r="AI233" s="115">
        <v>0</v>
      </c>
      <c r="AJ233" s="115">
        <v>0</v>
      </c>
      <c r="AK233" s="115">
        <v>0</v>
      </c>
      <c r="AL233" s="115">
        <v>0</v>
      </c>
      <c r="AM233" s="115">
        <v>0</v>
      </c>
      <c r="AN233" s="115">
        <v>0</v>
      </c>
      <c r="AO233" s="115">
        <v>0</v>
      </c>
      <c r="AP233" s="115">
        <v>0</v>
      </c>
      <c r="AQ233" s="115">
        <v>0</v>
      </c>
      <c r="AR233" s="115">
        <v>0</v>
      </c>
      <c r="AS233" s="115">
        <v>0</v>
      </c>
      <c r="AT233" s="115">
        <v>0</v>
      </c>
      <c r="AU233" s="115">
        <v>0</v>
      </c>
      <c r="AV233" s="115">
        <v>0</v>
      </c>
      <c r="AW233" s="115">
        <v>0</v>
      </c>
      <c r="AX233" s="115">
        <v>0</v>
      </c>
      <c r="AY233" s="115">
        <v>0</v>
      </c>
    </row>
    <row r="234" spans="1:51" x14ac:dyDescent="0.2">
      <c r="A234" s="114"/>
      <c r="B234" s="132">
        <v>26</v>
      </c>
      <c r="C234" s="111">
        <v>0</v>
      </c>
      <c r="D234" s="115">
        <v>0</v>
      </c>
      <c r="E234" s="115">
        <v>0</v>
      </c>
      <c r="F234" s="115">
        <v>0</v>
      </c>
      <c r="G234" s="115">
        <v>0</v>
      </c>
      <c r="H234" s="115">
        <v>0</v>
      </c>
      <c r="I234" s="115">
        <v>0</v>
      </c>
      <c r="J234" s="115">
        <v>0</v>
      </c>
      <c r="K234" s="115">
        <v>0</v>
      </c>
      <c r="L234" s="115">
        <v>0</v>
      </c>
      <c r="M234" s="115">
        <v>0</v>
      </c>
      <c r="N234" s="115">
        <v>0</v>
      </c>
      <c r="O234" s="115">
        <v>0</v>
      </c>
      <c r="P234" s="115">
        <v>0</v>
      </c>
      <c r="Q234" s="115">
        <v>0</v>
      </c>
      <c r="R234" s="115">
        <v>0</v>
      </c>
      <c r="S234" s="115">
        <v>0</v>
      </c>
      <c r="T234" s="115">
        <v>0</v>
      </c>
      <c r="U234" s="115">
        <v>0</v>
      </c>
      <c r="V234" s="115">
        <v>0</v>
      </c>
      <c r="W234" s="115">
        <v>0</v>
      </c>
      <c r="X234" s="115">
        <v>0</v>
      </c>
      <c r="Y234" s="115">
        <v>0</v>
      </c>
      <c r="Z234" s="115">
        <v>0</v>
      </c>
      <c r="AA234" s="115">
        <v>0</v>
      </c>
      <c r="AB234" s="115">
        <v>0</v>
      </c>
      <c r="AC234" s="115">
        <v>0</v>
      </c>
      <c r="AD234" s="115">
        <v>0</v>
      </c>
      <c r="AE234" s="115">
        <v>0</v>
      </c>
      <c r="AF234" s="115">
        <v>0</v>
      </c>
      <c r="AG234" s="115">
        <v>0</v>
      </c>
      <c r="AH234" s="115">
        <v>0</v>
      </c>
      <c r="AI234" s="115">
        <v>0</v>
      </c>
      <c r="AJ234" s="115">
        <v>0</v>
      </c>
      <c r="AK234" s="115">
        <v>0</v>
      </c>
      <c r="AL234" s="115">
        <v>0</v>
      </c>
      <c r="AM234" s="115">
        <v>0</v>
      </c>
      <c r="AN234" s="115">
        <v>0</v>
      </c>
      <c r="AO234" s="115">
        <v>0</v>
      </c>
      <c r="AP234" s="115">
        <v>0</v>
      </c>
      <c r="AQ234" s="115">
        <v>0</v>
      </c>
      <c r="AR234" s="115">
        <v>0</v>
      </c>
      <c r="AS234" s="115">
        <v>0</v>
      </c>
      <c r="AT234" s="115">
        <v>0</v>
      </c>
      <c r="AU234" s="115">
        <v>0</v>
      </c>
      <c r="AV234" s="115">
        <v>0</v>
      </c>
      <c r="AW234" s="115">
        <v>0</v>
      </c>
      <c r="AX234" s="115">
        <v>0</v>
      </c>
      <c r="AY234" s="115">
        <v>0</v>
      </c>
    </row>
    <row r="235" spans="1:51" x14ac:dyDescent="0.2">
      <c r="A235" s="114"/>
      <c r="B235" s="132">
        <v>27</v>
      </c>
      <c r="C235" s="111">
        <v>0</v>
      </c>
      <c r="D235" s="115">
        <v>0</v>
      </c>
      <c r="E235" s="115">
        <v>0</v>
      </c>
      <c r="F235" s="115">
        <v>0</v>
      </c>
      <c r="G235" s="115">
        <v>0</v>
      </c>
      <c r="H235" s="115">
        <v>0</v>
      </c>
      <c r="I235" s="115">
        <v>0</v>
      </c>
      <c r="J235" s="115">
        <v>0</v>
      </c>
      <c r="K235" s="115">
        <v>0</v>
      </c>
      <c r="L235" s="115">
        <v>0</v>
      </c>
      <c r="M235" s="115">
        <v>0</v>
      </c>
      <c r="N235" s="115">
        <v>0</v>
      </c>
      <c r="O235" s="115">
        <v>0</v>
      </c>
      <c r="P235" s="115">
        <v>0</v>
      </c>
      <c r="Q235" s="115">
        <v>0</v>
      </c>
      <c r="R235" s="115">
        <v>0</v>
      </c>
      <c r="S235" s="115">
        <v>0</v>
      </c>
      <c r="T235" s="115">
        <v>0</v>
      </c>
      <c r="U235" s="115">
        <v>0</v>
      </c>
      <c r="V235" s="115">
        <v>0</v>
      </c>
      <c r="W235" s="115">
        <v>0</v>
      </c>
      <c r="X235" s="115">
        <v>0</v>
      </c>
      <c r="Y235" s="115">
        <v>0</v>
      </c>
      <c r="Z235" s="115">
        <v>0</v>
      </c>
      <c r="AA235" s="115">
        <v>0</v>
      </c>
      <c r="AB235" s="115">
        <v>0</v>
      </c>
      <c r="AC235" s="115">
        <v>0</v>
      </c>
      <c r="AD235" s="115">
        <v>0</v>
      </c>
      <c r="AE235" s="115">
        <v>0</v>
      </c>
      <c r="AF235" s="115">
        <v>0</v>
      </c>
      <c r="AG235" s="115">
        <v>0</v>
      </c>
      <c r="AH235" s="115">
        <v>0</v>
      </c>
      <c r="AI235" s="115">
        <v>0</v>
      </c>
      <c r="AJ235" s="115">
        <v>0</v>
      </c>
      <c r="AK235" s="115">
        <v>0</v>
      </c>
      <c r="AL235" s="115">
        <v>0</v>
      </c>
      <c r="AM235" s="115">
        <v>0</v>
      </c>
      <c r="AN235" s="115">
        <v>0</v>
      </c>
      <c r="AO235" s="115">
        <v>0</v>
      </c>
      <c r="AP235" s="115">
        <v>0</v>
      </c>
      <c r="AQ235" s="115">
        <v>0</v>
      </c>
      <c r="AR235" s="115">
        <v>0</v>
      </c>
      <c r="AS235" s="115">
        <v>0</v>
      </c>
      <c r="AT235" s="115">
        <v>0</v>
      </c>
      <c r="AU235" s="115">
        <v>0</v>
      </c>
      <c r="AV235" s="115">
        <v>0</v>
      </c>
      <c r="AW235" s="115">
        <v>0</v>
      </c>
      <c r="AX235" s="115">
        <v>0</v>
      </c>
      <c r="AY235" s="115">
        <v>0</v>
      </c>
    </row>
    <row r="236" spans="1:51" x14ac:dyDescent="0.2">
      <c r="A236" s="114"/>
      <c r="B236" s="132">
        <v>28</v>
      </c>
      <c r="C236" s="111">
        <v>0</v>
      </c>
      <c r="D236" s="115">
        <v>0</v>
      </c>
      <c r="E236" s="115">
        <v>0</v>
      </c>
      <c r="F236" s="115">
        <v>0</v>
      </c>
      <c r="G236" s="115">
        <v>0</v>
      </c>
      <c r="H236" s="115">
        <v>0</v>
      </c>
      <c r="I236" s="115">
        <v>0</v>
      </c>
      <c r="J236" s="115">
        <v>0</v>
      </c>
      <c r="K236" s="115">
        <v>0</v>
      </c>
      <c r="L236" s="115">
        <v>0</v>
      </c>
      <c r="M236" s="115">
        <v>0</v>
      </c>
      <c r="N236" s="115">
        <v>0</v>
      </c>
      <c r="O236" s="115">
        <v>0</v>
      </c>
      <c r="P236" s="115">
        <v>0</v>
      </c>
      <c r="Q236" s="115">
        <v>0</v>
      </c>
      <c r="R236" s="115">
        <v>0</v>
      </c>
      <c r="S236" s="115">
        <v>0</v>
      </c>
      <c r="T236" s="115">
        <v>0</v>
      </c>
      <c r="U236" s="115">
        <v>0</v>
      </c>
      <c r="V236" s="115">
        <v>0</v>
      </c>
      <c r="W236" s="115">
        <v>0</v>
      </c>
      <c r="X236" s="115">
        <v>0</v>
      </c>
      <c r="Y236" s="115">
        <v>0</v>
      </c>
      <c r="Z236" s="115">
        <v>0</v>
      </c>
      <c r="AA236" s="115">
        <v>0</v>
      </c>
      <c r="AB236" s="115">
        <v>0</v>
      </c>
      <c r="AC236" s="115">
        <v>0</v>
      </c>
      <c r="AD236" s="115">
        <v>0</v>
      </c>
      <c r="AE236" s="115">
        <v>0</v>
      </c>
      <c r="AF236" s="115">
        <v>0</v>
      </c>
      <c r="AG236" s="115">
        <v>0</v>
      </c>
      <c r="AH236" s="115">
        <v>0</v>
      </c>
      <c r="AI236" s="115">
        <v>0</v>
      </c>
      <c r="AJ236" s="115">
        <v>0</v>
      </c>
      <c r="AK236" s="115">
        <v>0</v>
      </c>
      <c r="AL236" s="115">
        <v>0</v>
      </c>
      <c r="AM236" s="115">
        <v>0</v>
      </c>
      <c r="AN236" s="115">
        <v>0</v>
      </c>
      <c r="AO236" s="115">
        <v>0</v>
      </c>
      <c r="AP236" s="115">
        <v>0</v>
      </c>
      <c r="AQ236" s="115">
        <v>0</v>
      </c>
      <c r="AR236" s="115">
        <v>0</v>
      </c>
      <c r="AS236" s="115">
        <v>0</v>
      </c>
      <c r="AT236" s="115">
        <v>0</v>
      </c>
      <c r="AU236" s="115">
        <v>0</v>
      </c>
      <c r="AV236" s="115">
        <v>0</v>
      </c>
      <c r="AW236" s="115">
        <v>0</v>
      </c>
      <c r="AX236" s="115">
        <v>0</v>
      </c>
      <c r="AY236" s="115">
        <v>0</v>
      </c>
    </row>
    <row r="237" spans="1:51" x14ac:dyDescent="0.2">
      <c r="A237" s="114"/>
      <c r="B237" s="132">
        <v>29</v>
      </c>
      <c r="C237" s="111">
        <v>0</v>
      </c>
      <c r="D237" s="115">
        <v>0</v>
      </c>
      <c r="E237" s="115">
        <v>0</v>
      </c>
      <c r="F237" s="115">
        <v>0</v>
      </c>
      <c r="G237" s="115">
        <v>0</v>
      </c>
      <c r="H237" s="115">
        <v>0</v>
      </c>
      <c r="I237" s="115">
        <v>0</v>
      </c>
      <c r="J237" s="115">
        <v>0</v>
      </c>
      <c r="K237" s="115">
        <v>0</v>
      </c>
      <c r="L237" s="115">
        <v>0</v>
      </c>
      <c r="M237" s="115">
        <v>0</v>
      </c>
      <c r="N237" s="115">
        <v>0</v>
      </c>
      <c r="O237" s="115">
        <v>0</v>
      </c>
      <c r="P237" s="115">
        <v>0</v>
      </c>
      <c r="Q237" s="115">
        <v>0</v>
      </c>
      <c r="R237" s="115">
        <v>0</v>
      </c>
      <c r="S237" s="115">
        <v>0</v>
      </c>
      <c r="T237" s="115">
        <v>0</v>
      </c>
      <c r="U237" s="115">
        <v>0</v>
      </c>
      <c r="V237" s="115">
        <v>0</v>
      </c>
      <c r="W237" s="115">
        <v>0</v>
      </c>
      <c r="X237" s="115">
        <v>0</v>
      </c>
      <c r="Y237" s="115">
        <v>0</v>
      </c>
      <c r="Z237" s="115">
        <v>0</v>
      </c>
      <c r="AA237" s="115">
        <v>0</v>
      </c>
      <c r="AB237" s="115">
        <v>0</v>
      </c>
      <c r="AC237" s="115">
        <v>0</v>
      </c>
      <c r="AD237" s="115">
        <v>0</v>
      </c>
      <c r="AE237" s="115">
        <v>0</v>
      </c>
      <c r="AF237" s="115">
        <v>0</v>
      </c>
      <c r="AG237" s="115">
        <v>0</v>
      </c>
      <c r="AH237" s="115">
        <v>0</v>
      </c>
      <c r="AI237" s="115">
        <v>0</v>
      </c>
      <c r="AJ237" s="115">
        <v>0</v>
      </c>
      <c r="AK237" s="115">
        <v>0</v>
      </c>
      <c r="AL237" s="115">
        <v>0</v>
      </c>
      <c r="AM237" s="115">
        <v>0</v>
      </c>
      <c r="AN237" s="115">
        <v>0</v>
      </c>
      <c r="AO237" s="115">
        <v>0</v>
      </c>
      <c r="AP237" s="115">
        <v>0</v>
      </c>
      <c r="AQ237" s="115">
        <v>0</v>
      </c>
      <c r="AR237" s="115">
        <v>0</v>
      </c>
      <c r="AS237" s="115">
        <v>0</v>
      </c>
      <c r="AT237" s="115">
        <v>0</v>
      </c>
      <c r="AU237" s="115">
        <v>0</v>
      </c>
      <c r="AV237" s="115">
        <v>0</v>
      </c>
      <c r="AW237" s="115">
        <v>0</v>
      </c>
      <c r="AX237" s="115">
        <v>0</v>
      </c>
      <c r="AY237" s="115">
        <v>0</v>
      </c>
    </row>
    <row r="238" spans="1:51" x14ac:dyDescent="0.2">
      <c r="A238" s="114"/>
      <c r="B238" s="132">
        <v>30</v>
      </c>
      <c r="C238" s="111">
        <v>0</v>
      </c>
      <c r="D238" s="115">
        <v>0</v>
      </c>
      <c r="E238" s="115">
        <v>0</v>
      </c>
      <c r="F238" s="115">
        <v>0</v>
      </c>
      <c r="G238" s="115">
        <v>0</v>
      </c>
      <c r="H238" s="115">
        <v>0</v>
      </c>
      <c r="I238" s="115">
        <v>0</v>
      </c>
      <c r="J238" s="115">
        <v>0</v>
      </c>
      <c r="K238" s="115">
        <v>0</v>
      </c>
      <c r="L238" s="115">
        <v>0</v>
      </c>
      <c r="M238" s="115">
        <v>0</v>
      </c>
      <c r="N238" s="115">
        <v>0</v>
      </c>
      <c r="O238" s="115">
        <v>0</v>
      </c>
      <c r="P238" s="115">
        <v>0</v>
      </c>
      <c r="Q238" s="115">
        <v>0</v>
      </c>
      <c r="R238" s="115">
        <v>0</v>
      </c>
      <c r="S238" s="115">
        <v>0</v>
      </c>
      <c r="T238" s="115">
        <v>0</v>
      </c>
      <c r="U238" s="115">
        <v>0</v>
      </c>
      <c r="V238" s="115">
        <v>0</v>
      </c>
      <c r="W238" s="115">
        <v>0</v>
      </c>
      <c r="X238" s="115">
        <v>0</v>
      </c>
      <c r="Y238" s="115">
        <v>0</v>
      </c>
      <c r="Z238" s="115">
        <v>0</v>
      </c>
      <c r="AA238" s="115">
        <v>0</v>
      </c>
      <c r="AB238" s="115">
        <v>0</v>
      </c>
      <c r="AC238" s="115">
        <v>0</v>
      </c>
      <c r="AD238" s="115">
        <v>0</v>
      </c>
      <c r="AE238" s="115">
        <v>0</v>
      </c>
      <c r="AF238" s="115">
        <v>0</v>
      </c>
      <c r="AG238" s="115">
        <v>0</v>
      </c>
      <c r="AH238" s="115">
        <v>0</v>
      </c>
      <c r="AI238" s="115">
        <v>0</v>
      </c>
      <c r="AJ238" s="115">
        <v>0</v>
      </c>
      <c r="AK238" s="115">
        <v>0</v>
      </c>
      <c r="AL238" s="115">
        <v>0</v>
      </c>
      <c r="AM238" s="115">
        <v>0</v>
      </c>
      <c r="AN238" s="115">
        <v>0</v>
      </c>
      <c r="AO238" s="115">
        <v>0</v>
      </c>
      <c r="AP238" s="115">
        <v>0</v>
      </c>
      <c r="AQ238" s="115">
        <v>0</v>
      </c>
      <c r="AR238" s="115">
        <v>0</v>
      </c>
      <c r="AS238" s="115">
        <v>0</v>
      </c>
      <c r="AT238" s="115">
        <v>0</v>
      </c>
      <c r="AU238" s="115">
        <v>0</v>
      </c>
      <c r="AV238" s="115">
        <v>0</v>
      </c>
      <c r="AW238" s="115">
        <v>0</v>
      </c>
      <c r="AX238" s="115">
        <v>0</v>
      </c>
      <c r="AY238" s="115">
        <v>0</v>
      </c>
    </row>
    <row r="239" spans="1:51" x14ac:dyDescent="0.2">
      <c r="A239" s="114"/>
      <c r="B239" s="132">
        <v>31</v>
      </c>
      <c r="C239" s="111">
        <v>0</v>
      </c>
      <c r="D239" s="115">
        <v>0</v>
      </c>
      <c r="E239" s="115">
        <v>0</v>
      </c>
      <c r="F239" s="115">
        <v>0</v>
      </c>
      <c r="G239" s="115">
        <v>0</v>
      </c>
      <c r="H239" s="115">
        <v>0</v>
      </c>
      <c r="I239" s="115">
        <v>0</v>
      </c>
      <c r="J239" s="115">
        <v>0</v>
      </c>
      <c r="K239" s="115">
        <v>0</v>
      </c>
      <c r="L239" s="115">
        <v>0</v>
      </c>
      <c r="M239" s="115">
        <v>0</v>
      </c>
      <c r="N239" s="115">
        <v>0</v>
      </c>
      <c r="O239" s="115">
        <v>0</v>
      </c>
      <c r="P239" s="115">
        <v>0</v>
      </c>
      <c r="Q239" s="115">
        <v>0</v>
      </c>
      <c r="R239" s="115">
        <v>0</v>
      </c>
      <c r="S239" s="115">
        <v>0</v>
      </c>
      <c r="T239" s="115">
        <v>0</v>
      </c>
      <c r="U239" s="115">
        <v>0</v>
      </c>
      <c r="V239" s="115">
        <v>0</v>
      </c>
      <c r="W239" s="115">
        <v>0</v>
      </c>
      <c r="X239" s="115">
        <v>0</v>
      </c>
      <c r="Y239" s="115">
        <v>0</v>
      </c>
      <c r="Z239" s="115">
        <v>0</v>
      </c>
      <c r="AA239" s="115">
        <v>0</v>
      </c>
      <c r="AB239" s="115">
        <v>0</v>
      </c>
      <c r="AC239" s="115">
        <v>0</v>
      </c>
      <c r="AD239" s="115">
        <v>0</v>
      </c>
      <c r="AE239" s="115">
        <v>0</v>
      </c>
      <c r="AF239" s="115">
        <v>0</v>
      </c>
      <c r="AG239" s="115">
        <v>0</v>
      </c>
      <c r="AH239" s="115">
        <v>0</v>
      </c>
      <c r="AI239" s="115">
        <v>0</v>
      </c>
      <c r="AJ239" s="115">
        <v>0</v>
      </c>
      <c r="AK239" s="115">
        <v>0</v>
      </c>
      <c r="AL239" s="115">
        <v>0</v>
      </c>
      <c r="AM239" s="115">
        <v>0</v>
      </c>
      <c r="AN239" s="115">
        <v>0</v>
      </c>
      <c r="AO239" s="115">
        <v>0</v>
      </c>
      <c r="AP239" s="115">
        <v>0</v>
      </c>
      <c r="AQ239" s="115">
        <v>0</v>
      </c>
      <c r="AR239" s="115">
        <v>0</v>
      </c>
      <c r="AS239" s="115">
        <v>0</v>
      </c>
      <c r="AT239" s="115">
        <v>0</v>
      </c>
      <c r="AU239" s="115">
        <v>0</v>
      </c>
      <c r="AV239" s="115">
        <v>0</v>
      </c>
      <c r="AW239" s="115">
        <v>0</v>
      </c>
      <c r="AX239" s="115">
        <v>0</v>
      </c>
      <c r="AY239" s="115">
        <v>0</v>
      </c>
    </row>
    <row r="240" spans="1:51" x14ac:dyDescent="0.2">
      <c r="A240" s="114"/>
      <c r="B240" s="132">
        <v>32</v>
      </c>
      <c r="C240" s="111">
        <v>0</v>
      </c>
      <c r="D240" s="115">
        <v>0</v>
      </c>
      <c r="E240" s="115">
        <v>0</v>
      </c>
      <c r="F240" s="115">
        <v>0</v>
      </c>
      <c r="G240" s="115">
        <v>0</v>
      </c>
      <c r="H240" s="115">
        <v>0</v>
      </c>
      <c r="I240" s="115">
        <v>0</v>
      </c>
      <c r="J240" s="115">
        <v>0</v>
      </c>
      <c r="K240" s="115">
        <v>0</v>
      </c>
      <c r="L240" s="115">
        <v>0</v>
      </c>
      <c r="M240" s="115">
        <v>0</v>
      </c>
      <c r="N240" s="115">
        <v>0</v>
      </c>
      <c r="O240" s="115">
        <v>0</v>
      </c>
      <c r="P240" s="115">
        <v>0</v>
      </c>
      <c r="Q240" s="115">
        <v>0</v>
      </c>
      <c r="R240" s="115">
        <v>0</v>
      </c>
      <c r="S240" s="115">
        <v>0</v>
      </c>
      <c r="T240" s="115">
        <v>0</v>
      </c>
      <c r="U240" s="115">
        <v>0</v>
      </c>
      <c r="V240" s="115">
        <v>0</v>
      </c>
      <c r="W240" s="115">
        <v>0</v>
      </c>
      <c r="X240" s="115">
        <v>0</v>
      </c>
      <c r="Y240" s="115">
        <v>0</v>
      </c>
      <c r="Z240" s="115">
        <v>0</v>
      </c>
      <c r="AA240" s="115">
        <v>0</v>
      </c>
      <c r="AB240" s="115">
        <v>0</v>
      </c>
      <c r="AC240" s="115">
        <v>0</v>
      </c>
      <c r="AD240" s="115">
        <v>0</v>
      </c>
      <c r="AE240" s="115">
        <v>0</v>
      </c>
      <c r="AF240" s="115">
        <v>0</v>
      </c>
      <c r="AG240" s="115">
        <v>0</v>
      </c>
      <c r="AH240" s="115">
        <v>0</v>
      </c>
      <c r="AI240" s="115">
        <v>0</v>
      </c>
      <c r="AJ240" s="115">
        <v>0</v>
      </c>
      <c r="AK240" s="115">
        <v>0</v>
      </c>
      <c r="AL240" s="115">
        <v>0</v>
      </c>
      <c r="AM240" s="115">
        <v>0</v>
      </c>
      <c r="AN240" s="115">
        <v>0</v>
      </c>
      <c r="AO240" s="115">
        <v>0</v>
      </c>
      <c r="AP240" s="115">
        <v>0</v>
      </c>
      <c r="AQ240" s="115">
        <v>0</v>
      </c>
      <c r="AR240" s="115">
        <v>0</v>
      </c>
      <c r="AS240" s="115">
        <v>0</v>
      </c>
      <c r="AT240" s="115">
        <v>0</v>
      </c>
      <c r="AU240" s="115">
        <v>0</v>
      </c>
      <c r="AV240" s="115">
        <v>0</v>
      </c>
      <c r="AW240" s="115">
        <v>0</v>
      </c>
      <c r="AX240" s="115">
        <v>0</v>
      </c>
      <c r="AY240" s="115">
        <v>0</v>
      </c>
    </row>
    <row r="241" spans="1:51" x14ac:dyDescent="0.2">
      <c r="A241" s="114"/>
      <c r="B241" s="132">
        <v>33</v>
      </c>
      <c r="C241" s="111">
        <v>0</v>
      </c>
      <c r="D241" s="115">
        <v>0</v>
      </c>
      <c r="E241" s="115">
        <v>0</v>
      </c>
      <c r="F241" s="115">
        <v>0</v>
      </c>
      <c r="G241" s="115">
        <v>0</v>
      </c>
      <c r="H241" s="115">
        <v>0</v>
      </c>
      <c r="I241" s="115">
        <v>0</v>
      </c>
      <c r="J241" s="115">
        <v>0</v>
      </c>
      <c r="K241" s="115">
        <v>0</v>
      </c>
      <c r="L241" s="115">
        <v>0</v>
      </c>
      <c r="M241" s="115">
        <v>0</v>
      </c>
      <c r="N241" s="115">
        <v>0</v>
      </c>
      <c r="O241" s="115">
        <v>0</v>
      </c>
      <c r="P241" s="115">
        <v>0</v>
      </c>
      <c r="Q241" s="115">
        <v>0</v>
      </c>
      <c r="R241" s="115">
        <v>0</v>
      </c>
      <c r="S241" s="115">
        <v>0</v>
      </c>
      <c r="T241" s="115">
        <v>0</v>
      </c>
      <c r="U241" s="115">
        <v>0</v>
      </c>
      <c r="V241" s="115">
        <v>0</v>
      </c>
      <c r="W241" s="115">
        <v>0</v>
      </c>
      <c r="X241" s="115">
        <v>0</v>
      </c>
      <c r="Y241" s="115">
        <v>0</v>
      </c>
      <c r="Z241" s="115">
        <v>0</v>
      </c>
      <c r="AA241" s="115">
        <v>0</v>
      </c>
      <c r="AB241" s="115">
        <v>0</v>
      </c>
      <c r="AC241" s="115">
        <v>0</v>
      </c>
      <c r="AD241" s="115">
        <v>0</v>
      </c>
      <c r="AE241" s="115">
        <v>0</v>
      </c>
      <c r="AF241" s="115">
        <v>0</v>
      </c>
      <c r="AG241" s="115">
        <v>0</v>
      </c>
      <c r="AH241" s="115">
        <v>0</v>
      </c>
      <c r="AI241" s="115">
        <v>0</v>
      </c>
      <c r="AJ241" s="115">
        <v>0</v>
      </c>
      <c r="AK241" s="115">
        <v>0</v>
      </c>
      <c r="AL241" s="115">
        <v>0</v>
      </c>
      <c r="AM241" s="115">
        <v>0</v>
      </c>
      <c r="AN241" s="115">
        <v>0</v>
      </c>
      <c r="AO241" s="115">
        <v>0</v>
      </c>
      <c r="AP241" s="115">
        <v>0</v>
      </c>
      <c r="AQ241" s="115">
        <v>0</v>
      </c>
      <c r="AR241" s="115">
        <v>0</v>
      </c>
      <c r="AS241" s="115">
        <v>0</v>
      </c>
      <c r="AT241" s="115">
        <v>0</v>
      </c>
      <c r="AU241" s="115">
        <v>0</v>
      </c>
      <c r="AV241" s="115">
        <v>0</v>
      </c>
      <c r="AW241" s="115">
        <v>0</v>
      </c>
      <c r="AX241" s="115">
        <v>0</v>
      </c>
      <c r="AY241" s="115">
        <v>0</v>
      </c>
    </row>
    <row r="242" spans="1:51" x14ac:dyDescent="0.2">
      <c r="A242" s="114"/>
      <c r="B242" s="132">
        <v>34</v>
      </c>
      <c r="C242" s="111">
        <v>0</v>
      </c>
      <c r="D242" s="115">
        <v>0</v>
      </c>
      <c r="E242" s="115">
        <v>0</v>
      </c>
      <c r="F242" s="115">
        <v>0</v>
      </c>
      <c r="G242" s="115">
        <v>0</v>
      </c>
      <c r="H242" s="115">
        <v>0</v>
      </c>
      <c r="I242" s="115">
        <v>0</v>
      </c>
      <c r="J242" s="115">
        <v>0</v>
      </c>
      <c r="K242" s="115">
        <v>0</v>
      </c>
      <c r="L242" s="115">
        <v>0</v>
      </c>
      <c r="M242" s="115">
        <v>0</v>
      </c>
      <c r="N242" s="115">
        <v>0</v>
      </c>
      <c r="O242" s="115">
        <v>0</v>
      </c>
      <c r="P242" s="115">
        <v>0</v>
      </c>
      <c r="Q242" s="115">
        <v>0</v>
      </c>
      <c r="R242" s="115">
        <v>0</v>
      </c>
      <c r="S242" s="115">
        <v>0</v>
      </c>
      <c r="T242" s="115">
        <v>0</v>
      </c>
      <c r="U242" s="115">
        <v>0</v>
      </c>
      <c r="V242" s="115">
        <v>0</v>
      </c>
      <c r="W242" s="115">
        <v>0</v>
      </c>
      <c r="X242" s="115">
        <v>0</v>
      </c>
      <c r="Y242" s="115">
        <v>0</v>
      </c>
      <c r="Z242" s="115">
        <v>0</v>
      </c>
      <c r="AA242" s="115">
        <v>0</v>
      </c>
      <c r="AB242" s="115">
        <v>0</v>
      </c>
      <c r="AC242" s="115">
        <v>0</v>
      </c>
      <c r="AD242" s="115">
        <v>0</v>
      </c>
      <c r="AE242" s="115">
        <v>0</v>
      </c>
      <c r="AF242" s="115">
        <v>0</v>
      </c>
      <c r="AG242" s="115">
        <v>0</v>
      </c>
      <c r="AH242" s="115">
        <v>0</v>
      </c>
      <c r="AI242" s="115">
        <v>0</v>
      </c>
      <c r="AJ242" s="115">
        <v>0</v>
      </c>
      <c r="AK242" s="115">
        <v>0</v>
      </c>
      <c r="AL242" s="115">
        <v>0</v>
      </c>
      <c r="AM242" s="115">
        <v>0</v>
      </c>
      <c r="AN242" s="115">
        <v>0</v>
      </c>
      <c r="AO242" s="115">
        <v>0</v>
      </c>
      <c r="AP242" s="115">
        <v>0</v>
      </c>
      <c r="AQ242" s="115">
        <v>0</v>
      </c>
      <c r="AR242" s="115">
        <v>0</v>
      </c>
      <c r="AS242" s="115">
        <v>0</v>
      </c>
      <c r="AT242" s="115">
        <v>0</v>
      </c>
      <c r="AU242" s="115">
        <v>0</v>
      </c>
      <c r="AV242" s="115">
        <v>0</v>
      </c>
      <c r="AW242" s="115">
        <v>0</v>
      </c>
      <c r="AX242" s="115">
        <v>0</v>
      </c>
      <c r="AY242" s="115">
        <v>0</v>
      </c>
    </row>
    <row r="243" spans="1:51" x14ac:dyDescent="0.2">
      <c r="A243" s="114"/>
      <c r="B243" s="132">
        <v>35</v>
      </c>
      <c r="C243" s="111">
        <v>0</v>
      </c>
      <c r="D243" s="115">
        <v>0</v>
      </c>
      <c r="E243" s="115">
        <v>0</v>
      </c>
      <c r="F243" s="115">
        <v>0</v>
      </c>
      <c r="G243" s="115">
        <v>0</v>
      </c>
      <c r="H243" s="115">
        <v>0</v>
      </c>
      <c r="I243" s="115">
        <v>0</v>
      </c>
      <c r="J243" s="115">
        <v>0</v>
      </c>
      <c r="K243" s="115">
        <v>0</v>
      </c>
      <c r="L243" s="115">
        <v>0</v>
      </c>
      <c r="M243" s="115">
        <v>0</v>
      </c>
      <c r="N243" s="115">
        <v>0</v>
      </c>
      <c r="O243" s="115">
        <v>0</v>
      </c>
      <c r="P243" s="115">
        <v>0</v>
      </c>
      <c r="Q243" s="115">
        <v>0</v>
      </c>
      <c r="R243" s="115">
        <v>0</v>
      </c>
      <c r="S243" s="115">
        <v>0</v>
      </c>
      <c r="T243" s="115">
        <v>0</v>
      </c>
      <c r="U243" s="115">
        <v>0</v>
      </c>
      <c r="V243" s="115">
        <v>0</v>
      </c>
      <c r="W243" s="115">
        <v>0</v>
      </c>
      <c r="X243" s="115">
        <v>0</v>
      </c>
      <c r="Y243" s="115">
        <v>0</v>
      </c>
      <c r="Z243" s="115">
        <v>0</v>
      </c>
      <c r="AA243" s="115">
        <v>0</v>
      </c>
      <c r="AB243" s="115">
        <v>0</v>
      </c>
      <c r="AC243" s="115">
        <v>0</v>
      </c>
      <c r="AD243" s="115">
        <v>0</v>
      </c>
      <c r="AE243" s="115">
        <v>0</v>
      </c>
      <c r="AF243" s="115">
        <v>0</v>
      </c>
      <c r="AG243" s="115">
        <v>0</v>
      </c>
      <c r="AH243" s="115">
        <v>0</v>
      </c>
      <c r="AI243" s="115">
        <v>0</v>
      </c>
      <c r="AJ243" s="115">
        <v>0</v>
      </c>
      <c r="AK243" s="115">
        <v>0</v>
      </c>
      <c r="AL243" s="115">
        <v>0</v>
      </c>
      <c r="AM243" s="115">
        <v>0</v>
      </c>
      <c r="AN243" s="115">
        <v>0</v>
      </c>
      <c r="AO243" s="115">
        <v>0</v>
      </c>
      <c r="AP243" s="115">
        <v>0</v>
      </c>
      <c r="AQ243" s="115">
        <v>0</v>
      </c>
      <c r="AR243" s="115">
        <v>0</v>
      </c>
      <c r="AS243" s="115">
        <v>0</v>
      </c>
      <c r="AT243" s="115">
        <v>0</v>
      </c>
      <c r="AU243" s="115">
        <v>0</v>
      </c>
      <c r="AV243" s="115">
        <v>0</v>
      </c>
      <c r="AW243" s="115">
        <v>0</v>
      </c>
      <c r="AX243" s="115">
        <v>0</v>
      </c>
      <c r="AY243" s="115">
        <v>0</v>
      </c>
    </row>
    <row r="244" spans="1:51" x14ac:dyDescent="0.2">
      <c r="A244" s="114"/>
      <c r="B244" s="132">
        <v>36</v>
      </c>
      <c r="C244" s="111">
        <v>0</v>
      </c>
      <c r="D244" s="115">
        <v>0</v>
      </c>
      <c r="E244" s="115">
        <v>0</v>
      </c>
      <c r="F244" s="115">
        <v>0</v>
      </c>
      <c r="G244" s="115">
        <v>0</v>
      </c>
      <c r="H244" s="115">
        <v>0</v>
      </c>
      <c r="I244" s="115">
        <v>0</v>
      </c>
      <c r="J244" s="115">
        <v>0</v>
      </c>
      <c r="K244" s="115">
        <v>0</v>
      </c>
      <c r="L244" s="115">
        <v>0</v>
      </c>
      <c r="M244" s="115">
        <v>0</v>
      </c>
      <c r="N244" s="115">
        <v>0</v>
      </c>
      <c r="O244" s="115">
        <v>0</v>
      </c>
      <c r="P244" s="115">
        <v>0</v>
      </c>
      <c r="Q244" s="115">
        <v>0</v>
      </c>
      <c r="R244" s="115">
        <v>0</v>
      </c>
      <c r="S244" s="115">
        <v>0</v>
      </c>
      <c r="T244" s="115">
        <v>0</v>
      </c>
      <c r="U244" s="115">
        <v>0</v>
      </c>
      <c r="V244" s="115">
        <v>0</v>
      </c>
      <c r="W244" s="115">
        <v>0</v>
      </c>
      <c r="X244" s="115">
        <v>0</v>
      </c>
      <c r="Y244" s="115">
        <v>0</v>
      </c>
      <c r="Z244" s="115">
        <v>0</v>
      </c>
      <c r="AA244" s="115">
        <v>0</v>
      </c>
      <c r="AB244" s="115">
        <v>0</v>
      </c>
      <c r="AC244" s="115">
        <v>0</v>
      </c>
      <c r="AD244" s="115">
        <v>0</v>
      </c>
      <c r="AE244" s="115">
        <v>0</v>
      </c>
      <c r="AF244" s="115">
        <v>0</v>
      </c>
      <c r="AG244" s="115">
        <v>0</v>
      </c>
      <c r="AH244" s="115">
        <v>0</v>
      </c>
      <c r="AI244" s="115">
        <v>0</v>
      </c>
      <c r="AJ244" s="115">
        <v>0</v>
      </c>
      <c r="AK244" s="115">
        <v>0</v>
      </c>
      <c r="AL244" s="115">
        <v>0</v>
      </c>
      <c r="AM244" s="115">
        <v>0</v>
      </c>
      <c r="AN244" s="115">
        <v>0</v>
      </c>
      <c r="AO244" s="115">
        <v>0</v>
      </c>
      <c r="AP244" s="115">
        <v>0</v>
      </c>
      <c r="AQ244" s="115">
        <v>0</v>
      </c>
      <c r="AR244" s="115">
        <v>0</v>
      </c>
      <c r="AS244" s="115">
        <v>0</v>
      </c>
      <c r="AT244" s="115">
        <v>0</v>
      </c>
      <c r="AU244" s="115">
        <v>0</v>
      </c>
      <c r="AV244" s="115">
        <v>0</v>
      </c>
      <c r="AW244" s="115">
        <v>0</v>
      </c>
      <c r="AX244" s="115">
        <v>0</v>
      </c>
      <c r="AY244" s="115">
        <v>0</v>
      </c>
    </row>
    <row r="245" spans="1:51" x14ac:dyDescent="0.2">
      <c r="A245" s="114"/>
      <c r="B245" s="135">
        <v>37</v>
      </c>
      <c r="C245" s="111">
        <v>0</v>
      </c>
      <c r="D245" s="115">
        <v>0</v>
      </c>
      <c r="E245" s="115">
        <v>0</v>
      </c>
      <c r="F245" s="115">
        <v>0</v>
      </c>
      <c r="G245" s="115">
        <v>0</v>
      </c>
      <c r="H245" s="115">
        <v>0</v>
      </c>
      <c r="I245" s="115">
        <v>0</v>
      </c>
      <c r="J245" s="115">
        <v>0</v>
      </c>
      <c r="K245" s="115">
        <v>0</v>
      </c>
      <c r="L245" s="115">
        <v>0</v>
      </c>
      <c r="M245" s="115">
        <v>0</v>
      </c>
      <c r="N245" s="115">
        <v>0</v>
      </c>
      <c r="O245" s="115">
        <v>0</v>
      </c>
      <c r="P245" s="115">
        <v>0</v>
      </c>
      <c r="Q245" s="115">
        <v>0</v>
      </c>
      <c r="R245" s="115">
        <v>0</v>
      </c>
      <c r="S245" s="115">
        <v>0</v>
      </c>
      <c r="T245" s="115">
        <v>0</v>
      </c>
      <c r="U245" s="115">
        <v>0</v>
      </c>
      <c r="V245" s="115">
        <v>0</v>
      </c>
      <c r="W245" s="115">
        <v>0</v>
      </c>
      <c r="X245" s="115">
        <v>0</v>
      </c>
      <c r="Y245" s="115">
        <v>0</v>
      </c>
      <c r="Z245" s="115">
        <v>0</v>
      </c>
      <c r="AA245" s="115">
        <v>0</v>
      </c>
      <c r="AB245" s="115">
        <v>0</v>
      </c>
      <c r="AC245" s="115">
        <v>0</v>
      </c>
      <c r="AD245" s="115">
        <v>0</v>
      </c>
      <c r="AE245" s="115">
        <v>0</v>
      </c>
      <c r="AF245" s="115">
        <v>0</v>
      </c>
      <c r="AG245" s="115">
        <v>0</v>
      </c>
      <c r="AH245" s="115">
        <v>0</v>
      </c>
      <c r="AI245" s="115">
        <v>0</v>
      </c>
      <c r="AJ245" s="115">
        <v>0</v>
      </c>
      <c r="AK245" s="115">
        <v>0</v>
      </c>
      <c r="AL245" s="115">
        <v>0</v>
      </c>
      <c r="AM245" s="115">
        <v>0</v>
      </c>
      <c r="AN245" s="115">
        <v>0</v>
      </c>
      <c r="AO245" s="115">
        <v>0</v>
      </c>
      <c r="AP245" s="115">
        <v>0</v>
      </c>
      <c r="AQ245" s="115">
        <v>0</v>
      </c>
      <c r="AR245" s="115">
        <v>0</v>
      </c>
      <c r="AS245" s="115">
        <v>0</v>
      </c>
      <c r="AT245" s="115">
        <v>0</v>
      </c>
      <c r="AU245" s="115">
        <v>0</v>
      </c>
      <c r="AV245" s="115">
        <v>0</v>
      </c>
      <c r="AW245" s="115">
        <v>0</v>
      </c>
      <c r="AX245" s="115">
        <v>0</v>
      </c>
      <c r="AY245" s="115">
        <v>0</v>
      </c>
    </row>
    <row r="246" spans="1:51" x14ac:dyDescent="0.2">
      <c r="A246" s="114"/>
      <c r="B246" s="135">
        <v>38</v>
      </c>
      <c r="C246" s="111">
        <v>0</v>
      </c>
      <c r="D246" s="115">
        <v>0</v>
      </c>
      <c r="E246" s="115">
        <v>0</v>
      </c>
      <c r="F246" s="115">
        <v>0</v>
      </c>
      <c r="G246" s="115">
        <v>0</v>
      </c>
      <c r="H246" s="115">
        <v>0</v>
      </c>
      <c r="I246" s="115">
        <v>0</v>
      </c>
      <c r="J246" s="115">
        <v>0</v>
      </c>
      <c r="K246" s="115">
        <v>0</v>
      </c>
      <c r="L246" s="115">
        <v>0</v>
      </c>
      <c r="M246" s="115">
        <v>0</v>
      </c>
      <c r="N246" s="115">
        <v>0</v>
      </c>
      <c r="O246" s="115">
        <v>0</v>
      </c>
      <c r="P246" s="115">
        <v>0</v>
      </c>
      <c r="Q246" s="115">
        <v>0</v>
      </c>
      <c r="R246" s="115">
        <v>0</v>
      </c>
      <c r="S246" s="115">
        <v>0</v>
      </c>
      <c r="T246" s="115">
        <v>0</v>
      </c>
      <c r="U246" s="115">
        <v>0</v>
      </c>
      <c r="V246" s="115">
        <v>0</v>
      </c>
      <c r="W246" s="115">
        <v>0</v>
      </c>
      <c r="X246" s="115">
        <v>0</v>
      </c>
      <c r="Y246" s="115">
        <v>0</v>
      </c>
      <c r="Z246" s="115">
        <v>0</v>
      </c>
      <c r="AA246" s="115">
        <v>0</v>
      </c>
      <c r="AB246" s="115">
        <v>0</v>
      </c>
      <c r="AC246" s="115">
        <v>0</v>
      </c>
      <c r="AD246" s="115">
        <v>0</v>
      </c>
      <c r="AE246" s="115">
        <v>0</v>
      </c>
      <c r="AF246" s="115">
        <v>0</v>
      </c>
      <c r="AG246" s="115">
        <v>0</v>
      </c>
      <c r="AH246" s="115">
        <v>0</v>
      </c>
      <c r="AI246" s="115">
        <v>0</v>
      </c>
      <c r="AJ246" s="115">
        <v>0</v>
      </c>
      <c r="AK246" s="115">
        <v>0</v>
      </c>
      <c r="AL246" s="115">
        <v>0</v>
      </c>
      <c r="AM246" s="115">
        <v>0</v>
      </c>
      <c r="AN246" s="115">
        <v>0</v>
      </c>
      <c r="AO246" s="115">
        <v>0</v>
      </c>
      <c r="AP246" s="115">
        <v>0</v>
      </c>
      <c r="AQ246" s="115">
        <v>0</v>
      </c>
      <c r="AR246" s="115">
        <v>0</v>
      </c>
      <c r="AS246" s="115">
        <v>0</v>
      </c>
      <c r="AT246" s="115">
        <v>0</v>
      </c>
      <c r="AU246" s="115">
        <v>0</v>
      </c>
      <c r="AV246" s="115">
        <v>0</v>
      </c>
      <c r="AW246" s="115">
        <v>0</v>
      </c>
      <c r="AX246" s="115">
        <v>0</v>
      </c>
      <c r="AY246" s="115">
        <v>0</v>
      </c>
    </row>
    <row r="247" spans="1:51" x14ac:dyDescent="0.2">
      <c r="A247" s="114"/>
      <c r="B247" s="135">
        <v>39</v>
      </c>
      <c r="C247" s="111">
        <v>0</v>
      </c>
      <c r="D247" s="115">
        <v>0</v>
      </c>
      <c r="E247" s="115">
        <v>0</v>
      </c>
      <c r="F247" s="115">
        <v>0</v>
      </c>
      <c r="G247" s="115">
        <v>0</v>
      </c>
      <c r="H247" s="115">
        <v>0</v>
      </c>
      <c r="I247" s="115">
        <v>0</v>
      </c>
      <c r="J247" s="115">
        <v>0</v>
      </c>
      <c r="K247" s="115">
        <v>0</v>
      </c>
      <c r="L247" s="115">
        <v>0</v>
      </c>
      <c r="M247" s="115">
        <v>0</v>
      </c>
      <c r="N247" s="115">
        <v>0</v>
      </c>
      <c r="O247" s="115">
        <v>0</v>
      </c>
      <c r="P247" s="115">
        <v>0</v>
      </c>
      <c r="Q247" s="115">
        <v>0</v>
      </c>
      <c r="R247" s="115">
        <v>0</v>
      </c>
      <c r="S247" s="115">
        <v>0</v>
      </c>
      <c r="T247" s="115">
        <v>0</v>
      </c>
      <c r="U247" s="115">
        <v>0</v>
      </c>
      <c r="V247" s="115">
        <v>0</v>
      </c>
      <c r="W247" s="115">
        <v>0</v>
      </c>
      <c r="X247" s="115">
        <v>0</v>
      </c>
      <c r="Y247" s="115">
        <v>0</v>
      </c>
      <c r="Z247" s="115">
        <v>0</v>
      </c>
      <c r="AA247" s="115">
        <v>0</v>
      </c>
      <c r="AB247" s="115">
        <v>0</v>
      </c>
      <c r="AC247" s="115">
        <v>0</v>
      </c>
      <c r="AD247" s="115">
        <v>0</v>
      </c>
      <c r="AE247" s="115">
        <v>0</v>
      </c>
      <c r="AF247" s="115">
        <v>0</v>
      </c>
      <c r="AG247" s="115">
        <v>0</v>
      </c>
      <c r="AH247" s="115">
        <v>0</v>
      </c>
      <c r="AI247" s="115">
        <v>0</v>
      </c>
      <c r="AJ247" s="115">
        <v>0</v>
      </c>
      <c r="AK247" s="115">
        <v>0</v>
      </c>
      <c r="AL247" s="115">
        <v>0</v>
      </c>
      <c r="AM247" s="115">
        <v>0</v>
      </c>
      <c r="AN247" s="115">
        <v>0</v>
      </c>
      <c r="AO247" s="115">
        <v>0</v>
      </c>
      <c r="AP247" s="115">
        <v>0</v>
      </c>
      <c r="AQ247" s="115">
        <v>0</v>
      </c>
      <c r="AR247" s="115">
        <v>0</v>
      </c>
      <c r="AS247" s="115">
        <v>0</v>
      </c>
      <c r="AT247" s="115">
        <v>0</v>
      </c>
      <c r="AU247" s="115">
        <v>0</v>
      </c>
      <c r="AV247" s="115">
        <v>0</v>
      </c>
      <c r="AW247" s="115">
        <v>0</v>
      </c>
      <c r="AX247" s="115">
        <v>0</v>
      </c>
      <c r="AY247" s="115">
        <v>0</v>
      </c>
    </row>
    <row r="248" spans="1:51" x14ac:dyDescent="0.2">
      <c r="A248" s="114"/>
      <c r="B248" s="135">
        <v>40</v>
      </c>
      <c r="C248" s="111">
        <v>0</v>
      </c>
      <c r="D248" s="115">
        <v>0</v>
      </c>
      <c r="E248" s="115">
        <v>0</v>
      </c>
      <c r="F248" s="115">
        <v>0</v>
      </c>
      <c r="G248" s="115">
        <v>0</v>
      </c>
      <c r="H248" s="115">
        <v>0</v>
      </c>
      <c r="I248" s="115">
        <v>0</v>
      </c>
      <c r="J248" s="115">
        <v>0</v>
      </c>
      <c r="K248" s="115">
        <v>0</v>
      </c>
      <c r="L248" s="115">
        <v>0</v>
      </c>
      <c r="M248" s="115">
        <v>0</v>
      </c>
      <c r="N248" s="115">
        <v>0</v>
      </c>
      <c r="O248" s="115">
        <v>0</v>
      </c>
      <c r="P248" s="115">
        <v>0</v>
      </c>
      <c r="Q248" s="115">
        <v>0</v>
      </c>
      <c r="R248" s="115">
        <v>0</v>
      </c>
      <c r="S248" s="115">
        <v>0</v>
      </c>
      <c r="T248" s="115">
        <v>0</v>
      </c>
      <c r="U248" s="115">
        <v>0</v>
      </c>
      <c r="V248" s="115">
        <v>0</v>
      </c>
      <c r="W248" s="115">
        <v>0</v>
      </c>
      <c r="X248" s="115">
        <v>0</v>
      </c>
      <c r="Y248" s="115">
        <v>0</v>
      </c>
      <c r="Z248" s="115">
        <v>0</v>
      </c>
      <c r="AA248" s="115">
        <v>0</v>
      </c>
      <c r="AB248" s="115">
        <v>0</v>
      </c>
      <c r="AC248" s="115">
        <v>0</v>
      </c>
      <c r="AD248" s="115">
        <v>0</v>
      </c>
      <c r="AE248" s="115">
        <v>0</v>
      </c>
      <c r="AF248" s="115">
        <v>0</v>
      </c>
      <c r="AG248" s="115">
        <v>0</v>
      </c>
      <c r="AH248" s="115">
        <v>0</v>
      </c>
      <c r="AI248" s="115">
        <v>0</v>
      </c>
      <c r="AJ248" s="115">
        <v>0</v>
      </c>
      <c r="AK248" s="115">
        <v>0</v>
      </c>
      <c r="AL248" s="115">
        <v>0</v>
      </c>
      <c r="AM248" s="115">
        <v>0</v>
      </c>
      <c r="AN248" s="115">
        <v>0</v>
      </c>
      <c r="AO248" s="115">
        <v>0</v>
      </c>
      <c r="AP248" s="115">
        <v>0</v>
      </c>
      <c r="AQ248" s="115">
        <v>0</v>
      </c>
      <c r="AR248" s="115">
        <v>0</v>
      </c>
      <c r="AS248" s="115">
        <v>0</v>
      </c>
      <c r="AT248" s="115">
        <v>0</v>
      </c>
      <c r="AU248" s="115">
        <v>0</v>
      </c>
      <c r="AV248" s="115">
        <v>0</v>
      </c>
      <c r="AW248" s="115">
        <v>0</v>
      </c>
      <c r="AX248" s="115">
        <v>0</v>
      </c>
      <c r="AY248" s="115">
        <v>0</v>
      </c>
    </row>
    <row r="249" spans="1:51" x14ac:dyDescent="0.2">
      <c r="A249" s="114"/>
      <c r="B249" s="135">
        <v>41</v>
      </c>
      <c r="C249" s="111">
        <v>0</v>
      </c>
      <c r="D249" s="115">
        <v>0</v>
      </c>
      <c r="E249" s="115">
        <v>0</v>
      </c>
      <c r="F249" s="115">
        <v>0</v>
      </c>
      <c r="G249" s="115">
        <v>0</v>
      </c>
      <c r="H249" s="115">
        <v>0</v>
      </c>
      <c r="I249" s="115">
        <v>0</v>
      </c>
      <c r="J249" s="115">
        <v>0</v>
      </c>
      <c r="K249" s="115">
        <v>0</v>
      </c>
      <c r="L249" s="115">
        <v>0</v>
      </c>
      <c r="M249" s="115">
        <v>0</v>
      </c>
      <c r="N249" s="115">
        <v>0</v>
      </c>
      <c r="O249" s="115">
        <v>0</v>
      </c>
      <c r="P249" s="115">
        <v>0</v>
      </c>
      <c r="Q249" s="115">
        <v>0</v>
      </c>
      <c r="R249" s="115">
        <v>0</v>
      </c>
      <c r="S249" s="115">
        <v>0</v>
      </c>
      <c r="T249" s="115">
        <v>0</v>
      </c>
      <c r="U249" s="115">
        <v>0</v>
      </c>
      <c r="V249" s="115">
        <v>0</v>
      </c>
      <c r="W249" s="115">
        <v>0</v>
      </c>
      <c r="X249" s="115">
        <v>0</v>
      </c>
      <c r="Y249" s="115">
        <v>0</v>
      </c>
      <c r="Z249" s="115">
        <v>0</v>
      </c>
      <c r="AA249" s="115">
        <v>0</v>
      </c>
      <c r="AB249" s="115">
        <v>0</v>
      </c>
      <c r="AC249" s="115">
        <v>0</v>
      </c>
      <c r="AD249" s="115">
        <v>0</v>
      </c>
      <c r="AE249" s="115">
        <v>0</v>
      </c>
      <c r="AF249" s="115">
        <v>0</v>
      </c>
      <c r="AG249" s="115">
        <v>0</v>
      </c>
      <c r="AH249" s="115">
        <v>0</v>
      </c>
      <c r="AI249" s="115">
        <v>0</v>
      </c>
      <c r="AJ249" s="115">
        <v>0</v>
      </c>
      <c r="AK249" s="115">
        <v>0</v>
      </c>
      <c r="AL249" s="115">
        <v>0</v>
      </c>
      <c r="AM249" s="115">
        <v>0</v>
      </c>
      <c r="AN249" s="115">
        <v>0</v>
      </c>
      <c r="AO249" s="115">
        <v>0</v>
      </c>
      <c r="AP249" s="115">
        <v>0</v>
      </c>
      <c r="AQ249" s="115">
        <v>0</v>
      </c>
      <c r="AR249" s="115">
        <v>0</v>
      </c>
      <c r="AS249" s="115">
        <v>0</v>
      </c>
      <c r="AT249" s="115">
        <v>0</v>
      </c>
      <c r="AU249" s="115">
        <v>0</v>
      </c>
      <c r="AV249" s="115">
        <v>0</v>
      </c>
      <c r="AW249" s="115">
        <v>0</v>
      </c>
      <c r="AX249" s="115">
        <v>0</v>
      </c>
      <c r="AY249" s="115">
        <v>0</v>
      </c>
    </row>
    <row r="250" spans="1:51" x14ac:dyDescent="0.2">
      <c r="A250" s="114"/>
      <c r="B250" s="135">
        <v>42</v>
      </c>
      <c r="C250" s="111">
        <v>0</v>
      </c>
      <c r="D250" s="115">
        <v>0</v>
      </c>
      <c r="E250" s="115">
        <v>0</v>
      </c>
      <c r="F250" s="115">
        <v>0</v>
      </c>
      <c r="G250" s="115">
        <v>0</v>
      </c>
      <c r="H250" s="115">
        <v>0</v>
      </c>
      <c r="I250" s="115">
        <v>0</v>
      </c>
      <c r="J250" s="115">
        <v>0</v>
      </c>
      <c r="K250" s="115">
        <v>0</v>
      </c>
      <c r="L250" s="115">
        <v>0</v>
      </c>
      <c r="M250" s="115">
        <v>0</v>
      </c>
      <c r="N250" s="115">
        <v>0</v>
      </c>
      <c r="O250" s="115">
        <v>0</v>
      </c>
      <c r="P250" s="115">
        <v>0</v>
      </c>
      <c r="Q250" s="115">
        <v>0</v>
      </c>
      <c r="R250" s="115">
        <v>0</v>
      </c>
      <c r="S250" s="115">
        <v>0</v>
      </c>
      <c r="T250" s="115">
        <v>0</v>
      </c>
      <c r="U250" s="115">
        <v>0</v>
      </c>
      <c r="V250" s="115">
        <v>0</v>
      </c>
      <c r="W250" s="115">
        <v>0</v>
      </c>
      <c r="X250" s="115">
        <v>0</v>
      </c>
      <c r="Y250" s="115">
        <v>0</v>
      </c>
      <c r="Z250" s="115">
        <v>0</v>
      </c>
      <c r="AA250" s="115">
        <v>0</v>
      </c>
      <c r="AB250" s="115">
        <v>0</v>
      </c>
      <c r="AC250" s="115">
        <v>0</v>
      </c>
      <c r="AD250" s="115">
        <v>0</v>
      </c>
      <c r="AE250" s="115">
        <v>0</v>
      </c>
      <c r="AF250" s="115">
        <v>0</v>
      </c>
      <c r="AG250" s="115">
        <v>0</v>
      </c>
      <c r="AH250" s="115">
        <v>0</v>
      </c>
      <c r="AI250" s="115">
        <v>0</v>
      </c>
      <c r="AJ250" s="115">
        <v>0</v>
      </c>
      <c r="AK250" s="115">
        <v>0</v>
      </c>
      <c r="AL250" s="115">
        <v>0</v>
      </c>
      <c r="AM250" s="115">
        <v>0</v>
      </c>
      <c r="AN250" s="115">
        <v>0</v>
      </c>
      <c r="AO250" s="115">
        <v>0</v>
      </c>
      <c r="AP250" s="115">
        <v>0</v>
      </c>
      <c r="AQ250" s="115">
        <v>0</v>
      </c>
      <c r="AR250" s="115">
        <v>0</v>
      </c>
      <c r="AS250" s="115">
        <v>0</v>
      </c>
      <c r="AT250" s="115">
        <v>0</v>
      </c>
      <c r="AU250" s="115">
        <v>0</v>
      </c>
      <c r="AV250" s="115">
        <v>0</v>
      </c>
      <c r="AW250" s="115">
        <v>0</v>
      </c>
      <c r="AX250" s="115">
        <v>0</v>
      </c>
      <c r="AY250" s="115">
        <v>0</v>
      </c>
    </row>
    <row r="251" spans="1:51" x14ac:dyDescent="0.2">
      <c r="A251" s="114"/>
      <c r="B251" s="135">
        <v>43</v>
      </c>
      <c r="C251" s="111">
        <v>0</v>
      </c>
      <c r="D251" s="115">
        <v>0</v>
      </c>
      <c r="E251" s="115">
        <v>0</v>
      </c>
      <c r="F251" s="115">
        <v>0</v>
      </c>
      <c r="G251" s="115">
        <v>0</v>
      </c>
      <c r="H251" s="115">
        <v>0</v>
      </c>
      <c r="I251" s="115">
        <v>0</v>
      </c>
      <c r="J251" s="115">
        <v>0</v>
      </c>
      <c r="K251" s="115">
        <v>0</v>
      </c>
      <c r="L251" s="115">
        <v>0</v>
      </c>
      <c r="M251" s="115">
        <v>0</v>
      </c>
      <c r="N251" s="115">
        <v>0</v>
      </c>
      <c r="O251" s="115">
        <v>0</v>
      </c>
      <c r="P251" s="115">
        <v>0</v>
      </c>
      <c r="Q251" s="115">
        <v>0</v>
      </c>
      <c r="R251" s="115">
        <v>0</v>
      </c>
      <c r="S251" s="115">
        <v>0</v>
      </c>
      <c r="T251" s="115">
        <v>0</v>
      </c>
      <c r="U251" s="115">
        <v>0</v>
      </c>
      <c r="V251" s="115">
        <v>0</v>
      </c>
      <c r="W251" s="115">
        <v>0</v>
      </c>
      <c r="X251" s="115">
        <v>0</v>
      </c>
      <c r="Y251" s="115">
        <v>0</v>
      </c>
      <c r="Z251" s="115">
        <v>0</v>
      </c>
      <c r="AA251" s="115">
        <v>0</v>
      </c>
      <c r="AB251" s="115">
        <v>0</v>
      </c>
      <c r="AC251" s="115">
        <v>0</v>
      </c>
      <c r="AD251" s="115">
        <v>0</v>
      </c>
      <c r="AE251" s="115">
        <v>0</v>
      </c>
      <c r="AF251" s="115">
        <v>0</v>
      </c>
      <c r="AG251" s="115">
        <v>0</v>
      </c>
      <c r="AH251" s="115">
        <v>0</v>
      </c>
      <c r="AI251" s="115">
        <v>0</v>
      </c>
      <c r="AJ251" s="115">
        <v>0</v>
      </c>
      <c r="AK251" s="115">
        <v>0</v>
      </c>
      <c r="AL251" s="115">
        <v>0</v>
      </c>
      <c r="AM251" s="115">
        <v>0</v>
      </c>
      <c r="AN251" s="115">
        <v>0</v>
      </c>
      <c r="AO251" s="115">
        <v>0</v>
      </c>
      <c r="AP251" s="115">
        <v>0</v>
      </c>
      <c r="AQ251" s="115">
        <v>0</v>
      </c>
      <c r="AR251" s="115">
        <v>0</v>
      </c>
      <c r="AS251" s="115">
        <v>0</v>
      </c>
      <c r="AT251" s="115">
        <v>0</v>
      </c>
      <c r="AU251" s="115">
        <v>0</v>
      </c>
      <c r="AV251" s="115">
        <v>0</v>
      </c>
      <c r="AW251" s="115">
        <v>0</v>
      </c>
      <c r="AX251" s="115">
        <v>0</v>
      </c>
      <c r="AY251" s="115">
        <v>0</v>
      </c>
    </row>
    <row r="252" spans="1:51" x14ac:dyDescent="0.2">
      <c r="A252" s="114"/>
      <c r="B252" s="135">
        <v>44</v>
      </c>
      <c r="C252" s="111">
        <v>0</v>
      </c>
      <c r="D252" s="115">
        <v>0</v>
      </c>
      <c r="E252" s="115">
        <v>0</v>
      </c>
      <c r="F252" s="115">
        <v>0</v>
      </c>
      <c r="G252" s="115">
        <v>0</v>
      </c>
      <c r="H252" s="115">
        <v>0</v>
      </c>
      <c r="I252" s="115">
        <v>0</v>
      </c>
      <c r="J252" s="115">
        <v>0</v>
      </c>
      <c r="K252" s="115">
        <v>0</v>
      </c>
      <c r="L252" s="115">
        <v>0</v>
      </c>
      <c r="M252" s="115">
        <v>0</v>
      </c>
      <c r="N252" s="115">
        <v>0</v>
      </c>
      <c r="O252" s="115">
        <v>0</v>
      </c>
      <c r="P252" s="115">
        <v>0</v>
      </c>
      <c r="Q252" s="115">
        <v>0</v>
      </c>
      <c r="R252" s="115">
        <v>0</v>
      </c>
      <c r="S252" s="115">
        <v>0</v>
      </c>
      <c r="T252" s="115">
        <v>0</v>
      </c>
      <c r="U252" s="115">
        <v>0</v>
      </c>
      <c r="V252" s="115">
        <v>0</v>
      </c>
      <c r="W252" s="115">
        <v>0</v>
      </c>
      <c r="X252" s="115">
        <v>0</v>
      </c>
      <c r="Y252" s="115">
        <v>0</v>
      </c>
      <c r="Z252" s="115">
        <v>0</v>
      </c>
      <c r="AA252" s="115">
        <v>0</v>
      </c>
      <c r="AB252" s="115">
        <v>0</v>
      </c>
      <c r="AC252" s="115">
        <v>0</v>
      </c>
      <c r="AD252" s="115">
        <v>0</v>
      </c>
      <c r="AE252" s="115">
        <v>0</v>
      </c>
      <c r="AF252" s="115">
        <v>0</v>
      </c>
      <c r="AG252" s="115">
        <v>0</v>
      </c>
      <c r="AH252" s="115">
        <v>0</v>
      </c>
      <c r="AI252" s="115">
        <v>0</v>
      </c>
      <c r="AJ252" s="115">
        <v>0</v>
      </c>
      <c r="AK252" s="115">
        <v>0</v>
      </c>
      <c r="AL252" s="115">
        <v>0</v>
      </c>
      <c r="AM252" s="115">
        <v>0</v>
      </c>
      <c r="AN252" s="115">
        <v>0</v>
      </c>
      <c r="AO252" s="115">
        <v>0</v>
      </c>
      <c r="AP252" s="115">
        <v>0</v>
      </c>
      <c r="AQ252" s="115">
        <v>0</v>
      </c>
      <c r="AR252" s="115">
        <v>0</v>
      </c>
      <c r="AS252" s="115">
        <v>0</v>
      </c>
      <c r="AT252" s="115">
        <v>0</v>
      </c>
      <c r="AU252" s="115">
        <v>0</v>
      </c>
      <c r="AV252" s="115">
        <v>0</v>
      </c>
      <c r="AW252" s="115">
        <v>0</v>
      </c>
      <c r="AX252" s="115">
        <v>0</v>
      </c>
      <c r="AY252" s="115">
        <v>0</v>
      </c>
    </row>
    <row r="253" spans="1:51" x14ac:dyDescent="0.2">
      <c r="A253" s="114"/>
      <c r="B253" s="135">
        <v>45</v>
      </c>
      <c r="C253" s="111">
        <v>0</v>
      </c>
      <c r="D253" s="115">
        <v>0</v>
      </c>
      <c r="E253" s="115">
        <v>0</v>
      </c>
      <c r="F253" s="115">
        <v>0</v>
      </c>
      <c r="G253" s="115">
        <v>0</v>
      </c>
      <c r="H253" s="115">
        <v>0</v>
      </c>
      <c r="I253" s="115">
        <v>0</v>
      </c>
      <c r="J253" s="115">
        <v>0</v>
      </c>
      <c r="K253" s="115">
        <v>0</v>
      </c>
      <c r="L253" s="115">
        <v>0</v>
      </c>
      <c r="M253" s="115">
        <v>0</v>
      </c>
      <c r="N253" s="115">
        <v>0</v>
      </c>
      <c r="O253" s="115">
        <v>0</v>
      </c>
      <c r="P253" s="115">
        <v>0</v>
      </c>
      <c r="Q253" s="115">
        <v>0</v>
      </c>
      <c r="R253" s="115">
        <v>0</v>
      </c>
      <c r="S253" s="115">
        <v>0</v>
      </c>
      <c r="T253" s="115">
        <v>0</v>
      </c>
      <c r="U253" s="115">
        <v>0</v>
      </c>
      <c r="V253" s="115">
        <v>0</v>
      </c>
      <c r="W253" s="115">
        <v>0</v>
      </c>
      <c r="X253" s="115">
        <v>0</v>
      </c>
      <c r="Y253" s="115">
        <v>0</v>
      </c>
      <c r="Z253" s="115">
        <v>0</v>
      </c>
      <c r="AA253" s="115">
        <v>0</v>
      </c>
      <c r="AB253" s="115">
        <v>0</v>
      </c>
      <c r="AC253" s="115">
        <v>0</v>
      </c>
      <c r="AD253" s="115">
        <v>0</v>
      </c>
      <c r="AE253" s="115">
        <v>0</v>
      </c>
      <c r="AF253" s="115">
        <v>0</v>
      </c>
      <c r="AG253" s="115">
        <v>0</v>
      </c>
      <c r="AH253" s="115">
        <v>0</v>
      </c>
      <c r="AI253" s="115">
        <v>0</v>
      </c>
      <c r="AJ253" s="115">
        <v>0</v>
      </c>
      <c r="AK253" s="115">
        <v>0</v>
      </c>
      <c r="AL253" s="115">
        <v>0</v>
      </c>
      <c r="AM253" s="115">
        <v>0</v>
      </c>
      <c r="AN253" s="115">
        <v>0</v>
      </c>
      <c r="AO253" s="115">
        <v>0</v>
      </c>
      <c r="AP253" s="115">
        <v>0</v>
      </c>
      <c r="AQ253" s="115">
        <v>0</v>
      </c>
      <c r="AR253" s="115">
        <v>0</v>
      </c>
      <c r="AS253" s="115">
        <v>0</v>
      </c>
      <c r="AT253" s="115">
        <v>0</v>
      </c>
      <c r="AU253" s="115">
        <v>0</v>
      </c>
      <c r="AV253" s="115">
        <v>0</v>
      </c>
      <c r="AW253" s="115">
        <v>0</v>
      </c>
      <c r="AX253" s="115">
        <v>0</v>
      </c>
      <c r="AY253" s="115">
        <v>0</v>
      </c>
    </row>
    <row r="254" spans="1:51" x14ac:dyDescent="0.2">
      <c r="A254" s="114"/>
      <c r="B254" s="135">
        <v>46</v>
      </c>
      <c r="C254" s="111">
        <v>0</v>
      </c>
      <c r="D254" s="115">
        <v>0</v>
      </c>
      <c r="E254" s="115">
        <v>0</v>
      </c>
      <c r="F254" s="115">
        <v>0</v>
      </c>
      <c r="G254" s="115">
        <v>0</v>
      </c>
      <c r="H254" s="115">
        <v>0</v>
      </c>
      <c r="I254" s="115">
        <v>0</v>
      </c>
      <c r="J254" s="115">
        <v>0</v>
      </c>
      <c r="K254" s="115">
        <v>0</v>
      </c>
      <c r="L254" s="115">
        <v>0</v>
      </c>
      <c r="M254" s="115">
        <v>0</v>
      </c>
      <c r="N254" s="115">
        <v>0</v>
      </c>
      <c r="O254" s="115">
        <v>0</v>
      </c>
      <c r="P254" s="115">
        <v>0</v>
      </c>
      <c r="Q254" s="115">
        <v>0</v>
      </c>
      <c r="R254" s="115">
        <v>0</v>
      </c>
      <c r="S254" s="115">
        <v>0</v>
      </c>
      <c r="T254" s="115">
        <v>0</v>
      </c>
      <c r="U254" s="115">
        <v>0</v>
      </c>
      <c r="V254" s="115">
        <v>0</v>
      </c>
      <c r="W254" s="115">
        <v>0</v>
      </c>
      <c r="X254" s="115">
        <v>0</v>
      </c>
      <c r="Y254" s="115">
        <v>0</v>
      </c>
      <c r="Z254" s="115">
        <v>0</v>
      </c>
      <c r="AA254" s="115">
        <v>0</v>
      </c>
      <c r="AB254" s="115">
        <v>0</v>
      </c>
      <c r="AC254" s="115">
        <v>0</v>
      </c>
      <c r="AD254" s="115">
        <v>0</v>
      </c>
      <c r="AE254" s="115">
        <v>0</v>
      </c>
      <c r="AF254" s="115">
        <v>0</v>
      </c>
      <c r="AG254" s="115">
        <v>0</v>
      </c>
      <c r="AH254" s="115">
        <v>0</v>
      </c>
      <c r="AI254" s="115">
        <v>0</v>
      </c>
      <c r="AJ254" s="115">
        <v>0</v>
      </c>
      <c r="AK254" s="115">
        <v>0</v>
      </c>
      <c r="AL254" s="115">
        <v>0</v>
      </c>
      <c r="AM254" s="115">
        <v>0</v>
      </c>
      <c r="AN254" s="115">
        <v>0</v>
      </c>
      <c r="AO254" s="115">
        <v>0</v>
      </c>
      <c r="AP254" s="115">
        <v>0</v>
      </c>
      <c r="AQ254" s="115">
        <v>0</v>
      </c>
      <c r="AR254" s="115">
        <v>0</v>
      </c>
      <c r="AS254" s="115">
        <v>0</v>
      </c>
      <c r="AT254" s="115">
        <v>0</v>
      </c>
      <c r="AU254" s="115">
        <v>0</v>
      </c>
      <c r="AV254" s="115">
        <v>0</v>
      </c>
      <c r="AW254" s="115">
        <v>0</v>
      </c>
      <c r="AX254" s="115">
        <v>0</v>
      </c>
      <c r="AY254" s="115">
        <v>0</v>
      </c>
    </row>
    <row r="255" spans="1:51" x14ac:dyDescent="0.2">
      <c r="A255" s="114"/>
      <c r="B255" s="135">
        <v>47</v>
      </c>
      <c r="C255" s="111">
        <v>0</v>
      </c>
      <c r="D255" s="115">
        <v>0</v>
      </c>
      <c r="E255" s="115">
        <v>0</v>
      </c>
      <c r="F255" s="115">
        <v>0</v>
      </c>
      <c r="G255" s="115">
        <v>0</v>
      </c>
      <c r="H255" s="115">
        <v>0</v>
      </c>
      <c r="I255" s="115">
        <v>0</v>
      </c>
      <c r="J255" s="115">
        <v>0</v>
      </c>
      <c r="K255" s="115">
        <v>0</v>
      </c>
      <c r="L255" s="115">
        <v>0</v>
      </c>
      <c r="M255" s="115">
        <v>0</v>
      </c>
      <c r="N255" s="115">
        <v>0</v>
      </c>
      <c r="O255" s="115">
        <v>0</v>
      </c>
      <c r="P255" s="115">
        <v>0</v>
      </c>
      <c r="Q255" s="115">
        <v>0</v>
      </c>
      <c r="R255" s="115">
        <v>0</v>
      </c>
      <c r="S255" s="115">
        <v>0</v>
      </c>
      <c r="T255" s="115">
        <v>0</v>
      </c>
      <c r="U255" s="115">
        <v>0</v>
      </c>
      <c r="V255" s="115">
        <v>0</v>
      </c>
      <c r="W255" s="115">
        <v>0</v>
      </c>
      <c r="X255" s="115">
        <v>0</v>
      </c>
      <c r="Y255" s="115">
        <v>0</v>
      </c>
      <c r="Z255" s="115">
        <v>0</v>
      </c>
      <c r="AA255" s="115">
        <v>0</v>
      </c>
      <c r="AB255" s="115">
        <v>0</v>
      </c>
      <c r="AC255" s="115">
        <v>0</v>
      </c>
      <c r="AD255" s="115">
        <v>0</v>
      </c>
      <c r="AE255" s="115">
        <v>0</v>
      </c>
      <c r="AF255" s="115">
        <v>0</v>
      </c>
      <c r="AG255" s="115">
        <v>0</v>
      </c>
      <c r="AH255" s="115">
        <v>0</v>
      </c>
      <c r="AI255" s="115">
        <v>0</v>
      </c>
      <c r="AJ255" s="115">
        <v>0</v>
      </c>
      <c r="AK255" s="115">
        <v>0</v>
      </c>
      <c r="AL255" s="115">
        <v>0</v>
      </c>
      <c r="AM255" s="115">
        <v>0</v>
      </c>
      <c r="AN255" s="115">
        <v>0</v>
      </c>
      <c r="AO255" s="115">
        <v>0</v>
      </c>
      <c r="AP255" s="115">
        <v>0</v>
      </c>
      <c r="AQ255" s="115">
        <v>0</v>
      </c>
      <c r="AR255" s="115">
        <v>0</v>
      </c>
      <c r="AS255" s="115">
        <v>0</v>
      </c>
      <c r="AT255" s="115">
        <v>0</v>
      </c>
      <c r="AU255" s="115">
        <v>0</v>
      </c>
      <c r="AV255" s="115">
        <v>0</v>
      </c>
      <c r="AW255" s="115">
        <v>0</v>
      </c>
      <c r="AX255" s="115">
        <v>0</v>
      </c>
      <c r="AY255" s="115">
        <v>0</v>
      </c>
    </row>
    <row r="256" spans="1:51" x14ac:dyDescent="0.2">
      <c r="A256" s="133"/>
      <c r="B256" s="134">
        <v>48</v>
      </c>
      <c r="C256" s="119">
        <v>0</v>
      </c>
      <c r="D256" s="130">
        <v>0</v>
      </c>
      <c r="E256" s="130">
        <v>0</v>
      </c>
      <c r="F256" s="130">
        <v>0</v>
      </c>
      <c r="G256" s="130">
        <v>0</v>
      </c>
      <c r="H256" s="130">
        <v>0</v>
      </c>
      <c r="I256" s="130">
        <v>0</v>
      </c>
      <c r="J256" s="130">
        <v>0</v>
      </c>
      <c r="K256" s="130">
        <v>0</v>
      </c>
      <c r="L256" s="130">
        <v>0</v>
      </c>
      <c r="M256" s="130">
        <v>0</v>
      </c>
      <c r="N256" s="130">
        <v>0</v>
      </c>
      <c r="O256" s="130">
        <v>0</v>
      </c>
      <c r="P256" s="130">
        <v>0</v>
      </c>
      <c r="Q256" s="130">
        <v>0</v>
      </c>
      <c r="R256" s="130">
        <v>0</v>
      </c>
      <c r="S256" s="130">
        <v>0</v>
      </c>
      <c r="T256" s="130">
        <v>0</v>
      </c>
      <c r="U256" s="130">
        <v>0</v>
      </c>
      <c r="V256" s="130">
        <v>0</v>
      </c>
      <c r="W256" s="130">
        <v>0</v>
      </c>
      <c r="X256" s="130">
        <v>0</v>
      </c>
      <c r="Y256" s="130">
        <v>0</v>
      </c>
      <c r="Z256" s="130">
        <v>0</v>
      </c>
      <c r="AA256" s="130">
        <v>0</v>
      </c>
      <c r="AB256" s="130">
        <v>0</v>
      </c>
      <c r="AC256" s="130">
        <v>0</v>
      </c>
      <c r="AD256" s="130">
        <v>0</v>
      </c>
      <c r="AE256" s="130">
        <v>0</v>
      </c>
      <c r="AF256" s="130">
        <v>0</v>
      </c>
      <c r="AG256" s="130">
        <v>0</v>
      </c>
      <c r="AH256" s="130">
        <v>0</v>
      </c>
      <c r="AI256" s="130">
        <v>0</v>
      </c>
      <c r="AJ256" s="130">
        <v>0</v>
      </c>
      <c r="AK256" s="130">
        <v>0</v>
      </c>
      <c r="AL256" s="130">
        <v>0</v>
      </c>
      <c r="AM256" s="130">
        <v>0</v>
      </c>
      <c r="AN256" s="130">
        <v>0</v>
      </c>
      <c r="AO256" s="130">
        <v>0</v>
      </c>
      <c r="AP256" s="130">
        <v>0</v>
      </c>
      <c r="AQ256" s="130">
        <v>0</v>
      </c>
      <c r="AR256" s="130">
        <v>0</v>
      </c>
      <c r="AS256" s="130">
        <v>0</v>
      </c>
      <c r="AT256" s="130">
        <v>0</v>
      </c>
      <c r="AU256" s="130">
        <v>0</v>
      </c>
      <c r="AV256" s="130">
        <v>0</v>
      </c>
      <c r="AW256" s="130">
        <v>0</v>
      </c>
      <c r="AX256" s="130">
        <v>0</v>
      </c>
      <c r="AY256" s="130">
        <v>0</v>
      </c>
    </row>
    <row r="258" spans="1:52" x14ac:dyDescent="0.2">
      <c r="A258" s="107" t="s">
        <v>301</v>
      </c>
    </row>
    <row r="259" spans="1:52" x14ac:dyDescent="0.2">
      <c r="A259" s="142" t="s">
        <v>124</v>
      </c>
      <c r="B259" s="143">
        <v>650</v>
      </c>
      <c r="C259" s="129" t="s">
        <v>293</v>
      </c>
      <c r="D259" s="129">
        <f>E$14*$B$259</f>
        <v>0</v>
      </c>
      <c r="E259" s="129">
        <f t="shared" ref="E259:AX259" si="5">F$14*$B$259</f>
        <v>0</v>
      </c>
      <c r="F259" s="129">
        <f t="shared" si="5"/>
        <v>0</v>
      </c>
      <c r="G259" s="129">
        <f t="shared" si="5"/>
        <v>0</v>
      </c>
      <c r="H259" s="129">
        <f t="shared" si="5"/>
        <v>49984.746284474182</v>
      </c>
      <c r="I259" s="129">
        <f t="shared" si="5"/>
        <v>55618.046914493723</v>
      </c>
      <c r="J259" s="129">
        <f t="shared" si="5"/>
        <v>53759.416225854111</v>
      </c>
      <c r="K259" s="129">
        <f t="shared" si="5"/>
        <v>53759.416225854111</v>
      </c>
      <c r="L259" s="129">
        <f t="shared" si="5"/>
        <v>63174.072107807631</v>
      </c>
      <c r="M259" s="129">
        <f t="shared" si="5"/>
        <v>72904.145428582036</v>
      </c>
      <c r="N259" s="129">
        <f t="shared" si="5"/>
        <v>75162.365142596769</v>
      </c>
      <c r="O259" s="129">
        <f t="shared" si="5"/>
        <v>77949.800053672428</v>
      </c>
      <c r="P259" s="129">
        <f t="shared" si="5"/>
        <v>59726.368645117676</v>
      </c>
      <c r="Q259" s="129">
        <f t="shared" si="5"/>
        <v>57973.786992245201</v>
      </c>
      <c r="R259" s="129">
        <f t="shared" si="5"/>
        <v>53759.416225854111</v>
      </c>
      <c r="S259" s="129">
        <f t="shared" si="5"/>
        <v>53759.416225854111</v>
      </c>
      <c r="T259" s="129">
        <f t="shared" si="5"/>
        <v>53759.416225854111</v>
      </c>
      <c r="U259" s="129">
        <f t="shared" si="5"/>
        <v>49984.746284474182</v>
      </c>
      <c r="V259" s="129">
        <f t="shared" si="5"/>
        <v>57534.086167234032</v>
      </c>
      <c r="W259" s="129">
        <f t="shared" si="5"/>
        <v>53759.416225854111</v>
      </c>
      <c r="X259" s="129">
        <f t="shared" si="5"/>
        <v>53759.416225854111</v>
      </c>
      <c r="Y259" s="129">
        <f t="shared" si="5"/>
        <v>53759.416225854111</v>
      </c>
      <c r="Z259" s="129">
        <f t="shared" si="5"/>
        <v>64592.128764003312</v>
      </c>
      <c r="AA259" s="129">
        <f t="shared" si="5"/>
        <v>69738.291191690616</v>
      </c>
      <c r="AB259" s="129">
        <f t="shared" si="5"/>
        <v>66050.662400031957</v>
      </c>
      <c r="AC259" s="129">
        <f t="shared" si="5"/>
        <v>71674.822563754424</v>
      </c>
      <c r="AD259" s="129">
        <f t="shared" si="5"/>
        <v>67573.955944108398</v>
      </c>
      <c r="AE259" s="129">
        <f t="shared" si="5"/>
        <v>62364.436624512986</v>
      </c>
      <c r="AF259" s="129">
        <f t="shared" si="5"/>
        <v>57773.070093559108</v>
      </c>
      <c r="AG259" s="129">
        <f t="shared" si="5"/>
        <v>53759.416225854111</v>
      </c>
      <c r="AH259" s="129">
        <f t="shared" si="5"/>
        <v>54349.304048413032</v>
      </c>
      <c r="AI259" s="129">
        <f t="shared" si="5"/>
        <v>53759.416225854111</v>
      </c>
      <c r="AJ259" s="129">
        <f t="shared" si="5"/>
        <v>53759.416225854111</v>
      </c>
      <c r="AK259" s="129">
        <f t="shared" si="5"/>
        <v>53759.416225854111</v>
      </c>
      <c r="AL259" s="129">
        <f t="shared" si="5"/>
        <v>60422.159977962241</v>
      </c>
      <c r="AM259" s="129">
        <f t="shared" si="5"/>
        <v>53759.416225854111</v>
      </c>
      <c r="AN259" s="129">
        <f t="shared" si="5"/>
        <v>53759.416225854111</v>
      </c>
      <c r="AO259" s="129">
        <f t="shared" si="5"/>
        <v>60198.73011352108</v>
      </c>
      <c r="AP259" s="129">
        <f t="shared" si="5"/>
        <v>53759.416225854111</v>
      </c>
      <c r="AQ259" s="129">
        <f t="shared" si="5"/>
        <v>53759.416225854111</v>
      </c>
      <c r="AR259" s="129">
        <f t="shared" si="5"/>
        <v>55949.864158425087</v>
      </c>
      <c r="AS259" s="129">
        <f t="shared" si="5"/>
        <v>53880.17831646667</v>
      </c>
      <c r="AT259" s="129">
        <f t="shared" si="5"/>
        <v>55160.856281157889</v>
      </c>
      <c r="AU259" s="129">
        <f t="shared" si="5"/>
        <v>53759.416225854111</v>
      </c>
      <c r="AV259" s="129">
        <f t="shared" si="5"/>
        <v>53759.416225854111</v>
      </c>
      <c r="AW259" s="129">
        <f t="shared" si="5"/>
        <v>62114.303092389047</v>
      </c>
      <c r="AX259" s="129">
        <f t="shared" si="5"/>
        <v>53759.416225854111</v>
      </c>
      <c r="AY259" s="129">
        <f>AZ$14*$B$259</f>
        <v>53759.416225854111</v>
      </c>
      <c r="AZ259" s="144">
        <f>SUM($D259:$AY259)</f>
        <v>2557043.2521077758</v>
      </c>
    </row>
    <row r="260" spans="1:52" x14ac:dyDescent="0.2">
      <c r="A260" s="145" t="s">
        <v>302</v>
      </c>
      <c r="B260" s="119">
        <v>60</v>
      </c>
      <c r="C260" s="130" t="s">
        <v>293</v>
      </c>
      <c r="D260" s="130">
        <f>(D$175-D$176+D$177-D$178+D$179-D$180+D$181-D$182)*$B$260</f>
        <v>2921.3330176636928</v>
      </c>
      <c r="E260" s="130">
        <f t="shared" ref="E260:AY260" si="6">(E$175-E$176+E$177-E$178+E$179-E$180+E$181-E$182)*$B$260</f>
        <v>2211.3950024393848</v>
      </c>
      <c r="F260" s="130">
        <f t="shared" si="6"/>
        <v>0</v>
      </c>
      <c r="G260" s="130">
        <f t="shared" si="6"/>
        <v>0</v>
      </c>
      <c r="H260" s="130">
        <f t="shared" si="6"/>
        <v>4198.3521471674139</v>
      </c>
      <c r="I260" s="130">
        <f t="shared" si="6"/>
        <v>0</v>
      </c>
      <c r="J260" s="130">
        <f t="shared" si="6"/>
        <v>0</v>
      </c>
      <c r="K260" s="130">
        <f t="shared" si="6"/>
        <v>8422.7837797098291</v>
      </c>
      <c r="L260" s="130">
        <f t="shared" si="6"/>
        <v>14268.067734019129</v>
      </c>
      <c r="M260" s="130">
        <f t="shared" si="6"/>
        <v>15951.060034232421</v>
      </c>
      <c r="N260" s="130">
        <f t="shared" si="6"/>
        <v>18028.462628661902</v>
      </c>
      <c r="O260" s="130">
        <f t="shared" si="6"/>
        <v>4447.0141302176671</v>
      </c>
      <c r="P260" s="130">
        <f t="shared" si="6"/>
        <v>3467.1468104241148</v>
      </c>
      <c r="Q260" s="130">
        <f t="shared" si="6"/>
        <v>1672.5722222953254</v>
      </c>
      <c r="R260" s="130">
        <f t="shared" si="6"/>
        <v>1878.8583334429882</v>
      </c>
      <c r="S260" s="130">
        <f t="shared" si="6"/>
        <v>3285.1444445906509</v>
      </c>
      <c r="T260" s="130">
        <f t="shared" si="6"/>
        <v>0</v>
      </c>
      <c r="U260" s="130">
        <f t="shared" si="6"/>
        <v>0</v>
      </c>
      <c r="V260" s="130">
        <f t="shared" si="6"/>
        <v>0</v>
      </c>
      <c r="W260" s="130">
        <f t="shared" si="6"/>
        <v>0</v>
      </c>
      <c r="X260" s="130">
        <f t="shared" si="6"/>
        <v>0</v>
      </c>
      <c r="Y260" s="130">
        <f t="shared" si="6"/>
        <v>8073.3383377106065</v>
      </c>
      <c r="Z260" s="130">
        <f t="shared" si="6"/>
        <v>11908.639078242591</v>
      </c>
      <c r="AA260" s="130">
        <f t="shared" si="6"/>
        <v>9160.3454450368627</v>
      </c>
      <c r="AB260" s="130">
        <f t="shared" si="6"/>
        <v>14878.171552035188</v>
      </c>
      <c r="AC260" s="130">
        <f t="shared" si="6"/>
        <v>10295.616424089412</v>
      </c>
      <c r="AD260" s="130">
        <f t="shared" si="6"/>
        <v>6413.0974431953127</v>
      </c>
      <c r="AE260" s="130">
        <f t="shared" si="6"/>
        <v>3017.5577368211611</v>
      </c>
      <c r="AF260" s="130">
        <f t="shared" si="6"/>
        <v>0</v>
      </c>
      <c r="AG260" s="130">
        <f t="shared" si="6"/>
        <v>1065.9141319265905</v>
      </c>
      <c r="AH260" s="130">
        <f t="shared" si="6"/>
        <v>0</v>
      </c>
      <c r="AI260" s="130">
        <f t="shared" si="6"/>
        <v>0</v>
      </c>
      <c r="AJ260" s="130">
        <f t="shared" si="6"/>
        <v>0</v>
      </c>
      <c r="AK260" s="130">
        <f t="shared" si="6"/>
        <v>4965.5692772058601</v>
      </c>
      <c r="AL260" s="130">
        <f t="shared" si="6"/>
        <v>0</v>
      </c>
      <c r="AM260" s="130">
        <f t="shared" si="6"/>
        <v>0</v>
      </c>
      <c r="AN260" s="130">
        <f t="shared" si="6"/>
        <v>6085.3389333077666</v>
      </c>
      <c r="AO260" s="130">
        <f t="shared" si="6"/>
        <v>0</v>
      </c>
      <c r="AP260" s="130">
        <f t="shared" si="6"/>
        <v>0</v>
      </c>
      <c r="AQ260" s="130">
        <f t="shared" si="6"/>
        <v>1632.4837577390031</v>
      </c>
      <c r="AR260" s="130">
        <f t="shared" si="6"/>
        <v>90.000838889709485</v>
      </c>
      <c r="AS260" s="130">
        <f t="shared" si="6"/>
        <v>1044.4567495576121</v>
      </c>
      <c r="AT260" s="130">
        <f t="shared" si="6"/>
        <v>0</v>
      </c>
      <c r="AU260" s="130">
        <f t="shared" si="6"/>
        <v>0</v>
      </c>
      <c r="AV260" s="130">
        <f t="shared" si="6"/>
        <v>6612.9655517114552</v>
      </c>
      <c r="AW260" s="130">
        <f t="shared" si="6"/>
        <v>0</v>
      </c>
      <c r="AX260" s="130">
        <f t="shared" si="6"/>
        <v>0</v>
      </c>
      <c r="AY260" s="130">
        <f t="shared" si="6"/>
        <v>0</v>
      </c>
      <c r="AZ260" s="146">
        <f>SUM($D260:$AY260)</f>
        <v>165995.68554233361</v>
      </c>
    </row>
  </sheetData>
  <pageMargins left="0.75" right="0.75" top="1" bottom="1" header="0.5" footer="0.5"/>
  <pageSetup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5"/>
  </cols>
  <sheetData>
    <row r="2" spans="1:99" x14ac:dyDescent="0.2">
      <c r="B2" s="107" t="s">
        <v>272</v>
      </c>
    </row>
    <row r="3" spans="1:99" x14ac:dyDescent="0.2">
      <c r="B3" s="108" t="s">
        <v>283</v>
      </c>
    </row>
    <row r="4" spans="1:99" x14ac:dyDescent="0.2">
      <c r="A4" s="106"/>
      <c r="B4" s="106"/>
      <c r="C4" s="104" t="s">
        <v>274</v>
      </c>
      <c r="D4" s="104" t="s">
        <v>92</v>
      </c>
      <c r="E4" s="106"/>
      <c r="F4" s="106"/>
      <c r="G4" s="106"/>
      <c r="H4" s="106"/>
      <c r="I4" s="106"/>
      <c r="J4" s="106"/>
      <c r="K4" s="106"/>
      <c r="L4" s="104" t="s">
        <v>93</v>
      </c>
      <c r="M4" s="106"/>
      <c r="N4" s="106"/>
      <c r="O4" s="106"/>
      <c r="P4" s="106"/>
      <c r="Q4" s="106"/>
      <c r="R4" s="106"/>
      <c r="S4" s="106"/>
      <c r="T4" s="104" t="s">
        <v>94</v>
      </c>
      <c r="U4" s="106"/>
      <c r="V4" s="106"/>
      <c r="W4" s="106"/>
      <c r="X4" s="106"/>
      <c r="Y4" s="106"/>
      <c r="Z4" s="106"/>
      <c r="AA4" s="106"/>
      <c r="AB4" s="104" t="s">
        <v>95</v>
      </c>
      <c r="AC4" s="106"/>
      <c r="AD4" s="106"/>
      <c r="AE4" s="106"/>
      <c r="AF4" s="106"/>
      <c r="AG4" s="106"/>
      <c r="AH4" s="106"/>
      <c r="AI4" s="106"/>
      <c r="AJ4" s="104" t="s">
        <v>96</v>
      </c>
      <c r="AK4" s="106"/>
      <c r="AL4" s="106"/>
      <c r="AM4" s="106"/>
      <c r="AN4" s="106"/>
      <c r="AO4" s="106"/>
      <c r="AP4" s="106"/>
      <c r="AQ4" s="106"/>
      <c r="AR4" s="104" t="s">
        <v>97</v>
      </c>
      <c r="AS4" s="106"/>
      <c r="AT4" s="106"/>
      <c r="AU4" s="106"/>
      <c r="AV4" s="106"/>
      <c r="AW4" s="106"/>
      <c r="AX4" s="106"/>
      <c r="AY4" s="106"/>
      <c r="AZ4" s="104" t="s">
        <v>98</v>
      </c>
      <c r="BA4" s="106"/>
      <c r="BB4" s="106"/>
      <c r="BC4" s="106"/>
      <c r="BD4" s="106"/>
      <c r="BE4" s="106"/>
      <c r="BF4" s="106"/>
      <c r="BG4" s="106"/>
      <c r="BH4" s="104" t="s">
        <v>99</v>
      </c>
      <c r="BI4" s="106"/>
      <c r="BJ4" s="106"/>
      <c r="BK4" s="106"/>
      <c r="BL4" s="106"/>
      <c r="BM4" s="106"/>
      <c r="BN4" s="106"/>
      <c r="BO4" s="106"/>
      <c r="BP4" s="104" t="s">
        <v>100</v>
      </c>
      <c r="BQ4" s="106"/>
      <c r="BR4" s="106"/>
      <c r="BS4" s="106"/>
      <c r="BT4" s="106"/>
      <c r="BU4" s="106"/>
      <c r="BV4" s="106"/>
      <c r="BW4" s="106"/>
      <c r="BX4" s="104" t="s">
        <v>101</v>
      </c>
      <c r="BY4" s="106"/>
      <c r="BZ4" s="106"/>
      <c r="CA4" s="106"/>
      <c r="CB4" s="106"/>
      <c r="CC4" s="106"/>
      <c r="CD4" s="106"/>
      <c r="CE4" s="106"/>
      <c r="CF4" s="104" t="s">
        <v>102</v>
      </c>
      <c r="CG4" s="106"/>
      <c r="CH4" s="106"/>
      <c r="CI4" s="106"/>
      <c r="CJ4" s="106"/>
      <c r="CK4" s="106"/>
      <c r="CL4" s="106"/>
      <c r="CM4" s="106"/>
      <c r="CN4" s="104" t="s">
        <v>103</v>
      </c>
      <c r="CO4" s="106"/>
      <c r="CP4" s="106"/>
      <c r="CQ4" s="106"/>
      <c r="CR4" s="106"/>
      <c r="CS4" s="106"/>
      <c r="CT4" s="106"/>
      <c r="CU4" s="106"/>
    </row>
    <row r="5" spans="1:99" x14ac:dyDescent="0.2">
      <c r="B5" s="104" t="s">
        <v>167</v>
      </c>
      <c r="C5" s="104" t="s">
        <v>275</v>
      </c>
      <c r="D5" s="104">
        <v>1</v>
      </c>
      <c r="E5" s="104"/>
      <c r="F5" s="104">
        <v>2</v>
      </c>
      <c r="G5" s="104"/>
      <c r="H5" s="104">
        <v>3</v>
      </c>
      <c r="I5" s="104"/>
      <c r="J5" s="104">
        <v>4</v>
      </c>
      <c r="K5" s="104"/>
      <c r="L5" s="104">
        <v>1</v>
      </c>
      <c r="M5" s="104"/>
      <c r="N5" s="104">
        <v>2</v>
      </c>
      <c r="O5" s="104"/>
      <c r="P5" s="104">
        <v>3</v>
      </c>
      <c r="Q5" s="104"/>
      <c r="R5" s="104">
        <v>4</v>
      </c>
      <c r="S5" s="104"/>
      <c r="T5" s="104">
        <v>1</v>
      </c>
      <c r="U5" s="104"/>
      <c r="V5" s="104">
        <v>2</v>
      </c>
      <c r="W5" s="104"/>
      <c r="X5" s="104">
        <v>3</v>
      </c>
      <c r="Y5" s="104"/>
      <c r="Z5" s="104">
        <v>4</v>
      </c>
      <c r="AA5" s="104"/>
      <c r="AB5" s="104">
        <v>1</v>
      </c>
      <c r="AC5" s="104"/>
      <c r="AD5" s="104">
        <v>2</v>
      </c>
      <c r="AE5" s="104"/>
      <c r="AF5" s="104">
        <v>3</v>
      </c>
      <c r="AG5" s="104"/>
      <c r="AH5" s="104">
        <v>4</v>
      </c>
      <c r="AI5" s="104"/>
      <c r="AJ5" s="104">
        <v>1</v>
      </c>
      <c r="AK5" s="104"/>
      <c r="AL5" s="104">
        <v>2</v>
      </c>
      <c r="AM5" s="104"/>
      <c r="AN5" s="104">
        <v>3</v>
      </c>
      <c r="AO5" s="104"/>
      <c r="AP5" s="104">
        <v>4</v>
      </c>
      <c r="AQ5" s="104"/>
      <c r="AR5" s="104">
        <v>1</v>
      </c>
      <c r="AS5" s="104"/>
      <c r="AT5" s="104">
        <v>2</v>
      </c>
      <c r="AU5" s="104"/>
      <c r="AV5" s="104">
        <v>3</v>
      </c>
      <c r="AW5" s="104"/>
      <c r="AX5" s="104">
        <v>4</v>
      </c>
      <c r="AY5" s="104"/>
      <c r="AZ5" s="104">
        <v>1</v>
      </c>
      <c r="BA5" s="104"/>
      <c r="BB5" s="104">
        <v>2</v>
      </c>
      <c r="BC5" s="104"/>
      <c r="BD5" s="104">
        <v>3</v>
      </c>
      <c r="BE5" s="104"/>
      <c r="BF5" s="104">
        <v>4</v>
      </c>
      <c r="BG5" s="104"/>
      <c r="BH5" s="104">
        <v>1</v>
      </c>
      <c r="BI5" s="104"/>
      <c r="BJ5" s="104">
        <v>2</v>
      </c>
      <c r="BK5" s="104"/>
      <c r="BL5" s="104">
        <v>3</v>
      </c>
      <c r="BM5" s="104"/>
      <c r="BN5" s="104">
        <v>4</v>
      </c>
      <c r="BO5" s="104"/>
      <c r="BP5" s="104">
        <v>1</v>
      </c>
      <c r="BQ5" s="104"/>
      <c r="BR5" s="104">
        <v>2</v>
      </c>
      <c r="BS5" s="104"/>
      <c r="BT5" s="104">
        <v>3</v>
      </c>
      <c r="BU5" s="104"/>
      <c r="BV5" s="104">
        <v>4</v>
      </c>
      <c r="BW5" s="104"/>
      <c r="BX5" s="104">
        <v>1</v>
      </c>
      <c r="BY5" s="104"/>
      <c r="BZ5" s="104">
        <v>2</v>
      </c>
      <c r="CA5" s="104"/>
      <c r="CB5" s="104">
        <v>3</v>
      </c>
      <c r="CC5" s="104"/>
      <c r="CD5" s="104">
        <v>4</v>
      </c>
      <c r="CE5" s="104"/>
      <c r="CF5" s="104">
        <v>1</v>
      </c>
      <c r="CG5" s="104"/>
      <c r="CH5" s="104">
        <v>2</v>
      </c>
      <c r="CI5" s="104"/>
      <c r="CJ5" s="104">
        <v>3</v>
      </c>
      <c r="CK5" s="104"/>
      <c r="CL5" s="104">
        <v>4</v>
      </c>
      <c r="CM5" s="104"/>
      <c r="CN5" s="104">
        <v>1</v>
      </c>
      <c r="CO5" s="104"/>
      <c r="CP5" s="104">
        <v>2</v>
      </c>
      <c r="CQ5" s="104"/>
      <c r="CR5" s="104">
        <v>3</v>
      </c>
      <c r="CS5" s="104"/>
      <c r="CT5" s="104">
        <v>4</v>
      </c>
      <c r="CU5" s="104"/>
    </row>
    <row r="6" spans="1:99" x14ac:dyDescent="0.2">
      <c r="B6" s="104" t="s">
        <v>126</v>
      </c>
      <c r="C6" s="104" t="s">
        <v>172</v>
      </c>
      <c r="D6" s="105">
        <v>0</v>
      </c>
      <c r="E6" s="105">
        <v>0</v>
      </c>
      <c r="F6" s="105">
        <v>0</v>
      </c>
      <c r="G6" s="105">
        <v>0</v>
      </c>
      <c r="H6" s="105">
        <v>0</v>
      </c>
      <c r="I6" s="105">
        <v>0</v>
      </c>
      <c r="J6" s="105">
        <v>0</v>
      </c>
      <c r="K6" s="105">
        <v>0</v>
      </c>
      <c r="L6" s="105">
        <v>17.552371767528253</v>
      </c>
      <c r="M6" s="105">
        <v>11984.759442868291</v>
      </c>
      <c r="N6" s="105">
        <v>16.947481111976376</v>
      </c>
      <c r="O6" s="105">
        <v>11571.740103257469</v>
      </c>
      <c r="P6" s="105">
        <v>11.172587077895399</v>
      </c>
      <c r="Q6" s="105">
        <v>7628.6424567869781</v>
      </c>
      <c r="R6" s="105">
        <v>17.178348624841199</v>
      </c>
      <c r="S6" s="105">
        <v>11729.37644104157</v>
      </c>
      <c r="T6" s="105">
        <v>16.34005925658758</v>
      </c>
      <c r="U6" s="105">
        <v>11156.992460397998</v>
      </c>
      <c r="V6" s="105">
        <v>13.428399761397772</v>
      </c>
      <c r="W6" s="105">
        <v>9168.9113570823974</v>
      </c>
      <c r="X6" s="105">
        <v>6.251531610625964</v>
      </c>
      <c r="Y6" s="105">
        <v>4268.5457837354079</v>
      </c>
      <c r="Z6" s="105">
        <v>16.00359478694174</v>
      </c>
      <c r="AA6" s="105">
        <v>10927.254520523818</v>
      </c>
      <c r="AB6" s="105">
        <v>13.273948893290996</v>
      </c>
      <c r="AC6" s="105">
        <v>9063.4523043390909</v>
      </c>
      <c r="AD6" s="105">
        <v>17.552371767528253</v>
      </c>
      <c r="AE6" s="105">
        <v>11984.759442868291</v>
      </c>
      <c r="AF6" s="105">
        <v>18.131095163474146</v>
      </c>
      <c r="AG6" s="105">
        <v>12379.911777620146</v>
      </c>
      <c r="AH6" s="105">
        <v>13.976687364112284</v>
      </c>
      <c r="AI6" s="105">
        <v>9543.282132215867</v>
      </c>
      <c r="AJ6" s="105">
        <v>14.720344927946245</v>
      </c>
      <c r="AK6" s="105">
        <v>10051.051516801695</v>
      </c>
      <c r="AL6" s="105">
        <v>12.513332781919813</v>
      </c>
      <c r="AM6" s="105">
        <v>8544.1036234948479</v>
      </c>
      <c r="AN6" s="105">
        <v>11.65070515347486</v>
      </c>
      <c r="AO6" s="105">
        <v>7955.1014787926333</v>
      </c>
      <c r="AP6" s="105">
        <v>9.9453597301712211</v>
      </c>
      <c r="AQ6" s="105">
        <v>6790.6916237609094</v>
      </c>
      <c r="AR6" s="105">
        <v>12.953471934029295</v>
      </c>
      <c r="AS6" s="105">
        <v>8844.6306365552027</v>
      </c>
      <c r="AT6" s="105">
        <v>17.013962513598699</v>
      </c>
      <c r="AU6" s="105">
        <v>11617.133604285191</v>
      </c>
      <c r="AV6" s="105">
        <v>10.588254090797399</v>
      </c>
      <c r="AW6" s="105">
        <v>7229.6598931964636</v>
      </c>
      <c r="AX6" s="105">
        <v>10.646089634646216</v>
      </c>
      <c r="AY6" s="105">
        <v>7269.1500025364357</v>
      </c>
      <c r="AZ6" s="105">
        <v>14.751884428181423</v>
      </c>
      <c r="BA6" s="105">
        <v>10072.586687562276</v>
      </c>
      <c r="BB6" s="105">
        <v>12.888039752540319</v>
      </c>
      <c r="BC6" s="105">
        <v>8799.9535430345295</v>
      </c>
      <c r="BD6" s="105">
        <v>18.841694568481916</v>
      </c>
      <c r="BE6" s="105">
        <v>12865.109051359452</v>
      </c>
      <c r="BF6" s="105">
        <v>9.980904480325183</v>
      </c>
      <c r="BG6" s="105">
        <v>6814.9615791660344</v>
      </c>
      <c r="BH6" s="105">
        <v>13.055147537907079</v>
      </c>
      <c r="BI6" s="105">
        <v>8914.0547388829527</v>
      </c>
      <c r="BJ6" s="105">
        <v>9.0447366811618704</v>
      </c>
      <c r="BK6" s="105">
        <v>6175.7462058973242</v>
      </c>
      <c r="BL6" s="105">
        <v>12</v>
      </c>
      <c r="BM6" s="105">
        <v>8193.5999999999985</v>
      </c>
      <c r="BN6" s="105">
        <v>15.741142994934014</v>
      </c>
      <c r="BO6" s="105">
        <v>10748.052436940945</v>
      </c>
      <c r="BP6" s="105">
        <v>11.051334194879479</v>
      </c>
      <c r="BQ6" s="105">
        <v>7545.8509882637072</v>
      </c>
      <c r="BR6" s="105">
        <v>15.967989596096022</v>
      </c>
      <c r="BS6" s="105">
        <v>10902.943296214364</v>
      </c>
      <c r="BT6" s="105">
        <v>12.67481037130052</v>
      </c>
      <c r="BU6" s="105">
        <v>8654.360521523995</v>
      </c>
      <c r="BV6" s="105">
        <v>15.268290663978227</v>
      </c>
      <c r="BW6" s="105">
        <v>10425.188865364333</v>
      </c>
      <c r="BX6" s="105">
        <v>15</v>
      </c>
      <c r="BY6" s="105">
        <v>10242</v>
      </c>
      <c r="BZ6" s="105">
        <v>19.639353981022232</v>
      </c>
      <c r="CA6" s="105">
        <v>13409.750898241979</v>
      </c>
      <c r="CB6" s="105">
        <v>15.683411563690351</v>
      </c>
      <c r="CC6" s="105">
        <v>10708.633415687771</v>
      </c>
      <c r="CD6" s="105">
        <v>15.609001216855324</v>
      </c>
      <c r="CE6" s="105">
        <v>10657.826030868815</v>
      </c>
      <c r="CF6" s="105">
        <v>15.559563359893874</v>
      </c>
      <c r="CG6" s="105">
        <v>10624.069862135537</v>
      </c>
      <c r="CH6" s="105">
        <v>14</v>
      </c>
      <c r="CI6" s="105">
        <v>9559.1999999999989</v>
      </c>
      <c r="CJ6" s="105">
        <v>13.648094853319225</v>
      </c>
      <c r="CK6" s="105">
        <v>9318.919165846366</v>
      </c>
      <c r="CL6" s="105">
        <v>5.6749648079415547</v>
      </c>
      <c r="CM6" s="105">
        <v>3874.8659708624932</v>
      </c>
      <c r="CN6" s="105">
        <v>12.240638407442953</v>
      </c>
      <c r="CO6" s="105">
        <v>8357.907904602047</v>
      </c>
      <c r="CP6" s="105">
        <v>11.95991703976051</v>
      </c>
      <c r="CQ6" s="105">
        <v>8166.2313547484755</v>
      </c>
      <c r="CR6" s="105">
        <v>18.328475014649346</v>
      </c>
      <c r="CS6" s="105">
        <v>12514.682740002572</v>
      </c>
      <c r="CT6" s="105">
        <v>18.210501419664546</v>
      </c>
      <c r="CU6" s="105">
        <v>12434.130369346951</v>
      </c>
    </row>
    <row r="7" spans="1:99" x14ac:dyDescent="0.2">
      <c r="C7" s="104" t="s">
        <v>173</v>
      </c>
      <c r="D7" s="105">
        <v>0</v>
      </c>
      <c r="E7" s="105">
        <v>0</v>
      </c>
      <c r="F7" s="105">
        <v>0</v>
      </c>
      <c r="G7" s="105">
        <v>0</v>
      </c>
      <c r="H7" s="105">
        <v>0</v>
      </c>
      <c r="I7" s="105">
        <v>0</v>
      </c>
      <c r="J7" s="105">
        <v>0</v>
      </c>
      <c r="K7" s="105">
        <v>0</v>
      </c>
      <c r="L7" s="105">
        <v>15.704753686735808</v>
      </c>
      <c r="M7" s="105">
        <v>13550.061480915654</v>
      </c>
      <c r="N7" s="105">
        <v>16.10010705637756</v>
      </c>
      <c r="O7" s="105">
        <v>13891.172368242558</v>
      </c>
      <c r="P7" s="105">
        <v>12.103636001053347</v>
      </c>
      <c r="Q7" s="105">
        <v>10443.017141708828</v>
      </c>
      <c r="R7" s="105">
        <v>18.986595848508692</v>
      </c>
      <c r="S7" s="105">
        <v>16381.634898093298</v>
      </c>
      <c r="T7" s="105">
        <v>14.417699344047865</v>
      </c>
      <c r="U7" s="105">
        <v>12439.590994044496</v>
      </c>
      <c r="V7" s="105">
        <v>12.638493893080256</v>
      </c>
      <c r="W7" s="105">
        <v>10904.492530949643</v>
      </c>
      <c r="X7" s="105">
        <v>6.7724925781781282</v>
      </c>
      <c r="Y7" s="105">
        <v>5843.3065964520883</v>
      </c>
      <c r="Z7" s="105">
        <v>16.00359478694174</v>
      </c>
      <c r="AA7" s="105">
        <v>13807.901582173332</v>
      </c>
      <c r="AB7" s="105">
        <v>14.103570699121681</v>
      </c>
      <c r="AC7" s="105">
        <v>12168.560799202185</v>
      </c>
      <c r="AD7" s="105">
        <v>19.399989848320704</v>
      </c>
      <c r="AE7" s="105">
        <v>16738.311241131101</v>
      </c>
      <c r="AF7" s="105">
        <v>18.131095163474146</v>
      </c>
      <c r="AG7" s="105">
        <v>15643.508907045492</v>
      </c>
      <c r="AH7" s="105">
        <v>14.975022175834589</v>
      </c>
      <c r="AI7" s="105">
        <v>12920.449133310083</v>
      </c>
      <c r="AJ7" s="105">
        <v>13.854442285125877</v>
      </c>
      <c r="AK7" s="105">
        <v>11953.612803606606</v>
      </c>
      <c r="AL7" s="105">
        <v>12.513332781919813</v>
      </c>
      <c r="AM7" s="105">
        <v>10796.503524240414</v>
      </c>
      <c r="AN7" s="105">
        <v>9.9863187029784513</v>
      </c>
      <c r="AO7" s="105">
        <v>8616.1957769298078</v>
      </c>
      <c r="AP7" s="105">
        <v>9.9453597301712211</v>
      </c>
      <c r="AQ7" s="105">
        <v>8580.85637519173</v>
      </c>
      <c r="AR7" s="105">
        <v>12.028223938741489</v>
      </c>
      <c r="AS7" s="105">
        <v>10377.951614346155</v>
      </c>
      <c r="AT7" s="105">
        <v>16.274225013007452</v>
      </c>
      <c r="AU7" s="105">
        <v>14041.401341222829</v>
      </c>
      <c r="AV7" s="105">
        <v>11.470608598363848</v>
      </c>
      <c r="AW7" s="105">
        <v>9896.8410986683266</v>
      </c>
      <c r="AX7" s="105">
        <v>11.533263770866734</v>
      </c>
      <c r="AY7" s="105">
        <v>9950.8999815038169</v>
      </c>
      <c r="AZ7" s="105">
        <v>15.735343390060185</v>
      </c>
      <c r="BA7" s="105">
        <v>13576.454276943927</v>
      </c>
      <c r="BB7" s="105">
        <v>12.172037544065857</v>
      </c>
      <c r="BC7" s="105">
        <v>10502.033993020021</v>
      </c>
      <c r="BD7" s="105">
        <v>15.866690162932141</v>
      </c>
      <c r="BE7" s="105">
        <v>13689.780272577851</v>
      </c>
      <c r="BF7" s="105">
        <v>8.3174204002709864</v>
      </c>
      <c r="BG7" s="105">
        <v>7176.270321353807</v>
      </c>
      <c r="BH7" s="105">
        <v>13.055147537907079</v>
      </c>
      <c r="BI7" s="105">
        <v>11263.981295706228</v>
      </c>
      <c r="BJ7" s="105">
        <v>8.6336122865636025</v>
      </c>
      <c r="BK7" s="105">
        <v>7449.0806808470761</v>
      </c>
      <c r="BL7" s="105">
        <v>12</v>
      </c>
      <c r="BM7" s="105">
        <v>10353.599999999999</v>
      </c>
      <c r="BN7" s="105">
        <v>14.81519340699672</v>
      </c>
      <c r="BO7" s="105">
        <v>12782.54887155677</v>
      </c>
      <c r="BP7" s="105">
        <v>10.130389678639522</v>
      </c>
      <c r="BQ7" s="105">
        <v>8740.5002147301802</v>
      </c>
      <c r="BR7" s="105">
        <v>15.967989596096022</v>
      </c>
      <c r="BS7" s="105">
        <v>13777.181423511647</v>
      </c>
      <c r="BT7" s="105">
        <v>13.881935168567237</v>
      </c>
      <c r="BU7" s="105">
        <v>11977.333663439811</v>
      </c>
      <c r="BV7" s="105">
        <v>17.449475044546546</v>
      </c>
      <c r="BW7" s="105">
        <v>15055.407068434759</v>
      </c>
      <c r="BX7" s="105">
        <v>14</v>
      </c>
      <c r="BY7" s="105">
        <v>12079.199999999999</v>
      </c>
      <c r="BZ7" s="105">
        <v>16.833731983733344</v>
      </c>
      <c r="CA7" s="105">
        <v>14524.143955565129</v>
      </c>
      <c r="CB7" s="105">
        <v>15.683411563690351</v>
      </c>
      <c r="CC7" s="105">
        <v>13531.647497152035</v>
      </c>
      <c r="CD7" s="105">
        <v>16.476167951125063</v>
      </c>
      <c r="CE7" s="105">
        <v>14215.637708230704</v>
      </c>
      <c r="CF7" s="105">
        <v>14.64429492695894</v>
      </c>
      <c r="CG7" s="105">
        <v>12635.097662980173</v>
      </c>
      <c r="CH7" s="105">
        <v>12</v>
      </c>
      <c r="CI7" s="105">
        <v>10353.599999999999</v>
      </c>
      <c r="CJ7" s="105">
        <v>15.467840833761787</v>
      </c>
      <c r="CK7" s="105">
        <v>13345.65307136967</v>
      </c>
      <c r="CL7" s="105">
        <v>5.6749648079415547</v>
      </c>
      <c r="CM7" s="105">
        <v>4896.3596362919734</v>
      </c>
      <c r="CN7" s="105">
        <v>12.96067596082195</v>
      </c>
      <c r="CO7" s="105">
        <v>11182.471218997178</v>
      </c>
      <c r="CP7" s="105">
        <v>11.95991703976051</v>
      </c>
      <c r="CQ7" s="105">
        <v>10319.016421905368</v>
      </c>
      <c r="CR7" s="105">
        <v>19.161587515315226</v>
      </c>
      <c r="CS7" s="105">
        <v>16532.617708213977</v>
      </c>
      <c r="CT7" s="105">
        <v>17.343334685394804</v>
      </c>
      <c r="CU7" s="105">
        <v>14963.829166558637</v>
      </c>
    </row>
    <row r="8" spans="1:99" x14ac:dyDescent="0.2">
      <c r="C8" s="104" t="s">
        <v>174</v>
      </c>
      <c r="D8" s="105">
        <v>0</v>
      </c>
      <c r="E8" s="105">
        <v>0</v>
      </c>
      <c r="F8" s="105">
        <v>0</v>
      </c>
      <c r="G8" s="105">
        <v>0</v>
      </c>
      <c r="H8" s="105">
        <v>0</v>
      </c>
      <c r="I8" s="105">
        <v>0</v>
      </c>
      <c r="J8" s="105">
        <v>0</v>
      </c>
      <c r="K8" s="105">
        <v>0</v>
      </c>
      <c r="L8" s="105">
        <v>16.628562727132032</v>
      </c>
      <c r="M8" s="105">
        <v>5447.5171494084534</v>
      </c>
      <c r="N8" s="105">
        <v>18.642229223174013</v>
      </c>
      <c r="O8" s="105">
        <v>6107.1942935118059</v>
      </c>
      <c r="P8" s="105">
        <v>13.034684924211298</v>
      </c>
      <c r="Q8" s="105">
        <v>4270.1627811716207</v>
      </c>
      <c r="R8" s="105">
        <v>19.890719460342442</v>
      </c>
      <c r="S8" s="105">
        <v>6516.1996952081836</v>
      </c>
      <c r="T8" s="105">
        <v>17.301239212857439</v>
      </c>
      <c r="U8" s="105">
        <v>5667.8859661320967</v>
      </c>
      <c r="V8" s="105">
        <v>13.428399761397772</v>
      </c>
      <c r="W8" s="105">
        <v>4399.1437618339096</v>
      </c>
      <c r="X8" s="105">
        <v>7.2934535457302925</v>
      </c>
      <c r="Y8" s="105">
        <v>2389.3353815812434</v>
      </c>
      <c r="Z8" s="105">
        <v>17.781771985490824</v>
      </c>
      <c r="AA8" s="105">
        <v>5825.3085024467937</v>
      </c>
      <c r="AB8" s="105">
        <v>13.273948893290996</v>
      </c>
      <c r="AC8" s="105">
        <v>4348.5456574421296</v>
      </c>
      <c r="AD8" s="105">
        <v>19.399989848320704</v>
      </c>
      <c r="AE8" s="105">
        <v>6355.4366743098617</v>
      </c>
      <c r="AF8" s="105">
        <v>15.540938711549268</v>
      </c>
      <c r="AG8" s="105">
        <v>5091.2115219035395</v>
      </c>
      <c r="AH8" s="105">
        <v>13.976687364112284</v>
      </c>
      <c r="AI8" s="105">
        <v>4578.7627804831836</v>
      </c>
      <c r="AJ8" s="105">
        <v>13.854442285125877</v>
      </c>
      <c r="AK8" s="105">
        <v>4538.7152926072367</v>
      </c>
      <c r="AL8" s="105">
        <v>15.294073400124216</v>
      </c>
      <c r="AM8" s="105">
        <v>5010.3384458806922</v>
      </c>
      <c r="AN8" s="105">
        <v>12.482898378723064</v>
      </c>
      <c r="AO8" s="105">
        <v>4089.3975088696752</v>
      </c>
      <c r="AP8" s="105">
        <v>10.849483342004968</v>
      </c>
      <c r="AQ8" s="105">
        <v>3554.2907428408271</v>
      </c>
      <c r="AR8" s="105">
        <v>12.028223938741489</v>
      </c>
      <c r="AS8" s="105">
        <v>3940.4461623317111</v>
      </c>
      <c r="AT8" s="105">
        <v>14.794750011824956</v>
      </c>
      <c r="AU8" s="105">
        <v>4846.7601038738549</v>
      </c>
      <c r="AV8" s="105">
        <v>13.235317613496749</v>
      </c>
      <c r="AW8" s="105">
        <v>4335.8900501815342</v>
      </c>
      <c r="AX8" s="105">
        <v>12.420437907087253</v>
      </c>
      <c r="AY8" s="105">
        <v>4068.9354583617837</v>
      </c>
      <c r="AZ8" s="105">
        <v>16.718802351938947</v>
      </c>
      <c r="BA8" s="105">
        <v>5477.0796504951986</v>
      </c>
      <c r="BB8" s="105">
        <v>14.320044169489243</v>
      </c>
      <c r="BC8" s="105">
        <v>4691.2464699246757</v>
      </c>
      <c r="BD8" s="105">
        <v>17.850026433298659</v>
      </c>
      <c r="BE8" s="105">
        <v>5847.6686595486399</v>
      </c>
      <c r="BF8" s="105">
        <v>10.812646520352281</v>
      </c>
      <c r="BG8" s="105">
        <v>3542.2230000674072</v>
      </c>
      <c r="BH8" s="105">
        <v>13.987658076329012</v>
      </c>
      <c r="BI8" s="105">
        <v>4582.3567858053839</v>
      </c>
      <c r="BJ8" s="105">
        <v>9.4558610757601365</v>
      </c>
      <c r="BK8" s="105">
        <v>3097.7400884190206</v>
      </c>
      <c r="BL8" s="105">
        <v>13</v>
      </c>
      <c r="BM8" s="105">
        <v>4258.7999999999993</v>
      </c>
      <c r="BN8" s="105">
        <v>17.593042170808605</v>
      </c>
      <c r="BO8" s="105">
        <v>5763.4806151568982</v>
      </c>
      <c r="BP8" s="105">
        <v>12.893223227359393</v>
      </c>
      <c r="BQ8" s="105">
        <v>4223.8199292829368</v>
      </c>
      <c r="BR8" s="105">
        <v>18.363188035510426</v>
      </c>
      <c r="BS8" s="105">
        <v>6015.7804004332147</v>
      </c>
      <c r="BT8" s="105">
        <v>15.089059965833952</v>
      </c>
      <c r="BU8" s="105">
        <v>4943.1760448072018</v>
      </c>
      <c r="BV8" s="105">
        <v>16.722413584357106</v>
      </c>
      <c r="BW8" s="105">
        <v>5478.2626902353877</v>
      </c>
      <c r="BX8" s="105">
        <v>14</v>
      </c>
      <c r="BY8" s="105">
        <v>4586.3999999999996</v>
      </c>
      <c r="BZ8" s="105">
        <v>18.704146648592605</v>
      </c>
      <c r="CA8" s="105">
        <v>6127.4784420789365</v>
      </c>
      <c r="CB8" s="105">
        <v>14.703198340959704</v>
      </c>
      <c r="CC8" s="105">
        <v>4816.7677764983982</v>
      </c>
      <c r="CD8" s="105">
        <v>14.741834482585583</v>
      </c>
      <c r="CE8" s="105">
        <v>4829.4249764950364</v>
      </c>
      <c r="CF8" s="105">
        <v>15.559563359893874</v>
      </c>
      <c r="CG8" s="105">
        <v>5097.3129567012329</v>
      </c>
      <c r="CH8" s="105">
        <v>13</v>
      </c>
      <c r="CI8" s="105">
        <v>4258.7999999999993</v>
      </c>
      <c r="CJ8" s="105">
        <v>15.467840833761787</v>
      </c>
      <c r="CK8" s="105">
        <v>5067.2646571403611</v>
      </c>
      <c r="CL8" s="105">
        <v>6.7390207094305969</v>
      </c>
      <c r="CM8" s="105">
        <v>2207.7031844094631</v>
      </c>
      <c r="CN8" s="105">
        <v>14.400751067579945</v>
      </c>
      <c r="CO8" s="105">
        <v>4717.686049739189</v>
      </c>
      <c r="CP8" s="105">
        <v>15.149228250363313</v>
      </c>
      <c r="CQ8" s="105">
        <v>4962.8871748190213</v>
      </c>
      <c r="CR8" s="105">
        <v>18.328475014649346</v>
      </c>
      <c r="CS8" s="105">
        <v>6004.4084147991252</v>
      </c>
      <c r="CT8" s="105">
        <v>18.210501419664546</v>
      </c>
      <c r="CU8" s="105">
        <v>5965.7602650821045</v>
      </c>
    </row>
    <row r="9" spans="1:99" x14ac:dyDescent="0.2">
      <c r="C9" s="104" t="s">
        <v>175</v>
      </c>
      <c r="D9" s="105">
        <v>0</v>
      </c>
      <c r="E9" s="105">
        <v>0</v>
      </c>
      <c r="F9" s="105">
        <v>0</v>
      </c>
      <c r="G9" s="105">
        <v>0</v>
      </c>
      <c r="H9" s="105">
        <v>0</v>
      </c>
      <c r="I9" s="105">
        <v>0</v>
      </c>
      <c r="J9" s="105">
        <v>0</v>
      </c>
      <c r="K9" s="105">
        <v>0</v>
      </c>
      <c r="L9" s="105">
        <v>14.780944646339584</v>
      </c>
      <c r="M9" s="105">
        <v>11866.142362081418</v>
      </c>
      <c r="N9" s="105">
        <v>15.25273300077874</v>
      </c>
      <c r="O9" s="105">
        <v>12244.894053025171</v>
      </c>
      <c r="P9" s="105">
        <v>12.103636001053347</v>
      </c>
      <c r="Q9" s="105">
        <v>9716.7989816456266</v>
      </c>
      <c r="R9" s="105">
        <v>18.082472236674946</v>
      </c>
      <c r="S9" s="105">
        <v>14516.608711602645</v>
      </c>
      <c r="T9" s="105">
        <v>15.378879300317722</v>
      </c>
      <c r="U9" s="105">
        <v>12346.164302295067</v>
      </c>
      <c r="V9" s="105">
        <v>13.428399761397772</v>
      </c>
      <c r="W9" s="105">
        <v>10780.31932845013</v>
      </c>
      <c r="X9" s="105">
        <v>5.7305706430738006</v>
      </c>
      <c r="Y9" s="105">
        <v>4600.5021122596472</v>
      </c>
      <c r="Z9" s="105">
        <v>15.114506187667201</v>
      </c>
      <c r="AA9" s="105">
        <v>12133.925567459228</v>
      </c>
      <c r="AB9" s="105">
        <v>13.273948893290996</v>
      </c>
      <c r="AC9" s="105">
        <v>10656.32617153401</v>
      </c>
      <c r="AD9" s="105">
        <v>17.552371767528253</v>
      </c>
      <c r="AE9" s="105">
        <v>14091.04405497168</v>
      </c>
      <c r="AF9" s="105">
        <v>18.131095163474146</v>
      </c>
      <c r="AG9" s="105">
        <v>14555.643197237045</v>
      </c>
      <c r="AH9" s="105">
        <v>14.975022175834589</v>
      </c>
      <c r="AI9" s="105">
        <v>12021.947802760007</v>
      </c>
      <c r="AJ9" s="105">
        <v>13.854442285125877</v>
      </c>
      <c r="AK9" s="105">
        <v>11122.346266499053</v>
      </c>
      <c r="AL9" s="105">
        <v>13.903703091022015</v>
      </c>
      <c r="AM9" s="105">
        <v>11161.892841472472</v>
      </c>
      <c r="AN9" s="105">
        <v>11.65070515347486</v>
      </c>
      <c r="AO9" s="105">
        <v>9353.1860972096165</v>
      </c>
      <c r="AP9" s="105">
        <v>10.849483342004968</v>
      </c>
      <c r="AQ9" s="105">
        <v>8709.9652269615872</v>
      </c>
      <c r="AR9" s="105">
        <v>13.878719929317104</v>
      </c>
      <c r="AS9" s="105">
        <v>11141.836359255771</v>
      </c>
      <c r="AT9" s="105">
        <v>14.794750011824956</v>
      </c>
      <c r="AU9" s="105">
        <v>11877.225309493073</v>
      </c>
      <c r="AV9" s="105">
        <v>11.470608598363848</v>
      </c>
      <c r="AW9" s="105">
        <v>9208.6045827664966</v>
      </c>
      <c r="AX9" s="105">
        <v>11.533263770866734</v>
      </c>
      <c r="AY9" s="105">
        <v>9258.9041552518138</v>
      </c>
      <c r="AZ9" s="105">
        <v>14.751884428181423</v>
      </c>
      <c r="BA9" s="105">
        <v>11842.812818944047</v>
      </c>
      <c r="BB9" s="105">
        <v>13.604041961014781</v>
      </c>
      <c r="BC9" s="105">
        <v>10921.324886302666</v>
      </c>
      <c r="BD9" s="105">
        <v>18.841694568481916</v>
      </c>
      <c r="BE9" s="105">
        <v>15126.112399577281</v>
      </c>
      <c r="BF9" s="105">
        <v>9.980904480325183</v>
      </c>
      <c r="BG9" s="105">
        <v>8012.6701168050568</v>
      </c>
      <c r="BH9" s="105">
        <v>13.987658076329012</v>
      </c>
      <c r="BI9" s="105">
        <v>11229.291903676931</v>
      </c>
      <c r="BJ9" s="105">
        <v>8.6336122865636025</v>
      </c>
      <c r="BK9" s="105">
        <v>6931.0639436532592</v>
      </c>
      <c r="BL9" s="105">
        <v>12</v>
      </c>
      <c r="BM9" s="105">
        <v>9633.5999999999985</v>
      </c>
      <c r="BN9" s="105">
        <v>14.81519340699672</v>
      </c>
      <c r="BO9" s="105">
        <v>11893.637267136966</v>
      </c>
      <c r="BP9" s="105">
        <v>11.972278711119436</v>
      </c>
      <c r="BQ9" s="105">
        <v>9611.3453492866829</v>
      </c>
      <c r="BR9" s="105">
        <v>17.564788555705626</v>
      </c>
      <c r="BS9" s="105">
        <v>14101.012252520475</v>
      </c>
      <c r="BT9" s="105">
        <v>13.278372769933878</v>
      </c>
      <c r="BU9" s="105">
        <v>10659.877659702915</v>
      </c>
      <c r="BV9" s="105">
        <v>17.449475044546546</v>
      </c>
      <c r="BW9" s="105">
        <v>14008.438565761966</v>
      </c>
      <c r="BX9" s="105">
        <v>13</v>
      </c>
      <c r="BY9" s="105">
        <v>10436.4</v>
      </c>
      <c r="BZ9" s="105">
        <v>19.639353981022232</v>
      </c>
      <c r="CA9" s="105">
        <v>15766.473375964648</v>
      </c>
      <c r="CB9" s="105">
        <v>16.663624786420996</v>
      </c>
      <c r="CC9" s="105">
        <v>13377.557978538774</v>
      </c>
      <c r="CD9" s="105">
        <v>14.741834482585583</v>
      </c>
      <c r="CE9" s="105">
        <v>11834.744722619705</v>
      </c>
      <c r="CF9" s="105">
        <v>15.559563359893874</v>
      </c>
      <c r="CG9" s="105">
        <v>12491.217465322801</v>
      </c>
      <c r="CH9" s="105">
        <v>13</v>
      </c>
      <c r="CI9" s="105">
        <v>10436.4</v>
      </c>
      <c r="CJ9" s="105">
        <v>15.467840833761787</v>
      </c>
      <c r="CK9" s="105">
        <v>12417.582621343961</v>
      </c>
      <c r="CL9" s="105">
        <v>6.0296501084379015</v>
      </c>
      <c r="CM9" s="105">
        <v>4840.6031070539475</v>
      </c>
      <c r="CN9" s="105">
        <v>12.96067596082195</v>
      </c>
      <c r="CO9" s="105">
        <v>10404.830661347862</v>
      </c>
      <c r="CP9" s="105">
        <v>12.757244842411211</v>
      </c>
      <c r="CQ9" s="105">
        <v>10241.516159487719</v>
      </c>
      <c r="CR9" s="105">
        <v>19.161587515315226</v>
      </c>
      <c r="CS9" s="105">
        <v>15382.922457295062</v>
      </c>
      <c r="CT9" s="105">
        <v>18.210501419664546</v>
      </c>
      <c r="CU9" s="105">
        <v>14619.390539706696</v>
      </c>
    </row>
    <row r="10" spans="1:99" x14ac:dyDescent="0.2">
      <c r="C10" s="104" t="s">
        <v>176</v>
      </c>
      <c r="D10" s="105">
        <v>0</v>
      </c>
      <c r="E10" s="105">
        <v>0</v>
      </c>
      <c r="F10" s="105">
        <v>0</v>
      </c>
      <c r="G10" s="105">
        <v>0</v>
      </c>
      <c r="H10" s="105">
        <v>0</v>
      </c>
      <c r="I10" s="105">
        <v>0</v>
      </c>
      <c r="J10" s="105">
        <v>0</v>
      </c>
      <c r="K10" s="105">
        <v>0</v>
      </c>
      <c r="L10" s="105">
        <v>14.780944646339584</v>
      </c>
      <c r="M10" s="105">
        <v>8230.0299790818808</v>
      </c>
      <c r="N10" s="105">
        <v>16.10010705637756</v>
      </c>
      <c r="O10" s="105">
        <v>8964.5396089910246</v>
      </c>
      <c r="P10" s="105">
        <v>11.172587077895399</v>
      </c>
      <c r="Q10" s="105">
        <v>6220.8964849721579</v>
      </c>
      <c r="R10" s="105">
        <v>18.986595848508692</v>
      </c>
      <c r="S10" s="105">
        <v>10571.736568449638</v>
      </c>
      <c r="T10" s="105">
        <v>16.34005925658758</v>
      </c>
      <c r="U10" s="105">
        <v>9098.1449940679631</v>
      </c>
      <c r="V10" s="105">
        <v>15.008211498032804</v>
      </c>
      <c r="W10" s="105">
        <v>8356.572162104665</v>
      </c>
      <c r="X10" s="105">
        <v>6.7724925781781282</v>
      </c>
      <c r="Y10" s="105">
        <v>3770.9238675295815</v>
      </c>
      <c r="Z10" s="105">
        <v>16.892683386216284</v>
      </c>
      <c r="AA10" s="105">
        <v>9405.8461094452268</v>
      </c>
      <c r="AB10" s="105">
        <v>14.103570699121681</v>
      </c>
      <c r="AC10" s="105">
        <v>7852.8681652709511</v>
      </c>
      <c r="AD10" s="105">
        <v>19.399989848320704</v>
      </c>
      <c r="AE10" s="105">
        <v>10801.914347544967</v>
      </c>
      <c r="AF10" s="105">
        <v>15.540938711549268</v>
      </c>
      <c r="AG10" s="105">
        <v>8653.1946745906316</v>
      </c>
      <c r="AH10" s="105">
        <v>15.973356987556896</v>
      </c>
      <c r="AI10" s="105">
        <v>8893.9651706716795</v>
      </c>
      <c r="AJ10" s="105">
        <v>12.98853964230551</v>
      </c>
      <c r="AK10" s="105">
        <v>7232.018872835707</v>
      </c>
      <c r="AL10" s="105">
        <v>13.903703091022015</v>
      </c>
      <c r="AM10" s="105">
        <v>7741.581881081057</v>
      </c>
      <c r="AN10" s="105">
        <v>12.482898378723064</v>
      </c>
      <c r="AO10" s="105">
        <v>6950.4778172730012</v>
      </c>
      <c r="AP10" s="105">
        <v>10.849483342004968</v>
      </c>
      <c r="AQ10" s="105">
        <v>6040.9923248283658</v>
      </c>
      <c r="AR10" s="105">
        <v>12.028223938741489</v>
      </c>
      <c r="AS10" s="105">
        <v>6697.3150890912602</v>
      </c>
      <c r="AT10" s="105">
        <v>16.274225013007452</v>
      </c>
      <c r="AU10" s="105">
        <v>9061.4884872425482</v>
      </c>
      <c r="AV10" s="105">
        <v>11.470608598363848</v>
      </c>
      <c r="AW10" s="105">
        <v>6386.8348675689895</v>
      </c>
      <c r="AX10" s="105">
        <v>11.533263770866734</v>
      </c>
      <c r="AY10" s="105">
        <v>6421.7212676185973</v>
      </c>
      <c r="AZ10" s="105">
        <v>15.735343390060185</v>
      </c>
      <c r="BA10" s="105">
        <v>8761.4391995855112</v>
      </c>
      <c r="BB10" s="105">
        <v>13.604041961014781</v>
      </c>
      <c r="BC10" s="105">
        <v>7574.7305638930293</v>
      </c>
      <c r="BD10" s="105">
        <v>16.858358298115402</v>
      </c>
      <c r="BE10" s="105">
        <v>9386.7339003906545</v>
      </c>
      <c r="BF10" s="105">
        <v>9.980904480325183</v>
      </c>
      <c r="BG10" s="105">
        <v>5557.3676146450616</v>
      </c>
      <c r="BH10" s="105">
        <v>13.055147537907079</v>
      </c>
      <c r="BI10" s="105">
        <v>7269.1061491066612</v>
      </c>
      <c r="BJ10" s="105">
        <v>8.2224878919653364</v>
      </c>
      <c r="BK10" s="105">
        <v>4578.2812582462993</v>
      </c>
      <c r="BL10" s="105">
        <v>13</v>
      </c>
      <c r="BM10" s="105">
        <v>7238.4</v>
      </c>
      <c r="BN10" s="105">
        <v>14.81519340699672</v>
      </c>
      <c r="BO10" s="105">
        <v>8249.099689015773</v>
      </c>
      <c r="BP10" s="105">
        <v>11.051334194879479</v>
      </c>
      <c r="BQ10" s="105">
        <v>6153.3828797088936</v>
      </c>
      <c r="BR10" s="105">
        <v>15.967989596096022</v>
      </c>
      <c r="BS10" s="105">
        <v>8890.9766071062641</v>
      </c>
      <c r="BT10" s="105">
        <v>14.485497567200595</v>
      </c>
      <c r="BU10" s="105">
        <v>8065.5250454172901</v>
      </c>
      <c r="BV10" s="105">
        <v>18.176536504735985</v>
      </c>
      <c r="BW10" s="105">
        <v>10120.695525836996</v>
      </c>
      <c r="BX10" s="105">
        <v>15</v>
      </c>
      <c r="BY10" s="105">
        <v>8352</v>
      </c>
      <c r="BZ10" s="105">
        <v>18.704146648592605</v>
      </c>
      <c r="CA10" s="105">
        <v>10414.468853936361</v>
      </c>
      <c r="CB10" s="105">
        <v>15.683411563690351</v>
      </c>
      <c r="CC10" s="105">
        <v>8732.5235586627859</v>
      </c>
      <c r="CD10" s="105">
        <v>14.741834482585583</v>
      </c>
      <c r="CE10" s="105">
        <v>8208.2534399036522</v>
      </c>
      <c r="CF10" s="105">
        <v>17.390100225763742</v>
      </c>
      <c r="CG10" s="105">
        <v>9682.8078057052517</v>
      </c>
      <c r="CH10" s="105">
        <v>12</v>
      </c>
      <c r="CI10" s="105">
        <v>6681.5999999999995</v>
      </c>
      <c r="CJ10" s="105">
        <v>15.467840833761787</v>
      </c>
      <c r="CK10" s="105">
        <v>8612.4937762385634</v>
      </c>
      <c r="CL10" s="105">
        <v>6.0296501084379015</v>
      </c>
      <c r="CM10" s="105">
        <v>3357.3091803782231</v>
      </c>
      <c r="CN10" s="105">
        <v>15.120788620958942</v>
      </c>
      <c r="CO10" s="105">
        <v>8419.2551041499391</v>
      </c>
      <c r="CP10" s="105">
        <v>14.351900447712612</v>
      </c>
      <c r="CQ10" s="105">
        <v>7991.1381692863815</v>
      </c>
      <c r="CR10" s="105">
        <v>19.994700015981106</v>
      </c>
      <c r="CS10" s="105">
        <v>11133.04896889828</v>
      </c>
      <c r="CT10" s="105">
        <v>17.343334685394804</v>
      </c>
      <c r="CU10" s="105">
        <v>9656.7687528278257</v>
      </c>
    </row>
    <row r="11" spans="1:99" x14ac:dyDescent="0.2">
      <c r="C11" s="104" t="s">
        <v>177</v>
      </c>
      <c r="D11" s="105">
        <v>0</v>
      </c>
      <c r="E11" s="105">
        <v>0</v>
      </c>
      <c r="F11" s="105">
        <v>0</v>
      </c>
      <c r="G11" s="105">
        <v>0</v>
      </c>
      <c r="H11" s="105">
        <v>0</v>
      </c>
      <c r="I11" s="105">
        <v>0</v>
      </c>
      <c r="J11" s="105">
        <v>0</v>
      </c>
      <c r="K11" s="105">
        <v>0</v>
      </c>
      <c r="L11" s="105">
        <v>17.552371767528253</v>
      </c>
      <c r="M11" s="105">
        <v>10510.360214395918</v>
      </c>
      <c r="N11" s="105">
        <v>17.794855167575196</v>
      </c>
      <c r="O11" s="105">
        <v>10655.559274344027</v>
      </c>
      <c r="P11" s="105">
        <v>11.172587077895399</v>
      </c>
      <c r="Q11" s="105">
        <v>6690.145142243764</v>
      </c>
      <c r="R11" s="105">
        <v>18.986595848508692</v>
      </c>
      <c r="S11" s="105">
        <v>11369.173594087004</v>
      </c>
      <c r="T11" s="105">
        <v>16.34005925658758</v>
      </c>
      <c r="U11" s="105">
        <v>9784.4274828446414</v>
      </c>
      <c r="V11" s="105">
        <v>12.638493893080256</v>
      </c>
      <c r="W11" s="105">
        <v>7567.9301431764561</v>
      </c>
      <c r="X11" s="105">
        <v>6.7724925781781282</v>
      </c>
      <c r="Y11" s="105">
        <v>4055.3685558130628</v>
      </c>
      <c r="Z11" s="105">
        <v>15.114506187667201</v>
      </c>
      <c r="AA11" s="105">
        <v>9050.5663051751199</v>
      </c>
      <c r="AB11" s="105">
        <v>14.103570699121681</v>
      </c>
      <c r="AC11" s="105">
        <v>8445.2181346340622</v>
      </c>
      <c r="AD11" s="105">
        <v>17.552371767528253</v>
      </c>
      <c r="AE11" s="105">
        <v>10510.360214395918</v>
      </c>
      <c r="AF11" s="105">
        <v>15.540938711549268</v>
      </c>
      <c r="AG11" s="105">
        <v>9305.9141004757003</v>
      </c>
      <c r="AH11" s="105">
        <v>15.973356987556896</v>
      </c>
      <c r="AI11" s="105">
        <v>9564.8461641490685</v>
      </c>
      <c r="AJ11" s="105">
        <v>12.122636999485142</v>
      </c>
      <c r="AK11" s="105">
        <v>7259.0350352917021</v>
      </c>
      <c r="AL11" s="105">
        <v>14.598888245573116</v>
      </c>
      <c r="AM11" s="105">
        <v>8741.8142814491821</v>
      </c>
      <c r="AN11" s="105">
        <v>11.65070515347486</v>
      </c>
      <c r="AO11" s="105">
        <v>6976.4422459007455</v>
      </c>
      <c r="AP11" s="105">
        <v>11.753606953838716</v>
      </c>
      <c r="AQ11" s="105">
        <v>7038.0598439586229</v>
      </c>
      <c r="AR11" s="105">
        <v>12.028223938741489</v>
      </c>
      <c r="AS11" s="105">
        <v>7202.5004945184028</v>
      </c>
      <c r="AT11" s="105">
        <v>17.013962513598699</v>
      </c>
      <c r="AU11" s="105">
        <v>10187.960753142901</v>
      </c>
      <c r="AV11" s="105">
        <v>11.470608598363848</v>
      </c>
      <c r="AW11" s="105">
        <v>6868.6004287002716</v>
      </c>
      <c r="AX11" s="105">
        <v>10.646089634646216</v>
      </c>
      <c r="AY11" s="105">
        <v>6374.8784732261538</v>
      </c>
      <c r="AZ11" s="105">
        <v>14.751884428181423</v>
      </c>
      <c r="BA11" s="105">
        <v>8833.4283955950359</v>
      </c>
      <c r="BB11" s="105">
        <v>12.172037544065857</v>
      </c>
      <c r="BC11" s="105">
        <v>7288.6160813866345</v>
      </c>
      <c r="BD11" s="105">
        <v>17.850026433298659</v>
      </c>
      <c r="BE11" s="105">
        <v>10688.595828259236</v>
      </c>
      <c r="BF11" s="105">
        <v>9.980904480325183</v>
      </c>
      <c r="BG11" s="105">
        <v>5976.5656028187195</v>
      </c>
      <c r="BH11" s="105">
        <v>13.055147537907079</v>
      </c>
      <c r="BI11" s="105">
        <v>7817.4223456987584</v>
      </c>
      <c r="BJ11" s="105">
        <v>8.2224878919653364</v>
      </c>
      <c r="BK11" s="105">
        <v>4923.6257497088427</v>
      </c>
      <c r="BL11" s="105">
        <v>13</v>
      </c>
      <c r="BM11" s="105">
        <v>7784.4</v>
      </c>
      <c r="BN11" s="105">
        <v>16.667092582871309</v>
      </c>
      <c r="BO11" s="105">
        <v>9980.2550386233397</v>
      </c>
      <c r="BP11" s="105">
        <v>11.051334194879479</v>
      </c>
      <c r="BQ11" s="105">
        <v>6617.5389158938315</v>
      </c>
      <c r="BR11" s="105">
        <v>17.564788555705626</v>
      </c>
      <c r="BS11" s="105">
        <v>10517.795387156528</v>
      </c>
      <c r="BT11" s="105">
        <v>13.881935168567237</v>
      </c>
      <c r="BU11" s="105">
        <v>8312.5027789380601</v>
      </c>
      <c r="BV11" s="105">
        <v>17.449475044546546</v>
      </c>
      <c r="BW11" s="105">
        <v>10448.745656674471</v>
      </c>
      <c r="BX11" s="105">
        <v>15</v>
      </c>
      <c r="BY11" s="105">
        <v>8982</v>
      </c>
      <c r="BZ11" s="105">
        <v>17.768939316162975</v>
      </c>
      <c r="CA11" s="105">
        <v>10640.040862518388</v>
      </c>
      <c r="CB11" s="105">
        <v>15.683411563690351</v>
      </c>
      <c r="CC11" s="105">
        <v>9391.2268443377816</v>
      </c>
      <c r="CD11" s="105">
        <v>15.609001216855324</v>
      </c>
      <c r="CE11" s="105">
        <v>9346.6699286529674</v>
      </c>
      <c r="CF11" s="105">
        <v>14.64429492695894</v>
      </c>
      <c r="CG11" s="105">
        <v>8769.0038022630124</v>
      </c>
      <c r="CH11" s="105">
        <v>12</v>
      </c>
      <c r="CI11" s="105">
        <v>7185.5999999999995</v>
      </c>
      <c r="CJ11" s="105">
        <v>14.557967843540506</v>
      </c>
      <c r="CK11" s="105">
        <v>8717.3111447120555</v>
      </c>
      <c r="CL11" s="105">
        <v>6.0296501084379015</v>
      </c>
      <c r="CM11" s="105">
        <v>3610.5544849326152</v>
      </c>
      <c r="CN11" s="105">
        <v>12.96067596082195</v>
      </c>
      <c r="CO11" s="105">
        <v>7760.8527653401834</v>
      </c>
      <c r="CP11" s="105">
        <v>14.351900447712612</v>
      </c>
      <c r="CQ11" s="105">
        <v>8593.9179880903121</v>
      </c>
      <c r="CR11" s="105">
        <v>18.328475014649346</v>
      </c>
      <c r="CS11" s="105">
        <v>10975.090838772028</v>
      </c>
      <c r="CT11" s="105">
        <v>18.210501419664546</v>
      </c>
      <c r="CU11" s="105">
        <v>10904.448250095129</v>
      </c>
    </row>
    <row r="12" spans="1:99" x14ac:dyDescent="0.2">
      <c r="C12" s="104" t="s">
        <v>178</v>
      </c>
      <c r="D12" s="105">
        <v>0</v>
      </c>
      <c r="E12" s="105">
        <v>0</v>
      </c>
      <c r="F12" s="105">
        <v>0</v>
      </c>
      <c r="G12" s="105">
        <v>0</v>
      </c>
      <c r="H12" s="105">
        <v>0</v>
      </c>
      <c r="I12" s="105">
        <v>0</v>
      </c>
      <c r="J12" s="105">
        <v>0</v>
      </c>
      <c r="K12" s="105">
        <v>0</v>
      </c>
      <c r="L12" s="105">
        <v>15.704753686735808</v>
      </c>
      <c r="M12" s="105">
        <v>9498.2350297378161</v>
      </c>
      <c r="N12" s="105">
        <v>18.642229223174013</v>
      </c>
      <c r="O12" s="105">
        <v>11274.820234175642</v>
      </c>
      <c r="P12" s="105">
        <v>13.034684924211298</v>
      </c>
      <c r="Q12" s="105">
        <v>7883.3774421629923</v>
      </c>
      <c r="R12" s="105">
        <v>18.082472236674946</v>
      </c>
      <c r="S12" s="105">
        <v>10936.279208741007</v>
      </c>
      <c r="T12" s="105">
        <v>17.301239212857439</v>
      </c>
      <c r="U12" s="105">
        <v>10463.789475936179</v>
      </c>
      <c r="V12" s="105">
        <v>14.218305629715287</v>
      </c>
      <c r="W12" s="105">
        <v>8599.2312448518041</v>
      </c>
      <c r="X12" s="105">
        <v>5.7305706430738006</v>
      </c>
      <c r="Y12" s="105">
        <v>3465.8491249310346</v>
      </c>
      <c r="Z12" s="105">
        <v>16.00359478694174</v>
      </c>
      <c r="AA12" s="105">
        <v>9678.9741271423627</v>
      </c>
      <c r="AB12" s="105">
        <v>12.444327087460307</v>
      </c>
      <c r="AC12" s="105">
        <v>7526.3290224959928</v>
      </c>
      <c r="AD12" s="105">
        <v>18.476180807924482</v>
      </c>
      <c r="AE12" s="105">
        <v>11174.394152632725</v>
      </c>
      <c r="AF12" s="105">
        <v>15.540938711549268</v>
      </c>
      <c r="AG12" s="105">
        <v>9399.1597327449963</v>
      </c>
      <c r="AH12" s="105">
        <v>14.975022175834589</v>
      </c>
      <c r="AI12" s="105">
        <v>9056.8934119447586</v>
      </c>
      <c r="AJ12" s="105">
        <v>13.854442285125877</v>
      </c>
      <c r="AK12" s="105">
        <v>8379.1666940441301</v>
      </c>
      <c r="AL12" s="105">
        <v>14.598888245573116</v>
      </c>
      <c r="AM12" s="105">
        <v>8829.4076109226207</v>
      </c>
      <c r="AN12" s="105">
        <v>10.818511928226656</v>
      </c>
      <c r="AO12" s="105">
        <v>6543.0360141914807</v>
      </c>
      <c r="AP12" s="105">
        <v>11.753606953838716</v>
      </c>
      <c r="AQ12" s="105">
        <v>7108.5814856816551</v>
      </c>
      <c r="AR12" s="105">
        <v>13.878719929317104</v>
      </c>
      <c r="AS12" s="105">
        <v>8393.8498132509831</v>
      </c>
      <c r="AT12" s="105">
        <v>15.534487512416206</v>
      </c>
      <c r="AU12" s="105">
        <v>9395.25804750932</v>
      </c>
      <c r="AV12" s="105">
        <v>11.470608598363848</v>
      </c>
      <c r="AW12" s="105">
        <v>6937.4240802904542</v>
      </c>
      <c r="AX12" s="105">
        <v>9.7589154984256989</v>
      </c>
      <c r="AY12" s="105">
        <v>5902.1920934478621</v>
      </c>
      <c r="AZ12" s="105">
        <v>14.751884428181423</v>
      </c>
      <c r="BA12" s="105">
        <v>8921.9397021641234</v>
      </c>
      <c r="BB12" s="105">
        <v>12.172037544065857</v>
      </c>
      <c r="BC12" s="105">
        <v>7361.64830665103</v>
      </c>
      <c r="BD12" s="105">
        <v>18.841694568481916</v>
      </c>
      <c r="BE12" s="105">
        <v>11395.456875017862</v>
      </c>
      <c r="BF12" s="105">
        <v>9.980904480325183</v>
      </c>
      <c r="BG12" s="105">
        <v>6036.45102970067</v>
      </c>
      <c r="BH12" s="105">
        <v>13.987658076329012</v>
      </c>
      <c r="BI12" s="105">
        <v>8459.7356045637862</v>
      </c>
      <c r="BJ12" s="105">
        <v>8.6336122865636025</v>
      </c>
      <c r="BK12" s="105">
        <v>5221.6087109136661</v>
      </c>
      <c r="BL12" s="105">
        <v>12</v>
      </c>
      <c r="BM12" s="105">
        <v>7257.5999999999995</v>
      </c>
      <c r="BN12" s="105">
        <v>15.741142994934014</v>
      </c>
      <c r="BO12" s="105">
        <v>9520.2432833360908</v>
      </c>
      <c r="BP12" s="105">
        <v>11.051334194879479</v>
      </c>
      <c r="BQ12" s="105">
        <v>6683.8469210631083</v>
      </c>
      <c r="BR12" s="105">
        <v>17.564788555705626</v>
      </c>
      <c r="BS12" s="105">
        <v>10623.184118490761</v>
      </c>
      <c r="BT12" s="105">
        <v>13.881935168567237</v>
      </c>
      <c r="BU12" s="105">
        <v>8395.7943899494639</v>
      </c>
      <c r="BV12" s="105">
        <v>17.449475044546546</v>
      </c>
      <c r="BW12" s="105">
        <v>10553.44250694175</v>
      </c>
      <c r="BX12" s="105">
        <v>13</v>
      </c>
      <c r="BY12" s="105">
        <v>7862.4</v>
      </c>
      <c r="BZ12" s="105">
        <v>17.768939316162975</v>
      </c>
      <c r="CA12" s="105">
        <v>10746.654498415366</v>
      </c>
      <c r="CB12" s="105">
        <v>16.663624786420996</v>
      </c>
      <c r="CC12" s="105">
        <v>10078.160270827419</v>
      </c>
      <c r="CD12" s="105">
        <v>15.609001216855324</v>
      </c>
      <c r="CE12" s="105">
        <v>9440.3239359540985</v>
      </c>
      <c r="CF12" s="105">
        <v>13.729026494024007</v>
      </c>
      <c r="CG12" s="105">
        <v>8303.3152235857178</v>
      </c>
      <c r="CH12" s="105">
        <v>12</v>
      </c>
      <c r="CI12" s="105">
        <v>7257.5999999999995</v>
      </c>
      <c r="CJ12" s="105">
        <v>14.557967843540506</v>
      </c>
      <c r="CK12" s="105">
        <v>8804.6589517732973</v>
      </c>
      <c r="CL12" s="105">
        <v>6.0296501084379015</v>
      </c>
      <c r="CM12" s="105">
        <v>3646.7323855832424</v>
      </c>
      <c r="CN12" s="105">
        <v>13.680713514200948</v>
      </c>
      <c r="CO12" s="105">
        <v>8274.0955333887323</v>
      </c>
      <c r="CP12" s="105">
        <v>14.351900447712612</v>
      </c>
      <c r="CQ12" s="105">
        <v>8680.0293907765881</v>
      </c>
      <c r="CR12" s="105">
        <v>19.161587515315226</v>
      </c>
      <c r="CS12" s="105">
        <v>11588.928129262647</v>
      </c>
      <c r="CT12" s="105">
        <v>16.476167951125063</v>
      </c>
      <c r="CU12" s="105">
        <v>9964.7863768404368</v>
      </c>
    </row>
    <row r="13" spans="1:99" x14ac:dyDescent="0.2">
      <c r="C13" s="104" t="s">
        <v>179</v>
      </c>
      <c r="D13" s="105">
        <v>0</v>
      </c>
      <c r="E13" s="105">
        <v>0</v>
      </c>
      <c r="F13" s="105">
        <v>0</v>
      </c>
      <c r="G13" s="105">
        <v>0</v>
      </c>
      <c r="H13" s="105">
        <v>0</v>
      </c>
      <c r="I13" s="105">
        <v>0</v>
      </c>
      <c r="J13" s="105">
        <v>0</v>
      </c>
      <c r="K13" s="105">
        <v>0</v>
      </c>
      <c r="L13" s="105">
        <v>17.552371767528253</v>
      </c>
      <c r="M13" s="105">
        <v>2927.7356108237122</v>
      </c>
      <c r="N13" s="105">
        <v>18.642229223174013</v>
      </c>
      <c r="O13" s="105">
        <v>3109.5238344254249</v>
      </c>
      <c r="P13" s="105">
        <v>12.103636001053347</v>
      </c>
      <c r="Q13" s="105">
        <v>2018.8864849756981</v>
      </c>
      <c r="R13" s="105">
        <v>19.890719460342442</v>
      </c>
      <c r="S13" s="105">
        <v>3317.772005985119</v>
      </c>
      <c r="T13" s="105">
        <v>17.301239212857439</v>
      </c>
      <c r="U13" s="105">
        <v>2885.8467007046206</v>
      </c>
      <c r="V13" s="105">
        <v>15.79811736635032</v>
      </c>
      <c r="W13" s="105">
        <v>2635.1259767072333</v>
      </c>
      <c r="X13" s="105">
        <v>7.2934535457302925</v>
      </c>
      <c r="Y13" s="105">
        <v>1216.5480514278127</v>
      </c>
      <c r="Z13" s="105">
        <v>17.781771985490824</v>
      </c>
      <c r="AA13" s="105">
        <v>2965.9995671798692</v>
      </c>
      <c r="AB13" s="105">
        <v>15.762814310783057</v>
      </c>
      <c r="AC13" s="105">
        <v>2629.2374270386135</v>
      </c>
      <c r="AD13" s="105">
        <v>17.552371767528253</v>
      </c>
      <c r="AE13" s="105">
        <v>2927.7356108237122</v>
      </c>
      <c r="AF13" s="105">
        <v>17.267709679499188</v>
      </c>
      <c r="AG13" s="105">
        <v>2880.2539745404642</v>
      </c>
      <c r="AH13" s="105">
        <v>16.971691799279199</v>
      </c>
      <c r="AI13" s="105">
        <v>2830.8781921197701</v>
      </c>
      <c r="AJ13" s="105">
        <v>14.720344927946245</v>
      </c>
      <c r="AK13" s="105">
        <v>2455.3535339814334</v>
      </c>
      <c r="AL13" s="105">
        <v>15.294073400124216</v>
      </c>
      <c r="AM13" s="105">
        <v>2551.0514431407187</v>
      </c>
      <c r="AN13" s="105">
        <v>12.482898378723064</v>
      </c>
      <c r="AO13" s="105">
        <v>2082.1474495710067</v>
      </c>
      <c r="AP13" s="105">
        <v>10.849483342004968</v>
      </c>
      <c r="AQ13" s="105">
        <v>1809.6938214464285</v>
      </c>
      <c r="AR13" s="105">
        <v>12.953471934029295</v>
      </c>
      <c r="AS13" s="105">
        <v>2160.6391185960861</v>
      </c>
      <c r="AT13" s="105">
        <v>18.493437514781196</v>
      </c>
      <c r="AU13" s="105">
        <v>3084.7053774655033</v>
      </c>
      <c r="AV13" s="105">
        <v>11.470608598363848</v>
      </c>
      <c r="AW13" s="105">
        <v>1913.2975142070895</v>
      </c>
      <c r="AX13" s="105">
        <v>11.533263770866734</v>
      </c>
      <c r="AY13" s="105">
        <v>1923.748396980571</v>
      </c>
      <c r="AZ13" s="105">
        <v>17.702261313817708</v>
      </c>
      <c r="BA13" s="105">
        <v>2952.7371871447936</v>
      </c>
      <c r="BB13" s="105">
        <v>14.320044169489243</v>
      </c>
      <c r="BC13" s="105">
        <v>2388.5833674708056</v>
      </c>
      <c r="BD13" s="105">
        <v>17.850026433298659</v>
      </c>
      <c r="BE13" s="105">
        <v>2977.3844090742159</v>
      </c>
      <c r="BF13" s="105">
        <v>9.1491624402980829</v>
      </c>
      <c r="BG13" s="105">
        <v>1526.0802950417201</v>
      </c>
      <c r="BH13" s="105">
        <v>15.852679153172881</v>
      </c>
      <c r="BI13" s="105">
        <v>2644.2268827492362</v>
      </c>
      <c r="BJ13" s="105">
        <v>9.8669854703584043</v>
      </c>
      <c r="BK13" s="105">
        <v>1645.8131764557818</v>
      </c>
      <c r="BL13" s="105">
        <v>12</v>
      </c>
      <c r="BM13" s="105">
        <v>2001.6</v>
      </c>
      <c r="BN13" s="105">
        <v>17.593042170808605</v>
      </c>
      <c r="BO13" s="105">
        <v>2934.5194340908752</v>
      </c>
      <c r="BP13" s="105">
        <v>11.051334194879479</v>
      </c>
      <c r="BQ13" s="105">
        <v>1843.3625437058968</v>
      </c>
      <c r="BR13" s="105">
        <v>16.766389075900822</v>
      </c>
      <c r="BS13" s="105">
        <v>2796.6336978602567</v>
      </c>
      <c r="BT13" s="105">
        <v>15.089059965833952</v>
      </c>
      <c r="BU13" s="105">
        <v>2516.855202301103</v>
      </c>
      <c r="BV13" s="105">
        <v>15.995352124167669</v>
      </c>
      <c r="BW13" s="105">
        <v>2668.0247343111669</v>
      </c>
      <c r="BX13" s="105">
        <v>16</v>
      </c>
      <c r="BY13" s="105">
        <v>2668.7999999999997</v>
      </c>
      <c r="BZ13" s="105">
        <v>18.704146648592605</v>
      </c>
      <c r="CA13" s="105">
        <v>3119.8516609852463</v>
      </c>
      <c r="CB13" s="105">
        <v>17.643838009151644</v>
      </c>
      <c r="CC13" s="105">
        <v>2942.9921799264939</v>
      </c>
      <c r="CD13" s="105">
        <v>15.609001216855324</v>
      </c>
      <c r="CE13" s="105">
        <v>2603.5814029714679</v>
      </c>
      <c r="CF13" s="105">
        <v>16.474831792828809</v>
      </c>
      <c r="CG13" s="105">
        <v>2748.0019430438451</v>
      </c>
      <c r="CH13" s="105">
        <v>12</v>
      </c>
      <c r="CI13" s="105">
        <v>2001.6</v>
      </c>
      <c r="CJ13" s="105">
        <v>15.467840833761787</v>
      </c>
      <c r="CK13" s="105">
        <v>2580.0358510714659</v>
      </c>
      <c r="CL13" s="105">
        <v>6.7390207094305969</v>
      </c>
      <c r="CM13" s="105">
        <v>1124.0686543330235</v>
      </c>
      <c r="CN13" s="105">
        <v>15.120788620958942</v>
      </c>
      <c r="CO13" s="105">
        <v>2522.1475419759513</v>
      </c>
      <c r="CP13" s="105">
        <v>15.946556053014014</v>
      </c>
      <c r="CQ13" s="105">
        <v>2659.8855496427373</v>
      </c>
      <c r="CR13" s="105">
        <v>19.161587515315226</v>
      </c>
      <c r="CS13" s="105">
        <v>3196.1527975545796</v>
      </c>
      <c r="CT13" s="105">
        <v>19.944834888204024</v>
      </c>
      <c r="CU13" s="105">
        <v>3326.7984593524311</v>
      </c>
    </row>
    <row r="14" spans="1:99" x14ac:dyDescent="0.2">
      <c r="C14" s="104" t="s">
        <v>180</v>
      </c>
      <c r="D14" s="105">
        <v>0</v>
      </c>
      <c r="E14" s="105">
        <v>0</v>
      </c>
      <c r="F14" s="105">
        <v>0</v>
      </c>
      <c r="G14" s="105">
        <v>0</v>
      </c>
      <c r="H14" s="105">
        <v>0</v>
      </c>
      <c r="I14" s="105">
        <v>0</v>
      </c>
      <c r="J14" s="105">
        <v>0</v>
      </c>
      <c r="K14" s="105">
        <v>0</v>
      </c>
      <c r="L14" s="105">
        <v>16.628562727132032</v>
      </c>
      <c r="M14" s="105">
        <v>8300.9785133843106</v>
      </c>
      <c r="N14" s="105">
        <v>18.642229223174013</v>
      </c>
      <c r="O14" s="105">
        <v>9306.2008282084662</v>
      </c>
      <c r="P14" s="105">
        <v>12.103636001053347</v>
      </c>
      <c r="Q14" s="105">
        <v>6042.1350917258305</v>
      </c>
      <c r="R14" s="105">
        <v>19.890719460342442</v>
      </c>
      <c r="S14" s="105">
        <v>9929.4471546029472</v>
      </c>
      <c r="T14" s="105">
        <v>16.34005925658758</v>
      </c>
      <c r="U14" s="105">
        <v>8156.9575808885193</v>
      </c>
      <c r="V14" s="105">
        <v>15.008211498032804</v>
      </c>
      <c r="W14" s="105">
        <v>7492.0991798179757</v>
      </c>
      <c r="X14" s="105">
        <v>6.251531610625964</v>
      </c>
      <c r="Y14" s="105">
        <v>3120.7645800244813</v>
      </c>
      <c r="Z14" s="105">
        <v>16.00359478694174</v>
      </c>
      <c r="AA14" s="105">
        <v>7988.9945176413166</v>
      </c>
      <c r="AB14" s="105">
        <v>14.93319250495237</v>
      </c>
      <c r="AC14" s="105">
        <v>7454.6496984722226</v>
      </c>
      <c r="AD14" s="105">
        <v>19.399989848320704</v>
      </c>
      <c r="AE14" s="105">
        <v>9684.4749322816951</v>
      </c>
      <c r="AF14" s="105">
        <v>15.540938711549268</v>
      </c>
      <c r="AG14" s="105">
        <v>7758.0366048053947</v>
      </c>
      <c r="AH14" s="105">
        <v>13.976687364112284</v>
      </c>
      <c r="AI14" s="105">
        <v>6977.1623321648522</v>
      </c>
      <c r="AJ14" s="105">
        <v>12.122636999485142</v>
      </c>
      <c r="AK14" s="105">
        <v>6051.6203901429826</v>
      </c>
      <c r="AL14" s="105">
        <v>13.208517936470914</v>
      </c>
      <c r="AM14" s="105">
        <v>6593.6921538862798</v>
      </c>
      <c r="AN14" s="105">
        <v>12.482898378723064</v>
      </c>
      <c r="AO14" s="105">
        <v>6231.4628706585536</v>
      </c>
      <c r="AP14" s="105">
        <v>11.753606953838716</v>
      </c>
      <c r="AQ14" s="105">
        <v>5867.4005913562869</v>
      </c>
      <c r="AR14" s="105">
        <v>13.878719929317104</v>
      </c>
      <c r="AS14" s="105">
        <v>6928.2569887150976</v>
      </c>
      <c r="AT14" s="105">
        <v>15.534487512416206</v>
      </c>
      <c r="AU14" s="105">
        <v>7754.8161661981694</v>
      </c>
      <c r="AV14" s="105">
        <v>11.470608598363848</v>
      </c>
      <c r="AW14" s="105">
        <v>5726.1278123032325</v>
      </c>
      <c r="AX14" s="105">
        <v>9.7589154984256989</v>
      </c>
      <c r="AY14" s="105">
        <v>4871.6506168141086</v>
      </c>
      <c r="AZ14" s="105">
        <v>16.718802351938947</v>
      </c>
      <c r="BA14" s="105">
        <v>8346.0261340879224</v>
      </c>
      <c r="BB14" s="105">
        <v>12.888039752540319</v>
      </c>
      <c r="BC14" s="105">
        <v>6433.709444468127</v>
      </c>
      <c r="BD14" s="105">
        <v>15.866690162932141</v>
      </c>
      <c r="BE14" s="105">
        <v>7920.6517293357247</v>
      </c>
      <c r="BF14" s="105">
        <v>10.812646520352281</v>
      </c>
      <c r="BG14" s="105">
        <v>5397.6731429598585</v>
      </c>
      <c r="BH14" s="105">
        <v>15.852679153172881</v>
      </c>
      <c r="BI14" s="105">
        <v>7913.657433263902</v>
      </c>
      <c r="BJ14" s="105">
        <v>8.6336122865636025</v>
      </c>
      <c r="BK14" s="105">
        <v>4309.8992534525505</v>
      </c>
      <c r="BL14" s="105">
        <v>13</v>
      </c>
      <c r="BM14" s="105">
        <v>6489.5999999999995</v>
      </c>
      <c r="BN14" s="105">
        <v>14.81519340699672</v>
      </c>
      <c r="BO14" s="105">
        <v>7395.7445487727628</v>
      </c>
      <c r="BP14" s="105">
        <v>11.051334194879479</v>
      </c>
      <c r="BQ14" s="105">
        <v>5516.8260300838356</v>
      </c>
      <c r="BR14" s="105">
        <v>15.967989596096022</v>
      </c>
      <c r="BS14" s="105">
        <v>7971.2204063711342</v>
      </c>
      <c r="BT14" s="105">
        <v>14.485497567200595</v>
      </c>
      <c r="BU14" s="105">
        <v>7231.1603855465364</v>
      </c>
      <c r="BV14" s="105">
        <v>15.268290663978227</v>
      </c>
      <c r="BW14" s="105">
        <v>7621.930699457931</v>
      </c>
      <c r="BX14" s="105">
        <v>14</v>
      </c>
      <c r="BY14" s="105">
        <v>6988.8</v>
      </c>
      <c r="BZ14" s="105">
        <v>18.704146648592605</v>
      </c>
      <c r="CA14" s="105">
        <v>9337.1100069774275</v>
      </c>
      <c r="CB14" s="105">
        <v>13.722985118229056</v>
      </c>
      <c r="CC14" s="105">
        <v>6850.514171019945</v>
      </c>
      <c r="CD14" s="105">
        <v>14.741834482585583</v>
      </c>
      <c r="CE14" s="105">
        <v>7359.1237737067231</v>
      </c>
      <c r="CF14" s="105">
        <v>16.474831792828809</v>
      </c>
      <c r="CG14" s="105">
        <v>8224.2360309801406</v>
      </c>
      <c r="CH14" s="105">
        <v>13</v>
      </c>
      <c r="CI14" s="105">
        <v>6489.5999999999995</v>
      </c>
      <c r="CJ14" s="105">
        <v>14.557967843540506</v>
      </c>
      <c r="CK14" s="105">
        <v>7267.3375474954209</v>
      </c>
      <c r="CL14" s="105">
        <v>6.3843354089342501</v>
      </c>
      <c r="CM14" s="105">
        <v>3187.0602361399774</v>
      </c>
      <c r="CN14" s="105">
        <v>12.96067596082195</v>
      </c>
      <c r="CO14" s="105">
        <v>6469.9694396423174</v>
      </c>
      <c r="CP14" s="105">
        <v>14.351900447712612</v>
      </c>
      <c r="CQ14" s="105">
        <v>7164.4687034981362</v>
      </c>
      <c r="CR14" s="105">
        <v>19.994700015981106</v>
      </c>
      <c r="CS14" s="105">
        <v>9981.354247977768</v>
      </c>
      <c r="CT14" s="105">
        <v>19.077668153934283</v>
      </c>
      <c r="CU14" s="105">
        <v>9523.571942443994</v>
      </c>
    </row>
    <row r="15" spans="1:99" x14ac:dyDescent="0.2">
      <c r="C15" s="104" t="s">
        <v>181</v>
      </c>
      <c r="D15" s="105">
        <v>0</v>
      </c>
      <c r="E15" s="105">
        <v>0</v>
      </c>
      <c r="F15" s="105">
        <v>0</v>
      </c>
      <c r="G15" s="105">
        <v>0</v>
      </c>
      <c r="H15" s="105">
        <v>0</v>
      </c>
      <c r="I15" s="105">
        <v>0</v>
      </c>
      <c r="J15" s="105">
        <v>0</v>
      </c>
      <c r="K15" s="105">
        <v>0</v>
      </c>
      <c r="L15" s="105">
        <v>14.780944646339584</v>
      </c>
      <c r="M15" s="105">
        <v>12185.410766442354</v>
      </c>
      <c r="N15" s="105">
        <v>16.10010705637756</v>
      </c>
      <c r="O15" s="105">
        <v>13272.928257277659</v>
      </c>
      <c r="P15" s="105">
        <v>12.103636001053347</v>
      </c>
      <c r="Q15" s="105">
        <v>9978.2375192683794</v>
      </c>
      <c r="R15" s="105">
        <v>18.082472236674946</v>
      </c>
      <c r="S15" s="105">
        <v>14907.190111914824</v>
      </c>
      <c r="T15" s="105">
        <v>17.301239212857439</v>
      </c>
      <c r="U15" s="105">
        <v>14263.141607079673</v>
      </c>
      <c r="V15" s="105">
        <v>14.218305629715287</v>
      </c>
      <c r="W15" s="105">
        <v>11721.571161137283</v>
      </c>
      <c r="X15" s="105">
        <v>6.7724925781781282</v>
      </c>
      <c r="Y15" s="105">
        <v>5583.242881450049</v>
      </c>
      <c r="Z15" s="105">
        <v>15.114506187667201</v>
      </c>
      <c r="AA15" s="105">
        <v>12460.39890111284</v>
      </c>
      <c r="AB15" s="105">
        <v>13.273948893290996</v>
      </c>
      <c r="AC15" s="105">
        <v>10943.043467629097</v>
      </c>
      <c r="AD15" s="105">
        <v>19.399989848320704</v>
      </c>
      <c r="AE15" s="105">
        <v>15993.351630955587</v>
      </c>
      <c r="AF15" s="105">
        <v>16.404324195524229</v>
      </c>
      <c r="AG15" s="105">
        <v>13523.724866790173</v>
      </c>
      <c r="AH15" s="105">
        <v>15.973356987556896</v>
      </c>
      <c r="AI15" s="105">
        <v>13168.435500541904</v>
      </c>
      <c r="AJ15" s="105">
        <v>12.122636999485142</v>
      </c>
      <c r="AK15" s="105">
        <v>9993.9019423755508</v>
      </c>
      <c r="AL15" s="105">
        <v>13.208517936470914</v>
      </c>
      <c r="AM15" s="105">
        <v>10889.102186826622</v>
      </c>
      <c r="AN15" s="105">
        <v>11.65070515347486</v>
      </c>
      <c r="AO15" s="105">
        <v>9604.8413285246734</v>
      </c>
      <c r="AP15" s="105">
        <v>9.9453597301712211</v>
      </c>
      <c r="AQ15" s="105">
        <v>8198.9545615531551</v>
      </c>
      <c r="AR15" s="105">
        <v>12.953471934029295</v>
      </c>
      <c r="AS15" s="105">
        <v>10678.842262413751</v>
      </c>
      <c r="AT15" s="105">
        <v>17.013962513598699</v>
      </c>
      <c r="AU15" s="105">
        <v>14026.310696210767</v>
      </c>
      <c r="AV15" s="105">
        <v>12.352963105930298</v>
      </c>
      <c r="AW15" s="105">
        <v>10183.782784528938</v>
      </c>
      <c r="AX15" s="105">
        <v>11.533263770866734</v>
      </c>
      <c r="AY15" s="105">
        <v>9508.0226527025352</v>
      </c>
      <c r="AZ15" s="105">
        <v>15.735343390060185</v>
      </c>
      <c r="BA15" s="105">
        <v>12972.217090765616</v>
      </c>
      <c r="BB15" s="105">
        <v>12.888039752540319</v>
      </c>
      <c r="BC15" s="105">
        <v>10624.899971994239</v>
      </c>
      <c r="BD15" s="105">
        <v>16.858358298115402</v>
      </c>
      <c r="BE15" s="105">
        <v>13898.030580966337</v>
      </c>
      <c r="BF15" s="105">
        <v>9.980904480325183</v>
      </c>
      <c r="BG15" s="105">
        <v>8228.2576535800799</v>
      </c>
      <c r="BH15" s="105">
        <v>13.055147537907079</v>
      </c>
      <c r="BI15" s="105">
        <v>10762.663630250596</v>
      </c>
      <c r="BJ15" s="105">
        <v>9.4558610757601365</v>
      </c>
      <c r="BK15" s="105">
        <v>7795.4118708566566</v>
      </c>
      <c r="BL15" s="105">
        <v>11</v>
      </c>
      <c r="BM15" s="105">
        <v>9068.4</v>
      </c>
      <c r="BN15" s="105">
        <v>14.81519340699672</v>
      </c>
      <c r="BO15" s="105">
        <v>12213.645444728096</v>
      </c>
      <c r="BP15" s="105">
        <v>11.972278711119436</v>
      </c>
      <c r="BQ15" s="105">
        <v>9869.9465694468636</v>
      </c>
      <c r="BR15" s="105">
        <v>16.766389075900822</v>
      </c>
      <c r="BS15" s="105">
        <v>13822.211154172637</v>
      </c>
      <c r="BT15" s="105">
        <v>13.278372769933878</v>
      </c>
      <c r="BU15" s="105">
        <v>10946.690511533488</v>
      </c>
      <c r="BV15" s="105">
        <v>15.268290663978227</v>
      </c>
      <c r="BW15" s="105">
        <v>12587.178823383651</v>
      </c>
      <c r="BX15" s="105">
        <v>13</v>
      </c>
      <c r="BY15" s="105">
        <v>10717.199999999999</v>
      </c>
      <c r="BZ15" s="105">
        <v>19.639353981022232</v>
      </c>
      <c r="CA15" s="105">
        <v>16190.683421954727</v>
      </c>
      <c r="CB15" s="105">
        <v>13.722985118229056</v>
      </c>
      <c r="CC15" s="105">
        <v>11313.228931468033</v>
      </c>
      <c r="CD15" s="105">
        <v>13.874667748315842</v>
      </c>
      <c r="CE15" s="105">
        <v>11438.276091711579</v>
      </c>
      <c r="CF15" s="105">
        <v>15.559563359893874</v>
      </c>
      <c r="CG15" s="105">
        <v>12827.304033896509</v>
      </c>
      <c r="CH15" s="105">
        <v>13</v>
      </c>
      <c r="CI15" s="105">
        <v>10717.199999999999</v>
      </c>
      <c r="CJ15" s="105">
        <v>13.648094853319225</v>
      </c>
      <c r="CK15" s="105">
        <v>11251.48939707637</v>
      </c>
      <c r="CL15" s="105">
        <v>5.6749648079415547</v>
      </c>
      <c r="CM15" s="105">
        <v>4678.4409876670179</v>
      </c>
      <c r="CN15" s="105">
        <v>14.400751067579945</v>
      </c>
      <c r="CO15" s="105">
        <v>11871.979180112907</v>
      </c>
      <c r="CP15" s="105">
        <v>12.757244842411211</v>
      </c>
      <c r="CQ15" s="105">
        <v>10517.072648083802</v>
      </c>
      <c r="CR15" s="105">
        <v>19.161587515315226</v>
      </c>
      <c r="CS15" s="105">
        <v>15796.812747625872</v>
      </c>
      <c r="CT15" s="105">
        <v>17.343334685394804</v>
      </c>
      <c r="CU15" s="105">
        <v>14297.845114639476</v>
      </c>
    </row>
    <row r="16" spans="1:99" x14ac:dyDescent="0.2">
      <c r="C16" s="104" t="s">
        <v>182</v>
      </c>
      <c r="D16" s="105">
        <v>0</v>
      </c>
      <c r="E16" s="105">
        <v>0</v>
      </c>
      <c r="F16" s="105">
        <v>0</v>
      </c>
      <c r="G16" s="105">
        <v>0</v>
      </c>
      <c r="H16" s="105">
        <v>0</v>
      </c>
      <c r="I16" s="105">
        <v>0</v>
      </c>
      <c r="J16" s="105">
        <v>0</v>
      </c>
      <c r="K16" s="105">
        <v>0</v>
      </c>
      <c r="L16" s="105">
        <v>15.704753686735808</v>
      </c>
      <c r="M16" s="105">
        <v>7990.5786758111772</v>
      </c>
      <c r="N16" s="105">
        <v>17.794855167575196</v>
      </c>
      <c r="O16" s="105">
        <v>9054.0223092622582</v>
      </c>
      <c r="P16" s="105">
        <v>12.103636001053347</v>
      </c>
      <c r="Q16" s="105">
        <v>6158.3299973359417</v>
      </c>
      <c r="R16" s="105">
        <v>18.082472236674946</v>
      </c>
      <c r="S16" s="105">
        <v>9200.361874020211</v>
      </c>
      <c r="T16" s="105">
        <v>15.378879300317722</v>
      </c>
      <c r="U16" s="105">
        <v>7824.7737880016557</v>
      </c>
      <c r="V16" s="105">
        <v>12.638493893080256</v>
      </c>
      <c r="W16" s="105">
        <v>6430.4656927992328</v>
      </c>
      <c r="X16" s="105">
        <v>6.7724925781781282</v>
      </c>
      <c r="Y16" s="105">
        <v>3445.8442237770309</v>
      </c>
      <c r="Z16" s="105">
        <v>16.00359478694174</v>
      </c>
      <c r="AA16" s="105">
        <v>8142.6290275959554</v>
      </c>
      <c r="AB16" s="105">
        <v>14.103570699121681</v>
      </c>
      <c r="AC16" s="105">
        <v>7175.89677171311</v>
      </c>
      <c r="AD16" s="105">
        <v>17.552371767528253</v>
      </c>
      <c r="AE16" s="105">
        <v>8930.6467553183738</v>
      </c>
      <c r="AF16" s="105">
        <v>16.404324195524229</v>
      </c>
      <c r="AG16" s="105">
        <v>8346.5201506827252</v>
      </c>
      <c r="AH16" s="105">
        <v>13.976687364112284</v>
      </c>
      <c r="AI16" s="105">
        <v>7111.3385308603283</v>
      </c>
      <c r="AJ16" s="105">
        <v>14.720344927946245</v>
      </c>
      <c r="AK16" s="105">
        <v>7489.7114993390478</v>
      </c>
      <c r="AL16" s="105">
        <v>13.903703091022015</v>
      </c>
      <c r="AM16" s="105">
        <v>7074.2041327119996</v>
      </c>
      <c r="AN16" s="105">
        <v>11.65070515347486</v>
      </c>
      <c r="AO16" s="105">
        <v>5927.878782088007</v>
      </c>
      <c r="AP16" s="105">
        <v>9.9453597301712211</v>
      </c>
      <c r="AQ16" s="105">
        <v>5060.1990307111164</v>
      </c>
      <c r="AR16" s="105">
        <v>13.878719929317104</v>
      </c>
      <c r="AS16" s="105">
        <v>7061.4927000365406</v>
      </c>
      <c r="AT16" s="105">
        <v>16.274225013007452</v>
      </c>
      <c r="AU16" s="105">
        <v>8280.325686618191</v>
      </c>
      <c r="AV16" s="105">
        <v>13.235317613496749</v>
      </c>
      <c r="AW16" s="105">
        <v>6734.1296017471441</v>
      </c>
      <c r="AX16" s="105">
        <v>12.420437907087253</v>
      </c>
      <c r="AY16" s="105">
        <v>6319.5188071259927</v>
      </c>
      <c r="AZ16" s="105">
        <v>16.718802351938947</v>
      </c>
      <c r="BA16" s="105">
        <v>8506.5266366665346</v>
      </c>
      <c r="BB16" s="105">
        <v>12.888039752540319</v>
      </c>
      <c r="BC16" s="105">
        <v>6557.4346260925131</v>
      </c>
      <c r="BD16" s="105">
        <v>15.866690162932141</v>
      </c>
      <c r="BE16" s="105">
        <v>8072.9719548998719</v>
      </c>
      <c r="BF16" s="105">
        <v>8.3174204002709864</v>
      </c>
      <c r="BG16" s="105">
        <v>4231.9034996578766</v>
      </c>
      <c r="BH16" s="105">
        <v>14.920168614750947</v>
      </c>
      <c r="BI16" s="105">
        <v>7591.3817911852802</v>
      </c>
      <c r="BJ16" s="105">
        <v>8.6336122865636025</v>
      </c>
      <c r="BK16" s="105">
        <v>4392.7819314035596</v>
      </c>
      <c r="BL16" s="105">
        <v>13</v>
      </c>
      <c r="BM16" s="105">
        <v>6614.3999999999987</v>
      </c>
      <c r="BN16" s="105">
        <v>15.741142994934014</v>
      </c>
      <c r="BO16" s="105">
        <v>8009.0935558224246</v>
      </c>
      <c r="BP16" s="105">
        <v>11.972278711119436</v>
      </c>
      <c r="BQ16" s="105">
        <v>6091.4954082175682</v>
      </c>
      <c r="BR16" s="105">
        <v>15.967989596096022</v>
      </c>
      <c r="BS16" s="105">
        <v>8124.513106493654</v>
      </c>
      <c r="BT16" s="105">
        <v>13.278372769933878</v>
      </c>
      <c r="BU16" s="105">
        <v>6756.0360653423559</v>
      </c>
      <c r="BV16" s="105">
        <v>15.995352124167669</v>
      </c>
      <c r="BW16" s="105">
        <v>8138.4351607765084</v>
      </c>
      <c r="BX16" s="105">
        <v>14</v>
      </c>
      <c r="BY16" s="105">
        <v>7123.1999999999989</v>
      </c>
      <c r="BZ16" s="105">
        <v>18.704146648592605</v>
      </c>
      <c r="CA16" s="105">
        <v>9516.6698148039159</v>
      </c>
      <c r="CB16" s="105">
        <v>15.683411563690351</v>
      </c>
      <c r="CC16" s="105">
        <v>7979.7198036056488</v>
      </c>
      <c r="CD16" s="105">
        <v>15.609001216855324</v>
      </c>
      <c r="CE16" s="105">
        <v>7941.859819135987</v>
      </c>
      <c r="CF16" s="105">
        <v>16.474831792828809</v>
      </c>
      <c r="CG16" s="105">
        <v>8382.3944161912968</v>
      </c>
      <c r="CH16" s="105">
        <v>13</v>
      </c>
      <c r="CI16" s="105">
        <v>6614.3999999999987</v>
      </c>
      <c r="CJ16" s="105">
        <v>16.377713823983068</v>
      </c>
      <c r="CK16" s="105">
        <v>8332.9807936425841</v>
      </c>
      <c r="CL16" s="105">
        <v>6.0296501084379015</v>
      </c>
      <c r="CM16" s="105">
        <v>3067.8859751732039</v>
      </c>
      <c r="CN16" s="105">
        <v>12.96067596082195</v>
      </c>
      <c r="CO16" s="105">
        <v>6594.3919288662073</v>
      </c>
      <c r="CP16" s="105">
        <v>12.757244842411211</v>
      </c>
      <c r="CQ16" s="105">
        <v>6490.8861758188232</v>
      </c>
      <c r="CR16" s="105">
        <v>17.495362513983466</v>
      </c>
      <c r="CS16" s="105">
        <v>8901.6404471147853</v>
      </c>
      <c r="CT16" s="105">
        <v>16.476167951125063</v>
      </c>
      <c r="CU16" s="105">
        <v>8383.0742535324298</v>
      </c>
    </row>
    <row r="17" spans="2:99" x14ac:dyDescent="0.2">
      <c r="C17" s="104" t="s">
        <v>183</v>
      </c>
      <c r="D17" s="105">
        <v>0</v>
      </c>
      <c r="E17" s="105">
        <v>0</v>
      </c>
      <c r="F17" s="105">
        <v>0</v>
      </c>
      <c r="G17" s="105">
        <v>0</v>
      </c>
      <c r="H17" s="105">
        <v>0</v>
      </c>
      <c r="I17" s="105">
        <v>0</v>
      </c>
      <c r="J17" s="105">
        <v>0</v>
      </c>
      <c r="K17" s="105">
        <v>0</v>
      </c>
      <c r="L17" s="105">
        <v>17.552371767528253</v>
      </c>
      <c r="M17" s="105">
        <v>8720.0182941080348</v>
      </c>
      <c r="N17" s="105">
        <v>17.794855167575196</v>
      </c>
      <c r="O17" s="105">
        <v>8840.484047251357</v>
      </c>
      <c r="P17" s="105">
        <v>11.172587077895399</v>
      </c>
      <c r="Q17" s="105">
        <v>5550.5412602984334</v>
      </c>
      <c r="R17" s="105">
        <v>18.082472236674946</v>
      </c>
      <c r="S17" s="105">
        <v>8983.3722071801112</v>
      </c>
      <c r="T17" s="105">
        <v>16.34005925658758</v>
      </c>
      <c r="U17" s="105">
        <v>8117.7414386727087</v>
      </c>
      <c r="V17" s="105">
        <v>14.218305629715287</v>
      </c>
      <c r="W17" s="105">
        <v>7063.6542368425544</v>
      </c>
      <c r="X17" s="105">
        <v>6.251531610625964</v>
      </c>
      <c r="Y17" s="105">
        <v>3105.7609041589785</v>
      </c>
      <c r="Z17" s="105">
        <v>16.892683386216284</v>
      </c>
      <c r="AA17" s="105">
        <v>8392.2851062722493</v>
      </c>
      <c r="AB17" s="105">
        <v>14.103570699121681</v>
      </c>
      <c r="AC17" s="105">
        <v>7006.6539233236508</v>
      </c>
      <c r="AD17" s="105">
        <v>19.399989848320704</v>
      </c>
      <c r="AE17" s="105">
        <v>9637.9149566457254</v>
      </c>
      <c r="AF17" s="105">
        <v>15.540938711549268</v>
      </c>
      <c r="AG17" s="105">
        <v>7720.7383518976758</v>
      </c>
      <c r="AH17" s="105">
        <v>13.976687364112284</v>
      </c>
      <c r="AI17" s="105">
        <v>6943.618282490982</v>
      </c>
      <c r="AJ17" s="105">
        <v>12.98853964230551</v>
      </c>
      <c r="AK17" s="105">
        <v>6452.7064942973766</v>
      </c>
      <c r="AL17" s="105">
        <v>15.294073400124216</v>
      </c>
      <c r="AM17" s="105">
        <v>7598.0956651817096</v>
      </c>
      <c r="AN17" s="105">
        <v>10.818511928226656</v>
      </c>
      <c r="AO17" s="105">
        <v>5374.6367259430017</v>
      </c>
      <c r="AP17" s="105">
        <v>9.9453597301712211</v>
      </c>
      <c r="AQ17" s="105">
        <v>4940.854713949062</v>
      </c>
      <c r="AR17" s="105">
        <v>13.878719929317104</v>
      </c>
      <c r="AS17" s="105">
        <v>6894.9480608847362</v>
      </c>
      <c r="AT17" s="105">
        <v>14.794750011824956</v>
      </c>
      <c r="AU17" s="105">
        <v>7350.031805874637</v>
      </c>
      <c r="AV17" s="105">
        <v>11.470608598363848</v>
      </c>
      <c r="AW17" s="105">
        <v>5698.5983516671595</v>
      </c>
      <c r="AX17" s="105">
        <v>11.533263770866734</v>
      </c>
      <c r="AY17" s="105">
        <v>5729.7254413665933</v>
      </c>
      <c r="AZ17" s="105">
        <v>17.702261313817708</v>
      </c>
      <c r="BA17" s="105">
        <v>8794.483420704637</v>
      </c>
      <c r="BB17" s="105">
        <v>13.604041961014781</v>
      </c>
      <c r="BC17" s="105">
        <v>6758.4880462321426</v>
      </c>
      <c r="BD17" s="105">
        <v>18.841694568481916</v>
      </c>
      <c r="BE17" s="105">
        <v>9360.5538616218146</v>
      </c>
      <c r="BF17" s="105">
        <v>9.1491624402980829</v>
      </c>
      <c r="BG17" s="105">
        <v>4545.3039003400872</v>
      </c>
      <c r="BH17" s="105">
        <v>14.920168614750947</v>
      </c>
      <c r="BI17" s="105">
        <v>7412.3397678082702</v>
      </c>
      <c r="BJ17" s="105">
        <v>9.0447366811618704</v>
      </c>
      <c r="BK17" s="105">
        <v>4493.4251832012169</v>
      </c>
      <c r="BL17" s="105">
        <v>11</v>
      </c>
      <c r="BM17" s="105">
        <v>5464.7999999999993</v>
      </c>
      <c r="BN17" s="105">
        <v>16.667092582871309</v>
      </c>
      <c r="BO17" s="105">
        <v>8280.2115951704654</v>
      </c>
      <c r="BP17" s="105">
        <v>11.051334194879479</v>
      </c>
      <c r="BQ17" s="105">
        <v>5490.3028280161243</v>
      </c>
      <c r="BR17" s="105">
        <v>15.169590116291221</v>
      </c>
      <c r="BS17" s="105">
        <v>7536.2523697734778</v>
      </c>
      <c r="BT17" s="105">
        <v>13.278372769933878</v>
      </c>
      <c r="BU17" s="105">
        <v>6596.6955921031495</v>
      </c>
      <c r="BV17" s="105">
        <v>18.176536504735985</v>
      </c>
      <c r="BW17" s="105">
        <v>9030.1033355528361</v>
      </c>
      <c r="BX17" s="105">
        <v>14</v>
      </c>
      <c r="BY17" s="105">
        <v>6955.1999999999989</v>
      </c>
      <c r="BZ17" s="105">
        <v>17.768939316162975</v>
      </c>
      <c r="CA17" s="105">
        <v>8827.609052269765</v>
      </c>
      <c r="CB17" s="105">
        <v>13.722985118229056</v>
      </c>
      <c r="CC17" s="105">
        <v>6817.579006736195</v>
      </c>
      <c r="CD17" s="105">
        <v>16.476167951125063</v>
      </c>
      <c r="CE17" s="105">
        <v>8185.3602381189312</v>
      </c>
      <c r="CF17" s="105">
        <v>14.64429492695894</v>
      </c>
      <c r="CG17" s="105">
        <v>7275.2857197132007</v>
      </c>
      <c r="CH17" s="105">
        <v>13</v>
      </c>
      <c r="CI17" s="105">
        <v>6458.4</v>
      </c>
      <c r="CJ17" s="105">
        <v>14.557967843540506</v>
      </c>
      <c r="CK17" s="105">
        <v>7232.3984246709233</v>
      </c>
      <c r="CL17" s="105">
        <v>5.6749648079415547</v>
      </c>
      <c r="CM17" s="105">
        <v>2819.3225165853642</v>
      </c>
      <c r="CN17" s="105">
        <v>12.96067596082195</v>
      </c>
      <c r="CO17" s="105">
        <v>6438.8638173363443</v>
      </c>
      <c r="CP17" s="105">
        <v>13.554572645061912</v>
      </c>
      <c r="CQ17" s="105">
        <v>6733.9116900667568</v>
      </c>
      <c r="CR17" s="105">
        <v>18.328475014649346</v>
      </c>
      <c r="CS17" s="105">
        <v>9105.5863872777936</v>
      </c>
      <c r="CT17" s="105">
        <v>16.476167951125063</v>
      </c>
      <c r="CU17" s="105">
        <v>8185.3602381189312</v>
      </c>
    </row>
    <row r="18" spans="2:99" x14ac:dyDescent="0.2">
      <c r="C18" s="104" t="s">
        <v>184</v>
      </c>
      <c r="D18" s="105">
        <v>0</v>
      </c>
      <c r="E18" s="105">
        <v>0</v>
      </c>
      <c r="F18" s="105">
        <v>0</v>
      </c>
      <c r="G18" s="105">
        <v>0</v>
      </c>
      <c r="H18" s="105">
        <v>0</v>
      </c>
      <c r="I18" s="105">
        <v>0</v>
      </c>
      <c r="J18" s="105">
        <v>0</v>
      </c>
      <c r="K18" s="105">
        <v>0</v>
      </c>
      <c r="L18" s="105">
        <v>16.628562727132032</v>
      </c>
      <c r="M18" s="105">
        <v>12152.153640988088</v>
      </c>
      <c r="N18" s="105">
        <v>16.10010705637756</v>
      </c>
      <c r="O18" s="105">
        <v>11765.95823680072</v>
      </c>
      <c r="P18" s="105">
        <v>12.103636001053347</v>
      </c>
      <c r="Q18" s="105">
        <v>8845.3371895697856</v>
      </c>
      <c r="R18" s="105">
        <v>16.274225013007452</v>
      </c>
      <c r="S18" s="105">
        <v>11893.203639505846</v>
      </c>
      <c r="T18" s="105">
        <v>16.34005925658758</v>
      </c>
      <c r="U18" s="105">
        <v>11941.315304714202</v>
      </c>
      <c r="V18" s="105">
        <v>12.638493893080256</v>
      </c>
      <c r="W18" s="105">
        <v>9236.2113370630505</v>
      </c>
      <c r="X18" s="105">
        <v>5.7305706430738006</v>
      </c>
      <c r="Y18" s="105">
        <v>4187.9010259583329</v>
      </c>
      <c r="Z18" s="105">
        <v>14.225417588392659</v>
      </c>
      <c r="AA18" s="105">
        <v>10395.935173597354</v>
      </c>
      <c r="AB18" s="105">
        <v>14.103570699121681</v>
      </c>
      <c r="AC18" s="105">
        <v>10306.889466918125</v>
      </c>
      <c r="AD18" s="105">
        <v>17.552371767528253</v>
      </c>
      <c r="AE18" s="105">
        <v>12827.273287709646</v>
      </c>
      <c r="AF18" s="105">
        <v>17.267709679499188</v>
      </c>
      <c r="AG18" s="105">
        <v>12619.242233778006</v>
      </c>
      <c r="AH18" s="105">
        <v>14.975022175834589</v>
      </c>
      <c r="AI18" s="105">
        <v>10943.746206099917</v>
      </c>
      <c r="AJ18" s="105">
        <v>13.854442285125877</v>
      </c>
      <c r="AK18" s="105">
        <v>10124.82642196999</v>
      </c>
      <c r="AL18" s="105">
        <v>13.903703091022015</v>
      </c>
      <c r="AM18" s="105">
        <v>10160.826218918888</v>
      </c>
      <c r="AN18" s="105">
        <v>12.482898378723064</v>
      </c>
      <c r="AO18" s="105">
        <v>9122.5021351708147</v>
      </c>
      <c r="AP18" s="105">
        <v>11.753606953838716</v>
      </c>
      <c r="AQ18" s="105">
        <v>8589.5359618653329</v>
      </c>
      <c r="AR18" s="105">
        <v>12.953471934029295</v>
      </c>
      <c r="AS18" s="105">
        <v>9466.3972893886075</v>
      </c>
      <c r="AT18" s="105">
        <v>16.274225013007452</v>
      </c>
      <c r="AU18" s="105">
        <v>11893.203639505846</v>
      </c>
      <c r="AV18" s="105">
        <v>10.588254090797399</v>
      </c>
      <c r="AW18" s="105">
        <v>7737.8960895547389</v>
      </c>
      <c r="AX18" s="105">
        <v>11.533263770866734</v>
      </c>
      <c r="AY18" s="105">
        <v>8428.5091637494079</v>
      </c>
      <c r="AZ18" s="105">
        <v>14.751884428181423</v>
      </c>
      <c r="BA18" s="105">
        <v>10780.677140114984</v>
      </c>
      <c r="BB18" s="105">
        <v>11.456035335591395</v>
      </c>
      <c r="BC18" s="105">
        <v>8372.0706232501907</v>
      </c>
      <c r="BD18" s="105">
        <v>15.866690162932141</v>
      </c>
      <c r="BE18" s="105">
        <v>11595.377171070808</v>
      </c>
      <c r="BF18" s="105">
        <v>9.1491624402980829</v>
      </c>
      <c r="BG18" s="105">
        <v>6686.2079113698383</v>
      </c>
      <c r="BH18" s="105">
        <v>13.055147537907079</v>
      </c>
      <c r="BI18" s="105">
        <v>9540.7018207024921</v>
      </c>
      <c r="BJ18" s="105">
        <v>7.8113634973670694</v>
      </c>
      <c r="BK18" s="105">
        <v>5708.5444438758541</v>
      </c>
      <c r="BL18" s="105">
        <v>12</v>
      </c>
      <c r="BM18" s="105">
        <v>8769.5999999999985</v>
      </c>
      <c r="BN18" s="105">
        <v>15.741142994934014</v>
      </c>
      <c r="BO18" s="105">
        <v>11503.627300697777</v>
      </c>
      <c r="BP18" s="105">
        <v>11.051334194879479</v>
      </c>
      <c r="BQ18" s="105">
        <v>8076.3150296179228</v>
      </c>
      <c r="BR18" s="105">
        <v>16.766389075900822</v>
      </c>
      <c r="BS18" s="105">
        <v>12252.87713666832</v>
      </c>
      <c r="BT18" s="105">
        <v>13.278372769933878</v>
      </c>
      <c r="BU18" s="105">
        <v>9703.8348202676771</v>
      </c>
      <c r="BV18" s="105">
        <v>16.722413584357106</v>
      </c>
      <c r="BW18" s="105">
        <v>12220.739847448172</v>
      </c>
      <c r="BX18" s="105">
        <v>13</v>
      </c>
      <c r="BY18" s="105">
        <v>9500.4</v>
      </c>
      <c r="BZ18" s="105">
        <v>16.833731983733344</v>
      </c>
      <c r="CA18" s="105">
        <v>12302.091333712327</v>
      </c>
      <c r="CB18" s="105">
        <v>14.703198340959704</v>
      </c>
      <c r="CC18" s="105">
        <v>10745.09734757335</v>
      </c>
      <c r="CD18" s="105">
        <v>14.741834482585583</v>
      </c>
      <c r="CE18" s="105">
        <v>10773.332639873543</v>
      </c>
      <c r="CF18" s="105">
        <v>13.729026494024007</v>
      </c>
      <c r="CG18" s="105">
        <v>10033.172561832744</v>
      </c>
      <c r="CH18" s="105">
        <v>12</v>
      </c>
      <c r="CI18" s="105">
        <v>8769.5999999999985</v>
      </c>
      <c r="CJ18" s="105">
        <v>15.467840833761787</v>
      </c>
      <c r="CK18" s="105">
        <v>11303.898081313113</v>
      </c>
      <c r="CL18" s="105">
        <v>5.3202795074452078</v>
      </c>
      <c r="CM18" s="105">
        <v>3888.0602640409575</v>
      </c>
      <c r="CN18" s="105">
        <v>13.680713514200948</v>
      </c>
      <c r="CO18" s="105">
        <v>9997.8654361780518</v>
      </c>
      <c r="CP18" s="105">
        <v>14.351900447712612</v>
      </c>
      <c r="CQ18" s="105">
        <v>10488.368847188376</v>
      </c>
      <c r="CR18" s="105">
        <v>19.994700015981106</v>
      </c>
      <c r="CS18" s="105">
        <v>14612.126771678992</v>
      </c>
      <c r="CT18" s="105">
        <v>16.476167951125063</v>
      </c>
      <c r="CU18" s="105">
        <v>12040.783538682195</v>
      </c>
    </row>
    <row r="19" spans="2:99" x14ac:dyDescent="0.2">
      <c r="C19" s="104" t="s">
        <v>185</v>
      </c>
      <c r="D19" s="105">
        <v>0</v>
      </c>
      <c r="E19" s="105">
        <v>0</v>
      </c>
      <c r="F19" s="105">
        <v>0</v>
      </c>
      <c r="G19" s="105">
        <v>0</v>
      </c>
      <c r="H19" s="105">
        <v>0</v>
      </c>
      <c r="I19" s="105">
        <v>0</v>
      </c>
      <c r="J19" s="105">
        <v>0</v>
      </c>
      <c r="K19" s="105">
        <v>0</v>
      </c>
      <c r="L19" s="105">
        <v>16.628562727132032</v>
      </c>
      <c r="M19" s="105">
        <v>6425.2766377638163</v>
      </c>
      <c r="N19" s="105">
        <v>16.10010705637756</v>
      </c>
      <c r="O19" s="105">
        <v>6221.0813665842888</v>
      </c>
      <c r="P19" s="105">
        <v>13.034684924211298</v>
      </c>
      <c r="Q19" s="105">
        <v>5036.6022547152452</v>
      </c>
      <c r="R19" s="105">
        <v>19.890719460342442</v>
      </c>
      <c r="S19" s="105">
        <v>7685.7739994763197</v>
      </c>
      <c r="T19" s="105">
        <v>16.34005925658758</v>
      </c>
      <c r="U19" s="105">
        <v>6313.7988967454403</v>
      </c>
      <c r="V19" s="105">
        <v>15.008211498032804</v>
      </c>
      <c r="W19" s="105">
        <v>5799.1729228398754</v>
      </c>
      <c r="X19" s="105">
        <v>6.251531610625964</v>
      </c>
      <c r="Y19" s="105">
        <v>2415.5918143458725</v>
      </c>
      <c r="Z19" s="105">
        <v>17.781771985490824</v>
      </c>
      <c r="AA19" s="105">
        <v>6870.8766951936541</v>
      </c>
      <c r="AB19" s="105">
        <v>12.444327087460307</v>
      </c>
      <c r="AC19" s="105">
        <v>4808.4879865946623</v>
      </c>
      <c r="AD19" s="105">
        <v>18.476180807924482</v>
      </c>
      <c r="AE19" s="105">
        <v>7139.1962641820191</v>
      </c>
      <c r="AF19" s="105">
        <v>16.404324195524229</v>
      </c>
      <c r="AG19" s="105">
        <v>6338.6308691505619</v>
      </c>
      <c r="AH19" s="105">
        <v>16.971691799279199</v>
      </c>
      <c r="AI19" s="105">
        <v>6557.8617112414822</v>
      </c>
      <c r="AJ19" s="105">
        <v>13.854442285125877</v>
      </c>
      <c r="AK19" s="105">
        <v>5353.3564989726383</v>
      </c>
      <c r="AL19" s="105">
        <v>13.903703091022015</v>
      </c>
      <c r="AM19" s="105">
        <v>5372.3908743709062</v>
      </c>
      <c r="AN19" s="105">
        <v>11.65070515347486</v>
      </c>
      <c r="AO19" s="105">
        <v>4501.8324713026859</v>
      </c>
      <c r="AP19" s="105">
        <v>10.849483342004968</v>
      </c>
      <c r="AQ19" s="105">
        <v>4192.2403633507192</v>
      </c>
      <c r="AR19" s="105">
        <v>12.953471934029295</v>
      </c>
      <c r="AS19" s="105">
        <v>5005.2215553089191</v>
      </c>
      <c r="AT19" s="105">
        <v>17.753700014189949</v>
      </c>
      <c r="AU19" s="105">
        <v>6860.0296854829958</v>
      </c>
      <c r="AV19" s="105">
        <v>12.352963105930298</v>
      </c>
      <c r="AW19" s="105">
        <v>4773.1849441314671</v>
      </c>
      <c r="AX19" s="105">
        <v>12.420437907087253</v>
      </c>
      <c r="AY19" s="105">
        <v>4799.257207298514</v>
      </c>
      <c r="AZ19" s="105">
        <v>16.718802351938947</v>
      </c>
      <c r="BA19" s="105">
        <v>6460.1452287892089</v>
      </c>
      <c r="BB19" s="105">
        <v>12.172037544065857</v>
      </c>
      <c r="BC19" s="105">
        <v>4703.2753070270464</v>
      </c>
      <c r="BD19" s="105">
        <v>16.858358298115402</v>
      </c>
      <c r="BE19" s="105">
        <v>6514.0696463917911</v>
      </c>
      <c r="BF19" s="105">
        <v>10.812646520352281</v>
      </c>
      <c r="BG19" s="105">
        <v>4178.0066154641208</v>
      </c>
      <c r="BH19" s="105">
        <v>13.055147537907079</v>
      </c>
      <c r="BI19" s="105">
        <v>5044.5090086472946</v>
      </c>
      <c r="BJ19" s="105">
        <v>9.0447366811618704</v>
      </c>
      <c r="BK19" s="105">
        <v>3494.8862536009465</v>
      </c>
      <c r="BL19" s="105">
        <v>12</v>
      </c>
      <c r="BM19" s="105">
        <v>4636.7999999999993</v>
      </c>
      <c r="BN19" s="105">
        <v>18.518991758745898</v>
      </c>
      <c r="BO19" s="105">
        <v>7155.7384155794143</v>
      </c>
      <c r="BP19" s="105">
        <v>11.972278711119436</v>
      </c>
      <c r="BQ19" s="105">
        <v>4626.0884939765501</v>
      </c>
      <c r="BR19" s="105">
        <v>16.766389075900822</v>
      </c>
      <c r="BS19" s="105">
        <v>6478.5327389280774</v>
      </c>
      <c r="BT19" s="105">
        <v>13.278372769933878</v>
      </c>
      <c r="BU19" s="105">
        <v>5130.7632383024502</v>
      </c>
      <c r="BV19" s="105">
        <v>17.449475044546546</v>
      </c>
      <c r="BW19" s="105">
        <v>6742.4771572127847</v>
      </c>
      <c r="BX19" s="105">
        <v>15</v>
      </c>
      <c r="BY19" s="105">
        <v>5796</v>
      </c>
      <c r="BZ19" s="105">
        <v>19.639353981022232</v>
      </c>
      <c r="CA19" s="105">
        <v>7588.6463782669898</v>
      </c>
      <c r="CB19" s="105">
        <v>14.703198340959704</v>
      </c>
      <c r="CC19" s="105">
        <v>5681.315838946829</v>
      </c>
      <c r="CD19" s="105">
        <v>14.741834482585583</v>
      </c>
      <c r="CE19" s="105">
        <v>5696.2448440710687</v>
      </c>
      <c r="CF19" s="105">
        <v>15.559563359893874</v>
      </c>
      <c r="CG19" s="105">
        <v>6012.2152822629923</v>
      </c>
      <c r="CH19" s="105">
        <v>12</v>
      </c>
      <c r="CI19" s="105">
        <v>4636.7999999999993</v>
      </c>
      <c r="CJ19" s="105">
        <v>15.467840833761787</v>
      </c>
      <c r="CK19" s="105">
        <v>5976.7736981655544</v>
      </c>
      <c r="CL19" s="105">
        <v>6.3843354089342501</v>
      </c>
      <c r="CM19" s="105">
        <v>2466.9072020121939</v>
      </c>
      <c r="CN19" s="105">
        <v>14.400751067579945</v>
      </c>
      <c r="CO19" s="105">
        <v>5564.4502125128902</v>
      </c>
      <c r="CP19" s="105">
        <v>15.149228250363313</v>
      </c>
      <c r="CQ19" s="105">
        <v>5853.6617959403839</v>
      </c>
      <c r="CR19" s="105">
        <v>19.161587515315226</v>
      </c>
      <c r="CS19" s="105">
        <v>7404.0374159178027</v>
      </c>
      <c r="CT19" s="105">
        <v>17.343334685394804</v>
      </c>
      <c r="CU19" s="105">
        <v>6701.4645224365522</v>
      </c>
    </row>
    <row r="20" spans="2:99" x14ac:dyDescent="0.2">
      <c r="B20" s="104" t="s">
        <v>127</v>
      </c>
      <c r="C20" s="104" t="s">
        <v>186</v>
      </c>
      <c r="D20" s="105">
        <v>0</v>
      </c>
      <c r="E20" s="105">
        <v>0</v>
      </c>
      <c r="F20" s="105">
        <v>0</v>
      </c>
      <c r="G20" s="105">
        <v>0</v>
      </c>
      <c r="H20" s="105">
        <v>0</v>
      </c>
      <c r="I20" s="105">
        <v>0</v>
      </c>
      <c r="J20" s="105">
        <v>0</v>
      </c>
      <c r="K20" s="105">
        <v>0</v>
      </c>
      <c r="L20" s="105">
        <v>12.933326565547137</v>
      </c>
      <c r="M20" s="105">
        <v>1241.5993502925253</v>
      </c>
      <c r="N20" s="105">
        <v>16.947481111976376</v>
      </c>
      <c r="O20" s="105">
        <v>1626.9581867497322</v>
      </c>
      <c r="P20" s="105">
        <v>14.896782770527198</v>
      </c>
      <c r="Q20" s="105">
        <v>1430.091145970611</v>
      </c>
      <c r="R20" s="105">
        <v>14.465977789339957</v>
      </c>
      <c r="S20" s="105">
        <v>1388.7338677766359</v>
      </c>
      <c r="T20" s="105">
        <v>15.378879300317722</v>
      </c>
      <c r="U20" s="105">
        <v>1476.3724128305014</v>
      </c>
      <c r="V20" s="105">
        <v>16.588023234667833</v>
      </c>
      <c r="W20" s="105">
        <v>1592.4502305281121</v>
      </c>
      <c r="X20" s="105">
        <v>6.251531610625964</v>
      </c>
      <c r="Y20" s="105">
        <v>600.14703462009254</v>
      </c>
      <c r="Z20" s="105">
        <v>14.225417588392659</v>
      </c>
      <c r="AA20" s="105">
        <v>1365.6400884856953</v>
      </c>
      <c r="AB20" s="105">
        <v>19.081301534105805</v>
      </c>
      <c r="AC20" s="105">
        <v>1831.8049472741573</v>
      </c>
      <c r="AD20" s="105">
        <v>12.933326565547137</v>
      </c>
      <c r="AE20" s="105">
        <v>1241.5993502925253</v>
      </c>
      <c r="AF20" s="105">
        <v>17.267709679499188</v>
      </c>
      <c r="AG20" s="105">
        <v>1657.7001292319219</v>
      </c>
      <c r="AH20" s="105">
        <v>16.971691799279199</v>
      </c>
      <c r="AI20" s="105">
        <v>1629.2824127308031</v>
      </c>
      <c r="AJ20" s="105">
        <v>16.452150213586982</v>
      </c>
      <c r="AK20" s="105">
        <v>1579.4064205043503</v>
      </c>
      <c r="AL20" s="105">
        <v>13.903703091022015</v>
      </c>
      <c r="AM20" s="105">
        <v>1334.7554967381134</v>
      </c>
      <c r="AN20" s="105">
        <v>15.811671279715881</v>
      </c>
      <c r="AO20" s="105">
        <v>1517.9204428527246</v>
      </c>
      <c r="AP20" s="105">
        <v>16.274225013007452</v>
      </c>
      <c r="AQ20" s="105">
        <v>1562.3256012487154</v>
      </c>
      <c r="AR20" s="105">
        <v>15.729215919892717</v>
      </c>
      <c r="AS20" s="105">
        <v>1510.0047283097008</v>
      </c>
      <c r="AT20" s="105">
        <v>14.055012511233709</v>
      </c>
      <c r="AU20" s="105">
        <v>1349.281201078436</v>
      </c>
      <c r="AV20" s="105">
        <v>13.235317613496749</v>
      </c>
      <c r="AW20" s="105">
        <v>1270.5904908956879</v>
      </c>
      <c r="AX20" s="105">
        <v>17.743482724410359</v>
      </c>
      <c r="AY20" s="105">
        <v>1703.3743415433946</v>
      </c>
      <c r="AZ20" s="105">
        <v>15.735343390060185</v>
      </c>
      <c r="BA20" s="105">
        <v>1510.5929654457777</v>
      </c>
      <c r="BB20" s="105">
        <v>14.320044169489243</v>
      </c>
      <c r="BC20" s="105">
        <v>1374.7242402709674</v>
      </c>
      <c r="BD20" s="105">
        <v>14.875022027748882</v>
      </c>
      <c r="BE20" s="105">
        <v>1428.0021146638926</v>
      </c>
      <c r="BF20" s="105">
        <v>18.298324880596166</v>
      </c>
      <c r="BG20" s="105">
        <v>1756.6391885372318</v>
      </c>
      <c r="BH20" s="105">
        <v>14.920168614750947</v>
      </c>
      <c r="BI20" s="105">
        <v>1432.3361870160909</v>
      </c>
      <c r="BJ20" s="105">
        <v>6.5779903135722693</v>
      </c>
      <c r="BK20" s="105">
        <v>631.48707010293788</v>
      </c>
      <c r="BL20" s="105">
        <v>17</v>
      </c>
      <c r="BM20" s="105">
        <v>1632</v>
      </c>
      <c r="BN20" s="105">
        <v>14.81519340699672</v>
      </c>
      <c r="BO20" s="105">
        <v>1422.2585670716851</v>
      </c>
      <c r="BP20" s="105">
        <v>20.260779357279045</v>
      </c>
      <c r="BQ20" s="105">
        <v>1945.0348182987882</v>
      </c>
      <c r="BR20" s="105">
        <v>17.564788555705626</v>
      </c>
      <c r="BS20" s="105">
        <v>1686.2197013477401</v>
      </c>
      <c r="BT20" s="105">
        <v>14.485497567200595</v>
      </c>
      <c r="BU20" s="105">
        <v>1390.607766451257</v>
      </c>
      <c r="BV20" s="105">
        <v>12.36004482322047</v>
      </c>
      <c r="BW20" s="105">
        <v>1186.5643030291651</v>
      </c>
      <c r="BX20" s="105">
        <v>13</v>
      </c>
      <c r="BY20" s="105">
        <v>1248</v>
      </c>
      <c r="BZ20" s="105">
        <v>13.092902654014823</v>
      </c>
      <c r="CA20" s="105">
        <v>1256.9186547854231</v>
      </c>
      <c r="CB20" s="105">
        <v>15.683411563690351</v>
      </c>
      <c r="CC20" s="105">
        <v>1505.6075101142737</v>
      </c>
      <c r="CD20" s="105">
        <v>19.077668153934283</v>
      </c>
      <c r="CE20" s="105">
        <v>1831.4561427776912</v>
      </c>
      <c r="CF20" s="105">
        <v>15.559563359893874</v>
      </c>
      <c r="CG20" s="105">
        <v>1493.7180825498119</v>
      </c>
      <c r="CH20" s="105">
        <v>15</v>
      </c>
      <c r="CI20" s="105">
        <v>1440</v>
      </c>
      <c r="CJ20" s="105">
        <v>20.017205784868196</v>
      </c>
      <c r="CK20" s="105">
        <v>1921.6517553473468</v>
      </c>
      <c r="CL20" s="105">
        <v>7.8030766109196383</v>
      </c>
      <c r="CM20" s="105">
        <v>749.09535464828525</v>
      </c>
      <c r="CN20" s="105">
        <v>11.520600854063956</v>
      </c>
      <c r="CO20" s="105">
        <v>1105.9776819901397</v>
      </c>
      <c r="CP20" s="105">
        <v>18.338539460966118</v>
      </c>
      <c r="CQ20" s="105">
        <v>1760.4997882527473</v>
      </c>
      <c r="CR20" s="105">
        <v>11.663575009322312</v>
      </c>
      <c r="CS20" s="105">
        <v>1119.7032008949418</v>
      </c>
      <c r="CT20" s="105">
        <v>11.273167545506622</v>
      </c>
      <c r="CU20" s="105">
        <v>1082.2240843686357</v>
      </c>
    </row>
    <row r="21" spans="2:99" x14ac:dyDescent="0.2">
      <c r="C21" s="104" t="s">
        <v>187</v>
      </c>
      <c r="D21" s="105">
        <v>0</v>
      </c>
      <c r="E21" s="105">
        <v>0</v>
      </c>
      <c r="F21" s="105">
        <v>0</v>
      </c>
      <c r="G21" s="105">
        <v>0</v>
      </c>
      <c r="H21" s="105">
        <v>0</v>
      </c>
      <c r="I21" s="105">
        <v>0</v>
      </c>
      <c r="J21" s="105">
        <v>0</v>
      </c>
      <c r="K21" s="105">
        <v>0</v>
      </c>
      <c r="L21" s="105">
        <v>11.085708484754688</v>
      </c>
      <c r="M21" s="105">
        <v>2687.1757367045361</v>
      </c>
      <c r="N21" s="105">
        <v>14.405358945179922</v>
      </c>
      <c r="O21" s="105">
        <v>3491.8590083116128</v>
      </c>
      <c r="P21" s="105">
        <v>14.896782770527198</v>
      </c>
      <c r="Q21" s="105">
        <v>3610.9801435757922</v>
      </c>
      <c r="R21" s="105">
        <v>13.561854177506209</v>
      </c>
      <c r="S21" s="105">
        <v>3287.3934526275048</v>
      </c>
      <c r="T21" s="105">
        <v>14.417699344047865</v>
      </c>
      <c r="U21" s="105">
        <v>3494.8503209972023</v>
      </c>
      <c r="V21" s="105">
        <v>14.218305629715287</v>
      </c>
      <c r="W21" s="105">
        <v>3446.517284642985</v>
      </c>
      <c r="X21" s="105">
        <v>7.2934535457302925</v>
      </c>
      <c r="Y21" s="105">
        <v>1767.9331394850228</v>
      </c>
      <c r="Z21" s="105">
        <v>11.558151790569037</v>
      </c>
      <c r="AA21" s="105">
        <v>2801.6959940339343</v>
      </c>
      <c r="AB21" s="105">
        <v>16.592436116613744</v>
      </c>
      <c r="AC21" s="105">
        <v>4022.0065146671709</v>
      </c>
      <c r="AD21" s="105">
        <v>12.009517525150912</v>
      </c>
      <c r="AE21" s="105">
        <v>2911.1070480965809</v>
      </c>
      <c r="AF21" s="105">
        <v>18.131095163474146</v>
      </c>
      <c r="AG21" s="105">
        <v>4394.9774676261322</v>
      </c>
      <c r="AH21" s="105">
        <v>14.975022175834589</v>
      </c>
      <c r="AI21" s="105">
        <v>3629.9453754223041</v>
      </c>
      <c r="AJ21" s="105">
        <v>17.318052856407348</v>
      </c>
      <c r="AK21" s="105">
        <v>4197.8960123931411</v>
      </c>
      <c r="AL21" s="105">
        <v>13.208517936470914</v>
      </c>
      <c r="AM21" s="105">
        <v>3201.7447478005492</v>
      </c>
      <c r="AN21" s="105">
        <v>13.315091603971268</v>
      </c>
      <c r="AO21" s="105">
        <v>3227.5782048026354</v>
      </c>
      <c r="AP21" s="105">
        <v>18.986595848508692</v>
      </c>
      <c r="AQ21" s="105">
        <v>4602.3508336785062</v>
      </c>
      <c r="AR21" s="105">
        <v>15.729215919892717</v>
      </c>
      <c r="AS21" s="105">
        <v>3812.7619389819943</v>
      </c>
      <c r="AT21" s="105">
        <v>15.534487512416206</v>
      </c>
      <c r="AU21" s="105">
        <v>3765.5597730096879</v>
      </c>
      <c r="AV21" s="105">
        <v>12.352963105930298</v>
      </c>
      <c r="AW21" s="105">
        <v>2994.3582568775041</v>
      </c>
      <c r="AX21" s="105">
        <v>17.743482724410359</v>
      </c>
      <c r="AY21" s="105">
        <v>4301.0202123970703</v>
      </c>
      <c r="AZ21" s="105">
        <v>14.751884428181423</v>
      </c>
      <c r="BA21" s="105">
        <v>3575.8567853911768</v>
      </c>
      <c r="BB21" s="105">
        <v>12.888039752540319</v>
      </c>
      <c r="BC21" s="105">
        <v>3124.060836015773</v>
      </c>
      <c r="BD21" s="105">
        <v>14.875022027748882</v>
      </c>
      <c r="BE21" s="105">
        <v>3605.7053395263288</v>
      </c>
      <c r="BF21" s="105">
        <v>17.466582840569071</v>
      </c>
      <c r="BG21" s="105">
        <v>4233.8996805539427</v>
      </c>
      <c r="BH21" s="105">
        <v>15.852679153172881</v>
      </c>
      <c r="BI21" s="105">
        <v>3842.6894267291059</v>
      </c>
      <c r="BJ21" s="105">
        <v>6.5779903135722693</v>
      </c>
      <c r="BK21" s="105">
        <v>1594.5048520099178</v>
      </c>
      <c r="BL21" s="105">
        <v>16</v>
      </c>
      <c r="BM21" s="105">
        <v>3878.3999999999996</v>
      </c>
      <c r="BN21" s="105">
        <v>16.667092582871309</v>
      </c>
      <c r="BO21" s="105">
        <v>4040.1032420880047</v>
      </c>
      <c r="BP21" s="105">
        <v>17.497945808559177</v>
      </c>
      <c r="BQ21" s="105">
        <v>4241.5020639947443</v>
      </c>
      <c r="BR21" s="105">
        <v>15.169590116291221</v>
      </c>
      <c r="BS21" s="105">
        <v>3677.1086441889915</v>
      </c>
      <c r="BT21" s="105">
        <v>13.278372769933878</v>
      </c>
      <c r="BU21" s="105">
        <v>3218.6775594319715</v>
      </c>
      <c r="BV21" s="105">
        <v>14.54122920378879</v>
      </c>
      <c r="BW21" s="105">
        <v>3524.7939589984021</v>
      </c>
      <c r="BX21" s="105">
        <v>13</v>
      </c>
      <c r="BY21" s="105">
        <v>3151.2</v>
      </c>
      <c r="BZ21" s="105">
        <v>13.092902654014823</v>
      </c>
      <c r="CA21" s="105">
        <v>3173.7196033331929</v>
      </c>
      <c r="CB21" s="105">
        <v>17.643838009151644</v>
      </c>
      <c r="CC21" s="105">
        <v>4276.8663334183584</v>
      </c>
      <c r="CD21" s="105">
        <v>16.476167951125063</v>
      </c>
      <c r="CE21" s="105">
        <v>3993.8231113527149</v>
      </c>
      <c r="CF21" s="105">
        <v>15.559563359893874</v>
      </c>
      <c r="CG21" s="105">
        <v>3771.6381584382748</v>
      </c>
      <c r="CH21" s="105">
        <v>13</v>
      </c>
      <c r="CI21" s="105">
        <v>3151.2</v>
      </c>
      <c r="CJ21" s="105">
        <v>19.107332794646915</v>
      </c>
      <c r="CK21" s="105">
        <v>4631.6174694224119</v>
      </c>
      <c r="CL21" s="105">
        <v>8.1577619114159852</v>
      </c>
      <c r="CM21" s="105">
        <v>1977.4414873272347</v>
      </c>
      <c r="CN21" s="105">
        <v>11.520600854063956</v>
      </c>
      <c r="CO21" s="105">
        <v>2792.5936470251027</v>
      </c>
      <c r="CP21" s="105">
        <v>19.13586726361682</v>
      </c>
      <c r="CQ21" s="105">
        <v>4638.5342247007165</v>
      </c>
      <c r="CR21" s="105">
        <v>9.9973500079905531</v>
      </c>
      <c r="CS21" s="105">
        <v>2423.3576419369097</v>
      </c>
      <c r="CT21" s="105">
        <v>11.273167545506622</v>
      </c>
      <c r="CU21" s="105">
        <v>2732.6158130308049</v>
      </c>
    </row>
    <row r="22" spans="2:99" x14ac:dyDescent="0.2">
      <c r="C22" s="104" t="s">
        <v>188</v>
      </c>
      <c r="D22" s="105">
        <v>0</v>
      </c>
      <c r="E22" s="105">
        <v>0</v>
      </c>
      <c r="F22" s="105">
        <v>0</v>
      </c>
      <c r="G22" s="105">
        <v>0</v>
      </c>
      <c r="H22" s="105">
        <v>0</v>
      </c>
      <c r="I22" s="105">
        <v>0</v>
      </c>
      <c r="J22" s="105">
        <v>0</v>
      </c>
      <c r="K22" s="105">
        <v>0</v>
      </c>
      <c r="L22" s="105">
        <v>11.085708484754688</v>
      </c>
      <c r="M22" s="105">
        <v>691.74820944869248</v>
      </c>
      <c r="N22" s="105">
        <v>15.25273300077874</v>
      </c>
      <c r="O22" s="105">
        <v>951.77053924859331</v>
      </c>
      <c r="P22" s="105">
        <v>13.965733847369249</v>
      </c>
      <c r="Q22" s="105">
        <v>871.46179207584112</v>
      </c>
      <c r="R22" s="105">
        <v>13.561854177506209</v>
      </c>
      <c r="S22" s="105">
        <v>846.25970067638741</v>
      </c>
      <c r="T22" s="105">
        <v>15.378879300317722</v>
      </c>
      <c r="U22" s="105">
        <v>959.64206833982587</v>
      </c>
      <c r="V22" s="105">
        <v>16.588023234667833</v>
      </c>
      <c r="W22" s="105">
        <v>1035.0926498432727</v>
      </c>
      <c r="X22" s="105">
        <v>6.251531610625964</v>
      </c>
      <c r="Y22" s="105">
        <v>390.09557250306017</v>
      </c>
      <c r="Z22" s="105">
        <v>13.336328989118117</v>
      </c>
      <c r="AA22" s="105">
        <v>832.18692892097044</v>
      </c>
      <c r="AB22" s="105">
        <v>18.251679728275118</v>
      </c>
      <c r="AC22" s="105">
        <v>1138.9048150443673</v>
      </c>
      <c r="AD22" s="105">
        <v>12.009517525150912</v>
      </c>
      <c r="AE22" s="105">
        <v>749.39389356941683</v>
      </c>
      <c r="AF22" s="105">
        <v>19.857866131424064</v>
      </c>
      <c r="AG22" s="105">
        <v>1239.1308466008616</v>
      </c>
      <c r="AH22" s="105">
        <v>15.973356987556896</v>
      </c>
      <c r="AI22" s="105">
        <v>996.73747602355024</v>
      </c>
      <c r="AJ22" s="105">
        <v>15.586247570766613</v>
      </c>
      <c r="AK22" s="105">
        <v>972.58184841583659</v>
      </c>
      <c r="AL22" s="105">
        <v>13.903703091022015</v>
      </c>
      <c r="AM22" s="105">
        <v>867.59107287977372</v>
      </c>
      <c r="AN22" s="105">
        <v>15.811671279715881</v>
      </c>
      <c r="AO22" s="105">
        <v>986.64828785427096</v>
      </c>
      <c r="AP22" s="105">
        <v>17.178348624841199</v>
      </c>
      <c r="AQ22" s="105">
        <v>1071.9289541900907</v>
      </c>
      <c r="AR22" s="105">
        <v>15.729215919892717</v>
      </c>
      <c r="AS22" s="105">
        <v>981.50307340130553</v>
      </c>
      <c r="AT22" s="105">
        <v>15.534487512416206</v>
      </c>
      <c r="AU22" s="105">
        <v>969.35202077477118</v>
      </c>
      <c r="AV22" s="105">
        <v>12.352963105930298</v>
      </c>
      <c r="AW22" s="105">
        <v>770.82489781005063</v>
      </c>
      <c r="AX22" s="105">
        <v>18.630656860630879</v>
      </c>
      <c r="AY22" s="105">
        <v>1162.5529881033667</v>
      </c>
      <c r="AZ22" s="105">
        <v>17.702261313817708</v>
      </c>
      <c r="BA22" s="105">
        <v>1104.6211059822249</v>
      </c>
      <c r="BB22" s="105">
        <v>13.604041961014781</v>
      </c>
      <c r="BC22" s="105">
        <v>848.89221836732236</v>
      </c>
      <c r="BD22" s="105">
        <v>14.875022027748882</v>
      </c>
      <c r="BE22" s="105">
        <v>928.20137453153018</v>
      </c>
      <c r="BF22" s="105">
        <v>17.466582840569071</v>
      </c>
      <c r="BG22" s="105">
        <v>1089.9147692515101</v>
      </c>
      <c r="BH22" s="105">
        <v>17.717700230016749</v>
      </c>
      <c r="BI22" s="105">
        <v>1105.5844943530451</v>
      </c>
      <c r="BJ22" s="105">
        <v>6.1668659189740023</v>
      </c>
      <c r="BK22" s="105">
        <v>384.81243334397772</v>
      </c>
      <c r="BL22" s="105">
        <v>18</v>
      </c>
      <c r="BM22" s="105">
        <v>1123.2</v>
      </c>
      <c r="BN22" s="105">
        <v>14.81519340699672</v>
      </c>
      <c r="BO22" s="105">
        <v>924.46806859659534</v>
      </c>
      <c r="BP22" s="105">
        <v>20.260779357279045</v>
      </c>
      <c r="BQ22" s="105">
        <v>1264.2726318942123</v>
      </c>
      <c r="BR22" s="105">
        <v>15.169590116291221</v>
      </c>
      <c r="BS22" s="105">
        <v>946.58242325657216</v>
      </c>
      <c r="BT22" s="105">
        <v>13.881935168567237</v>
      </c>
      <c r="BU22" s="105">
        <v>866.23275451859558</v>
      </c>
      <c r="BV22" s="105">
        <v>13.087106283409911</v>
      </c>
      <c r="BW22" s="105">
        <v>816.63543208477847</v>
      </c>
      <c r="BX22" s="105">
        <v>12</v>
      </c>
      <c r="BY22" s="105">
        <v>748.8</v>
      </c>
      <c r="BZ22" s="105">
        <v>14.028109986444454</v>
      </c>
      <c r="CA22" s="105">
        <v>875.35406315413388</v>
      </c>
      <c r="CB22" s="105">
        <v>17.643838009151644</v>
      </c>
      <c r="CC22" s="105">
        <v>1100.9754917710625</v>
      </c>
      <c r="CD22" s="105">
        <v>19.077668153934283</v>
      </c>
      <c r="CE22" s="105">
        <v>1190.4464928054992</v>
      </c>
      <c r="CF22" s="105">
        <v>13.729026494024007</v>
      </c>
      <c r="CG22" s="105">
        <v>856.69125322709806</v>
      </c>
      <c r="CH22" s="105">
        <v>14</v>
      </c>
      <c r="CI22" s="105">
        <v>873.6</v>
      </c>
      <c r="CJ22" s="105">
        <v>19.107332794646915</v>
      </c>
      <c r="CK22" s="105">
        <v>1192.2975663859675</v>
      </c>
      <c r="CL22" s="105">
        <v>8.1577619114159852</v>
      </c>
      <c r="CM22" s="105">
        <v>509.04434327235748</v>
      </c>
      <c r="CN22" s="105">
        <v>11.520600854063956</v>
      </c>
      <c r="CO22" s="105">
        <v>718.8854932935908</v>
      </c>
      <c r="CP22" s="105">
        <v>18.338539460966118</v>
      </c>
      <c r="CQ22" s="105">
        <v>1144.3248623642858</v>
      </c>
      <c r="CR22" s="105">
        <v>9.9973500079905531</v>
      </c>
      <c r="CS22" s="105">
        <v>623.8346404986105</v>
      </c>
      <c r="CT22" s="105">
        <v>11.273167545506622</v>
      </c>
      <c r="CU22" s="105">
        <v>703.44565483961321</v>
      </c>
    </row>
    <row r="23" spans="2:99" x14ac:dyDescent="0.2">
      <c r="C23" s="104" t="s">
        <v>189</v>
      </c>
      <c r="D23" s="105">
        <v>0</v>
      </c>
      <c r="E23" s="105">
        <v>0</v>
      </c>
      <c r="F23" s="105">
        <v>0</v>
      </c>
      <c r="G23" s="105">
        <v>0</v>
      </c>
      <c r="H23" s="105">
        <v>0</v>
      </c>
      <c r="I23" s="105">
        <v>0</v>
      </c>
      <c r="J23" s="105">
        <v>0</v>
      </c>
      <c r="K23" s="105">
        <v>0</v>
      </c>
      <c r="L23" s="105">
        <v>11.085708484754688</v>
      </c>
      <c r="M23" s="105">
        <v>3099.5640923374103</v>
      </c>
      <c r="N23" s="105">
        <v>16.10010705637756</v>
      </c>
      <c r="O23" s="105">
        <v>4501.5899329631648</v>
      </c>
      <c r="P23" s="105">
        <v>14.896782770527198</v>
      </c>
      <c r="Q23" s="105">
        <v>4165.1404626394042</v>
      </c>
      <c r="R23" s="105">
        <v>14.465977789339957</v>
      </c>
      <c r="S23" s="105">
        <v>4044.6873898994518</v>
      </c>
      <c r="T23" s="105">
        <v>13.456519387778007</v>
      </c>
      <c r="U23" s="105">
        <v>3762.4428208227305</v>
      </c>
      <c r="V23" s="105">
        <v>15.008211498032804</v>
      </c>
      <c r="W23" s="105">
        <v>4196.2959348499717</v>
      </c>
      <c r="X23" s="105">
        <v>6.251531610625964</v>
      </c>
      <c r="Y23" s="105">
        <v>1747.9282383310192</v>
      </c>
      <c r="Z23" s="105">
        <v>12.447240389843577</v>
      </c>
      <c r="AA23" s="105">
        <v>3480.2484130002636</v>
      </c>
      <c r="AB23" s="105">
        <v>16.592436116613744</v>
      </c>
      <c r="AC23" s="105">
        <v>4639.2451382052022</v>
      </c>
      <c r="AD23" s="105">
        <v>12.009517525150912</v>
      </c>
      <c r="AE23" s="105">
        <v>3357.8611000321944</v>
      </c>
      <c r="AF23" s="105">
        <v>16.404324195524229</v>
      </c>
      <c r="AG23" s="105">
        <v>4586.6490450685742</v>
      </c>
      <c r="AH23" s="105">
        <v>15.973356987556896</v>
      </c>
      <c r="AI23" s="105">
        <v>4466.1506137209071</v>
      </c>
      <c r="AJ23" s="105">
        <v>17.318052856407348</v>
      </c>
      <c r="AK23" s="105">
        <v>4842.1275786514943</v>
      </c>
      <c r="AL23" s="105">
        <v>15.294073400124216</v>
      </c>
      <c r="AM23" s="105">
        <v>4276.2229226747304</v>
      </c>
      <c r="AN23" s="105">
        <v>14.979478054467677</v>
      </c>
      <c r="AO23" s="105">
        <v>4188.2620640291616</v>
      </c>
      <c r="AP23" s="105">
        <v>16.274225013007452</v>
      </c>
      <c r="AQ23" s="105">
        <v>4550.2733136368834</v>
      </c>
      <c r="AR23" s="105">
        <v>18.504959905756138</v>
      </c>
      <c r="AS23" s="105">
        <v>5173.9867896494152</v>
      </c>
      <c r="AT23" s="105">
        <v>14.794750011824956</v>
      </c>
      <c r="AU23" s="105">
        <v>4136.6121033062573</v>
      </c>
      <c r="AV23" s="105">
        <v>10.588254090797399</v>
      </c>
      <c r="AW23" s="105">
        <v>2960.4758437869523</v>
      </c>
      <c r="AX23" s="105">
        <v>16.856308588189844</v>
      </c>
      <c r="AY23" s="105">
        <v>4713.02388125788</v>
      </c>
      <c r="AZ23" s="105">
        <v>15.735343390060185</v>
      </c>
      <c r="BA23" s="105">
        <v>4399.6020118608276</v>
      </c>
      <c r="BB23" s="105">
        <v>14.320044169489243</v>
      </c>
      <c r="BC23" s="105">
        <v>4003.8843497891921</v>
      </c>
      <c r="BD23" s="105">
        <v>16.858358298115402</v>
      </c>
      <c r="BE23" s="105">
        <v>4713.5969801530655</v>
      </c>
      <c r="BF23" s="105">
        <v>17.466582840569071</v>
      </c>
      <c r="BG23" s="105">
        <v>4883.6565622231119</v>
      </c>
      <c r="BH23" s="105">
        <v>16.785189691594816</v>
      </c>
      <c r="BI23" s="105">
        <v>4693.1390377699099</v>
      </c>
      <c r="BJ23" s="105">
        <v>6.5779903135722693</v>
      </c>
      <c r="BK23" s="105">
        <v>1839.2060916748062</v>
      </c>
      <c r="BL23" s="105">
        <v>17</v>
      </c>
      <c r="BM23" s="105">
        <v>4753.2</v>
      </c>
      <c r="BN23" s="105">
        <v>14.81519340699672</v>
      </c>
      <c r="BO23" s="105">
        <v>4142.3280765962827</v>
      </c>
      <c r="BP23" s="105">
        <v>17.497945808559177</v>
      </c>
      <c r="BQ23" s="105">
        <v>4892.4256480731456</v>
      </c>
      <c r="BR23" s="105">
        <v>16.766389075900822</v>
      </c>
      <c r="BS23" s="105">
        <v>4687.8823856218696</v>
      </c>
      <c r="BT23" s="105">
        <v>13.881935168567237</v>
      </c>
      <c r="BU23" s="105">
        <v>3881.3890731313991</v>
      </c>
      <c r="BV23" s="105">
        <v>13.814167743599349</v>
      </c>
      <c r="BW23" s="105">
        <v>3862.4413011103775</v>
      </c>
      <c r="BX23" s="105">
        <v>13</v>
      </c>
      <c r="BY23" s="105">
        <v>3634.7999999999997</v>
      </c>
      <c r="BZ23" s="105">
        <v>14.963317318874083</v>
      </c>
      <c r="CA23" s="105">
        <v>4183.7435223571929</v>
      </c>
      <c r="CB23" s="105">
        <v>15.683411563690351</v>
      </c>
      <c r="CC23" s="105">
        <v>4385.0818732078214</v>
      </c>
      <c r="CD23" s="105">
        <v>19.077668153934283</v>
      </c>
      <c r="CE23" s="105">
        <v>5334.1160158400253</v>
      </c>
      <c r="CF23" s="105">
        <v>15.559563359893874</v>
      </c>
      <c r="CG23" s="105">
        <v>4350.4539154263266</v>
      </c>
      <c r="CH23" s="105">
        <v>14</v>
      </c>
      <c r="CI23" s="105">
        <v>3914.3999999999996</v>
      </c>
      <c r="CJ23" s="105">
        <v>20.017205784868196</v>
      </c>
      <c r="CK23" s="105">
        <v>5596.8107374491465</v>
      </c>
      <c r="CL23" s="105">
        <v>7.8030766109196383</v>
      </c>
      <c r="CM23" s="105">
        <v>2181.7402204131308</v>
      </c>
      <c r="CN23" s="105">
        <v>12.96067596082195</v>
      </c>
      <c r="CO23" s="105">
        <v>3623.8049986458168</v>
      </c>
      <c r="CP23" s="105">
        <v>19.13586726361682</v>
      </c>
      <c r="CQ23" s="105">
        <v>5350.3884869072626</v>
      </c>
      <c r="CR23" s="105">
        <v>11.663575009322312</v>
      </c>
      <c r="CS23" s="105">
        <v>3261.1355726065181</v>
      </c>
      <c r="CT23" s="105">
        <v>12.140334279776363</v>
      </c>
      <c r="CU23" s="105">
        <v>3394.4374646254705</v>
      </c>
    </row>
    <row r="24" spans="2:99" x14ac:dyDescent="0.2">
      <c r="C24" s="104" t="s">
        <v>190</v>
      </c>
      <c r="D24" s="105">
        <v>0</v>
      </c>
      <c r="E24" s="105">
        <v>0</v>
      </c>
      <c r="F24" s="105">
        <v>0</v>
      </c>
      <c r="G24" s="105">
        <v>0</v>
      </c>
      <c r="H24" s="105">
        <v>0</v>
      </c>
      <c r="I24" s="105">
        <v>0</v>
      </c>
      <c r="J24" s="105">
        <v>0</v>
      </c>
      <c r="K24" s="105">
        <v>0</v>
      </c>
      <c r="L24" s="105">
        <v>12.009517525150912</v>
      </c>
      <c r="M24" s="105">
        <v>3660.5009416659982</v>
      </c>
      <c r="N24" s="105">
        <v>14.405358945179922</v>
      </c>
      <c r="O24" s="105">
        <v>4390.7534064908405</v>
      </c>
      <c r="P24" s="105">
        <v>13.965733847369249</v>
      </c>
      <c r="Q24" s="105">
        <v>4256.7556766781472</v>
      </c>
      <c r="R24" s="105">
        <v>15.370101401173704</v>
      </c>
      <c r="S24" s="105">
        <v>4684.8069070777456</v>
      </c>
      <c r="T24" s="105">
        <v>14.417699344047865</v>
      </c>
      <c r="U24" s="105">
        <v>4394.5147600657892</v>
      </c>
      <c r="V24" s="105">
        <v>15.008211498032804</v>
      </c>
      <c r="W24" s="105">
        <v>4574.5028646003984</v>
      </c>
      <c r="X24" s="105">
        <v>6.7724925781781282</v>
      </c>
      <c r="Y24" s="105">
        <v>2064.2557378286938</v>
      </c>
      <c r="Z24" s="105">
        <v>11.558151790569037</v>
      </c>
      <c r="AA24" s="105">
        <v>3522.9246657654426</v>
      </c>
      <c r="AB24" s="105">
        <v>16.592436116613744</v>
      </c>
      <c r="AC24" s="105">
        <v>5057.3745283438693</v>
      </c>
      <c r="AD24" s="105">
        <v>11.085708484754688</v>
      </c>
      <c r="AE24" s="105">
        <v>3378.9239461532293</v>
      </c>
      <c r="AF24" s="105">
        <v>18.994480647449105</v>
      </c>
      <c r="AG24" s="105">
        <v>5789.5177013424873</v>
      </c>
      <c r="AH24" s="105">
        <v>15.973356987556896</v>
      </c>
      <c r="AI24" s="105">
        <v>4868.679209807342</v>
      </c>
      <c r="AJ24" s="105">
        <v>15.586247570766613</v>
      </c>
      <c r="AK24" s="105">
        <v>4750.6882595696634</v>
      </c>
      <c r="AL24" s="105">
        <v>13.903703091022015</v>
      </c>
      <c r="AM24" s="105">
        <v>4237.8487021435103</v>
      </c>
      <c r="AN24" s="105">
        <v>13.315091603971268</v>
      </c>
      <c r="AO24" s="105">
        <v>4058.4399208904429</v>
      </c>
      <c r="AP24" s="105">
        <v>18.082472236674946</v>
      </c>
      <c r="AQ24" s="105">
        <v>5511.5375377385235</v>
      </c>
      <c r="AR24" s="105">
        <v>18.504959905756138</v>
      </c>
      <c r="AS24" s="105">
        <v>5640.3117792744715</v>
      </c>
      <c r="AT24" s="105">
        <v>14.055012511233709</v>
      </c>
      <c r="AU24" s="105">
        <v>4283.9678134240348</v>
      </c>
      <c r="AV24" s="105">
        <v>11.470608598363848</v>
      </c>
      <c r="AW24" s="105">
        <v>3496.2415007813011</v>
      </c>
      <c r="AX24" s="105">
        <v>15.969134451969325</v>
      </c>
      <c r="AY24" s="105">
        <v>4867.3921809602507</v>
      </c>
      <c r="AZ24" s="105">
        <v>17.702261313817708</v>
      </c>
      <c r="BA24" s="105">
        <v>5395.6492484516375</v>
      </c>
      <c r="BB24" s="105">
        <v>13.604041961014781</v>
      </c>
      <c r="BC24" s="105">
        <v>4146.5119897173054</v>
      </c>
      <c r="BD24" s="105">
        <v>14.875022027748882</v>
      </c>
      <c r="BE24" s="105">
        <v>4533.9067140578591</v>
      </c>
      <c r="BF24" s="105">
        <v>18.298324880596166</v>
      </c>
      <c r="BG24" s="105">
        <v>5577.3294236057118</v>
      </c>
      <c r="BH24" s="105">
        <v>13.987658076329012</v>
      </c>
      <c r="BI24" s="105">
        <v>4263.438181665083</v>
      </c>
      <c r="BJ24" s="105">
        <v>5.7557415243757353</v>
      </c>
      <c r="BK24" s="105">
        <v>1754.3500166297242</v>
      </c>
      <c r="BL24" s="105">
        <v>15</v>
      </c>
      <c r="BM24" s="105">
        <v>4572</v>
      </c>
      <c r="BN24" s="105">
        <v>14.81519340699672</v>
      </c>
      <c r="BO24" s="105">
        <v>4515.6709504526007</v>
      </c>
      <c r="BP24" s="105">
        <v>19.339834841039089</v>
      </c>
      <c r="BQ24" s="105">
        <v>5894.7816595487147</v>
      </c>
      <c r="BR24" s="105">
        <v>15.169590116291221</v>
      </c>
      <c r="BS24" s="105">
        <v>4623.6910674455648</v>
      </c>
      <c r="BT24" s="105">
        <v>12.071247972667162</v>
      </c>
      <c r="BU24" s="105">
        <v>3679.316382068951</v>
      </c>
      <c r="BV24" s="105">
        <v>13.087106283409911</v>
      </c>
      <c r="BW24" s="105">
        <v>3988.9499951833409</v>
      </c>
      <c r="BX24" s="105">
        <v>13</v>
      </c>
      <c r="BY24" s="105">
        <v>3962.4</v>
      </c>
      <c r="BZ24" s="105">
        <v>13.092902654014823</v>
      </c>
      <c r="CA24" s="105">
        <v>3990.7167289437184</v>
      </c>
      <c r="CB24" s="105">
        <v>14.703198340959704</v>
      </c>
      <c r="CC24" s="105">
        <v>4481.5348543245182</v>
      </c>
      <c r="CD24" s="105">
        <v>16.476167951125063</v>
      </c>
      <c r="CE24" s="105">
        <v>5021.9359915029199</v>
      </c>
      <c r="CF24" s="105">
        <v>14.64429492695894</v>
      </c>
      <c r="CG24" s="105">
        <v>4463.5810937370852</v>
      </c>
      <c r="CH24" s="105">
        <v>13</v>
      </c>
      <c r="CI24" s="105">
        <v>3962.4</v>
      </c>
      <c r="CJ24" s="105">
        <v>19.107332794646915</v>
      </c>
      <c r="CK24" s="105">
        <v>5823.9150358083798</v>
      </c>
      <c r="CL24" s="105">
        <v>7.8030766109196383</v>
      </c>
      <c r="CM24" s="105">
        <v>2378.3777510083059</v>
      </c>
      <c r="CN24" s="105">
        <v>12.96067596082195</v>
      </c>
      <c r="CO24" s="105">
        <v>3950.4140328585304</v>
      </c>
      <c r="CP24" s="105">
        <v>18.338539460966118</v>
      </c>
      <c r="CQ24" s="105">
        <v>5589.5868277024729</v>
      </c>
      <c r="CR24" s="105">
        <v>11.663575009322312</v>
      </c>
      <c r="CS24" s="105">
        <v>3555.0576628414406</v>
      </c>
      <c r="CT24" s="105">
        <v>11.273167545506622</v>
      </c>
      <c r="CU24" s="105">
        <v>3436.0614678704187</v>
      </c>
    </row>
    <row r="25" spans="2:99" x14ac:dyDescent="0.2">
      <c r="C25" s="104" t="s">
        <v>191</v>
      </c>
      <c r="D25" s="105">
        <v>0</v>
      </c>
      <c r="E25" s="105">
        <v>0</v>
      </c>
      <c r="F25" s="105">
        <v>0</v>
      </c>
      <c r="G25" s="105">
        <v>0</v>
      </c>
      <c r="H25" s="105">
        <v>0</v>
      </c>
      <c r="I25" s="105">
        <v>0</v>
      </c>
      <c r="J25" s="105">
        <v>0</v>
      </c>
      <c r="K25" s="105">
        <v>0</v>
      </c>
      <c r="L25" s="105">
        <v>10.161899444358463</v>
      </c>
      <c r="M25" s="105">
        <v>3304.649699305372</v>
      </c>
      <c r="N25" s="105">
        <v>16.10010705637756</v>
      </c>
      <c r="O25" s="105">
        <v>5235.7548147339821</v>
      </c>
      <c r="P25" s="105">
        <v>13.965733847369249</v>
      </c>
      <c r="Q25" s="105">
        <v>4541.6566471644792</v>
      </c>
      <c r="R25" s="105">
        <v>12.657730565672463</v>
      </c>
      <c r="S25" s="105">
        <v>4116.2939799566848</v>
      </c>
      <c r="T25" s="105">
        <v>15.378879300317722</v>
      </c>
      <c r="U25" s="105">
        <v>5001.2115484633232</v>
      </c>
      <c r="V25" s="105">
        <v>14.218305629715287</v>
      </c>
      <c r="W25" s="105">
        <v>4623.7929907834114</v>
      </c>
      <c r="X25" s="105">
        <v>6.251531610625964</v>
      </c>
      <c r="Y25" s="105">
        <v>2032.9980797755634</v>
      </c>
      <c r="Z25" s="105">
        <v>12.447240389843577</v>
      </c>
      <c r="AA25" s="105">
        <v>4047.8425747771312</v>
      </c>
      <c r="AB25" s="105">
        <v>17.422057922444431</v>
      </c>
      <c r="AC25" s="105">
        <v>5665.6532363789283</v>
      </c>
      <c r="AD25" s="105">
        <v>12.009517525150912</v>
      </c>
      <c r="AE25" s="105">
        <v>3905.4950991790765</v>
      </c>
      <c r="AF25" s="105">
        <v>18.131095163474146</v>
      </c>
      <c r="AG25" s="105">
        <v>5896.2321471617925</v>
      </c>
      <c r="AH25" s="105">
        <v>13.976687364112284</v>
      </c>
      <c r="AI25" s="105">
        <v>4545.2187308093144</v>
      </c>
      <c r="AJ25" s="105">
        <v>16.452150213586982</v>
      </c>
      <c r="AK25" s="105">
        <v>5350.2392494584865</v>
      </c>
      <c r="AL25" s="105">
        <v>15.989258554675317</v>
      </c>
      <c r="AM25" s="105">
        <v>5199.7068819804126</v>
      </c>
      <c r="AN25" s="105">
        <v>13.315091603971268</v>
      </c>
      <c r="AO25" s="105">
        <v>4330.0677896114566</v>
      </c>
      <c r="AP25" s="105">
        <v>18.082472236674946</v>
      </c>
      <c r="AQ25" s="105">
        <v>5880.4199713666922</v>
      </c>
      <c r="AR25" s="105">
        <v>17.57971191046833</v>
      </c>
      <c r="AS25" s="105">
        <v>5716.9223132843008</v>
      </c>
      <c r="AT25" s="105">
        <v>15.534487512416206</v>
      </c>
      <c r="AU25" s="105">
        <v>5051.8153390377502</v>
      </c>
      <c r="AV25" s="105">
        <v>12.352963105930298</v>
      </c>
      <c r="AW25" s="105">
        <v>4017.183602048533</v>
      </c>
      <c r="AX25" s="105">
        <v>15.969134451969325</v>
      </c>
      <c r="AY25" s="105">
        <v>5193.1625237804237</v>
      </c>
      <c r="AZ25" s="105">
        <v>14.751884428181423</v>
      </c>
      <c r="BA25" s="105">
        <v>4797.3128160445985</v>
      </c>
      <c r="BB25" s="105">
        <v>13.604041961014781</v>
      </c>
      <c r="BC25" s="105">
        <v>4424.0344457220062</v>
      </c>
      <c r="BD25" s="105">
        <v>16.858358298115402</v>
      </c>
      <c r="BE25" s="105">
        <v>5482.338118547128</v>
      </c>
      <c r="BF25" s="105">
        <v>18.298324880596166</v>
      </c>
      <c r="BG25" s="105">
        <v>5950.6152511698729</v>
      </c>
      <c r="BH25" s="105">
        <v>13.987658076329012</v>
      </c>
      <c r="BI25" s="105">
        <v>4548.7864064221949</v>
      </c>
      <c r="BJ25" s="105">
        <v>6.1668659189740023</v>
      </c>
      <c r="BK25" s="105">
        <v>2005.4647968503455</v>
      </c>
      <c r="BL25" s="105">
        <v>17</v>
      </c>
      <c r="BM25" s="105">
        <v>5528.4</v>
      </c>
      <c r="BN25" s="105">
        <v>16.667092582871309</v>
      </c>
      <c r="BO25" s="105">
        <v>5420.1385079497495</v>
      </c>
      <c r="BP25" s="105">
        <v>17.497945808559177</v>
      </c>
      <c r="BQ25" s="105">
        <v>5690.3319769434438</v>
      </c>
      <c r="BR25" s="105">
        <v>15.967989596096022</v>
      </c>
      <c r="BS25" s="105">
        <v>5192.7902166504264</v>
      </c>
      <c r="BT25" s="105">
        <v>13.278372769933878</v>
      </c>
      <c r="BU25" s="105">
        <v>4318.1268247824964</v>
      </c>
      <c r="BV25" s="105">
        <v>12.36004482322047</v>
      </c>
      <c r="BW25" s="105">
        <v>4019.4865765112968</v>
      </c>
      <c r="BX25" s="105">
        <v>13</v>
      </c>
      <c r="BY25" s="105">
        <v>4227.5999999999995</v>
      </c>
      <c r="BZ25" s="105">
        <v>12.157695321585193</v>
      </c>
      <c r="CA25" s="105">
        <v>3953.6825185795046</v>
      </c>
      <c r="CB25" s="105">
        <v>14.703198340959704</v>
      </c>
      <c r="CC25" s="105">
        <v>4781.4801004800956</v>
      </c>
      <c r="CD25" s="105">
        <v>19.077668153934283</v>
      </c>
      <c r="CE25" s="105">
        <v>6204.0576836594282</v>
      </c>
      <c r="CF25" s="105">
        <v>16.474831792828809</v>
      </c>
      <c r="CG25" s="105">
        <v>5357.6152990279288</v>
      </c>
      <c r="CH25" s="105">
        <v>15</v>
      </c>
      <c r="CI25" s="105">
        <v>4878</v>
      </c>
      <c r="CJ25" s="105">
        <v>20.927078775089477</v>
      </c>
      <c r="CK25" s="105">
        <v>6805.4860176590973</v>
      </c>
      <c r="CL25" s="105">
        <v>9.2218178129050266</v>
      </c>
      <c r="CM25" s="105">
        <v>2998.9351527567146</v>
      </c>
      <c r="CN25" s="105">
        <v>13.680713514200948</v>
      </c>
      <c r="CO25" s="105">
        <v>4448.9680348181482</v>
      </c>
      <c r="CP25" s="105">
        <v>19.933195066267519</v>
      </c>
      <c r="CQ25" s="105">
        <v>6482.2750355501967</v>
      </c>
      <c r="CR25" s="105">
        <v>11.663575009322312</v>
      </c>
      <c r="CS25" s="105">
        <v>3792.9945930316158</v>
      </c>
      <c r="CT25" s="105">
        <v>11.273167545506622</v>
      </c>
      <c r="CU25" s="105">
        <v>3666.0340857987535</v>
      </c>
    </row>
    <row r="26" spans="2:99" x14ac:dyDescent="0.2">
      <c r="C26" s="104" t="s">
        <v>192</v>
      </c>
      <c r="D26" s="105">
        <v>0</v>
      </c>
      <c r="E26" s="105">
        <v>0</v>
      </c>
      <c r="F26" s="105">
        <v>0</v>
      </c>
      <c r="G26" s="105">
        <v>0</v>
      </c>
      <c r="H26" s="105">
        <v>0</v>
      </c>
      <c r="I26" s="105">
        <v>0</v>
      </c>
      <c r="J26" s="105">
        <v>0</v>
      </c>
      <c r="K26" s="105">
        <v>0</v>
      </c>
      <c r="L26" s="105">
        <v>10.161899444358463</v>
      </c>
      <c r="M26" s="105">
        <v>2914.4327606420075</v>
      </c>
      <c r="N26" s="105">
        <v>16.10010705637756</v>
      </c>
      <c r="O26" s="105">
        <v>4617.5107037690841</v>
      </c>
      <c r="P26" s="105">
        <v>13.965733847369249</v>
      </c>
      <c r="Q26" s="105">
        <v>4005.3724674255009</v>
      </c>
      <c r="R26" s="105">
        <v>13.561854177506209</v>
      </c>
      <c r="S26" s="105">
        <v>3889.5397781087809</v>
      </c>
      <c r="T26" s="105">
        <v>16.34005925658758</v>
      </c>
      <c r="U26" s="105">
        <v>4686.3289947893181</v>
      </c>
      <c r="V26" s="105">
        <v>15.008211498032804</v>
      </c>
      <c r="W26" s="105">
        <v>4304.3550576358084</v>
      </c>
      <c r="X26" s="105">
        <v>6.251531610625964</v>
      </c>
      <c r="Y26" s="105">
        <v>1792.9392659275265</v>
      </c>
      <c r="Z26" s="105">
        <v>13.336328989118117</v>
      </c>
      <c r="AA26" s="105">
        <v>3824.8591540790762</v>
      </c>
      <c r="AB26" s="105">
        <v>17.422057922444431</v>
      </c>
      <c r="AC26" s="105">
        <v>4996.646212157063</v>
      </c>
      <c r="AD26" s="105">
        <v>12.933326565547137</v>
      </c>
      <c r="AE26" s="105">
        <v>3709.2780589989193</v>
      </c>
      <c r="AF26" s="105">
        <v>18.131095163474146</v>
      </c>
      <c r="AG26" s="105">
        <v>5199.9980928843852</v>
      </c>
      <c r="AH26" s="105">
        <v>14.975022175834589</v>
      </c>
      <c r="AI26" s="105">
        <v>4294.8363600293605</v>
      </c>
      <c r="AJ26" s="105">
        <v>17.318052856407348</v>
      </c>
      <c r="AK26" s="105">
        <v>4966.8175592176276</v>
      </c>
      <c r="AL26" s="105">
        <v>13.903703091022015</v>
      </c>
      <c r="AM26" s="105">
        <v>3987.5820465051142</v>
      </c>
      <c r="AN26" s="105">
        <v>14.979478054467677</v>
      </c>
      <c r="AO26" s="105">
        <v>4296.1143060213299</v>
      </c>
      <c r="AP26" s="105">
        <v>18.082472236674946</v>
      </c>
      <c r="AQ26" s="105">
        <v>5186.0530374783748</v>
      </c>
      <c r="AR26" s="105">
        <v>17.57971191046833</v>
      </c>
      <c r="AS26" s="105">
        <v>5041.8613759223172</v>
      </c>
      <c r="AT26" s="105">
        <v>14.055012511233709</v>
      </c>
      <c r="AU26" s="105">
        <v>4030.9775882218278</v>
      </c>
      <c r="AV26" s="105">
        <v>10.588254090797399</v>
      </c>
      <c r="AW26" s="105">
        <v>3036.711273240694</v>
      </c>
      <c r="AX26" s="105">
        <v>15.081960315748807</v>
      </c>
      <c r="AY26" s="105">
        <v>4325.5062185567576</v>
      </c>
      <c r="AZ26" s="105">
        <v>15.735343390060185</v>
      </c>
      <c r="BA26" s="105">
        <v>4512.8964842692612</v>
      </c>
      <c r="BB26" s="105">
        <v>13.604041961014781</v>
      </c>
      <c r="BC26" s="105">
        <v>3901.6392344190394</v>
      </c>
      <c r="BD26" s="105">
        <v>14.875022027748882</v>
      </c>
      <c r="BE26" s="105">
        <v>4266.1563175583797</v>
      </c>
      <c r="BF26" s="105">
        <v>18.298324880596166</v>
      </c>
      <c r="BG26" s="105">
        <v>5247.9595757549805</v>
      </c>
      <c r="BH26" s="105">
        <v>16.785189691594816</v>
      </c>
      <c r="BI26" s="105">
        <v>4813.9924035493932</v>
      </c>
      <c r="BJ26" s="105">
        <v>6.1668659189740023</v>
      </c>
      <c r="BK26" s="105">
        <v>1768.6571455617438</v>
      </c>
      <c r="BL26" s="105">
        <v>16</v>
      </c>
      <c r="BM26" s="105">
        <v>4588.8</v>
      </c>
      <c r="BN26" s="105">
        <v>15.741142994934014</v>
      </c>
      <c r="BO26" s="105">
        <v>4514.5598109470757</v>
      </c>
      <c r="BP26" s="105">
        <v>17.497945808559177</v>
      </c>
      <c r="BQ26" s="105">
        <v>5018.4108578947717</v>
      </c>
      <c r="BR26" s="105">
        <v>16.766389075900822</v>
      </c>
      <c r="BS26" s="105">
        <v>4808.6003869683555</v>
      </c>
      <c r="BT26" s="105">
        <v>12.071247972667162</v>
      </c>
      <c r="BU26" s="105">
        <v>3462.0339185609423</v>
      </c>
      <c r="BV26" s="105">
        <v>14.54122920378879</v>
      </c>
      <c r="BW26" s="105">
        <v>4170.4245356466254</v>
      </c>
      <c r="BX26" s="105">
        <v>13</v>
      </c>
      <c r="BY26" s="105">
        <v>3728.4</v>
      </c>
      <c r="BZ26" s="105">
        <v>14.963317318874083</v>
      </c>
      <c r="CA26" s="105">
        <v>4291.479407053087</v>
      </c>
      <c r="CB26" s="105">
        <v>16.663624786420996</v>
      </c>
      <c r="CC26" s="105">
        <v>4779.1275887455422</v>
      </c>
      <c r="CD26" s="105">
        <v>16.476167951125063</v>
      </c>
      <c r="CE26" s="105">
        <v>4725.3649683826679</v>
      </c>
      <c r="CF26" s="105">
        <v>15.559563359893874</v>
      </c>
      <c r="CG26" s="105">
        <v>4462.4827716175632</v>
      </c>
      <c r="CH26" s="105">
        <v>13</v>
      </c>
      <c r="CI26" s="105">
        <v>3728.4</v>
      </c>
      <c r="CJ26" s="105">
        <v>17.287586814204349</v>
      </c>
      <c r="CK26" s="105">
        <v>4958.0798983138075</v>
      </c>
      <c r="CL26" s="105">
        <v>8.1577619114159852</v>
      </c>
      <c r="CM26" s="105">
        <v>2339.6461161941047</v>
      </c>
      <c r="CN26" s="105">
        <v>11.520600854063956</v>
      </c>
      <c r="CO26" s="105">
        <v>3304.1083249455428</v>
      </c>
      <c r="CP26" s="105">
        <v>18.338539460966118</v>
      </c>
      <c r="CQ26" s="105">
        <v>5259.4931174050826</v>
      </c>
      <c r="CR26" s="105">
        <v>11.663575009322312</v>
      </c>
      <c r="CS26" s="105">
        <v>3345.113312673639</v>
      </c>
      <c r="CT26" s="105">
        <v>11.273167545506622</v>
      </c>
      <c r="CU26" s="105">
        <v>3233.1444520512991</v>
      </c>
    </row>
    <row r="27" spans="2:99" x14ac:dyDescent="0.2">
      <c r="C27" s="104" t="s">
        <v>193</v>
      </c>
      <c r="D27" s="105">
        <v>0</v>
      </c>
      <c r="E27" s="105">
        <v>0</v>
      </c>
      <c r="F27" s="105">
        <v>0</v>
      </c>
      <c r="G27" s="105">
        <v>0</v>
      </c>
      <c r="H27" s="105">
        <v>0</v>
      </c>
      <c r="I27" s="105">
        <v>0</v>
      </c>
      <c r="J27" s="105">
        <v>0</v>
      </c>
      <c r="K27" s="105">
        <v>0</v>
      </c>
      <c r="L27" s="105">
        <v>12.009517525150912</v>
      </c>
      <c r="M27" s="105">
        <v>3790.2037309376274</v>
      </c>
      <c r="N27" s="105">
        <v>16.10010705637756</v>
      </c>
      <c r="O27" s="105">
        <v>5081.1937869927569</v>
      </c>
      <c r="P27" s="105">
        <v>13.965733847369249</v>
      </c>
      <c r="Q27" s="105">
        <v>4407.5856022297348</v>
      </c>
      <c r="R27" s="105">
        <v>14.465977789339957</v>
      </c>
      <c r="S27" s="105">
        <v>4565.4625903156902</v>
      </c>
      <c r="T27" s="105">
        <v>14.417699344047865</v>
      </c>
      <c r="U27" s="105">
        <v>4550.2259129815056</v>
      </c>
      <c r="V27" s="105">
        <v>16.588023234667833</v>
      </c>
      <c r="W27" s="105">
        <v>5235.1801328611673</v>
      </c>
      <c r="X27" s="105">
        <v>6.7724925781781282</v>
      </c>
      <c r="Y27" s="105">
        <v>2137.3986576730172</v>
      </c>
      <c r="Z27" s="105">
        <v>11.558151790569037</v>
      </c>
      <c r="AA27" s="105">
        <v>3647.7527051035877</v>
      </c>
      <c r="AB27" s="105">
        <v>18.251679728275118</v>
      </c>
      <c r="AC27" s="105">
        <v>5760.2301222436263</v>
      </c>
      <c r="AD27" s="105">
        <v>12.009517525150912</v>
      </c>
      <c r="AE27" s="105">
        <v>3790.2037309376274</v>
      </c>
      <c r="AF27" s="105">
        <v>18.131095163474146</v>
      </c>
      <c r="AG27" s="105">
        <v>5722.1736335924397</v>
      </c>
      <c r="AH27" s="105">
        <v>13.976687364112284</v>
      </c>
      <c r="AI27" s="105">
        <v>4411.0425321138364</v>
      </c>
      <c r="AJ27" s="105">
        <v>15.586247570766613</v>
      </c>
      <c r="AK27" s="105">
        <v>4919.0197333339429</v>
      </c>
      <c r="AL27" s="105">
        <v>15.294073400124216</v>
      </c>
      <c r="AM27" s="105">
        <v>4826.809565079202</v>
      </c>
      <c r="AN27" s="105">
        <v>14.979478054467677</v>
      </c>
      <c r="AO27" s="105">
        <v>4727.5232739899984</v>
      </c>
      <c r="AP27" s="105">
        <v>18.082472236674946</v>
      </c>
      <c r="AQ27" s="105">
        <v>5706.8282378946124</v>
      </c>
      <c r="AR27" s="105">
        <v>17.57971191046833</v>
      </c>
      <c r="AS27" s="105">
        <v>5548.1570789438047</v>
      </c>
      <c r="AT27" s="105">
        <v>15.534487512416206</v>
      </c>
      <c r="AU27" s="105">
        <v>4902.6842589185544</v>
      </c>
      <c r="AV27" s="105">
        <v>12.352963105930298</v>
      </c>
      <c r="AW27" s="105">
        <v>3898.5951562316018</v>
      </c>
      <c r="AX27" s="105">
        <v>15.081960315748807</v>
      </c>
      <c r="AY27" s="105">
        <v>4759.8666756503226</v>
      </c>
      <c r="AZ27" s="105">
        <v>16.718802351938947</v>
      </c>
      <c r="BA27" s="105">
        <v>5276.4540222719315</v>
      </c>
      <c r="BB27" s="105">
        <v>14.320044169489243</v>
      </c>
      <c r="BC27" s="105">
        <v>4519.4059398908048</v>
      </c>
      <c r="BD27" s="105">
        <v>15.866690162932141</v>
      </c>
      <c r="BE27" s="105">
        <v>5007.527415421383</v>
      </c>
      <c r="BF27" s="105">
        <v>19.130066920623264</v>
      </c>
      <c r="BG27" s="105">
        <v>6037.4491201487017</v>
      </c>
      <c r="BH27" s="105">
        <v>14.920168614750947</v>
      </c>
      <c r="BI27" s="105">
        <v>4708.8052148153984</v>
      </c>
      <c r="BJ27" s="105">
        <v>5.7557415243757353</v>
      </c>
      <c r="BK27" s="105">
        <v>1816.512025092982</v>
      </c>
      <c r="BL27" s="105">
        <v>16</v>
      </c>
      <c r="BM27" s="105">
        <v>5049.5999999999995</v>
      </c>
      <c r="BN27" s="105">
        <v>13.889243819059425</v>
      </c>
      <c r="BO27" s="105">
        <v>4383.4453492951543</v>
      </c>
      <c r="BP27" s="105">
        <v>19.339834841039089</v>
      </c>
      <c r="BQ27" s="105">
        <v>6103.6518758319362</v>
      </c>
      <c r="BR27" s="105">
        <v>15.169590116291221</v>
      </c>
      <c r="BS27" s="105">
        <v>4787.5226407015089</v>
      </c>
      <c r="BT27" s="105">
        <v>14.485497567200595</v>
      </c>
      <c r="BU27" s="105">
        <v>4571.6230322085075</v>
      </c>
      <c r="BV27" s="105">
        <v>13.087106283409911</v>
      </c>
      <c r="BW27" s="105">
        <v>4130.2907430441674</v>
      </c>
      <c r="BX27" s="105">
        <v>14</v>
      </c>
      <c r="BY27" s="105">
        <v>4418.3999999999996</v>
      </c>
      <c r="BZ27" s="105">
        <v>14.028109986444454</v>
      </c>
      <c r="CA27" s="105">
        <v>4427.2715117218695</v>
      </c>
      <c r="CB27" s="105">
        <v>14.703198340959704</v>
      </c>
      <c r="CC27" s="105">
        <v>4640.3293964068816</v>
      </c>
      <c r="CD27" s="105">
        <v>16.476167951125063</v>
      </c>
      <c r="CE27" s="105">
        <v>5199.8786053750691</v>
      </c>
      <c r="CF27" s="105">
        <v>14.64429492695894</v>
      </c>
      <c r="CG27" s="105">
        <v>4621.7394789482414</v>
      </c>
      <c r="CH27" s="105">
        <v>13</v>
      </c>
      <c r="CI27" s="105">
        <v>4102.7999999999993</v>
      </c>
      <c r="CJ27" s="105">
        <v>19.107332794646915</v>
      </c>
      <c r="CK27" s="105">
        <v>6030.2742299905658</v>
      </c>
      <c r="CL27" s="105">
        <v>9.2218178129050266</v>
      </c>
      <c r="CM27" s="105">
        <v>2910.4057017528262</v>
      </c>
      <c r="CN27" s="105">
        <v>13.680713514200948</v>
      </c>
      <c r="CO27" s="105">
        <v>4317.6331850818187</v>
      </c>
      <c r="CP27" s="105">
        <v>19.933195066267519</v>
      </c>
      <c r="CQ27" s="105">
        <v>6290.9163629140285</v>
      </c>
      <c r="CR27" s="105">
        <v>11.663575009322312</v>
      </c>
      <c r="CS27" s="105">
        <v>3681.0242729421211</v>
      </c>
      <c r="CT27" s="105">
        <v>11.273167545506622</v>
      </c>
      <c r="CU27" s="105">
        <v>3557.8116773618895</v>
      </c>
    </row>
    <row r="28" spans="2:99" x14ac:dyDescent="0.2">
      <c r="C28" s="104" t="s">
        <v>194</v>
      </c>
      <c r="D28" s="105">
        <v>0</v>
      </c>
      <c r="E28" s="105">
        <v>0</v>
      </c>
      <c r="F28" s="105">
        <v>0</v>
      </c>
      <c r="G28" s="105">
        <v>0</v>
      </c>
      <c r="H28" s="105">
        <v>0</v>
      </c>
      <c r="I28" s="105">
        <v>0</v>
      </c>
      <c r="J28" s="105">
        <v>0</v>
      </c>
      <c r="K28" s="105">
        <v>0</v>
      </c>
      <c r="L28" s="105">
        <v>12.910552088466932</v>
      </c>
      <c r="M28" s="105">
        <v>7405.4926779446332</v>
      </c>
      <c r="N28" s="105">
        <v>13.936173569061229</v>
      </c>
      <c r="O28" s="105">
        <v>7993.7891592135211</v>
      </c>
      <c r="P28" s="105">
        <v>11.63551493432057</v>
      </c>
      <c r="Q28" s="105">
        <v>6674.131366326279</v>
      </c>
      <c r="R28" s="105">
        <v>15</v>
      </c>
      <c r="S28" s="105">
        <v>8604</v>
      </c>
      <c r="T28" s="105">
        <v>13.731100894064667</v>
      </c>
      <c r="U28" s="105">
        <v>7876.159472835493</v>
      </c>
      <c r="V28" s="105">
        <v>12.680893229200935</v>
      </c>
      <c r="W28" s="105">
        <v>7273.7603562696568</v>
      </c>
      <c r="X28" s="105">
        <v>8.5881181658080408</v>
      </c>
      <c r="Y28" s="105">
        <v>4926.1445799074927</v>
      </c>
      <c r="Z28" s="105">
        <v>10.355813866014111</v>
      </c>
      <c r="AA28" s="105">
        <v>5940.0948335456942</v>
      </c>
      <c r="AB28" s="105">
        <v>22</v>
      </c>
      <c r="AC28" s="105">
        <v>12619.2</v>
      </c>
      <c r="AD28" s="105">
        <v>12</v>
      </c>
      <c r="AE28" s="105">
        <v>6883.2000000000007</v>
      </c>
      <c r="AF28" s="105">
        <v>22</v>
      </c>
      <c r="AG28" s="105">
        <v>12619.2</v>
      </c>
      <c r="AH28" s="105">
        <v>14</v>
      </c>
      <c r="AI28" s="105">
        <v>8030.4000000000005</v>
      </c>
      <c r="AJ28" s="105">
        <v>17.569701900936629</v>
      </c>
      <c r="AK28" s="105">
        <v>10077.981010377251</v>
      </c>
      <c r="AL28" s="105">
        <v>16.411202816845822</v>
      </c>
      <c r="AM28" s="105">
        <v>9413.4659357427645</v>
      </c>
      <c r="AN28" s="105">
        <v>10.79943002886041</v>
      </c>
      <c r="AO28" s="105">
        <v>6194.5530645543313</v>
      </c>
      <c r="AP28" s="105">
        <v>14.043685033432</v>
      </c>
      <c r="AQ28" s="105">
        <v>8055.4577351765956</v>
      </c>
      <c r="AR28" s="105">
        <v>13.638604026661344</v>
      </c>
      <c r="AS28" s="105">
        <v>7823.1032696929469</v>
      </c>
      <c r="AT28" s="105">
        <v>17.143581889920991</v>
      </c>
      <c r="AU28" s="105">
        <v>9833.5585720586805</v>
      </c>
      <c r="AV28" s="105">
        <v>10.542069511086307</v>
      </c>
      <c r="AW28" s="105">
        <v>6046.9310715591064</v>
      </c>
      <c r="AX28" s="105">
        <v>13.343688271640996</v>
      </c>
      <c r="AY28" s="105">
        <v>7653.9395926132756</v>
      </c>
      <c r="AZ28" s="105">
        <v>16</v>
      </c>
      <c r="BA28" s="105">
        <v>9177.6</v>
      </c>
      <c r="BB28" s="105">
        <v>14.200539832354082</v>
      </c>
      <c r="BC28" s="105">
        <v>8145.4296478383012</v>
      </c>
      <c r="BD28" s="105">
        <v>15.348977147401603</v>
      </c>
      <c r="BE28" s="105">
        <v>8804.1732917495592</v>
      </c>
      <c r="BF28" s="105">
        <v>20</v>
      </c>
      <c r="BG28" s="105">
        <v>11472</v>
      </c>
      <c r="BH28" s="105">
        <v>11.805376500257251</v>
      </c>
      <c r="BI28" s="105">
        <v>6771.5639605475599</v>
      </c>
      <c r="BJ28" s="105">
        <v>13</v>
      </c>
      <c r="BK28" s="105">
        <v>7456.8</v>
      </c>
      <c r="BL28" s="105">
        <v>11.993705273131633</v>
      </c>
      <c r="BM28" s="105">
        <v>6879.5893446683049</v>
      </c>
      <c r="BN28" s="105">
        <v>15.820217673856915</v>
      </c>
      <c r="BO28" s="105">
        <v>9074.4768577243267</v>
      </c>
      <c r="BP28" s="105">
        <v>15.94006780774977</v>
      </c>
      <c r="BQ28" s="105">
        <v>9143.2228945252682</v>
      </c>
      <c r="BR28" s="105">
        <v>14.656966374308613</v>
      </c>
      <c r="BS28" s="105">
        <v>8407.2359123034203</v>
      </c>
      <c r="BT28" s="105">
        <v>15.295210450166973</v>
      </c>
      <c r="BU28" s="105">
        <v>8773.3327142157759</v>
      </c>
      <c r="BV28" s="105">
        <v>12.041204253247177</v>
      </c>
      <c r="BW28" s="105">
        <v>6906.8347596625808</v>
      </c>
      <c r="BX28" s="105">
        <v>13</v>
      </c>
      <c r="BY28" s="105">
        <v>7456.8</v>
      </c>
      <c r="BZ28" s="105">
        <v>11.054158374847256</v>
      </c>
      <c r="CA28" s="105">
        <v>6340.6652438123865</v>
      </c>
      <c r="CB28" s="105">
        <v>16.907857638934576</v>
      </c>
      <c r="CC28" s="105">
        <v>9698.3471416928733</v>
      </c>
      <c r="CD28" s="105">
        <v>11.934958333365584</v>
      </c>
      <c r="CE28" s="105">
        <v>6845.8921000184991</v>
      </c>
      <c r="CF28" s="105">
        <v>9.8016566022809144</v>
      </c>
      <c r="CG28" s="105">
        <v>5622.2302270683331</v>
      </c>
      <c r="CH28" s="105">
        <v>12.797796175030539</v>
      </c>
      <c r="CI28" s="105">
        <v>7340.8158859975174</v>
      </c>
      <c r="CJ28" s="105">
        <v>19.44956172844762</v>
      </c>
      <c r="CK28" s="105">
        <v>11156.268607437554</v>
      </c>
      <c r="CL28" s="105">
        <v>17.696506288759743</v>
      </c>
      <c r="CM28" s="105">
        <v>10150.71600723259</v>
      </c>
      <c r="CN28" s="105">
        <v>15</v>
      </c>
      <c r="CO28" s="105">
        <v>8604</v>
      </c>
      <c r="CP28" s="105">
        <v>16.515399124282201</v>
      </c>
      <c r="CQ28" s="105">
        <v>9473.2329376882717</v>
      </c>
      <c r="CR28" s="105">
        <v>10.814373889601454</v>
      </c>
      <c r="CS28" s="105">
        <v>6203.1248630753944</v>
      </c>
      <c r="CT28" s="105">
        <v>11.403483751291803</v>
      </c>
      <c r="CU28" s="105">
        <v>6541.0382797409784</v>
      </c>
    </row>
    <row r="29" spans="2:99" x14ac:dyDescent="0.2">
      <c r="C29" s="104" t="s">
        <v>195</v>
      </c>
      <c r="D29" s="105">
        <v>0</v>
      </c>
      <c r="E29" s="105">
        <v>0</v>
      </c>
      <c r="F29" s="105">
        <v>0</v>
      </c>
      <c r="G29" s="105">
        <v>0</v>
      </c>
      <c r="H29" s="105">
        <v>0</v>
      </c>
      <c r="I29" s="105">
        <v>0</v>
      </c>
      <c r="J29" s="105">
        <v>0</v>
      </c>
      <c r="K29" s="105">
        <v>0</v>
      </c>
      <c r="L29" s="105">
        <v>12.009517525150912</v>
      </c>
      <c r="M29" s="105">
        <v>2824.6385219154945</v>
      </c>
      <c r="N29" s="105">
        <v>16.947481111976376</v>
      </c>
      <c r="O29" s="105">
        <v>3986.0475575368437</v>
      </c>
      <c r="P29" s="105">
        <v>13.034684924211298</v>
      </c>
      <c r="Q29" s="105">
        <v>3065.7578941744973</v>
      </c>
      <c r="R29" s="105">
        <v>13.561854177506209</v>
      </c>
      <c r="S29" s="105">
        <v>3189.7481025494603</v>
      </c>
      <c r="T29" s="105">
        <v>14.417699344047865</v>
      </c>
      <c r="U29" s="105">
        <v>3391.0428857200577</v>
      </c>
      <c r="V29" s="105">
        <v>16.588023234667833</v>
      </c>
      <c r="W29" s="105">
        <v>3901.5030647938743</v>
      </c>
      <c r="X29" s="105">
        <v>6.251531610625964</v>
      </c>
      <c r="Y29" s="105">
        <v>1470.3602348192267</v>
      </c>
      <c r="Z29" s="105">
        <v>12.447240389843577</v>
      </c>
      <c r="AA29" s="105">
        <v>2927.5909396912093</v>
      </c>
      <c r="AB29" s="105">
        <v>17.422057922444431</v>
      </c>
      <c r="AC29" s="105">
        <v>4097.6680233589295</v>
      </c>
      <c r="AD29" s="105">
        <v>12.009517525150912</v>
      </c>
      <c r="AE29" s="105">
        <v>2824.6385219154945</v>
      </c>
      <c r="AF29" s="105">
        <v>18.994480647449105</v>
      </c>
      <c r="AG29" s="105">
        <v>4467.5018482800297</v>
      </c>
      <c r="AH29" s="105">
        <v>15.973356987556896</v>
      </c>
      <c r="AI29" s="105">
        <v>3756.9335634733816</v>
      </c>
      <c r="AJ29" s="105">
        <v>18.183955499227714</v>
      </c>
      <c r="AK29" s="105">
        <v>4276.8663334183584</v>
      </c>
      <c r="AL29" s="105">
        <v>15.989258554675317</v>
      </c>
      <c r="AM29" s="105">
        <v>3760.6736120596343</v>
      </c>
      <c r="AN29" s="105">
        <v>14.979478054467677</v>
      </c>
      <c r="AO29" s="105">
        <v>3523.1732384107972</v>
      </c>
      <c r="AP29" s="105">
        <v>18.986595848508692</v>
      </c>
      <c r="AQ29" s="105">
        <v>4465.6473435692442</v>
      </c>
      <c r="AR29" s="105">
        <v>17.57971191046833</v>
      </c>
      <c r="AS29" s="105">
        <v>4134.7482413421512</v>
      </c>
      <c r="AT29" s="105">
        <v>14.055012511233709</v>
      </c>
      <c r="AU29" s="105">
        <v>3305.7389426421682</v>
      </c>
      <c r="AV29" s="105">
        <v>11.470608598363848</v>
      </c>
      <c r="AW29" s="105">
        <v>2697.887142335177</v>
      </c>
      <c r="AX29" s="105">
        <v>16.856308588189844</v>
      </c>
      <c r="AY29" s="105">
        <v>3964.6037799422511</v>
      </c>
      <c r="AZ29" s="105">
        <v>14.751884428181423</v>
      </c>
      <c r="BA29" s="105">
        <v>3469.6432175082705</v>
      </c>
      <c r="BB29" s="105">
        <v>13.604041961014781</v>
      </c>
      <c r="BC29" s="105">
        <v>3199.6706692306766</v>
      </c>
      <c r="BD29" s="105">
        <v>15.866690162932141</v>
      </c>
      <c r="BE29" s="105">
        <v>3731.8455263216392</v>
      </c>
      <c r="BF29" s="105">
        <v>16.634840800541973</v>
      </c>
      <c r="BG29" s="105">
        <v>3912.5145562874718</v>
      </c>
      <c r="BH29" s="105">
        <v>16.785189691594816</v>
      </c>
      <c r="BI29" s="105">
        <v>3947.8766154631007</v>
      </c>
      <c r="BJ29" s="105">
        <v>6.5779903135722693</v>
      </c>
      <c r="BK29" s="105">
        <v>1547.1433217521976</v>
      </c>
      <c r="BL29" s="105">
        <v>18</v>
      </c>
      <c r="BM29" s="105">
        <v>4233.5999999999995</v>
      </c>
      <c r="BN29" s="105">
        <v>15.741142994934014</v>
      </c>
      <c r="BO29" s="105">
        <v>3702.31683240848</v>
      </c>
      <c r="BP29" s="105">
        <v>18.418890324799133</v>
      </c>
      <c r="BQ29" s="105">
        <v>4332.1230043927562</v>
      </c>
      <c r="BR29" s="105">
        <v>16.766389075900822</v>
      </c>
      <c r="BS29" s="105">
        <v>3943.454710651873</v>
      </c>
      <c r="BT29" s="105">
        <v>14.485497567200595</v>
      </c>
      <c r="BU29" s="105">
        <v>3406.9890278055796</v>
      </c>
      <c r="BV29" s="105">
        <v>12.36004482322047</v>
      </c>
      <c r="BW29" s="105">
        <v>2907.0825424214545</v>
      </c>
      <c r="BX29" s="105">
        <v>12</v>
      </c>
      <c r="BY29" s="105">
        <v>2822.3999999999996</v>
      </c>
      <c r="BZ29" s="105">
        <v>14.028109986444454</v>
      </c>
      <c r="CA29" s="105">
        <v>3299.4114688117352</v>
      </c>
      <c r="CB29" s="105">
        <v>16.663624786420996</v>
      </c>
      <c r="CC29" s="105">
        <v>3919.2845497662183</v>
      </c>
      <c r="CD29" s="105">
        <v>17.343334685394804</v>
      </c>
      <c r="CE29" s="105">
        <v>4079.152318004858</v>
      </c>
      <c r="CF29" s="105">
        <v>15.559563359893874</v>
      </c>
      <c r="CG29" s="105">
        <v>3659.6093022470391</v>
      </c>
      <c r="CH29" s="105">
        <v>14</v>
      </c>
      <c r="CI29" s="105">
        <v>3292.7999999999997</v>
      </c>
      <c r="CJ29" s="105">
        <v>20.927078775089477</v>
      </c>
      <c r="CK29" s="105">
        <v>4922.0489279010444</v>
      </c>
      <c r="CL29" s="105">
        <v>8.1577619114159852</v>
      </c>
      <c r="CM29" s="105">
        <v>1918.7056015650396</v>
      </c>
      <c r="CN29" s="105">
        <v>13.680713514200948</v>
      </c>
      <c r="CO29" s="105">
        <v>3217.7038185400629</v>
      </c>
      <c r="CP29" s="105">
        <v>18.338539460966118</v>
      </c>
      <c r="CQ29" s="105">
        <v>4313.2244812192303</v>
      </c>
      <c r="CR29" s="105">
        <v>10.830462508656431</v>
      </c>
      <c r="CS29" s="105">
        <v>2547.3247820359925</v>
      </c>
      <c r="CT29" s="105">
        <v>11.273167545506622</v>
      </c>
      <c r="CU29" s="105">
        <v>2651.4490067031575</v>
      </c>
    </row>
    <row r="30" spans="2:99" x14ac:dyDescent="0.2">
      <c r="C30" s="104" t="s">
        <v>196</v>
      </c>
      <c r="D30" s="105">
        <v>0</v>
      </c>
      <c r="E30" s="105">
        <v>0</v>
      </c>
      <c r="F30" s="105">
        <v>0</v>
      </c>
      <c r="G30" s="105">
        <v>0</v>
      </c>
      <c r="H30" s="105">
        <v>0</v>
      </c>
      <c r="I30" s="105">
        <v>0</v>
      </c>
      <c r="J30" s="105">
        <v>0</v>
      </c>
      <c r="K30" s="105">
        <v>0</v>
      </c>
      <c r="L30" s="105">
        <v>11.085708484754688</v>
      </c>
      <c r="M30" s="105">
        <v>2567.4500850691857</v>
      </c>
      <c r="N30" s="105">
        <v>15.25273300077874</v>
      </c>
      <c r="O30" s="105">
        <v>3532.5329629803559</v>
      </c>
      <c r="P30" s="105">
        <v>14.896782770527198</v>
      </c>
      <c r="Q30" s="105">
        <v>3450.094889654099</v>
      </c>
      <c r="R30" s="105">
        <v>15.370101401173704</v>
      </c>
      <c r="S30" s="105">
        <v>3559.7154845118298</v>
      </c>
      <c r="T30" s="105">
        <v>13.456519387778007</v>
      </c>
      <c r="U30" s="105">
        <v>3116.5298902093864</v>
      </c>
      <c r="V30" s="105">
        <v>15.008211498032804</v>
      </c>
      <c r="W30" s="105">
        <v>3475.9017829443974</v>
      </c>
      <c r="X30" s="105">
        <v>6.7724925781781282</v>
      </c>
      <c r="Y30" s="105">
        <v>1568.5092811060545</v>
      </c>
      <c r="Z30" s="105">
        <v>12.447240389843577</v>
      </c>
      <c r="AA30" s="105">
        <v>2882.7808742877723</v>
      </c>
      <c r="AB30" s="105">
        <v>16.592436116613744</v>
      </c>
      <c r="AC30" s="105">
        <v>3842.8082046077429</v>
      </c>
      <c r="AD30" s="105">
        <v>12.933326565547137</v>
      </c>
      <c r="AE30" s="105">
        <v>2995.3584325807169</v>
      </c>
      <c r="AF30" s="105">
        <v>18.131095163474146</v>
      </c>
      <c r="AG30" s="105">
        <v>4199.161639860612</v>
      </c>
      <c r="AH30" s="105">
        <v>15.973356987556896</v>
      </c>
      <c r="AI30" s="105">
        <v>3699.4294783181767</v>
      </c>
      <c r="AJ30" s="105">
        <v>15.586247570766613</v>
      </c>
      <c r="AK30" s="105">
        <v>3609.7749373895476</v>
      </c>
      <c r="AL30" s="105">
        <v>15.294073400124216</v>
      </c>
      <c r="AM30" s="105">
        <v>3542.1073994687681</v>
      </c>
      <c r="AN30" s="105">
        <v>13.315091603971268</v>
      </c>
      <c r="AO30" s="105">
        <v>3083.7752154797458</v>
      </c>
      <c r="AP30" s="105">
        <v>17.178348624841199</v>
      </c>
      <c r="AQ30" s="105">
        <v>3978.5055415132215</v>
      </c>
      <c r="AR30" s="105">
        <v>16.654463915180525</v>
      </c>
      <c r="AS30" s="105">
        <v>3857.1738427558093</v>
      </c>
      <c r="AT30" s="105">
        <v>14.794750011824956</v>
      </c>
      <c r="AU30" s="105">
        <v>3426.4641027386597</v>
      </c>
      <c r="AV30" s="105">
        <v>11.470608598363848</v>
      </c>
      <c r="AW30" s="105">
        <v>2656.592951381067</v>
      </c>
      <c r="AX30" s="105">
        <v>15.969134451969325</v>
      </c>
      <c r="AY30" s="105">
        <v>3698.4515390760953</v>
      </c>
      <c r="AZ30" s="105">
        <v>17.702261313817708</v>
      </c>
      <c r="BA30" s="105">
        <v>4099.8437202801806</v>
      </c>
      <c r="BB30" s="105">
        <v>12.172037544065857</v>
      </c>
      <c r="BC30" s="105">
        <v>2819.0438952056525</v>
      </c>
      <c r="BD30" s="105">
        <v>15.866690162932141</v>
      </c>
      <c r="BE30" s="105">
        <v>3674.7254417350837</v>
      </c>
      <c r="BF30" s="105">
        <v>19.130066920623264</v>
      </c>
      <c r="BG30" s="105">
        <v>4430.5234988163475</v>
      </c>
      <c r="BH30" s="105">
        <v>16.785189691594816</v>
      </c>
      <c r="BI30" s="105">
        <v>3887.4499325733591</v>
      </c>
      <c r="BJ30" s="105">
        <v>6.1668659189740023</v>
      </c>
      <c r="BK30" s="105">
        <v>1428.2461468343788</v>
      </c>
      <c r="BL30" s="105">
        <v>18</v>
      </c>
      <c r="BM30" s="105">
        <v>4168.8</v>
      </c>
      <c r="BN30" s="105">
        <v>15.741142994934014</v>
      </c>
      <c r="BO30" s="105">
        <v>3645.6487176267178</v>
      </c>
      <c r="BP30" s="105">
        <v>18.418890324799133</v>
      </c>
      <c r="BQ30" s="105">
        <v>4265.8149992234794</v>
      </c>
      <c r="BR30" s="105">
        <v>15.169590116291221</v>
      </c>
      <c r="BS30" s="105">
        <v>3513.2770709330466</v>
      </c>
      <c r="BT30" s="105">
        <v>13.278372769933878</v>
      </c>
      <c r="BU30" s="105">
        <v>3075.2711335166859</v>
      </c>
      <c r="BV30" s="105">
        <v>14.54122920378879</v>
      </c>
      <c r="BW30" s="105">
        <v>3367.7486835974837</v>
      </c>
      <c r="BX30" s="105">
        <v>13</v>
      </c>
      <c r="BY30" s="105">
        <v>3010.7999999999997</v>
      </c>
      <c r="BZ30" s="105">
        <v>13.092902654014823</v>
      </c>
      <c r="CA30" s="105">
        <v>3032.3162546698331</v>
      </c>
      <c r="CB30" s="105">
        <v>16.663624786420996</v>
      </c>
      <c r="CC30" s="105">
        <v>3859.2955005351027</v>
      </c>
      <c r="CD30" s="105">
        <v>16.476167951125063</v>
      </c>
      <c r="CE30" s="105">
        <v>3815.8804974805644</v>
      </c>
      <c r="CF30" s="105">
        <v>14.64429492695894</v>
      </c>
      <c r="CG30" s="105">
        <v>3391.6187050836907</v>
      </c>
      <c r="CH30" s="105">
        <v>15</v>
      </c>
      <c r="CI30" s="105">
        <v>3474</v>
      </c>
      <c r="CJ30" s="105">
        <v>18.197459804425634</v>
      </c>
      <c r="CK30" s="105">
        <v>4214.5316907049764</v>
      </c>
      <c r="CL30" s="105">
        <v>7.4483913104232906</v>
      </c>
      <c r="CM30" s="105">
        <v>1725.0474274940341</v>
      </c>
      <c r="CN30" s="105">
        <v>12.96067596082195</v>
      </c>
      <c r="CO30" s="105">
        <v>3001.6925525263637</v>
      </c>
      <c r="CP30" s="105">
        <v>17.541211658315415</v>
      </c>
      <c r="CQ30" s="105">
        <v>4062.5446200658503</v>
      </c>
      <c r="CR30" s="105">
        <v>9.9973500079905531</v>
      </c>
      <c r="CS30" s="105">
        <v>2315.3862618506118</v>
      </c>
      <c r="CT30" s="105">
        <v>10.406000811236883</v>
      </c>
      <c r="CU30" s="105">
        <v>2410.0297878824622</v>
      </c>
    </row>
    <row r="31" spans="2:99" x14ac:dyDescent="0.2">
      <c r="C31" s="104" t="s">
        <v>197</v>
      </c>
      <c r="D31" s="105">
        <v>0</v>
      </c>
      <c r="E31" s="105">
        <v>0</v>
      </c>
      <c r="F31" s="105">
        <v>0</v>
      </c>
      <c r="G31" s="105">
        <v>0</v>
      </c>
      <c r="H31" s="105">
        <v>0</v>
      </c>
      <c r="I31" s="105">
        <v>0</v>
      </c>
      <c r="J31" s="105">
        <v>0</v>
      </c>
      <c r="K31" s="105">
        <v>0</v>
      </c>
      <c r="L31" s="105">
        <v>11.085708484754688</v>
      </c>
      <c r="M31" s="105">
        <v>1968.8218268924327</v>
      </c>
      <c r="N31" s="105">
        <v>16.947481111976376</v>
      </c>
      <c r="O31" s="105">
        <v>3009.8726454870043</v>
      </c>
      <c r="P31" s="105">
        <v>13.965733847369249</v>
      </c>
      <c r="Q31" s="105">
        <v>2480.3143312927787</v>
      </c>
      <c r="R31" s="105">
        <v>13.561854177506209</v>
      </c>
      <c r="S31" s="105">
        <v>2408.5853019251026</v>
      </c>
      <c r="T31" s="105">
        <v>16.34005925658758</v>
      </c>
      <c r="U31" s="105">
        <v>2901.9945239699541</v>
      </c>
      <c r="V31" s="105">
        <v>15.79811736635032</v>
      </c>
      <c r="W31" s="105">
        <v>2805.7456442638168</v>
      </c>
      <c r="X31" s="105">
        <v>6.7724925781781282</v>
      </c>
      <c r="Y31" s="105">
        <v>1202.7946818844355</v>
      </c>
      <c r="Z31" s="105">
        <v>12.447240389843577</v>
      </c>
      <c r="AA31" s="105">
        <v>2210.6298932362192</v>
      </c>
      <c r="AB31" s="105">
        <v>16.592436116613744</v>
      </c>
      <c r="AC31" s="105">
        <v>2946.8166543106008</v>
      </c>
      <c r="AD31" s="105">
        <v>12.009517525150912</v>
      </c>
      <c r="AE31" s="105">
        <v>2132.8903124668018</v>
      </c>
      <c r="AF31" s="105">
        <v>16.404324195524229</v>
      </c>
      <c r="AG31" s="105">
        <v>2913.4079771251031</v>
      </c>
      <c r="AH31" s="105">
        <v>14.975022175834589</v>
      </c>
      <c r="AI31" s="105">
        <v>2659.5639384282231</v>
      </c>
      <c r="AJ31" s="105">
        <v>18.183955499227714</v>
      </c>
      <c r="AK31" s="105">
        <v>3229.4704966628419</v>
      </c>
      <c r="AL31" s="105">
        <v>13.208517936470914</v>
      </c>
      <c r="AM31" s="105">
        <v>2345.8327855172342</v>
      </c>
      <c r="AN31" s="105">
        <v>14.147284829219473</v>
      </c>
      <c r="AO31" s="105">
        <v>2512.5577856693781</v>
      </c>
      <c r="AP31" s="105">
        <v>18.082472236674946</v>
      </c>
      <c r="AQ31" s="105">
        <v>3211.4470692334703</v>
      </c>
      <c r="AR31" s="105">
        <v>18.504959905756138</v>
      </c>
      <c r="AS31" s="105">
        <v>3286.4808792622898</v>
      </c>
      <c r="AT31" s="105">
        <v>15.534487512416206</v>
      </c>
      <c r="AU31" s="105">
        <v>2758.9249822051179</v>
      </c>
      <c r="AV31" s="105">
        <v>12.352963105930298</v>
      </c>
      <c r="AW31" s="105">
        <v>2193.8862476132208</v>
      </c>
      <c r="AX31" s="105">
        <v>15.969134451969325</v>
      </c>
      <c r="AY31" s="105">
        <v>2836.1182786697518</v>
      </c>
      <c r="AZ31" s="105">
        <v>17.702261313817708</v>
      </c>
      <c r="BA31" s="105">
        <v>3143.9216093340247</v>
      </c>
      <c r="BB31" s="105">
        <v>12.888039752540319</v>
      </c>
      <c r="BC31" s="105">
        <v>2288.9158600511605</v>
      </c>
      <c r="BD31" s="105">
        <v>16.858358298115402</v>
      </c>
      <c r="BE31" s="105">
        <v>2994.0444337452955</v>
      </c>
      <c r="BF31" s="105">
        <v>19.961808960650366</v>
      </c>
      <c r="BG31" s="105">
        <v>3545.217271411505</v>
      </c>
      <c r="BH31" s="105">
        <v>16.785189691594816</v>
      </c>
      <c r="BI31" s="105">
        <v>2981.049689227239</v>
      </c>
      <c r="BJ31" s="105">
        <v>6.5779903135722693</v>
      </c>
      <c r="BK31" s="105">
        <v>1168.2510796904351</v>
      </c>
      <c r="BL31" s="105">
        <v>16</v>
      </c>
      <c r="BM31" s="105">
        <v>2841.6</v>
      </c>
      <c r="BN31" s="105">
        <v>14.81519340699672</v>
      </c>
      <c r="BO31" s="105">
        <v>2631.1783490826174</v>
      </c>
      <c r="BP31" s="105">
        <v>20.260779357279045</v>
      </c>
      <c r="BQ31" s="105">
        <v>3598.3144138527582</v>
      </c>
      <c r="BR31" s="105">
        <v>16.766389075900822</v>
      </c>
      <c r="BS31" s="105">
        <v>2977.7106998799859</v>
      </c>
      <c r="BT31" s="105">
        <v>14.485497567200595</v>
      </c>
      <c r="BU31" s="105">
        <v>2572.6243679348254</v>
      </c>
      <c r="BV31" s="105">
        <v>13.087106283409911</v>
      </c>
      <c r="BW31" s="105">
        <v>2324.2700759336003</v>
      </c>
      <c r="BX31" s="105">
        <v>12</v>
      </c>
      <c r="BY31" s="105">
        <v>2131.1999999999998</v>
      </c>
      <c r="BZ31" s="105">
        <v>13.092902654014823</v>
      </c>
      <c r="CA31" s="105">
        <v>2325.2995113530324</v>
      </c>
      <c r="CB31" s="105">
        <v>16.663624786420996</v>
      </c>
      <c r="CC31" s="105">
        <v>2959.4597620683689</v>
      </c>
      <c r="CD31" s="105">
        <v>17.343334685394804</v>
      </c>
      <c r="CE31" s="105">
        <v>3080.1762401261171</v>
      </c>
      <c r="CF31" s="105">
        <v>13.729026494024007</v>
      </c>
      <c r="CG31" s="105">
        <v>2438.2751053386637</v>
      </c>
      <c r="CH31" s="105">
        <v>15</v>
      </c>
      <c r="CI31" s="105">
        <v>2664</v>
      </c>
      <c r="CJ31" s="105">
        <v>20.017205784868196</v>
      </c>
      <c r="CK31" s="105">
        <v>3555.0557473925915</v>
      </c>
      <c r="CL31" s="105">
        <v>9.2218178129050266</v>
      </c>
      <c r="CM31" s="105">
        <v>1637.7948435719327</v>
      </c>
      <c r="CN31" s="105">
        <v>12.240638407442953</v>
      </c>
      <c r="CO31" s="105">
        <v>2173.9373811618684</v>
      </c>
      <c r="CP31" s="105">
        <v>17.541211658315415</v>
      </c>
      <c r="CQ31" s="105">
        <v>3115.3191905168178</v>
      </c>
      <c r="CR31" s="105">
        <v>10.830462508656431</v>
      </c>
      <c r="CS31" s="105">
        <v>1923.4901415373822</v>
      </c>
      <c r="CT31" s="105">
        <v>11.273167545506622</v>
      </c>
      <c r="CU31" s="105">
        <v>2002.1145560819759</v>
      </c>
    </row>
    <row r="32" spans="2:99" x14ac:dyDescent="0.2">
      <c r="C32" s="104" t="s">
        <v>198</v>
      </c>
      <c r="D32" s="105">
        <v>0</v>
      </c>
      <c r="E32" s="105">
        <v>0</v>
      </c>
      <c r="F32" s="105">
        <v>0</v>
      </c>
      <c r="G32" s="105">
        <v>0</v>
      </c>
      <c r="H32" s="105">
        <v>0</v>
      </c>
      <c r="I32" s="105">
        <v>0</v>
      </c>
      <c r="J32" s="105">
        <v>0</v>
      </c>
      <c r="K32" s="105">
        <v>0</v>
      </c>
      <c r="L32" s="105">
        <v>10.924313305625866</v>
      </c>
      <c r="M32" s="105">
        <v>7249.3743096133248</v>
      </c>
      <c r="N32" s="105">
        <v>13.116398653234096</v>
      </c>
      <c r="O32" s="105">
        <v>8704.0421462861468</v>
      </c>
      <c r="P32" s="105">
        <v>11.63551493432057</v>
      </c>
      <c r="Q32" s="105">
        <v>7721.3277104151302</v>
      </c>
      <c r="R32" s="105">
        <v>14</v>
      </c>
      <c r="S32" s="105">
        <v>9290.4</v>
      </c>
      <c r="T32" s="105">
        <v>12.872907088185626</v>
      </c>
      <c r="U32" s="105">
        <v>8542.4611437199819</v>
      </c>
      <c r="V32" s="105">
        <v>13.385387297489874</v>
      </c>
      <c r="W32" s="105">
        <v>8882.5430106142812</v>
      </c>
      <c r="X32" s="105">
        <v>8.5881181658080408</v>
      </c>
      <c r="Y32" s="105">
        <v>5699.0752148302163</v>
      </c>
      <c r="Z32" s="105">
        <v>10.355813866014111</v>
      </c>
      <c r="AA32" s="105">
        <v>6872.1180814869649</v>
      </c>
      <c r="AB32" s="105">
        <v>18</v>
      </c>
      <c r="AC32" s="105">
        <v>11944.800000000001</v>
      </c>
      <c r="AD32" s="105">
        <v>13</v>
      </c>
      <c r="AE32" s="105">
        <v>8626.8000000000011</v>
      </c>
      <c r="AF32" s="105">
        <v>20</v>
      </c>
      <c r="AG32" s="105">
        <v>13272</v>
      </c>
      <c r="AH32" s="105">
        <v>15</v>
      </c>
      <c r="AI32" s="105">
        <v>9954</v>
      </c>
      <c r="AJ32" s="105">
        <v>16.644980748255755</v>
      </c>
      <c r="AK32" s="105">
        <v>11045.609224542519</v>
      </c>
      <c r="AL32" s="105">
        <v>18.138697850198014</v>
      </c>
      <c r="AM32" s="105">
        <v>12036.839893391403</v>
      </c>
      <c r="AN32" s="105">
        <v>10.79943002886041</v>
      </c>
      <c r="AO32" s="105">
        <v>7166.501767151768</v>
      </c>
      <c r="AP32" s="105">
        <v>14.782826350981052</v>
      </c>
      <c r="AQ32" s="105">
        <v>9809.8835665110273</v>
      </c>
      <c r="AR32" s="105">
        <v>13.638604026661344</v>
      </c>
      <c r="AS32" s="105">
        <v>9050.5776320924688</v>
      </c>
      <c r="AT32" s="105">
        <v>15.429223700928894</v>
      </c>
      <c r="AU32" s="105">
        <v>10238.832847936414</v>
      </c>
      <c r="AV32" s="105">
        <v>9.7311410871565922</v>
      </c>
      <c r="AW32" s="105">
        <v>6457.5852254371148</v>
      </c>
      <c r="AX32" s="105">
        <v>11.939089506205102</v>
      </c>
      <c r="AY32" s="105">
        <v>7922.7797963177063</v>
      </c>
      <c r="AZ32" s="105">
        <v>15</v>
      </c>
      <c r="BA32" s="105">
        <v>9954</v>
      </c>
      <c r="BB32" s="105">
        <v>12.622702073203628</v>
      </c>
      <c r="BC32" s="105">
        <v>8376.4250957779277</v>
      </c>
      <c r="BD32" s="105">
        <v>14.389666075689002</v>
      </c>
      <c r="BE32" s="105">
        <v>9548.9824078272213</v>
      </c>
      <c r="BF32" s="105">
        <v>23</v>
      </c>
      <c r="BG32" s="105">
        <v>15262.800000000001</v>
      </c>
      <c r="BH32" s="105">
        <v>11.805376500257251</v>
      </c>
      <c r="BI32" s="105">
        <v>7834.0478455707125</v>
      </c>
      <c r="BJ32" s="105">
        <v>16</v>
      </c>
      <c r="BK32" s="105">
        <v>10617.6</v>
      </c>
      <c r="BL32" s="105">
        <v>11.993705273131633</v>
      </c>
      <c r="BM32" s="105">
        <v>7959.0228192501518</v>
      </c>
      <c r="BN32" s="105">
        <v>14.831454069240857</v>
      </c>
      <c r="BO32" s="105">
        <v>9842.1529203482332</v>
      </c>
      <c r="BP32" s="105">
        <v>14.421966111773603</v>
      </c>
      <c r="BQ32" s="105">
        <v>9570.416711772963</v>
      </c>
      <c r="BR32" s="105">
        <v>13.26106481485065</v>
      </c>
      <c r="BS32" s="105">
        <v>8800.0426111348916</v>
      </c>
      <c r="BT32" s="105">
        <v>13.965192150152454</v>
      </c>
      <c r="BU32" s="105">
        <v>9267.3015108411691</v>
      </c>
      <c r="BV32" s="105">
        <v>12.041204253247177</v>
      </c>
      <c r="BW32" s="105">
        <v>7990.5431424548269</v>
      </c>
      <c r="BX32" s="105">
        <v>12</v>
      </c>
      <c r="BY32" s="105">
        <v>7963.2000000000007</v>
      </c>
      <c r="BZ32" s="105">
        <v>11.054158374847256</v>
      </c>
      <c r="CA32" s="105">
        <v>7335.5394975486397</v>
      </c>
      <c r="CB32" s="105">
        <v>14.089881365778815</v>
      </c>
      <c r="CC32" s="105">
        <v>9350.0452743308215</v>
      </c>
      <c r="CD32" s="105">
        <v>13.26106481485065</v>
      </c>
      <c r="CE32" s="105">
        <v>8800.0426111348916</v>
      </c>
      <c r="CF32" s="105">
        <v>11.201893259749616</v>
      </c>
      <c r="CG32" s="105">
        <v>7433.5763671698451</v>
      </c>
      <c r="CH32" s="105">
        <v>14.766687894266008</v>
      </c>
      <c r="CI32" s="105">
        <v>9799.1740866349228</v>
      </c>
      <c r="CJ32" s="105">
        <v>17.6814197531342</v>
      </c>
      <c r="CK32" s="105">
        <v>11733.390148179857</v>
      </c>
      <c r="CL32" s="105">
        <v>18.465919605662339</v>
      </c>
      <c r="CM32" s="105">
        <v>12253.98425031753</v>
      </c>
      <c r="CN32" s="105">
        <v>17</v>
      </c>
      <c r="CO32" s="105">
        <v>11281.2</v>
      </c>
      <c r="CP32" s="105">
        <v>13.872935264397048</v>
      </c>
      <c r="CQ32" s="105">
        <v>9206.0798414538822</v>
      </c>
      <c r="CR32" s="105">
        <v>11.646248804186179</v>
      </c>
      <c r="CS32" s="105">
        <v>7728.4507064579484</v>
      </c>
      <c r="CT32" s="105">
        <v>10.526292693500126</v>
      </c>
      <c r="CU32" s="105">
        <v>6985.2478314066839</v>
      </c>
    </row>
    <row r="33" spans="2:99" x14ac:dyDescent="0.2">
      <c r="C33" s="104" t="s">
        <v>199</v>
      </c>
      <c r="D33" s="105">
        <v>0</v>
      </c>
      <c r="E33" s="105">
        <v>0</v>
      </c>
      <c r="F33" s="105">
        <v>0</v>
      </c>
      <c r="G33" s="105">
        <v>0</v>
      </c>
      <c r="H33" s="105">
        <v>0</v>
      </c>
      <c r="I33" s="105">
        <v>0</v>
      </c>
      <c r="J33" s="105">
        <v>0</v>
      </c>
      <c r="K33" s="105">
        <v>0</v>
      </c>
      <c r="L33" s="105">
        <v>11.085708484754688</v>
      </c>
      <c r="M33" s="105">
        <v>3711.4952006958697</v>
      </c>
      <c r="N33" s="105">
        <v>14.405358945179922</v>
      </c>
      <c r="O33" s="105">
        <v>4822.914174846238</v>
      </c>
      <c r="P33" s="105">
        <v>14.896782770527198</v>
      </c>
      <c r="Q33" s="105">
        <v>4987.4428715725062</v>
      </c>
      <c r="R33" s="105">
        <v>15.370101401173704</v>
      </c>
      <c r="S33" s="105">
        <v>5145.9099491129564</v>
      </c>
      <c r="T33" s="105">
        <v>14.417699344047865</v>
      </c>
      <c r="U33" s="105">
        <v>4827.0457403872251</v>
      </c>
      <c r="V33" s="105">
        <v>16.588023234667833</v>
      </c>
      <c r="W33" s="105">
        <v>5553.6701789667904</v>
      </c>
      <c r="X33" s="105">
        <v>5.7305706430738006</v>
      </c>
      <c r="Y33" s="105">
        <v>1918.5950513011085</v>
      </c>
      <c r="Z33" s="105">
        <v>13.336328989118117</v>
      </c>
      <c r="AA33" s="105">
        <v>4465.0029455567455</v>
      </c>
      <c r="AB33" s="105">
        <v>17.422057922444431</v>
      </c>
      <c r="AC33" s="105">
        <v>5832.9049924343954</v>
      </c>
      <c r="AD33" s="105">
        <v>12.009517525150912</v>
      </c>
      <c r="AE33" s="105">
        <v>4020.7864674205252</v>
      </c>
      <c r="AF33" s="105">
        <v>16.404324195524229</v>
      </c>
      <c r="AG33" s="105">
        <v>5492.1677406615117</v>
      </c>
      <c r="AH33" s="105">
        <v>16.971691799279199</v>
      </c>
      <c r="AI33" s="105">
        <v>5682.1224143986765</v>
      </c>
      <c r="AJ33" s="105">
        <v>16.452150213586982</v>
      </c>
      <c r="AK33" s="105">
        <v>5508.1798915089221</v>
      </c>
      <c r="AL33" s="105">
        <v>15.294073400124216</v>
      </c>
      <c r="AM33" s="105">
        <v>5120.4557743615878</v>
      </c>
      <c r="AN33" s="105">
        <v>14.979478054467677</v>
      </c>
      <c r="AO33" s="105">
        <v>5015.1292526357784</v>
      </c>
      <c r="AP33" s="105">
        <v>18.082472236674946</v>
      </c>
      <c r="AQ33" s="105">
        <v>6054.0117048387719</v>
      </c>
      <c r="AR33" s="105">
        <v>17.57971191046833</v>
      </c>
      <c r="AS33" s="105">
        <v>5885.6875476247969</v>
      </c>
      <c r="AT33" s="105">
        <v>15.534487512416206</v>
      </c>
      <c r="AU33" s="105">
        <v>5200.9464191569459</v>
      </c>
      <c r="AV33" s="105">
        <v>11.470608598363848</v>
      </c>
      <c r="AW33" s="105">
        <v>3840.3597587322165</v>
      </c>
      <c r="AX33" s="105">
        <v>17.743482724410359</v>
      </c>
      <c r="AY33" s="105">
        <v>5940.5180161325889</v>
      </c>
      <c r="AZ33" s="105">
        <v>16.718802351938947</v>
      </c>
      <c r="BA33" s="105">
        <v>5597.4550274291596</v>
      </c>
      <c r="BB33" s="105">
        <v>12.172037544065857</v>
      </c>
      <c r="BC33" s="105">
        <v>4075.1981697532492</v>
      </c>
      <c r="BD33" s="105">
        <v>14.875022027748882</v>
      </c>
      <c r="BE33" s="105">
        <v>4980.1573748903256</v>
      </c>
      <c r="BF33" s="105">
        <v>17.466582840569071</v>
      </c>
      <c r="BG33" s="105">
        <v>5847.8119350225252</v>
      </c>
      <c r="BH33" s="105">
        <v>15.852679153172881</v>
      </c>
      <c r="BI33" s="105">
        <v>5307.4769804822809</v>
      </c>
      <c r="BJ33" s="105">
        <v>6.1668659189740023</v>
      </c>
      <c r="BK33" s="105">
        <v>2064.6667096724959</v>
      </c>
      <c r="BL33" s="105">
        <v>17</v>
      </c>
      <c r="BM33" s="105">
        <v>5691.6</v>
      </c>
      <c r="BN33" s="105">
        <v>13.889243819059425</v>
      </c>
      <c r="BO33" s="105">
        <v>4650.1188306210961</v>
      </c>
      <c r="BP33" s="105">
        <v>19.339834841039089</v>
      </c>
      <c r="BQ33" s="105">
        <v>6474.9767047798869</v>
      </c>
      <c r="BR33" s="105">
        <v>15.967989596096022</v>
      </c>
      <c r="BS33" s="105">
        <v>5346.082916772948</v>
      </c>
      <c r="BT33" s="105">
        <v>13.278372769933878</v>
      </c>
      <c r="BU33" s="105">
        <v>4445.5992033738621</v>
      </c>
      <c r="BV33" s="105">
        <v>12.36004482322047</v>
      </c>
      <c r="BW33" s="105">
        <v>4138.1430068142135</v>
      </c>
      <c r="BX33" s="105">
        <v>12</v>
      </c>
      <c r="BY33" s="105">
        <v>4017.6000000000004</v>
      </c>
      <c r="BZ33" s="105">
        <v>12.157695321585193</v>
      </c>
      <c r="CA33" s="105">
        <v>4070.3963936667228</v>
      </c>
      <c r="CB33" s="105">
        <v>15.683411563690351</v>
      </c>
      <c r="CC33" s="105">
        <v>5250.8061915235294</v>
      </c>
      <c r="CD33" s="105">
        <v>18.210501419664546</v>
      </c>
      <c r="CE33" s="105">
        <v>6096.87587530369</v>
      </c>
      <c r="CF33" s="105">
        <v>13.729026494024007</v>
      </c>
      <c r="CG33" s="105">
        <v>4596.4780701992377</v>
      </c>
      <c r="CH33" s="105">
        <v>14</v>
      </c>
      <c r="CI33" s="105">
        <v>4687.2</v>
      </c>
      <c r="CJ33" s="105">
        <v>20.017205784868196</v>
      </c>
      <c r="CK33" s="105">
        <v>6701.7604967738725</v>
      </c>
      <c r="CL33" s="105">
        <v>8.8671325124086806</v>
      </c>
      <c r="CM33" s="105">
        <v>2968.7159651544262</v>
      </c>
      <c r="CN33" s="105">
        <v>12.240638407442953</v>
      </c>
      <c r="CO33" s="105">
        <v>4098.1657388119011</v>
      </c>
      <c r="CP33" s="105">
        <v>18.338539460966118</v>
      </c>
      <c r="CQ33" s="105">
        <v>6139.7430115314564</v>
      </c>
      <c r="CR33" s="105">
        <v>9.9973500079905531</v>
      </c>
      <c r="CS33" s="105">
        <v>3347.1127826752372</v>
      </c>
      <c r="CT33" s="105">
        <v>10.406000811236883</v>
      </c>
      <c r="CU33" s="105">
        <v>3483.9290716021083</v>
      </c>
    </row>
    <row r="34" spans="2:99" x14ac:dyDescent="0.2">
      <c r="C34" s="104" t="s">
        <v>200</v>
      </c>
      <c r="D34" s="105">
        <v>0</v>
      </c>
      <c r="E34" s="105">
        <v>0</v>
      </c>
      <c r="F34" s="105">
        <v>0</v>
      </c>
      <c r="G34" s="105">
        <v>0</v>
      </c>
      <c r="H34" s="105">
        <v>0</v>
      </c>
      <c r="I34" s="105">
        <v>0</v>
      </c>
      <c r="J34" s="105">
        <v>0</v>
      </c>
      <c r="K34" s="105">
        <v>0</v>
      </c>
      <c r="L34" s="105">
        <v>11.085708484754688</v>
      </c>
      <c r="M34" s="105">
        <v>4217.0035076006834</v>
      </c>
      <c r="N34" s="105">
        <v>15.25273300077874</v>
      </c>
      <c r="O34" s="105">
        <v>5802.1396334962319</v>
      </c>
      <c r="P34" s="105">
        <v>13.965733847369249</v>
      </c>
      <c r="Q34" s="105">
        <v>5312.5651555392615</v>
      </c>
      <c r="R34" s="105">
        <v>12.657730565672463</v>
      </c>
      <c r="S34" s="105">
        <v>4815.0007071818045</v>
      </c>
      <c r="T34" s="105">
        <v>15.378879300317722</v>
      </c>
      <c r="U34" s="105">
        <v>5850.1256858408615</v>
      </c>
      <c r="V34" s="105">
        <v>15.008211498032804</v>
      </c>
      <c r="W34" s="105">
        <v>5709.1236538516778</v>
      </c>
      <c r="X34" s="105">
        <v>6.251531610625964</v>
      </c>
      <c r="Y34" s="105">
        <v>2378.0826246821166</v>
      </c>
      <c r="Z34" s="105">
        <v>12.447240389843577</v>
      </c>
      <c r="AA34" s="105">
        <v>4734.9302442964963</v>
      </c>
      <c r="AB34" s="105">
        <v>19.081301534105805</v>
      </c>
      <c r="AC34" s="105">
        <v>7258.5271035738479</v>
      </c>
      <c r="AD34" s="105">
        <v>12.009517525150912</v>
      </c>
      <c r="AE34" s="105">
        <v>4568.4204665674069</v>
      </c>
      <c r="AF34" s="105">
        <v>18.131095163474146</v>
      </c>
      <c r="AG34" s="105">
        <v>6897.0686001855647</v>
      </c>
      <c r="AH34" s="105">
        <v>15.973356987556896</v>
      </c>
      <c r="AI34" s="105">
        <v>6076.2649980666429</v>
      </c>
      <c r="AJ34" s="105">
        <v>17.318052856407348</v>
      </c>
      <c r="AK34" s="105">
        <v>6587.7873065773547</v>
      </c>
      <c r="AL34" s="105">
        <v>13.208517936470914</v>
      </c>
      <c r="AM34" s="105">
        <v>5024.5202230335353</v>
      </c>
      <c r="AN34" s="105">
        <v>14.979478054467677</v>
      </c>
      <c r="AO34" s="105">
        <v>5698.1934519195038</v>
      </c>
      <c r="AP34" s="105">
        <v>16.274225013007452</v>
      </c>
      <c r="AQ34" s="105">
        <v>6190.7151949480349</v>
      </c>
      <c r="AR34" s="105">
        <v>15.729215919892717</v>
      </c>
      <c r="AS34" s="105">
        <v>5983.3937359271895</v>
      </c>
      <c r="AT34" s="105">
        <v>14.794750011824956</v>
      </c>
      <c r="AU34" s="105">
        <v>5627.922904498213</v>
      </c>
      <c r="AV34" s="105">
        <v>12.352963105930298</v>
      </c>
      <c r="AW34" s="105">
        <v>4699.0671654958851</v>
      </c>
      <c r="AX34" s="105">
        <v>15.969134451969325</v>
      </c>
      <c r="AY34" s="105">
        <v>6074.658745529131</v>
      </c>
      <c r="AZ34" s="105">
        <v>14.751884428181423</v>
      </c>
      <c r="BA34" s="105">
        <v>5611.6168364802134</v>
      </c>
      <c r="BB34" s="105">
        <v>11.456035335591395</v>
      </c>
      <c r="BC34" s="105">
        <v>4357.8758416589662</v>
      </c>
      <c r="BD34" s="105">
        <v>14.875022027748882</v>
      </c>
      <c r="BE34" s="105">
        <v>5658.458379355674</v>
      </c>
      <c r="BF34" s="105">
        <v>18.298324880596166</v>
      </c>
      <c r="BG34" s="105">
        <v>6960.6827845787811</v>
      </c>
      <c r="BH34" s="105">
        <v>13.987658076329012</v>
      </c>
      <c r="BI34" s="105">
        <v>5320.9051322355563</v>
      </c>
      <c r="BJ34" s="105">
        <v>6.5779903135722693</v>
      </c>
      <c r="BK34" s="105">
        <v>2502.2675152828911</v>
      </c>
      <c r="BL34" s="105">
        <v>17</v>
      </c>
      <c r="BM34" s="105">
        <v>6466.7999999999993</v>
      </c>
      <c r="BN34" s="105">
        <v>13.889243819059425</v>
      </c>
      <c r="BO34" s="105">
        <v>5283.468348770205</v>
      </c>
      <c r="BP34" s="105">
        <v>19.339834841039089</v>
      </c>
      <c r="BQ34" s="105">
        <v>7356.8731735312685</v>
      </c>
      <c r="BR34" s="105">
        <v>16.766389075900822</v>
      </c>
      <c r="BS34" s="105">
        <v>6377.9344044726722</v>
      </c>
      <c r="BT34" s="105">
        <v>14.485497567200595</v>
      </c>
      <c r="BU34" s="105">
        <v>5510.2832745631058</v>
      </c>
      <c r="BV34" s="105">
        <v>14.54122920378879</v>
      </c>
      <c r="BW34" s="105">
        <v>5531.4835891212551</v>
      </c>
      <c r="BX34" s="105">
        <v>12</v>
      </c>
      <c r="BY34" s="105">
        <v>4564.7999999999993</v>
      </c>
      <c r="BZ34" s="105">
        <v>13.092902654014823</v>
      </c>
      <c r="CA34" s="105">
        <v>4980.5401695872388</v>
      </c>
      <c r="CB34" s="105">
        <v>17.643838009151644</v>
      </c>
      <c r="CC34" s="105">
        <v>6711.7159786812845</v>
      </c>
      <c r="CD34" s="105">
        <v>16.476167951125063</v>
      </c>
      <c r="CE34" s="105">
        <v>6267.5342886079734</v>
      </c>
      <c r="CF34" s="105">
        <v>15.559563359893874</v>
      </c>
      <c r="CG34" s="105">
        <v>5918.8579021036294</v>
      </c>
      <c r="CH34" s="105">
        <v>14</v>
      </c>
      <c r="CI34" s="105">
        <v>5325.5999999999995</v>
      </c>
      <c r="CJ34" s="105">
        <v>19.107332794646915</v>
      </c>
      <c r="CK34" s="105">
        <v>7268.4293950836864</v>
      </c>
      <c r="CL34" s="105">
        <v>8.8671325124086806</v>
      </c>
      <c r="CM34" s="105">
        <v>3373.0572077202619</v>
      </c>
      <c r="CN34" s="105">
        <v>13.680713514200948</v>
      </c>
      <c r="CO34" s="105">
        <v>5204.1434208020401</v>
      </c>
      <c r="CP34" s="105">
        <v>19.933195066267519</v>
      </c>
      <c r="CQ34" s="105">
        <v>7582.5874032081638</v>
      </c>
      <c r="CR34" s="105">
        <v>9.9973500079905531</v>
      </c>
      <c r="CS34" s="105">
        <v>3802.9919430396062</v>
      </c>
      <c r="CT34" s="105">
        <v>10.406000811236883</v>
      </c>
      <c r="CU34" s="105">
        <v>3958.4427085945099</v>
      </c>
    </row>
    <row r="35" spans="2:99" x14ac:dyDescent="0.2">
      <c r="C35" s="104" t="s">
        <v>201</v>
      </c>
      <c r="D35" s="105">
        <v>0</v>
      </c>
      <c r="E35" s="105">
        <v>0</v>
      </c>
      <c r="F35" s="105">
        <v>0</v>
      </c>
      <c r="G35" s="105">
        <v>0</v>
      </c>
      <c r="H35" s="105">
        <v>0</v>
      </c>
      <c r="I35" s="105">
        <v>0</v>
      </c>
      <c r="J35" s="105">
        <v>0</v>
      </c>
      <c r="K35" s="105">
        <v>0</v>
      </c>
      <c r="L35" s="105">
        <v>12.009517525150912</v>
      </c>
      <c r="M35" s="105">
        <v>4928.705992321934</v>
      </c>
      <c r="N35" s="105">
        <v>13.557984889581101</v>
      </c>
      <c r="O35" s="105">
        <v>5564.1969986840841</v>
      </c>
      <c r="P35" s="105">
        <v>13.965733847369249</v>
      </c>
      <c r="Q35" s="105">
        <v>5731.5371709603396</v>
      </c>
      <c r="R35" s="105">
        <v>12.657730565672463</v>
      </c>
      <c r="S35" s="105">
        <v>5194.7326241519786</v>
      </c>
      <c r="T35" s="105">
        <v>15.378879300317722</v>
      </c>
      <c r="U35" s="105">
        <v>6311.492064850393</v>
      </c>
      <c r="V35" s="105">
        <v>16.588023234667833</v>
      </c>
      <c r="W35" s="105">
        <v>6807.7247355076788</v>
      </c>
      <c r="X35" s="105">
        <v>6.251531610625964</v>
      </c>
      <c r="Y35" s="105">
        <v>2565.6285730008954</v>
      </c>
      <c r="Z35" s="105">
        <v>13.336328989118117</v>
      </c>
      <c r="AA35" s="105">
        <v>5473.2294171340745</v>
      </c>
      <c r="AB35" s="105">
        <v>16.592436116613744</v>
      </c>
      <c r="AC35" s="105">
        <v>6809.5357822582801</v>
      </c>
      <c r="AD35" s="105">
        <v>12.933326565547137</v>
      </c>
      <c r="AE35" s="105">
        <v>5307.8372225005451</v>
      </c>
      <c r="AF35" s="105">
        <v>17.267709679499188</v>
      </c>
      <c r="AG35" s="105">
        <v>7086.6680524664662</v>
      </c>
      <c r="AH35" s="105">
        <v>14.975022175834589</v>
      </c>
      <c r="AI35" s="105">
        <v>6145.7491009625146</v>
      </c>
      <c r="AJ35" s="105">
        <v>17.318052856407348</v>
      </c>
      <c r="AK35" s="105">
        <v>7107.3288922695756</v>
      </c>
      <c r="AL35" s="105">
        <v>13.903703091022015</v>
      </c>
      <c r="AM35" s="105">
        <v>5706.0797485554349</v>
      </c>
      <c r="AN35" s="105">
        <v>14.147284829219473</v>
      </c>
      <c r="AO35" s="105">
        <v>5806.0456939116712</v>
      </c>
      <c r="AP35" s="105">
        <v>16.274225013007452</v>
      </c>
      <c r="AQ35" s="105">
        <v>6678.9419453382579</v>
      </c>
      <c r="AR35" s="105">
        <v>18.504959905756138</v>
      </c>
      <c r="AS35" s="105">
        <v>7594.4355453223188</v>
      </c>
      <c r="AT35" s="105">
        <v>15.534487512416206</v>
      </c>
      <c r="AU35" s="105">
        <v>6375.3536750956109</v>
      </c>
      <c r="AV35" s="105">
        <v>12.352963105930298</v>
      </c>
      <c r="AW35" s="105">
        <v>5069.6560586737942</v>
      </c>
      <c r="AX35" s="105">
        <v>16.856308588189844</v>
      </c>
      <c r="AY35" s="105">
        <v>6917.8290445931116</v>
      </c>
      <c r="AZ35" s="105">
        <v>14.751884428181423</v>
      </c>
      <c r="BA35" s="105">
        <v>6054.1733693256556</v>
      </c>
      <c r="BB35" s="105">
        <v>13.604041961014781</v>
      </c>
      <c r="BC35" s="105">
        <v>5583.0988208004655</v>
      </c>
      <c r="BD35" s="105">
        <v>15.866690162932141</v>
      </c>
      <c r="BE35" s="105">
        <v>6511.6896428673499</v>
      </c>
      <c r="BF35" s="105">
        <v>18.298324880596166</v>
      </c>
      <c r="BG35" s="105">
        <v>7509.632530996666</v>
      </c>
      <c r="BH35" s="105">
        <v>15.852679153172881</v>
      </c>
      <c r="BI35" s="105">
        <v>6505.9395244621501</v>
      </c>
      <c r="BJ35" s="105">
        <v>5.7557415243757353</v>
      </c>
      <c r="BK35" s="105">
        <v>2362.1563216038016</v>
      </c>
      <c r="BL35" s="105">
        <v>17</v>
      </c>
      <c r="BM35" s="105">
        <v>6976.7999999999993</v>
      </c>
      <c r="BN35" s="105">
        <v>13.889243819059425</v>
      </c>
      <c r="BO35" s="105">
        <v>5700.1456633419875</v>
      </c>
      <c r="BP35" s="105">
        <v>16.57700129231922</v>
      </c>
      <c r="BQ35" s="105">
        <v>6803.2013303678077</v>
      </c>
      <c r="BR35" s="105">
        <v>16.766389075900822</v>
      </c>
      <c r="BS35" s="105">
        <v>6880.9260767496971</v>
      </c>
      <c r="BT35" s="105">
        <v>13.881935168567237</v>
      </c>
      <c r="BU35" s="105">
        <v>5697.146193179994</v>
      </c>
      <c r="BV35" s="105">
        <v>14.54122920378879</v>
      </c>
      <c r="BW35" s="105">
        <v>5967.7204652349192</v>
      </c>
      <c r="BX35" s="105">
        <v>12</v>
      </c>
      <c r="BY35" s="105">
        <v>4924.7999999999993</v>
      </c>
      <c r="BZ35" s="105">
        <v>13.092902654014823</v>
      </c>
      <c r="CA35" s="105">
        <v>5373.3272492076831</v>
      </c>
      <c r="CB35" s="105">
        <v>15.683411563690351</v>
      </c>
      <c r="CC35" s="105">
        <v>6436.4721057385195</v>
      </c>
      <c r="CD35" s="105">
        <v>18.210501419664546</v>
      </c>
      <c r="CE35" s="105">
        <v>7473.589782630329</v>
      </c>
      <c r="CF35" s="105">
        <v>16.474831792828809</v>
      </c>
      <c r="CG35" s="105">
        <v>6761.2709677769426</v>
      </c>
      <c r="CH35" s="105">
        <v>14</v>
      </c>
      <c r="CI35" s="105">
        <v>5745.5999999999995</v>
      </c>
      <c r="CJ35" s="105">
        <v>19.107332794646915</v>
      </c>
      <c r="CK35" s="105">
        <v>7841.6493789230935</v>
      </c>
      <c r="CL35" s="105">
        <v>8.8671325124086806</v>
      </c>
      <c r="CM35" s="105">
        <v>3639.0711830925225</v>
      </c>
      <c r="CN35" s="105">
        <v>12.240638407442953</v>
      </c>
      <c r="CO35" s="105">
        <v>5023.5580024145875</v>
      </c>
      <c r="CP35" s="105">
        <v>19.933195066267519</v>
      </c>
      <c r="CQ35" s="105">
        <v>8180.5832551961894</v>
      </c>
      <c r="CR35" s="105">
        <v>9.9973500079905531</v>
      </c>
      <c r="CS35" s="105">
        <v>4102.9124432793224</v>
      </c>
      <c r="CT35" s="105">
        <v>12.140334279776363</v>
      </c>
      <c r="CU35" s="105">
        <v>4982.3931884202193</v>
      </c>
    </row>
    <row r="36" spans="2:99" x14ac:dyDescent="0.2">
      <c r="C36" s="104" t="s">
        <v>202</v>
      </c>
      <c r="D36" s="105">
        <v>0</v>
      </c>
      <c r="E36" s="105">
        <v>0</v>
      </c>
      <c r="F36" s="105">
        <v>0</v>
      </c>
      <c r="G36" s="105">
        <v>0</v>
      </c>
      <c r="H36" s="105">
        <v>0</v>
      </c>
      <c r="I36" s="105">
        <v>0</v>
      </c>
      <c r="J36" s="105">
        <v>0</v>
      </c>
      <c r="K36" s="105">
        <v>0</v>
      </c>
      <c r="L36" s="105">
        <v>12.910552088466932</v>
      </c>
      <c r="M36" s="105">
        <v>5918.1970773532412</v>
      </c>
      <c r="N36" s="105">
        <v>14.755948484888361</v>
      </c>
      <c r="O36" s="105">
        <v>6764.1267854728239</v>
      </c>
      <c r="P36" s="105">
        <v>10.908295250925534</v>
      </c>
      <c r="Q36" s="105">
        <v>5000.3625430242646</v>
      </c>
      <c r="R36" s="105">
        <v>16</v>
      </c>
      <c r="S36" s="105">
        <v>7334.4</v>
      </c>
      <c r="T36" s="105">
        <v>14.589294699943709</v>
      </c>
      <c r="U36" s="105">
        <v>6687.732690454196</v>
      </c>
      <c r="V36" s="105">
        <v>12.680893229200935</v>
      </c>
      <c r="W36" s="105">
        <v>5812.921456265708</v>
      </c>
      <c r="X36" s="105">
        <v>8.5881181658080408</v>
      </c>
      <c r="Y36" s="105">
        <v>3936.7933672064055</v>
      </c>
      <c r="Z36" s="105">
        <v>10.355813866014111</v>
      </c>
      <c r="AA36" s="105">
        <v>4747.1050761808683</v>
      </c>
      <c r="AB36" s="105">
        <v>20</v>
      </c>
      <c r="AC36" s="105">
        <v>9168</v>
      </c>
      <c r="AD36" s="105">
        <v>12</v>
      </c>
      <c r="AE36" s="105">
        <v>5500.7999999999993</v>
      </c>
      <c r="AF36" s="105">
        <v>20</v>
      </c>
      <c r="AG36" s="105">
        <v>9168</v>
      </c>
      <c r="AH36" s="105">
        <v>16</v>
      </c>
      <c r="AI36" s="105">
        <v>7334.4</v>
      </c>
      <c r="AJ36" s="105">
        <v>18.494423053617506</v>
      </c>
      <c r="AK36" s="105">
        <v>8477.8435277782646</v>
      </c>
      <c r="AL36" s="105">
        <v>19.002445366874113</v>
      </c>
      <c r="AM36" s="105">
        <v>8710.7209561750933</v>
      </c>
      <c r="AN36" s="105">
        <v>12.824323159271735</v>
      </c>
      <c r="AO36" s="105">
        <v>5878.6697362101631</v>
      </c>
      <c r="AP36" s="105">
        <v>13.304543715882946</v>
      </c>
      <c r="AQ36" s="105">
        <v>6098.8028393607419</v>
      </c>
      <c r="AR36" s="105">
        <v>13.638604026661344</v>
      </c>
      <c r="AS36" s="105">
        <v>6251.9360858215596</v>
      </c>
      <c r="AT36" s="105">
        <v>17.143581889920991</v>
      </c>
      <c r="AU36" s="105">
        <v>7858.6179383397821</v>
      </c>
      <c r="AV36" s="105">
        <v>9.7311410871565922</v>
      </c>
      <c r="AW36" s="105">
        <v>4460.7550743525817</v>
      </c>
      <c r="AX36" s="105">
        <v>14.045987654358944</v>
      </c>
      <c r="AY36" s="105">
        <v>6438.68074075814</v>
      </c>
      <c r="AZ36" s="105">
        <v>16</v>
      </c>
      <c r="BA36" s="105">
        <v>7334.4</v>
      </c>
      <c r="BB36" s="105">
        <v>13.411620952778854</v>
      </c>
      <c r="BC36" s="105">
        <v>6147.8870447538266</v>
      </c>
      <c r="BD36" s="105">
        <v>16.308288219114203</v>
      </c>
      <c r="BE36" s="105">
        <v>7475.7193196419503</v>
      </c>
      <c r="BF36" s="105">
        <v>19</v>
      </c>
      <c r="BG36" s="105">
        <v>8709.6</v>
      </c>
      <c r="BH36" s="105">
        <v>12.592401600274401</v>
      </c>
      <c r="BI36" s="105">
        <v>5772.356893565785</v>
      </c>
      <c r="BJ36" s="105">
        <v>15</v>
      </c>
      <c r="BK36" s="105">
        <v>6876</v>
      </c>
      <c r="BL36" s="105">
        <v>13.592865976215849</v>
      </c>
      <c r="BM36" s="105">
        <v>6230.9697634973454</v>
      </c>
      <c r="BN36" s="105">
        <v>15.820217673856915</v>
      </c>
      <c r="BO36" s="105">
        <v>7251.9877816960097</v>
      </c>
      <c r="BP36" s="105">
        <v>14.421966111773603</v>
      </c>
      <c r="BQ36" s="105">
        <v>6611.0292656370193</v>
      </c>
      <c r="BR36" s="105">
        <v>13.26106481485065</v>
      </c>
      <c r="BS36" s="105">
        <v>6078.8721111275381</v>
      </c>
      <c r="BT36" s="105">
        <v>13.965192150152454</v>
      </c>
      <c r="BU36" s="105">
        <v>6401.6440816298846</v>
      </c>
      <c r="BV36" s="105">
        <v>12.710160045094241</v>
      </c>
      <c r="BW36" s="105">
        <v>5826.3373646711998</v>
      </c>
      <c r="BX36" s="105">
        <v>13</v>
      </c>
      <c r="BY36" s="105">
        <v>5959.2</v>
      </c>
      <c r="BZ36" s="105">
        <v>11.791102266503742</v>
      </c>
      <c r="CA36" s="105">
        <v>5405.0412789653155</v>
      </c>
      <c r="CB36" s="105">
        <v>15.02920679016407</v>
      </c>
      <c r="CC36" s="105">
        <v>6889.3883926112094</v>
      </c>
      <c r="CD36" s="105">
        <v>13.26106481485065</v>
      </c>
      <c r="CE36" s="105">
        <v>6078.8721111275381</v>
      </c>
      <c r="CF36" s="105">
        <v>11.902011588483969</v>
      </c>
      <c r="CG36" s="105">
        <v>5455.8821121610508</v>
      </c>
      <c r="CH36" s="105">
        <v>12.797796175030539</v>
      </c>
      <c r="CI36" s="105">
        <v>5866.5097666339989</v>
      </c>
      <c r="CJ36" s="105">
        <v>16.797348765477491</v>
      </c>
      <c r="CK36" s="105">
        <v>7699.9046740948816</v>
      </c>
      <c r="CL36" s="105">
        <v>19.235332922564936</v>
      </c>
      <c r="CM36" s="105">
        <v>8817.476611703767</v>
      </c>
      <c r="CN36" s="105">
        <v>19</v>
      </c>
      <c r="CO36" s="105">
        <v>8709.6</v>
      </c>
      <c r="CP36" s="105">
        <v>15.854783159310914</v>
      </c>
      <c r="CQ36" s="105">
        <v>7267.8326002281228</v>
      </c>
      <c r="CR36" s="105">
        <v>9.9824989750167248</v>
      </c>
      <c r="CS36" s="105">
        <v>4575.9775301476666</v>
      </c>
      <c r="CT36" s="105">
        <v>9.6491016357084494</v>
      </c>
      <c r="CU36" s="105">
        <v>4423.1481898087532</v>
      </c>
    </row>
    <row r="37" spans="2:99" x14ac:dyDescent="0.2">
      <c r="B37" s="104" t="s">
        <v>128</v>
      </c>
      <c r="C37" s="104" t="s">
        <v>203</v>
      </c>
      <c r="D37" s="105">
        <v>0</v>
      </c>
      <c r="E37" s="105">
        <v>0</v>
      </c>
      <c r="F37" s="105">
        <v>0</v>
      </c>
      <c r="G37" s="105">
        <v>0</v>
      </c>
      <c r="H37" s="105">
        <v>0</v>
      </c>
      <c r="I37" s="105">
        <v>0</v>
      </c>
      <c r="J37" s="105">
        <v>0</v>
      </c>
      <c r="K37" s="105">
        <v>0</v>
      </c>
      <c r="L37" s="105">
        <v>15.704753686735808</v>
      </c>
      <c r="M37" s="105">
        <v>10233.217502277053</v>
      </c>
      <c r="N37" s="105">
        <v>8.4737405559881882</v>
      </c>
      <c r="O37" s="105">
        <v>5521.4893462819036</v>
      </c>
      <c r="P37" s="105">
        <v>14.896782770527198</v>
      </c>
      <c r="Q37" s="105">
        <v>9706.7436532755219</v>
      </c>
      <c r="R37" s="105">
        <v>9.0412361183374728</v>
      </c>
      <c r="S37" s="105">
        <v>5891.2694547086976</v>
      </c>
      <c r="T37" s="105">
        <v>8.6506196064287195</v>
      </c>
      <c r="U37" s="105">
        <v>5636.7437355489537</v>
      </c>
      <c r="V37" s="105">
        <v>11.848588024762741</v>
      </c>
      <c r="W37" s="105">
        <v>7720.5399569354022</v>
      </c>
      <c r="X37" s="105">
        <v>6.7724925781781282</v>
      </c>
      <c r="Y37" s="105">
        <v>4412.9561639408685</v>
      </c>
      <c r="Z37" s="105">
        <v>13.336328989118117</v>
      </c>
      <c r="AA37" s="105">
        <v>8689.9519693093662</v>
      </c>
      <c r="AB37" s="105">
        <v>11.61470528162962</v>
      </c>
      <c r="AC37" s="105">
        <v>7568.1419615098603</v>
      </c>
      <c r="AD37" s="105">
        <v>10.161899444358463</v>
      </c>
      <c r="AE37" s="105">
        <v>6621.4936779439749</v>
      </c>
      <c r="AF37" s="105">
        <v>6.9070838717996743</v>
      </c>
      <c r="AG37" s="105">
        <v>4500.6558508646676</v>
      </c>
      <c r="AH37" s="105">
        <v>11.980017740667671</v>
      </c>
      <c r="AI37" s="105">
        <v>7806.1795598190547</v>
      </c>
      <c r="AJ37" s="105">
        <v>11.256734356664778</v>
      </c>
      <c r="AK37" s="105">
        <v>7334.8881068027695</v>
      </c>
      <c r="AL37" s="105">
        <v>11.818147627368711</v>
      </c>
      <c r="AM37" s="105">
        <v>7700.7049939934523</v>
      </c>
      <c r="AN37" s="105">
        <v>12.482898378723064</v>
      </c>
      <c r="AO37" s="105">
        <v>8133.8565835759491</v>
      </c>
      <c r="AP37" s="105">
        <v>12.657730565672463</v>
      </c>
      <c r="AQ37" s="105">
        <v>8247.7772365921774</v>
      </c>
      <c r="AR37" s="105">
        <v>10.177727948165876</v>
      </c>
      <c r="AS37" s="105">
        <v>6631.8075310248851</v>
      </c>
      <c r="AT37" s="105">
        <v>10.356325008277469</v>
      </c>
      <c r="AU37" s="105">
        <v>6748.1813753935994</v>
      </c>
      <c r="AV37" s="105">
        <v>9.7058995832309485</v>
      </c>
      <c r="AW37" s="105">
        <v>6324.3641684332861</v>
      </c>
      <c r="AX37" s="105">
        <v>9.7589154984256989</v>
      </c>
      <c r="AY37" s="105">
        <v>6358.9093387741859</v>
      </c>
      <c r="AZ37" s="105">
        <v>9.8345896187876178</v>
      </c>
      <c r="BA37" s="105">
        <v>6408.2185956020121</v>
      </c>
      <c r="BB37" s="105">
        <v>7.1600220847446217</v>
      </c>
      <c r="BC37" s="105">
        <v>4665.4703904195958</v>
      </c>
      <c r="BD37" s="105">
        <v>7.9333450814660704</v>
      </c>
      <c r="BE37" s="105">
        <v>5169.3676550832915</v>
      </c>
      <c r="BF37" s="105">
        <v>7.4856783602438863</v>
      </c>
      <c r="BG37" s="105">
        <v>4877.6680195349163</v>
      </c>
      <c r="BH37" s="105">
        <v>12.122636999485142</v>
      </c>
      <c r="BI37" s="105">
        <v>7899.1102688645187</v>
      </c>
      <c r="BJ37" s="105">
        <v>4.5223683405809352</v>
      </c>
      <c r="BK37" s="105">
        <v>2946.7752107225374</v>
      </c>
      <c r="BL37" s="105">
        <v>12</v>
      </c>
      <c r="BM37" s="105">
        <v>7819.2000000000007</v>
      </c>
      <c r="BN37" s="105">
        <v>12.037344643184834</v>
      </c>
      <c r="BO37" s="105">
        <v>7843.5337694992386</v>
      </c>
      <c r="BP37" s="105">
        <v>11.051334194879479</v>
      </c>
      <c r="BQ37" s="105">
        <v>7201.0493613834687</v>
      </c>
      <c r="BR37" s="105">
        <v>7.9839947980480108</v>
      </c>
      <c r="BS37" s="105">
        <v>5202.3710104080837</v>
      </c>
      <c r="BT37" s="105">
        <v>7.8463111822336558</v>
      </c>
      <c r="BU37" s="105">
        <v>5112.6563663434499</v>
      </c>
      <c r="BV37" s="105">
        <v>10.905921902841591</v>
      </c>
      <c r="BW37" s="105">
        <v>7106.2987118915808</v>
      </c>
      <c r="BX37" s="105">
        <v>9</v>
      </c>
      <c r="BY37" s="105">
        <v>5864.4000000000005</v>
      </c>
      <c r="BZ37" s="105">
        <v>8.4168659918666719</v>
      </c>
      <c r="CA37" s="105">
        <v>5484.4298803003239</v>
      </c>
      <c r="CB37" s="105">
        <v>9.802132227306469</v>
      </c>
      <c r="CC37" s="105">
        <v>6387.0693593128954</v>
      </c>
      <c r="CD37" s="105">
        <v>7.804500608427662</v>
      </c>
      <c r="CE37" s="105">
        <v>5085.4125964514651</v>
      </c>
      <c r="CF37" s="105">
        <v>10.983221195219206</v>
      </c>
      <c r="CG37" s="105">
        <v>7156.6669308048349</v>
      </c>
      <c r="CH37" s="105">
        <v>11</v>
      </c>
      <c r="CI37" s="105">
        <v>7167.6</v>
      </c>
      <c r="CJ37" s="105">
        <v>12.738221863097941</v>
      </c>
      <c r="CK37" s="105">
        <v>8300.2253659946182</v>
      </c>
      <c r="CL37" s="105">
        <v>3.1921677044671251</v>
      </c>
      <c r="CM37" s="105">
        <v>2080.0164762307786</v>
      </c>
      <c r="CN37" s="105">
        <v>9.3604881939269635</v>
      </c>
      <c r="CO37" s="105">
        <v>6099.2941071628093</v>
      </c>
      <c r="CP37" s="105">
        <v>7.1759502238563062</v>
      </c>
      <c r="CQ37" s="105">
        <v>4675.849165864769</v>
      </c>
      <c r="CR37" s="105">
        <v>10.830462508656431</v>
      </c>
      <c r="CS37" s="105">
        <v>7057.1293706405313</v>
      </c>
      <c r="CT37" s="105">
        <v>12.140334279776363</v>
      </c>
      <c r="CU37" s="105">
        <v>7910.6418167022784</v>
      </c>
    </row>
    <row r="38" spans="2:99" x14ac:dyDescent="0.2">
      <c r="C38" s="104" t="s">
        <v>204</v>
      </c>
      <c r="D38" s="105">
        <v>0</v>
      </c>
      <c r="E38" s="105">
        <v>0</v>
      </c>
      <c r="F38" s="105">
        <v>0</v>
      </c>
      <c r="G38" s="105">
        <v>0</v>
      </c>
      <c r="H38" s="105">
        <v>0</v>
      </c>
      <c r="I38" s="105">
        <v>0</v>
      </c>
      <c r="J38" s="105">
        <v>0</v>
      </c>
      <c r="K38" s="105">
        <v>0</v>
      </c>
      <c r="L38" s="105">
        <v>14.780944646339584</v>
      </c>
      <c r="M38" s="105">
        <v>15253.934875022451</v>
      </c>
      <c r="N38" s="105">
        <v>8.4737405559881882</v>
      </c>
      <c r="O38" s="105">
        <v>8744.9002537798096</v>
      </c>
      <c r="P38" s="105">
        <v>13.034684924211298</v>
      </c>
      <c r="Q38" s="105">
        <v>13451.794841786059</v>
      </c>
      <c r="R38" s="105">
        <v>9.9453597301712211</v>
      </c>
      <c r="S38" s="105">
        <v>10263.611241536701</v>
      </c>
      <c r="T38" s="105">
        <v>8.6506196064287195</v>
      </c>
      <c r="U38" s="105">
        <v>8927.4394338344391</v>
      </c>
      <c r="V38" s="105">
        <v>12.638493893080256</v>
      </c>
      <c r="W38" s="105">
        <v>13042.925697658824</v>
      </c>
      <c r="X38" s="105">
        <v>6.251531610625964</v>
      </c>
      <c r="Y38" s="105">
        <v>6451.580622165995</v>
      </c>
      <c r="Z38" s="105">
        <v>11.558151790569037</v>
      </c>
      <c r="AA38" s="105">
        <v>11928.012647867246</v>
      </c>
      <c r="AB38" s="105">
        <v>9.9554616699682459</v>
      </c>
      <c r="AC38" s="105">
        <v>10274.036443407229</v>
      </c>
      <c r="AD38" s="105">
        <v>11.085708484754688</v>
      </c>
      <c r="AE38" s="105">
        <v>11440.451156266838</v>
      </c>
      <c r="AF38" s="105">
        <v>7.770469355774634</v>
      </c>
      <c r="AG38" s="105">
        <v>8019.124375159422</v>
      </c>
      <c r="AH38" s="105">
        <v>9.9833481172230591</v>
      </c>
      <c r="AI38" s="105">
        <v>10302.815256974198</v>
      </c>
      <c r="AJ38" s="105">
        <v>10.39083171384441</v>
      </c>
      <c r="AK38" s="105">
        <v>10723.33832868743</v>
      </c>
      <c r="AL38" s="105">
        <v>9.7325921637154096</v>
      </c>
      <c r="AM38" s="105">
        <v>10044.035112954303</v>
      </c>
      <c r="AN38" s="105">
        <v>11.65070515347486</v>
      </c>
      <c r="AO38" s="105">
        <v>12023.527718386056</v>
      </c>
      <c r="AP38" s="105">
        <v>12.657730565672463</v>
      </c>
      <c r="AQ38" s="105">
        <v>13062.777943773981</v>
      </c>
      <c r="AR38" s="105">
        <v>10.177727948165876</v>
      </c>
      <c r="AS38" s="105">
        <v>10503.415242507184</v>
      </c>
      <c r="AT38" s="105">
        <v>11.096062508868718</v>
      </c>
      <c r="AU38" s="105">
        <v>11451.136509152517</v>
      </c>
      <c r="AV38" s="105">
        <v>8.823545075664498</v>
      </c>
      <c r="AW38" s="105">
        <v>9105.8985180857617</v>
      </c>
      <c r="AX38" s="105">
        <v>9.7589154984256989</v>
      </c>
      <c r="AY38" s="105">
        <v>10071.200794375321</v>
      </c>
      <c r="AZ38" s="105">
        <v>8.8511306569088539</v>
      </c>
      <c r="BA38" s="105">
        <v>9134.3668379299379</v>
      </c>
      <c r="BB38" s="105">
        <v>7.1600220847446217</v>
      </c>
      <c r="BC38" s="105">
        <v>7389.1427914564492</v>
      </c>
      <c r="BD38" s="105">
        <v>8.9250132166493295</v>
      </c>
      <c r="BE38" s="105">
        <v>9210.6136395821086</v>
      </c>
      <c r="BF38" s="105">
        <v>7.4856783602438863</v>
      </c>
      <c r="BG38" s="105">
        <v>7725.220067771691</v>
      </c>
      <c r="BH38" s="105">
        <v>12.122636999485142</v>
      </c>
      <c r="BI38" s="105">
        <v>12510.561383468666</v>
      </c>
      <c r="BJ38" s="105">
        <v>4.5223683405809352</v>
      </c>
      <c r="BK38" s="105">
        <v>4667.0841274795248</v>
      </c>
      <c r="BL38" s="105">
        <v>10</v>
      </c>
      <c r="BM38" s="105">
        <v>10320</v>
      </c>
      <c r="BN38" s="105">
        <v>10.185445467310245</v>
      </c>
      <c r="BO38" s="105">
        <v>10511.379722264173</v>
      </c>
      <c r="BP38" s="105">
        <v>11.051334194879479</v>
      </c>
      <c r="BQ38" s="105">
        <v>11404.976889115622</v>
      </c>
      <c r="BR38" s="105">
        <v>7.9839947980480108</v>
      </c>
      <c r="BS38" s="105">
        <v>8239.482631585548</v>
      </c>
      <c r="BT38" s="105">
        <v>7.2427487836002973</v>
      </c>
      <c r="BU38" s="105">
        <v>7474.5167446755067</v>
      </c>
      <c r="BV38" s="105">
        <v>10.178860442652152</v>
      </c>
      <c r="BW38" s="105">
        <v>10504.583976817021</v>
      </c>
      <c r="BX38" s="105">
        <v>9</v>
      </c>
      <c r="BY38" s="105">
        <v>9288</v>
      </c>
      <c r="BZ38" s="105">
        <v>8.4168659918666719</v>
      </c>
      <c r="CA38" s="105">
        <v>8686.2057036064052</v>
      </c>
      <c r="CB38" s="105">
        <v>10.782345450037116</v>
      </c>
      <c r="CC38" s="105">
        <v>11127.380504438304</v>
      </c>
      <c r="CD38" s="105">
        <v>7.804500608427662</v>
      </c>
      <c r="CE38" s="105">
        <v>8054.2446278973475</v>
      </c>
      <c r="CF38" s="105">
        <v>9.1526843293493378</v>
      </c>
      <c r="CG38" s="105">
        <v>9445.5702278885165</v>
      </c>
      <c r="CH38" s="105">
        <v>10</v>
      </c>
      <c r="CI38" s="105">
        <v>10320</v>
      </c>
      <c r="CJ38" s="105">
        <v>10.918475882655379</v>
      </c>
      <c r="CK38" s="105">
        <v>11267.867110900352</v>
      </c>
      <c r="CL38" s="105">
        <v>3.1921677044671251</v>
      </c>
      <c r="CM38" s="105">
        <v>3294.3170710100731</v>
      </c>
      <c r="CN38" s="105">
        <v>8.640450640547968</v>
      </c>
      <c r="CO38" s="105">
        <v>8916.9450610455024</v>
      </c>
      <c r="CP38" s="105">
        <v>7.9732780265070069</v>
      </c>
      <c r="CQ38" s="105">
        <v>8228.4229233552305</v>
      </c>
      <c r="CR38" s="105">
        <v>11.663575009322312</v>
      </c>
      <c r="CS38" s="105">
        <v>12036.809409620626</v>
      </c>
      <c r="CT38" s="105">
        <v>12.140334279776363</v>
      </c>
      <c r="CU38" s="105">
        <v>12528.824976729207</v>
      </c>
    </row>
    <row r="39" spans="2:99" x14ac:dyDescent="0.2">
      <c r="C39" s="104" t="s">
        <v>205</v>
      </c>
      <c r="D39" s="105">
        <v>0</v>
      </c>
      <c r="E39" s="105">
        <v>0</v>
      </c>
      <c r="F39" s="105">
        <v>0</v>
      </c>
      <c r="G39" s="105">
        <v>0</v>
      </c>
      <c r="H39" s="105">
        <v>0</v>
      </c>
      <c r="I39" s="105">
        <v>0</v>
      </c>
      <c r="J39" s="105">
        <v>0</v>
      </c>
      <c r="K39" s="105">
        <v>0</v>
      </c>
      <c r="L39" s="105">
        <v>14.780944646339584</v>
      </c>
      <c r="M39" s="105">
        <v>17914.504911363576</v>
      </c>
      <c r="N39" s="105">
        <v>7.6263665003893699</v>
      </c>
      <c r="O39" s="105">
        <v>9243.1561984719156</v>
      </c>
      <c r="P39" s="105">
        <v>13.965733847369249</v>
      </c>
      <c r="Q39" s="105">
        <v>16926.469423011531</v>
      </c>
      <c r="R39" s="105">
        <v>8.1371125065037262</v>
      </c>
      <c r="S39" s="105">
        <v>9862.1803578825165</v>
      </c>
      <c r="T39" s="105">
        <v>8.6506196064287195</v>
      </c>
      <c r="U39" s="105">
        <v>10484.550962991609</v>
      </c>
      <c r="V39" s="105">
        <v>11.058682156445224</v>
      </c>
      <c r="W39" s="105">
        <v>13403.122773611611</v>
      </c>
      <c r="X39" s="105">
        <v>6.251531610625964</v>
      </c>
      <c r="Y39" s="105">
        <v>7576.8563120786685</v>
      </c>
      <c r="Z39" s="105">
        <v>11.558151790569037</v>
      </c>
      <c r="AA39" s="105">
        <v>14008.479970169672</v>
      </c>
      <c r="AB39" s="105">
        <v>9.9554616699682459</v>
      </c>
      <c r="AC39" s="105">
        <v>12066.019544001514</v>
      </c>
      <c r="AD39" s="105">
        <v>11.085708484754688</v>
      </c>
      <c r="AE39" s="105">
        <v>13435.878683522682</v>
      </c>
      <c r="AF39" s="105">
        <v>6.9070838717996743</v>
      </c>
      <c r="AG39" s="105">
        <v>8371.3856526212057</v>
      </c>
      <c r="AH39" s="105">
        <v>9.9833481172230591</v>
      </c>
      <c r="AI39" s="105">
        <v>12099.817918074348</v>
      </c>
      <c r="AJ39" s="105">
        <v>11.256734356664778</v>
      </c>
      <c r="AK39" s="105">
        <v>13643.16204027771</v>
      </c>
      <c r="AL39" s="105">
        <v>10.427777318266511</v>
      </c>
      <c r="AM39" s="105">
        <v>12638.466109739011</v>
      </c>
      <c r="AN39" s="105">
        <v>11.65070515347486</v>
      </c>
      <c r="AO39" s="105">
        <v>14120.65464601153</v>
      </c>
      <c r="AP39" s="105">
        <v>13.561854177506209</v>
      </c>
      <c r="AQ39" s="105">
        <v>16436.967263137525</v>
      </c>
      <c r="AR39" s="105">
        <v>10.177727948165876</v>
      </c>
      <c r="AS39" s="105">
        <v>12335.406273177041</v>
      </c>
      <c r="AT39" s="105">
        <v>11.096062508868718</v>
      </c>
      <c r="AU39" s="105">
        <v>13448.427760748886</v>
      </c>
      <c r="AV39" s="105">
        <v>8.823545075664498</v>
      </c>
      <c r="AW39" s="105">
        <v>10694.136631705371</v>
      </c>
      <c r="AX39" s="105">
        <v>8.8717413622051797</v>
      </c>
      <c r="AY39" s="105">
        <v>10752.550530992678</v>
      </c>
      <c r="AZ39" s="105">
        <v>9.8345896187876178</v>
      </c>
      <c r="BA39" s="105">
        <v>11919.522617970593</v>
      </c>
      <c r="BB39" s="105">
        <v>6.4440198762701595</v>
      </c>
      <c r="BC39" s="105">
        <v>7810.1520900394335</v>
      </c>
      <c r="BD39" s="105">
        <v>7.9333450814660704</v>
      </c>
      <c r="BE39" s="105">
        <v>9615.2142387368767</v>
      </c>
      <c r="BF39" s="105">
        <v>8.3174204002709864</v>
      </c>
      <c r="BG39" s="105">
        <v>10080.713525128436</v>
      </c>
      <c r="BH39" s="105">
        <v>11.190126461063208</v>
      </c>
      <c r="BI39" s="105">
        <v>13562.433270808608</v>
      </c>
      <c r="BJ39" s="105">
        <v>4.1112439459826682</v>
      </c>
      <c r="BK39" s="105">
        <v>4982.8276625309936</v>
      </c>
      <c r="BL39" s="105">
        <v>10</v>
      </c>
      <c r="BM39" s="105">
        <v>12120</v>
      </c>
      <c r="BN39" s="105">
        <v>10.185445467310245</v>
      </c>
      <c r="BO39" s="105">
        <v>12344.759906380017</v>
      </c>
      <c r="BP39" s="105">
        <v>11.051334194879479</v>
      </c>
      <c r="BQ39" s="105">
        <v>13394.217044193929</v>
      </c>
      <c r="BR39" s="105">
        <v>7.9839947980480108</v>
      </c>
      <c r="BS39" s="105">
        <v>9676.6016952341888</v>
      </c>
      <c r="BT39" s="105">
        <v>7.8463111822336558</v>
      </c>
      <c r="BU39" s="105">
        <v>9509.7291528671904</v>
      </c>
      <c r="BV39" s="105">
        <v>10.905921902841591</v>
      </c>
      <c r="BW39" s="105">
        <v>13217.977346244008</v>
      </c>
      <c r="BX39" s="105">
        <v>8</v>
      </c>
      <c r="BY39" s="105">
        <v>9696</v>
      </c>
      <c r="BZ39" s="105">
        <v>9.3520733242963026</v>
      </c>
      <c r="CA39" s="105">
        <v>11334.712869047118</v>
      </c>
      <c r="CB39" s="105">
        <v>8.8219190045758218</v>
      </c>
      <c r="CC39" s="105">
        <v>10692.165833545896</v>
      </c>
      <c r="CD39" s="105">
        <v>7.804500608427662</v>
      </c>
      <c r="CE39" s="105">
        <v>9459.0547374143262</v>
      </c>
      <c r="CF39" s="105">
        <v>9.1526843293493378</v>
      </c>
      <c r="CG39" s="105">
        <v>11093.053407171397</v>
      </c>
      <c r="CH39" s="105">
        <v>10</v>
      </c>
      <c r="CI39" s="105">
        <v>12120</v>
      </c>
      <c r="CJ39" s="105">
        <v>11.82834887287666</v>
      </c>
      <c r="CK39" s="105">
        <v>14335.958833926512</v>
      </c>
      <c r="CL39" s="105">
        <v>3.1921677044671251</v>
      </c>
      <c r="CM39" s="105">
        <v>3868.9072578141554</v>
      </c>
      <c r="CN39" s="105">
        <v>8.640450640547968</v>
      </c>
      <c r="CO39" s="105">
        <v>10472.226176344137</v>
      </c>
      <c r="CP39" s="105">
        <v>7.1759502238563062</v>
      </c>
      <c r="CQ39" s="105">
        <v>8697.251671313843</v>
      </c>
      <c r="CR39" s="105">
        <v>11.663575009322312</v>
      </c>
      <c r="CS39" s="105">
        <v>14136.252911298641</v>
      </c>
      <c r="CT39" s="105">
        <v>13.874667748315842</v>
      </c>
      <c r="CU39" s="105">
        <v>16816.097310958801</v>
      </c>
    </row>
    <row r="40" spans="2:99" x14ac:dyDescent="0.2">
      <c r="C40" s="104" t="s">
        <v>206</v>
      </c>
      <c r="D40" s="105">
        <v>0</v>
      </c>
      <c r="E40" s="105">
        <v>0</v>
      </c>
      <c r="F40" s="105">
        <v>0</v>
      </c>
      <c r="G40" s="105">
        <v>0</v>
      </c>
      <c r="H40" s="105">
        <v>0</v>
      </c>
      <c r="I40" s="105">
        <v>0</v>
      </c>
      <c r="J40" s="105">
        <v>0</v>
      </c>
      <c r="K40" s="105">
        <v>0</v>
      </c>
      <c r="L40" s="105">
        <v>14.780944646339584</v>
      </c>
      <c r="M40" s="105">
        <v>7644.7045710868324</v>
      </c>
      <c r="N40" s="105">
        <v>9.3211146115870065</v>
      </c>
      <c r="O40" s="105">
        <v>4820.8804771127989</v>
      </c>
      <c r="P40" s="105">
        <v>15.827831693685148</v>
      </c>
      <c r="Q40" s="105">
        <v>8186.1545519739575</v>
      </c>
      <c r="R40" s="105">
        <v>9.0412361183374728</v>
      </c>
      <c r="S40" s="105">
        <v>4676.1273204041399</v>
      </c>
      <c r="T40" s="105">
        <v>10.572979518968435</v>
      </c>
      <c r="U40" s="105">
        <v>5468.3450072104733</v>
      </c>
      <c r="V40" s="105">
        <v>11.848588024762741</v>
      </c>
      <c r="W40" s="105">
        <v>6128.0897264072883</v>
      </c>
      <c r="X40" s="105">
        <v>6.7724925781781282</v>
      </c>
      <c r="Y40" s="105">
        <v>3502.7331614337277</v>
      </c>
      <c r="Z40" s="105">
        <v>11.558151790569037</v>
      </c>
      <c r="AA40" s="105">
        <v>5977.8761060823053</v>
      </c>
      <c r="AB40" s="105">
        <v>11.61470528162962</v>
      </c>
      <c r="AC40" s="105">
        <v>6007.1255716588385</v>
      </c>
      <c r="AD40" s="105">
        <v>11.085708484754688</v>
      </c>
      <c r="AE40" s="105">
        <v>5733.5284283151241</v>
      </c>
      <c r="AF40" s="105">
        <v>6.9070838717996743</v>
      </c>
      <c r="AG40" s="105">
        <v>3572.343778494791</v>
      </c>
      <c r="AH40" s="105">
        <v>11.980017740667671</v>
      </c>
      <c r="AI40" s="105">
        <v>6196.065175473319</v>
      </c>
      <c r="AJ40" s="105">
        <v>10.39083171384441</v>
      </c>
      <c r="AK40" s="105">
        <v>5374.1381624003279</v>
      </c>
      <c r="AL40" s="105">
        <v>9.7325921637154096</v>
      </c>
      <c r="AM40" s="105">
        <v>5033.6966670736092</v>
      </c>
      <c r="AN40" s="105">
        <v>11.65070515347486</v>
      </c>
      <c r="AO40" s="105">
        <v>6025.7447053771966</v>
      </c>
      <c r="AP40" s="105">
        <v>12.657730565672463</v>
      </c>
      <c r="AQ40" s="105">
        <v>6546.5782485657965</v>
      </c>
      <c r="AR40" s="105">
        <v>11.102975943453682</v>
      </c>
      <c r="AS40" s="105">
        <v>5742.4591579542439</v>
      </c>
      <c r="AT40" s="105">
        <v>11.096062508868718</v>
      </c>
      <c r="AU40" s="105">
        <v>5738.8835295869003</v>
      </c>
      <c r="AV40" s="105">
        <v>8.823545075664498</v>
      </c>
      <c r="AW40" s="105">
        <v>4563.5375131336777</v>
      </c>
      <c r="AX40" s="105">
        <v>8.8717413622051797</v>
      </c>
      <c r="AY40" s="105">
        <v>4588.4646325325184</v>
      </c>
      <c r="AZ40" s="105">
        <v>9.8345896187876178</v>
      </c>
      <c r="BA40" s="105">
        <v>5086.449750836955</v>
      </c>
      <c r="BB40" s="105">
        <v>7.1600220847446217</v>
      </c>
      <c r="BC40" s="105">
        <v>3703.1634222299176</v>
      </c>
      <c r="BD40" s="105">
        <v>7.9333450814660704</v>
      </c>
      <c r="BE40" s="105">
        <v>4103.126076134251</v>
      </c>
      <c r="BF40" s="105">
        <v>7.4856783602438863</v>
      </c>
      <c r="BG40" s="105">
        <v>3871.5928479181375</v>
      </c>
      <c r="BH40" s="105">
        <v>12.122636999485142</v>
      </c>
      <c r="BI40" s="105">
        <v>6269.8278561337147</v>
      </c>
      <c r="BJ40" s="105">
        <v>5.3446171297774683</v>
      </c>
      <c r="BK40" s="105">
        <v>2764.2359795209063</v>
      </c>
      <c r="BL40" s="105">
        <v>11</v>
      </c>
      <c r="BM40" s="105">
        <v>5689.1999999999989</v>
      </c>
      <c r="BN40" s="105">
        <v>10.185445467310245</v>
      </c>
      <c r="BO40" s="105">
        <v>5267.9123956928579</v>
      </c>
      <c r="BP40" s="105">
        <v>11.972278711119436</v>
      </c>
      <c r="BQ40" s="105">
        <v>6192.062549390972</v>
      </c>
      <c r="BR40" s="105">
        <v>8.7823942778528128</v>
      </c>
      <c r="BS40" s="105">
        <v>4542.2543205054744</v>
      </c>
      <c r="BT40" s="105">
        <v>8.4498735808670133</v>
      </c>
      <c r="BU40" s="105">
        <v>4370.2746160244187</v>
      </c>
      <c r="BV40" s="105">
        <v>12.36004482322047</v>
      </c>
      <c r="BW40" s="105">
        <v>6392.6151825696261</v>
      </c>
      <c r="BX40" s="105">
        <v>9</v>
      </c>
      <c r="BY40" s="105">
        <v>4654.7999999999993</v>
      </c>
      <c r="BZ40" s="105">
        <v>10.287280656725933</v>
      </c>
      <c r="CA40" s="105">
        <v>5320.5815556586522</v>
      </c>
      <c r="CB40" s="105">
        <v>10.782345450037116</v>
      </c>
      <c r="CC40" s="105">
        <v>5576.6290667591957</v>
      </c>
      <c r="CD40" s="105">
        <v>6.9373338741579209</v>
      </c>
      <c r="CE40" s="105">
        <v>3587.9890797144762</v>
      </c>
      <c r="CF40" s="105">
        <v>10.067952762284271</v>
      </c>
      <c r="CG40" s="105">
        <v>5207.1451686534247</v>
      </c>
      <c r="CH40" s="105">
        <v>12</v>
      </c>
      <c r="CI40" s="105">
        <v>6206.4</v>
      </c>
      <c r="CJ40" s="105">
        <v>10.918475882655379</v>
      </c>
      <c r="CK40" s="105">
        <v>5647.0357265093617</v>
      </c>
      <c r="CL40" s="105">
        <v>2.8374824039707773</v>
      </c>
      <c r="CM40" s="105">
        <v>1467.5458993336858</v>
      </c>
      <c r="CN40" s="105">
        <v>10.080525747305961</v>
      </c>
      <c r="CO40" s="105">
        <v>5213.6479165066421</v>
      </c>
      <c r="CP40" s="105">
        <v>8.7706058291577076</v>
      </c>
      <c r="CQ40" s="105">
        <v>4536.1573348403654</v>
      </c>
      <c r="CR40" s="105">
        <v>10.830462508656431</v>
      </c>
      <c r="CS40" s="105">
        <v>5601.5152094771056</v>
      </c>
      <c r="CT40" s="105">
        <v>13.007501014046102</v>
      </c>
      <c r="CU40" s="105">
        <v>6727.479524464643</v>
      </c>
    </row>
    <row r="41" spans="2:99" x14ac:dyDescent="0.2">
      <c r="C41" s="104" t="s">
        <v>207</v>
      </c>
      <c r="D41" s="105">
        <v>0</v>
      </c>
      <c r="E41" s="105">
        <v>0</v>
      </c>
      <c r="F41" s="105">
        <v>0</v>
      </c>
      <c r="G41" s="105">
        <v>0</v>
      </c>
      <c r="H41" s="105">
        <v>0</v>
      </c>
      <c r="I41" s="105">
        <v>0</v>
      </c>
      <c r="J41" s="105">
        <v>0</v>
      </c>
      <c r="K41" s="105">
        <v>0</v>
      </c>
      <c r="L41" s="105">
        <v>16.628562727132032</v>
      </c>
      <c r="M41" s="105">
        <v>7562.6703282996477</v>
      </c>
      <c r="N41" s="105">
        <v>8.4737405559881882</v>
      </c>
      <c r="O41" s="105">
        <v>3853.8572048634283</v>
      </c>
      <c r="P41" s="105">
        <v>16.758880616843097</v>
      </c>
      <c r="Q41" s="105">
        <v>7621.9389045402404</v>
      </c>
      <c r="R41" s="105">
        <v>9.9453597301712211</v>
      </c>
      <c r="S41" s="105">
        <v>4523.1496052818711</v>
      </c>
      <c r="T41" s="105">
        <v>9.6117995626985753</v>
      </c>
      <c r="U41" s="105">
        <v>4371.4464411153122</v>
      </c>
      <c r="V41" s="105">
        <v>11.848588024762741</v>
      </c>
      <c r="W41" s="105">
        <v>5388.737833662095</v>
      </c>
      <c r="X41" s="105">
        <v>6.251531610625964</v>
      </c>
      <c r="Y41" s="105">
        <v>2843.1965765126884</v>
      </c>
      <c r="Z41" s="105">
        <v>12.447240389843577</v>
      </c>
      <c r="AA41" s="105">
        <v>5661.0049293008587</v>
      </c>
      <c r="AB41" s="105">
        <v>12.444327087460307</v>
      </c>
      <c r="AC41" s="105">
        <v>5659.6799593769474</v>
      </c>
      <c r="AD41" s="105">
        <v>12.009517525150912</v>
      </c>
      <c r="AE41" s="105">
        <v>5461.9285704386348</v>
      </c>
      <c r="AF41" s="105">
        <v>6.9070838717996743</v>
      </c>
      <c r="AG41" s="105">
        <v>3141.341744894492</v>
      </c>
      <c r="AH41" s="105">
        <v>11.980017740667671</v>
      </c>
      <c r="AI41" s="105">
        <v>5448.5120684556568</v>
      </c>
      <c r="AJ41" s="105">
        <v>10.39083171384441</v>
      </c>
      <c r="AK41" s="105">
        <v>4725.750263456438</v>
      </c>
      <c r="AL41" s="105">
        <v>10.427777318266511</v>
      </c>
      <c r="AM41" s="105">
        <v>4742.5531243476089</v>
      </c>
      <c r="AN41" s="105">
        <v>11.65070515347486</v>
      </c>
      <c r="AO41" s="105">
        <v>5298.7407038003666</v>
      </c>
      <c r="AP41" s="105">
        <v>13.561854177506209</v>
      </c>
      <c r="AQ41" s="105">
        <v>6167.9312799298241</v>
      </c>
      <c r="AR41" s="105">
        <v>11.102975943453682</v>
      </c>
      <c r="AS41" s="105">
        <v>5049.6334590827346</v>
      </c>
      <c r="AT41" s="105">
        <v>11.835800009459966</v>
      </c>
      <c r="AU41" s="105">
        <v>5382.9218443023929</v>
      </c>
      <c r="AV41" s="105">
        <v>9.7058995832309485</v>
      </c>
      <c r="AW41" s="105">
        <v>4414.2431304534357</v>
      </c>
      <c r="AX41" s="105">
        <v>9.7589154984256989</v>
      </c>
      <c r="AY41" s="105">
        <v>4438.3547686840084</v>
      </c>
      <c r="AZ41" s="105">
        <v>10.818048580666378</v>
      </c>
      <c r="BA41" s="105">
        <v>4920.0484944870686</v>
      </c>
      <c r="BB41" s="105">
        <v>7.8760242932190838</v>
      </c>
      <c r="BC41" s="105">
        <v>3582.0158485560396</v>
      </c>
      <c r="BD41" s="105">
        <v>8.9250132166493295</v>
      </c>
      <c r="BE41" s="105">
        <v>4059.096010932115</v>
      </c>
      <c r="BF41" s="105">
        <v>8.3174204002709864</v>
      </c>
      <c r="BG41" s="105">
        <v>3782.7627980432449</v>
      </c>
      <c r="BH41" s="105">
        <v>12.122636999485142</v>
      </c>
      <c r="BI41" s="105">
        <v>5513.3753073658427</v>
      </c>
      <c r="BJ41" s="105">
        <v>5.3446171297774683</v>
      </c>
      <c r="BK41" s="105">
        <v>2430.7318706227925</v>
      </c>
      <c r="BL41" s="105">
        <v>13</v>
      </c>
      <c r="BM41" s="105">
        <v>5912.4000000000005</v>
      </c>
      <c r="BN41" s="105">
        <v>12.963294231122131</v>
      </c>
      <c r="BO41" s="105">
        <v>5895.7062163143455</v>
      </c>
      <c r="BP41" s="105">
        <v>11.051334194879479</v>
      </c>
      <c r="BQ41" s="105">
        <v>5026.1467918311873</v>
      </c>
      <c r="BR41" s="105">
        <v>7.9839947980480108</v>
      </c>
      <c r="BS41" s="105">
        <v>3631.1208341522356</v>
      </c>
      <c r="BT41" s="105">
        <v>7.8463111822336558</v>
      </c>
      <c r="BU41" s="105">
        <v>3568.5023256798668</v>
      </c>
      <c r="BV41" s="105">
        <v>10.905921902841591</v>
      </c>
      <c r="BW41" s="105">
        <v>4960.0132814123554</v>
      </c>
      <c r="BX41" s="105">
        <v>10</v>
      </c>
      <c r="BY41" s="105">
        <v>4548</v>
      </c>
      <c r="BZ41" s="105">
        <v>8.4168659918666719</v>
      </c>
      <c r="CA41" s="105">
        <v>3827.9906531009624</v>
      </c>
      <c r="CB41" s="105">
        <v>9.802132227306469</v>
      </c>
      <c r="CC41" s="105">
        <v>4458.0097369789819</v>
      </c>
      <c r="CD41" s="105">
        <v>7.804500608427662</v>
      </c>
      <c r="CE41" s="105">
        <v>3549.486876712901</v>
      </c>
      <c r="CF41" s="105">
        <v>9.1526843293493378</v>
      </c>
      <c r="CG41" s="105">
        <v>4162.6408329880787</v>
      </c>
      <c r="CH41" s="105">
        <v>11</v>
      </c>
      <c r="CI41" s="105">
        <v>5002.8</v>
      </c>
      <c r="CJ41" s="105">
        <v>11.82834887287666</v>
      </c>
      <c r="CK41" s="105">
        <v>5379.5330673843055</v>
      </c>
      <c r="CL41" s="105">
        <v>3.1921677044671251</v>
      </c>
      <c r="CM41" s="105">
        <v>1451.7978719916484</v>
      </c>
      <c r="CN41" s="105">
        <v>9.3604881939269635</v>
      </c>
      <c r="CO41" s="105">
        <v>4257.1500305979835</v>
      </c>
      <c r="CP41" s="105">
        <v>7.9732780265070069</v>
      </c>
      <c r="CQ41" s="105">
        <v>3626.2468464553867</v>
      </c>
      <c r="CR41" s="105">
        <v>10.830462508656431</v>
      </c>
      <c r="CS41" s="105">
        <v>4925.6943489369451</v>
      </c>
      <c r="CT41" s="105">
        <v>13.007501014046102</v>
      </c>
      <c r="CU41" s="105">
        <v>5915.8114611881674</v>
      </c>
    </row>
    <row r="42" spans="2:99" x14ac:dyDescent="0.2">
      <c r="C42" s="104" t="s">
        <v>208</v>
      </c>
      <c r="D42" s="105">
        <v>0</v>
      </c>
      <c r="E42" s="105">
        <v>0</v>
      </c>
      <c r="F42" s="105">
        <v>0</v>
      </c>
      <c r="G42" s="105">
        <v>0</v>
      </c>
      <c r="H42" s="105">
        <v>0</v>
      </c>
      <c r="I42" s="105">
        <v>0</v>
      </c>
      <c r="J42" s="105">
        <v>0</v>
      </c>
      <c r="K42" s="105">
        <v>0</v>
      </c>
      <c r="L42" s="105">
        <v>13.857135605943361</v>
      </c>
      <c r="M42" s="105">
        <v>9644.5663817365785</v>
      </c>
      <c r="N42" s="105">
        <v>9.3211146115870065</v>
      </c>
      <c r="O42" s="105">
        <v>6487.4957696645561</v>
      </c>
      <c r="P42" s="105">
        <v>15.827831693685148</v>
      </c>
      <c r="Q42" s="105">
        <v>11016.170858804862</v>
      </c>
      <c r="R42" s="105">
        <v>9.0412361183374728</v>
      </c>
      <c r="S42" s="105">
        <v>6292.7003383628808</v>
      </c>
      <c r="T42" s="105">
        <v>8.6506196064287195</v>
      </c>
      <c r="U42" s="105">
        <v>6020.8312460743891</v>
      </c>
      <c r="V42" s="105">
        <v>13.428399761397772</v>
      </c>
      <c r="W42" s="105">
        <v>9346.1662339328486</v>
      </c>
      <c r="X42" s="105">
        <v>5.7305706430738006</v>
      </c>
      <c r="Y42" s="105">
        <v>3988.4771675793654</v>
      </c>
      <c r="Z42" s="105">
        <v>11.558151790569037</v>
      </c>
      <c r="AA42" s="105">
        <v>8044.4736462360497</v>
      </c>
      <c r="AB42" s="105">
        <v>10.785083475798935</v>
      </c>
      <c r="AC42" s="105">
        <v>7506.4180991560588</v>
      </c>
      <c r="AD42" s="105">
        <v>12.009517525150912</v>
      </c>
      <c r="AE42" s="105">
        <v>8358.6241975050343</v>
      </c>
      <c r="AF42" s="105">
        <v>7.770469355774634</v>
      </c>
      <c r="AG42" s="105">
        <v>5408.2466716191457</v>
      </c>
      <c r="AH42" s="105">
        <v>10.981682928945366</v>
      </c>
      <c r="AI42" s="105">
        <v>7643.2513185459748</v>
      </c>
      <c r="AJ42" s="105">
        <v>11.256734356664778</v>
      </c>
      <c r="AK42" s="105">
        <v>7834.6871122386856</v>
      </c>
      <c r="AL42" s="105">
        <v>9.7325921637154096</v>
      </c>
      <c r="AM42" s="105">
        <v>6773.8841459459254</v>
      </c>
      <c r="AN42" s="105">
        <v>11.65070515347486</v>
      </c>
      <c r="AO42" s="105">
        <v>8108.8907868185024</v>
      </c>
      <c r="AP42" s="105">
        <v>14.465977789339957</v>
      </c>
      <c r="AQ42" s="105">
        <v>10068.32054138061</v>
      </c>
      <c r="AR42" s="105">
        <v>11.102975943453682</v>
      </c>
      <c r="AS42" s="105">
        <v>7727.6712566437627</v>
      </c>
      <c r="AT42" s="105">
        <v>11.096062508868718</v>
      </c>
      <c r="AU42" s="105">
        <v>7722.8595061726273</v>
      </c>
      <c r="AV42" s="105">
        <v>9.7058995832309485</v>
      </c>
      <c r="AW42" s="105">
        <v>6755.3061099287397</v>
      </c>
      <c r="AX42" s="105">
        <v>9.7589154984256989</v>
      </c>
      <c r="AY42" s="105">
        <v>6792.2051869042862</v>
      </c>
      <c r="AZ42" s="105">
        <v>9.8345896187876178</v>
      </c>
      <c r="BA42" s="105">
        <v>6844.874374676182</v>
      </c>
      <c r="BB42" s="105">
        <v>7.8760242932190838</v>
      </c>
      <c r="BC42" s="105">
        <v>5481.7129080804825</v>
      </c>
      <c r="BD42" s="105">
        <v>7.9333450814660704</v>
      </c>
      <c r="BE42" s="105">
        <v>5521.6081767003852</v>
      </c>
      <c r="BF42" s="105">
        <v>8.3174204002709864</v>
      </c>
      <c r="BG42" s="105">
        <v>5788.9245985886064</v>
      </c>
      <c r="BH42" s="105">
        <v>13.055147537907079</v>
      </c>
      <c r="BI42" s="105">
        <v>9086.3826863833274</v>
      </c>
      <c r="BJ42" s="105">
        <v>4.9334927351792022</v>
      </c>
      <c r="BK42" s="105">
        <v>3433.7109436847245</v>
      </c>
      <c r="BL42" s="105">
        <v>11</v>
      </c>
      <c r="BM42" s="105">
        <v>7656</v>
      </c>
      <c r="BN42" s="105">
        <v>12.963294231122131</v>
      </c>
      <c r="BO42" s="105">
        <v>9022.4527848610032</v>
      </c>
      <c r="BP42" s="105">
        <v>11.051334194879479</v>
      </c>
      <c r="BQ42" s="105">
        <v>7691.728599636117</v>
      </c>
      <c r="BR42" s="105">
        <v>7.9839947980480108</v>
      </c>
      <c r="BS42" s="105">
        <v>5556.8603794414157</v>
      </c>
      <c r="BT42" s="105">
        <v>7.8463111822336558</v>
      </c>
      <c r="BU42" s="105">
        <v>5461.032582834624</v>
      </c>
      <c r="BV42" s="105">
        <v>10.905921902841591</v>
      </c>
      <c r="BW42" s="105">
        <v>7590.5216443777472</v>
      </c>
      <c r="BX42" s="105">
        <v>10</v>
      </c>
      <c r="BY42" s="105">
        <v>6960</v>
      </c>
      <c r="BZ42" s="105">
        <v>8.4168659918666719</v>
      </c>
      <c r="CA42" s="105">
        <v>5858.1387303392039</v>
      </c>
      <c r="CB42" s="105">
        <v>9.802132227306469</v>
      </c>
      <c r="CC42" s="105">
        <v>6822.2840302053028</v>
      </c>
      <c r="CD42" s="105">
        <v>7.804500608427662</v>
      </c>
      <c r="CE42" s="105">
        <v>5431.9324234656524</v>
      </c>
      <c r="CF42" s="105">
        <v>10.983221195219206</v>
      </c>
      <c r="CG42" s="105">
        <v>7644.3219518725673</v>
      </c>
      <c r="CH42" s="105">
        <v>10</v>
      </c>
      <c r="CI42" s="105">
        <v>6960</v>
      </c>
      <c r="CJ42" s="105">
        <v>12.738221863097941</v>
      </c>
      <c r="CK42" s="105">
        <v>8865.8024167161675</v>
      </c>
      <c r="CL42" s="105">
        <v>2.8374824039707773</v>
      </c>
      <c r="CM42" s="105">
        <v>1974.887753163661</v>
      </c>
      <c r="CN42" s="105">
        <v>10.080525747305961</v>
      </c>
      <c r="CO42" s="105">
        <v>7016.0459201249487</v>
      </c>
      <c r="CP42" s="105">
        <v>7.9732780265070069</v>
      </c>
      <c r="CQ42" s="105">
        <v>5549.4015064488767</v>
      </c>
      <c r="CR42" s="105">
        <v>12.496687509988192</v>
      </c>
      <c r="CS42" s="105">
        <v>8697.6945069517824</v>
      </c>
      <c r="CT42" s="105">
        <v>13.007501014046102</v>
      </c>
      <c r="CU42" s="105">
        <v>9053.2207057760879</v>
      </c>
    </row>
    <row r="43" spans="2:99" x14ac:dyDescent="0.2">
      <c r="C43" s="104" t="s">
        <v>209</v>
      </c>
      <c r="D43" s="105">
        <v>0</v>
      </c>
      <c r="E43" s="105">
        <v>0</v>
      </c>
      <c r="F43" s="105">
        <v>0</v>
      </c>
      <c r="G43" s="105">
        <v>0</v>
      </c>
      <c r="H43" s="105">
        <v>0</v>
      </c>
      <c r="I43" s="105">
        <v>0</v>
      </c>
      <c r="J43" s="105">
        <v>0</v>
      </c>
      <c r="K43" s="105">
        <v>0</v>
      </c>
      <c r="L43" s="105">
        <v>13.857135605943361</v>
      </c>
      <c r="M43" s="105">
        <v>11290.79409172265</v>
      </c>
      <c r="N43" s="105">
        <v>7.6263665003893699</v>
      </c>
      <c r="O43" s="105">
        <v>6213.9634245172583</v>
      </c>
      <c r="P43" s="105">
        <v>14.896782770527198</v>
      </c>
      <c r="Q43" s="105">
        <v>12137.898601425561</v>
      </c>
      <c r="R43" s="105">
        <v>9.0412361183374728</v>
      </c>
      <c r="S43" s="105">
        <v>7366.7991892213722</v>
      </c>
      <c r="T43" s="105">
        <v>8.6506196064287195</v>
      </c>
      <c r="U43" s="105">
        <v>7048.52485531812</v>
      </c>
      <c r="V43" s="105">
        <v>11.848588024762741</v>
      </c>
      <c r="W43" s="105">
        <v>9654.2295225766811</v>
      </c>
      <c r="X43" s="105">
        <v>6.7724925781781282</v>
      </c>
      <c r="Y43" s="105">
        <v>5518.2269526995387</v>
      </c>
      <c r="Z43" s="105">
        <v>12.447240389843577</v>
      </c>
      <c r="AA43" s="105">
        <v>10142.011469644545</v>
      </c>
      <c r="AB43" s="105">
        <v>11.61470528162962</v>
      </c>
      <c r="AC43" s="105">
        <v>9463.6618634718143</v>
      </c>
      <c r="AD43" s="105">
        <v>11.085708484754688</v>
      </c>
      <c r="AE43" s="105">
        <v>9032.6352733781187</v>
      </c>
      <c r="AF43" s="105">
        <v>6.9070838717996743</v>
      </c>
      <c r="AG43" s="105">
        <v>5627.8919387423739</v>
      </c>
      <c r="AH43" s="105">
        <v>9.9833481172230591</v>
      </c>
      <c r="AI43" s="105">
        <v>8134.4320459133478</v>
      </c>
      <c r="AJ43" s="105">
        <v>10.39083171384441</v>
      </c>
      <c r="AK43" s="105">
        <v>8466.4496804404243</v>
      </c>
      <c r="AL43" s="105">
        <v>11.818147627368711</v>
      </c>
      <c r="AM43" s="105">
        <v>9629.4266867800252</v>
      </c>
      <c r="AN43" s="105">
        <v>12.482898378723064</v>
      </c>
      <c r="AO43" s="105">
        <v>10171.065598983552</v>
      </c>
      <c r="AP43" s="105">
        <v>12.657730565672463</v>
      </c>
      <c r="AQ43" s="105">
        <v>10313.518864909922</v>
      </c>
      <c r="AR43" s="105">
        <v>12.028223938741489</v>
      </c>
      <c r="AS43" s="105">
        <v>9800.5968652865649</v>
      </c>
      <c r="AT43" s="105">
        <v>10.356325008277469</v>
      </c>
      <c r="AU43" s="105">
        <v>8438.3336167444813</v>
      </c>
      <c r="AV43" s="105">
        <v>8.823545075664498</v>
      </c>
      <c r="AW43" s="105">
        <v>7189.424527651433</v>
      </c>
      <c r="AX43" s="105">
        <v>10.646089634646216</v>
      </c>
      <c r="AY43" s="105">
        <v>8674.433834309737</v>
      </c>
      <c r="AZ43" s="105">
        <v>9.8345896187876178</v>
      </c>
      <c r="BA43" s="105">
        <v>8013.2236213881506</v>
      </c>
      <c r="BB43" s="105">
        <v>7.8760242932190838</v>
      </c>
      <c r="BC43" s="105">
        <v>6417.3845941149093</v>
      </c>
      <c r="BD43" s="105">
        <v>7.9333450814660704</v>
      </c>
      <c r="BE43" s="105">
        <v>6464.0895723785534</v>
      </c>
      <c r="BF43" s="105">
        <v>7.4856783602438863</v>
      </c>
      <c r="BG43" s="105">
        <v>6099.3307279267183</v>
      </c>
      <c r="BH43" s="105">
        <v>12.122636999485142</v>
      </c>
      <c r="BI43" s="105">
        <v>9877.5246271804936</v>
      </c>
      <c r="BJ43" s="105">
        <v>4.9334927351792022</v>
      </c>
      <c r="BK43" s="105">
        <v>4019.8098806240137</v>
      </c>
      <c r="BL43" s="105">
        <v>11</v>
      </c>
      <c r="BM43" s="105">
        <v>8962.7999999999993</v>
      </c>
      <c r="BN43" s="105">
        <v>12.037344643184834</v>
      </c>
      <c r="BO43" s="105">
        <v>9808.0284152670029</v>
      </c>
      <c r="BP43" s="105">
        <v>10.130389678639522</v>
      </c>
      <c r="BQ43" s="105">
        <v>8254.2415101554816</v>
      </c>
      <c r="BR43" s="105">
        <v>7.9839947980480108</v>
      </c>
      <c r="BS43" s="105">
        <v>6505.3589614495186</v>
      </c>
      <c r="BT43" s="105">
        <v>8.4498735808670133</v>
      </c>
      <c r="BU43" s="105">
        <v>6884.9569936904418</v>
      </c>
      <c r="BV43" s="105">
        <v>11.63298336303103</v>
      </c>
      <c r="BW43" s="105">
        <v>9478.5548441976825</v>
      </c>
      <c r="BX43" s="105">
        <v>9</v>
      </c>
      <c r="BY43" s="105">
        <v>7333.2</v>
      </c>
      <c r="BZ43" s="105">
        <v>9.3520733242963026</v>
      </c>
      <c r="CA43" s="105">
        <v>7620.0693446366267</v>
      </c>
      <c r="CB43" s="105">
        <v>10.782345450037116</v>
      </c>
      <c r="CC43" s="105">
        <v>8785.4550726902416</v>
      </c>
      <c r="CD43" s="105">
        <v>6.9373338741579209</v>
      </c>
      <c r="CE43" s="105">
        <v>5652.5396406638738</v>
      </c>
      <c r="CF43" s="105">
        <v>10.067952762284271</v>
      </c>
      <c r="CG43" s="105">
        <v>8203.367910709223</v>
      </c>
      <c r="CH43" s="105">
        <v>11</v>
      </c>
      <c r="CI43" s="105">
        <v>8962.7999999999993</v>
      </c>
      <c r="CJ43" s="105">
        <v>12.738221863097941</v>
      </c>
      <c r="CK43" s="105">
        <v>10379.103174052201</v>
      </c>
      <c r="CL43" s="105">
        <v>3.1921677044671251</v>
      </c>
      <c r="CM43" s="105">
        <v>2600.9782455998134</v>
      </c>
      <c r="CN43" s="105">
        <v>9.3604881939269635</v>
      </c>
      <c r="CO43" s="105">
        <v>7626.9257804116896</v>
      </c>
      <c r="CP43" s="105">
        <v>7.9732780265070069</v>
      </c>
      <c r="CQ43" s="105">
        <v>6496.6269359979087</v>
      </c>
      <c r="CR43" s="105">
        <v>10.830462508656431</v>
      </c>
      <c r="CS43" s="105">
        <v>8824.6608520532591</v>
      </c>
      <c r="CT43" s="105">
        <v>13.874667748315842</v>
      </c>
      <c r="CU43" s="105">
        <v>11305.079281327748</v>
      </c>
    </row>
    <row r="44" spans="2:99" x14ac:dyDescent="0.2">
      <c r="C44" s="104" t="s">
        <v>210</v>
      </c>
      <c r="D44" s="105">
        <v>0</v>
      </c>
      <c r="E44" s="105">
        <v>0</v>
      </c>
      <c r="F44" s="105">
        <v>0</v>
      </c>
      <c r="G44" s="105">
        <v>0</v>
      </c>
      <c r="H44" s="105">
        <v>0</v>
      </c>
      <c r="I44" s="105">
        <v>0</v>
      </c>
      <c r="J44" s="105">
        <v>0</v>
      </c>
      <c r="K44" s="105">
        <v>0</v>
      </c>
      <c r="L44" s="105">
        <v>13.857135605943361</v>
      </c>
      <c r="M44" s="105">
        <v>11689.87959717382</v>
      </c>
      <c r="N44" s="105">
        <v>8.4737405559881882</v>
      </c>
      <c r="O44" s="105">
        <v>7148.4475330316354</v>
      </c>
      <c r="P44" s="105">
        <v>13.965733847369249</v>
      </c>
      <c r="Q44" s="105">
        <v>11781.493073640699</v>
      </c>
      <c r="R44" s="105">
        <v>9.9453597301712211</v>
      </c>
      <c r="S44" s="105">
        <v>8389.9054683724426</v>
      </c>
      <c r="T44" s="105">
        <v>9.6117995626985753</v>
      </c>
      <c r="U44" s="105">
        <v>8108.5141110925188</v>
      </c>
      <c r="V44" s="105">
        <v>11.058682156445224</v>
      </c>
      <c r="W44" s="105">
        <v>9329.104267177192</v>
      </c>
      <c r="X44" s="105">
        <v>6.251531610625964</v>
      </c>
      <c r="Y44" s="105">
        <v>5273.7920667240633</v>
      </c>
      <c r="Z44" s="105">
        <v>11.558151790569037</v>
      </c>
      <c r="AA44" s="105">
        <v>9750.4568505240386</v>
      </c>
      <c r="AB44" s="105">
        <v>11.61470528162962</v>
      </c>
      <c r="AC44" s="105">
        <v>9798.1653755827483</v>
      </c>
      <c r="AD44" s="105">
        <v>10.161899444358463</v>
      </c>
      <c r="AE44" s="105">
        <v>8572.578371260799</v>
      </c>
      <c r="AF44" s="105">
        <v>7.770469355774634</v>
      </c>
      <c r="AG44" s="105">
        <v>6555.1679485314817</v>
      </c>
      <c r="AH44" s="105">
        <v>11.980017740667671</v>
      </c>
      <c r="AI44" s="105">
        <v>10106.342966027249</v>
      </c>
      <c r="AJ44" s="105">
        <v>11.256734356664778</v>
      </c>
      <c r="AK44" s="105">
        <v>9496.1811032824062</v>
      </c>
      <c r="AL44" s="105">
        <v>11.12296247281761</v>
      </c>
      <c r="AM44" s="105">
        <v>9383.331142068937</v>
      </c>
      <c r="AN44" s="105">
        <v>11.65070515347486</v>
      </c>
      <c r="AO44" s="105">
        <v>9828.5348674713914</v>
      </c>
      <c r="AP44" s="105">
        <v>12.657730565672463</v>
      </c>
      <c r="AQ44" s="105">
        <v>10678.061505201289</v>
      </c>
      <c r="AR44" s="105">
        <v>12.028223938741489</v>
      </c>
      <c r="AS44" s="105">
        <v>10147.00971472232</v>
      </c>
      <c r="AT44" s="105">
        <v>11.096062508868718</v>
      </c>
      <c r="AU44" s="105">
        <v>9360.6383324816507</v>
      </c>
      <c r="AV44" s="105">
        <v>9.7058995832309485</v>
      </c>
      <c r="AW44" s="105">
        <v>8187.8968884136284</v>
      </c>
      <c r="AX44" s="105">
        <v>10.646089634646216</v>
      </c>
      <c r="AY44" s="105">
        <v>8981.0412157875489</v>
      </c>
      <c r="AZ44" s="105">
        <v>9.8345896187876178</v>
      </c>
      <c r="BA44" s="105">
        <v>8296.4598024092338</v>
      </c>
      <c r="BB44" s="105">
        <v>7.1600220847446217</v>
      </c>
      <c r="BC44" s="105">
        <v>6040.1946306905629</v>
      </c>
      <c r="BD44" s="105">
        <v>8.9250132166493295</v>
      </c>
      <c r="BE44" s="105">
        <v>7529.1411495653747</v>
      </c>
      <c r="BF44" s="105">
        <v>7.4856783602438863</v>
      </c>
      <c r="BG44" s="105">
        <v>6314.9182647017424</v>
      </c>
      <c r="BH44" s="105">
        <v>10.257615922641275</v>
      </c>
      <c r="BI44" s="105">
        <v>8653.3247923401796</v>
      </c>
      <c r="BJ44" s="105">
        <v>4.9334927351792022</v>
      </c>
      <c r="BK44" s="105">
        <v>4161.894471397175</v>
      </c>
      <c r="BL44" s="105">
        <v>11</v>
      </c>
      <c r="BM44" s="105">
        <v>9279.6</v>
      </c>
      <c r="BN44" s="105">
        <v>11.11139505524754</v>
      </c>
      <c r="BO44" s="105">
        <v>9373.5728686068251</v>
      </c>
      <c r="BP44" s="105">
        <v>11.051334194879479</v>
      </c>
      <c r="BQ44" s="105">
        <v>9322.9055268003285</v>
      </c>
      <c r="BR44" s="105">
        <v>7.9839947980480108</v>
      </c>
      <c r="BS44" s="105">
        <v>6735.2980116333019</v>
      </c>
      <c r="BT44" s="105">
        <v>7.8463111822336558</v>
      </c>
      <c r="BU44" s="105">
        <v>6619.1481133323123</v>
      </c>
      <c r="BV44" s="105">
        <v>12.36004482322047</v>
      </c>
      <c r="BW44" s="105">
        <v>10426.933812868789</v>
      </c>
      <c r="BX44" s="105">
        <v>10</v>
      </c>
      <c r="BY44" s="105">
        <v>8436</v>
      </c>
      <c r="BZ44" s="105">
        <v>8.4168659918666719</v>
      </c>
      <c r="CA44" s="105">
        <v>7100.4681507387249</v>
      </c>
      <c r="CB44" s="105">
        <v>10.782345450037116</v>
      </c>
      <c r="CC44" s="105">
        <v>9095.986621651311</v>
      </c>
      <c r="CD44" s="105">
        <v>7.804500608427662</v>
      </c>
      <c r="CE44" s="105">
        <v>6583.8767132695757</v>
      </c>
      <c r="CF44" s="105">
        <v>9.1526843293493378</v>
      </c>
      <c r="CG44" s="105">
        <v>7721.2045002391014</v>
      </c>
      <c r="CH44" s="105">
        <v>10</v>
      </c>
      <c r="CI44" s="105">
        <v>8436</v>
      </c>
      <c r="CJ44" s="105">
        <v>11.82834887287666</v>
      </c>
      <c r="CK44" s="105">
        <v>9978.3951091587514</v>
      </c>
      <c r="CL44" s="105">
        <v>2.8374824039707773</v>
      </c>
      <c r="CM44" s="105">
        <v>2393.7001559897476</v>
      </c>
      <c r="CN44" s="105">
        <v>10.080525747305961</v>
      </c>
      <c r="CO44" s="105">
        <v>8503.931520427308</v>
      </c>
      <c r="CP44" s="105">
        <v>7.9732780265070069</v>
      </c>
      <c r="CQ44" s="105">
        <v>6726.2573431613109</v>
      </c>
      <c r="CR44" s="105">
        <v>12.496687509988192</v>
      </c>
      <c r="CS44" s="105">
        <v>10542.205583426039</v>
      </c>
      <c r="CT44" s="105">
        <v>13.007501014046102</v>
      </c>
      <c r="CU44" s="105">
        <v>10973.127855449293</v>
      </c>
    </row>
    <row r="45" spans="2:99" x14ac:dyDescent="0.2">
      <c r="C45" s="104" t="s">
        <v>211</v>
      </c>
      <c r="D45" s="105">
        <v>0</v>
      </c>
      <c r="E45" s="105">
        <v>0</v>
      </c>
      <c r="F45" s="105">
        <v>0</v>
      </c>
      <c r="G45" s="105">
        <v>0</v>
      </c>
      <c r="H45" s="105">
        <v>0</v>
      </c>
      <c r="I45" s="105">
        <v>0</v>
      </c>
      <c r="J45" s="105">
        <v>0</v>
      </c>
      <c r="K45" s="105">
        <v>0</v>
      </c>
      <c r="L45" s="105">
        <v>13.857135605943361</v>
      </c>
      <c r="M45" s="105">
        <v>14416.963884423471</v>
      </c>
      <c r="N45" s="105">
        <v>7.6263665003893699</v>
      </c>
      <c r="O45" s="105">
        <v>7934.4717070050992</v>
      </c>
      <c r="P45" s="105">
        <v>13.965733847369249</v>
      </c>
      <c r="Q45" s="105">
        <v>14529.949494802964</v>
      </c>
      <c r="R45" s="105">
        <v>8.1371125065037262</v>
      </c>
      <c r="S45" s="105">
        <v>8465.8518517664761</v>
      </c>
      <c r="T45" s="105">
        <v>10.572979518968435</v>
      </c>
      <c r="U45" s="105">
        <v>11000.127891534758</v>
      </c>
      <c r="V45" s="105">
        <v>11.058682156445224</v>
      </c>
      <c r="W45" s="105">
        <v>11505.452915565609</v>
      </c>
      <c r="X45" s="105">
        <v>6.251531610625964</v>
      </c>
      <c r="Y45" s="105">
        <v>6504.0934876952524</v>
      </c>
      <c r="Z45" s="105">
        <v>13.336328989118117</v>
      </c>
      <c r="AA45" s="105">
        <v>13875.116680278486</v>
      </c>
      <c r="AB45" s="105">
        <v>10.785083475798935</v>
      </c>
      <c r="AC45" s="105">
        <v>11220.80084822121</v>
      </c>
      <c r="AD45" s="105">
        <v>12.009517525150912</v>
      </c>
      <c r="AE45" s="105">
        <v>12494.702033167006</v>
      </c>
      <c r="AF45" s="105">
        <v>6.9070838717996743</v>
      </c>
      <c r="AG45" s="105">
        <v>7186.1300602203801</v>
      </c>
      <c r="AH45" s="105">
        <v>10.981682928945366</v>
      </c>
      <c r="AI45" s="105">
        <v>11425.342919274757</v>
      </c>
      <c r="AJ45" s="105">
        <v>9.524929071024042</v>
      </c>
      <c r="AK45" s="105">
        <v>9909.7362054934129</v>
      </c>
      <c r="AL45" s="105">
        <v>10.427777318266511</v>
      </c>
      <c r="AM45" s="105">
        <v>10849.059521924477</v>
      </c>
      <c r="AN45" s="105">
        <v>11.65070515347486</v>
      </c>
      <c r="AO45" s="105">
        <v>12121.393641675242</v>
      </c>
      <c r="AP45" s="105">
        <v>12.657730565672463</v>
      </c>
      <c r="AQ45" s="105">
        <v>13169.102880525628</v>
      </c>
      <c r="AR45" s="105">
        <v>11.102975943453682</v>
      </c>
      <c r="AS45" s="105">
        <v>11551.536171569209</v>
      </c>
      <c r="AT45" s="105">
        <v>10.356325008277469</v>
      </c>
      <c r="AU45" s="105">
        <v>10774.720538611879</v>
      </c>
      <c r="AV45" s="105">
        <v>9.7058995832309485</v>
      </c>
      <c r="AW45" s="105">
        <v>10098.017926393477</v>
      </c>
      <c r="AX45" s="105">
        <v>9.7589154984256989</v>
      </c>
      <c r="AY45" s="105">
        <v>10153.175684562097</v>
      </c>
      <c r="AZ45" s="105">
        <v>10.818048580666378</v>
      </c>
      <c r="BA45" s="105">
        <v>11255.097743325299</v>
      </c>
      <c r="BB45" s="105">
        <v>7.8760242932190838</v>
      </c>
      <c r="BC45" s="105">
        <v>8194.2156746651344</v>
      </c>
      <c r="BD45" s="105">
        <v>8.9250132166493295</v>
      </c>
      <c r="BE45" s="105">
        <v>9285.5837506019616</v>
      </c>
      <c r="BF45" s="105">
        <v>7.4856783602438863</v>
      </c>
      <c r="BG45" s="105">
        <v>7788.0997659977384</v>
      </c>
      <c r="BH45" s="105">
        <v>10.257615922641275</v>
      </c>
      <c r="BI45" s="105">
        <v>10672.023605915982</v>
      </c>
      <c r="BJ45" s="105">
        <v>4.5223683405809352</v>
      </c>
      <c r="BK45" s="105">
        <v>4705.0720215404044</v>
      </c>
      <c r="BL45" s="105">
        <v>10</v>
      </c>
      <c r="BM45" s="105">
        <v>10403.999999999998</v>
      </c>
      <c r="BN45" s="105">
        <v>12.037344643184834</v>
      </c>
      <c r="BO45" s="105">
        <v>12523.6533667695</v>
      </c>
      <c r="BP45" s="105">
        <v>11.051334194879479</v>
      </c>
      <c r="BQ45" s="105">
        <v>11497.808096352608</v>
      </c>
      <c r="BR45" s="105">
        <v>7.9839947980480108</v>
      </c>
      <c r="BS45" s="105">
        <v>8306.5481878891496</v>
      </c>
      <c r="BT45" s="105">
        <v>7.2427487836002973</v>
      </c>
      <c r="BU45" s="105">
        <v>7535.3558344577486</v>
      </c>
      <c r="BV45" s="105">
        <v>10.178860442652152</v>
      </c>
      <c r="BW45" s="105">
        <v>10590.086404535297</v>
      </c>
      <c r="BX45" s="105">
        <v>10</v>
      </c>
      <c r="BY45" s="105">
        <v>10403.999999999998</v>
      </c>
      <c r="BZ45" s="105">
        <v>9.3520733242963026</v>
      </c>
      <c r="CA45" s="105">
        <v>9729.8970865978717</v>
      </c>
      <c r="CB45" s="105">
        <v>9.802132227306469</v>
      </c>
      <c r="CC45" s="105">
        <v>10198.138369289649</v>
      </c>
      <c r="CD45" s="105">
        <v>6.9373338741579209</v>
      </c>
      <c r="CE45" s="105">
        <v>7217.6021626739002</v>
      </c>
      <c r="CF45" s="105">
        <v>10.983221195219206</v>
      </c>
      <c r="CG45" s="105">
        <v>11426.943331506061</v>
      </c>
      <c r="CH45" s="105">
        <v>11</v>
      </c>
      <c r="CI45" s="105">
        <v>11444.399999999998</v>
      </c>
      <c r="CJ45" s="105">
        <v>11.82834887287666</v>
      </c>
      <c r="CK45" s="105">
        <v>12306.214167340875</v>
      </c>
      <c r="CL45" s="105">
        <v>3.1921677044671251</v>
      </c>
      <c r="CM45" s="105">
        <v>3321.1312797275964</v>
      </c>
      <c r="CN45" s="105">
        <v>10.080525747305961</v>
      </c>
      <c r="CO45" s="105">
        <v>10487.77898749712</v>
      </c>
      <c r="CP45" s="105">
        <v>7.9732780265070069</v>
      </c>
      <c r="CQ45" s="105">
        <v>8295.3984587778887</v>
      </c>
      <c r="CR45" s="105">
        <v>12.496687509988192</v>
      </c>
      <c r="CS45" s="105">
        <v>13001.553685391713</v>
      </c>
      <c r="CT45" s="105">
        <v>12.140334279776363</v>
      </c>
      <c r="CU45" s="105">
        <v>12630.803784679327</v>
      </c>
    </row>
    <row r="46" spans="2:99" x14ac:dyDescent="0.2">
      <c r="C46" s="104" t="s">
        <v>212</v>
      </c>
      <c r="D46" s="105">
        <v>0</v>
      </c>
      <c r="E46" s="105">
        <v>0</v>
      </c>
      <c r="F46" s="105">
        <v>0</v>
      </c>
      <c r="G46" s="105">
        <v>0</v>
      </c>
      <c r="H46" s="105">
        <v>0</v>
      </c>
      <c r="I46" s="105">
        <v>0</v>
      </c>
      <c r="J46" s="105">
        <v>0</v>
      </c>
      <c r="K46" s="105">
        <v>0</v>
      </c>
      <c r="L46" s="105">
        <v>14.780944646339584</v>
      </c>
      <c r="M46" s="105">
        <v>15041.089272115158</v>
      </c>
      <c r="N46" s="105">
        <v>8.4737405559881882</v>
      </c>
      <c r="O46" s="105">
        <v>8622.8783897735793</v>
      </c>
      <c r="P46" s="105">
        <v>14.896782770527198</v>
      </c>
      <c r="Q46" s="105">
        <v>15158.966147288473</v>
      </c>
      <c r="R46" s="105">
        <v>9.0412361183374728</v>
      </c>
      <c r="S46" s="105">
        <v>9200.361874020211</v>
      </c>
      <c r="T46" s="105">
        <v>9.6117995626985753</v>
      </c>
      <c r="U46" s="105">
        <v>9780.9672350020683</v>
      </c>
      <c r="V46" s="105">
        <v>11.848588024762741</v>
      </c>
      <c r="W46" s="105">
        <v>12057.123173998563</v>
      </c>
      <c r="X46" s="105">
        <v>5.7305706430738006</v>
      </c>
      <c r="Y46" s="105">
        <v>5831.4286863918987</v>
      </c>
      <c r="Z46" s="105">
        <v>12.447240389843577</v>
      </c>
      <c r="AA46" s="105">
        <v>12666.311820704821</v>
      </c>
      <c r="AB46" s="105">
        <v>10.785083475798935</v>
      </c>
      <c r="AC46" s="105">
        <v>10974.900944972993</v>
      </c>
      <c r="AD46" s="105">
        <v>12.009517525150912</v>
      </c>
      <c r="AE46" s="105">
        <v>12220.885033593566</v>
      </c>
      <c r="AF46" s="105">
        <v>6.9070838717996743</v>
      </c>
      <c r="AG46" s="105">
        <v>7028.6485479433468</v>
      </c>
      <c r="AH46" s="105">
        <v>10.981682928945366</v>
      </c>
      <c r="AI46" s="105">
        <v>11174.960548494802</v>
      </c>
      <c r="AJ46" s="105">
        <v>10.39083171384441</v>
      </c>
      <c r="AK46" s="105">
        <v>10573.710352008069</v>
      </c>
      <c r="AL46" s="105">
        <v>11.12296247281761</v>
      </c>
      <c r="AM46" s="105">
        <v>11318.726612339198</v>
      </c>
      <c r="AN46" s="105">
        <v>11.65070515347486</v>
      </c>
      <c r="AO46" s="105">
        <v>11855.757564176014</v>
      </c>
      <c r="AP46" s="105">
        <v>13.561854177506209</v>
      </c>
      <c r="AQ46" s="105">
        <v>13800.542811030316</v>
      </c>
      <c r="AR46" s="105">
        <v>11.102975943453682</v>
      </c>
      <c r="AS46" s="105">
        <v>11298.388320058464</v>
      </c>
      <c r="AT46" s="105">
        <v>11.096062508868718</v>
      </c>
      <c r="AU46" s="105">
        <v>11291.353209024805</v>
      </c>
      <c r="AV46" s="105">
        <v>8.823545075664498</v>
      </c>
      <c r="AW46" s="105">
        <v>8978.8394689961915</v>
      </c>
      <c r="AX46" s="105">
        <v>8.8717413622051797</v>
      </c>
      <c r="AY46" s="105">
        <v>9027.8840101799888</v>
      </c>
      <c r="AZ46" s="105">
        <v>8.8511306569088539</v>
      </c>
      <c r="BA46" s="105">
        <v>9006.9105564704478</v>
      </c>
      <c r="BB46" s="105">
        <v>7.8760242932190838</v>
      </c>
      <c r="BC46" s="105">
        <v>8014.6423207797379</v>
      </c>
      <c r="BD46" s="105">
        <v>8.9250132166493295</v>
      </c>
      <c r="BE46" s="105">
        <v>9082.0934492623564</v>
      </c>
      <c r="BF46" s="105">
        <v>6.6539363202167889</v>
      </c>
      <c r="BG46" s="105">
        <v>6771.0455994526028</v>
      </c>
      <c r="BH46" s="105">
        <v>11.190126461063208</v>
      </c>
      <c r="BI46" s="105">
        <v>11387.072686777918</v>
      </c>
      <c r="BJ46" s="105">
        <v>4.5223683405809352</v>
      </c>
      <c r="BK46" s="105">
        <v>4601.9620233751584</v>
      </c>
      <c r="BL46" s="105">
        <v>11</v>
      </c>
      <c r="BM46" s="105">
        <v>11193.599999999999</v>
      </c>
      <c r="BN46" s="105">
        <v>10.185445467310245</v>
      </c>
      <c r="BO46" s="105">
        <v>10364.709307534904</v>
      </c>
      <c r="BP46" s="105">
        <v>11.051334194879479</v>
      </c>
      <c r="BQ46" s="105">
        <v>11245.837676709356</v>
      </c>
      <c r="BR46" s="105">
        <v>7.9839947980480108</v>
      </c>
      <c r="BS46" s="105">
        <v>8124.513106493654</v>
      </c>
      <c r="BT46" s="105">
        <v>7.2427487836002973</v>
      </c>
      <c r="BU46" s="105">
        <v>7370.2211621916613</v>
      </c>
      <c r="BV46" s="105">
        <v>11.63298336303103</v>
      </c>
      <c r="BW46" s="105">
        <v>11837.723870220374</v>
      </c>
      <c r="BX46" s="105">
        <v>9</v>
      </c>
      <c r="BY46" s="105">
        <v>9158.3999999999978</v>
      </c>
      <c r="BZ46" s="105">
        <v>8.4168659918666719</v>
      </c>
      <c r="CA46" s="105">
        <v>8565.0028333235241</v>
      </c>
      <c r="CB46" s="105">
        <v>9.802132227306469</v>
      </c>
      <c r="CC46" s="105">
        <v>9974.6497545070615</v>
      </c>
      <c r="CD46" s="105">
        <v>6.9373338741579209</v>
      </c>
      <c r="CE46" s="105">
        <v>7059.4309503430986</v>
      </c>
      <c r="CF46" s="105">
        <v>10.983221195219206</v>
      </c>
      <c r="CG46" s="105">
        <v>11176.525888255062</v>
      </c>
      <c r="CH46" s="105">
        <v>10</v>
      </c>
      <c r="CI46" s="105">
        <v>10175.999999999998</v>
      </c>
      <c r="CJ46" s="105">
        <v>11.82834887287666</v>
      </c>
      <c r="CK46" s="105">
        <v>12036.527813039287</v>
      </c>
      <c r="CL46" s="105">
        <v>2.8374824039707773</v>
      </c>
      <c r="CM46" s="105">
        <v>2887.4220942806623</v>
      </c>
      <c r="CN46" s="105">
        <v>9.3604881939269635</v>
      </c>
      <c r="CO46" s="105">
        <v>9525.2327861400754</v>
      </c>
      <c r="CP46" s="105">
        <v>8.7706058291577076</v>
      </c>
      <c r="CQ46" s="105">
        <v>8924.9684917508821</v>
      </c>
      <c r="CR46" s="105">
        <v>12.496687509988192</v>
      </c>
      <c r="CS46" s="105">
        <v>12716.629210163981</v>
      </c>
      <c r="CT46" s="105">
        <v>13.874667748315842</v>
      </c>
      <c r="CU46" s="105">
        <v>14118.861900686197</v>
      </c>
    </row>
    <row r="47" spans="2:99" x14ac:dyDescent="0.2">
      <c r="C47" s="104" t="s">
        <v>213</v>
      </c>
      <c r="D47" s="105">
        <v>0</v>
      </c>
      <c r="E47" s="105">
        <v>0</v>
      </c>
      <c r="F47" s="105">
        <v>0</v>
      </c>
      <c r="G47" s="105">
        <v>0</v>
      </c>
      <c r="H47" s="105">
        <v>0</v>
      </c>
      <c r="I47" s="105">
        <v>0</v>
      </c>
      <c r="J47" s="105">
        <v>0</v>
      </c>
      <c r="K47" s="105">
        <v>0</v>
      </c>
      <c r="L47" s="105">
        <v>12.933326565547137</v>
      </c>
      <c r="M47" s="105">
        <v>17040.951082764906</v>
      </c>
      <c r="N47" s="105">
        <v>7.6263665003893699</v>
      </c>
      <c r="O47" s="105">
        <v>10048.500500913033</v>
      </c>
      <c r="P47" s="105">
        <v>15.827831693685148</v>
      </c>
      <c r="Q47" s="105">
        <v>20854.751039599549</v>
      </c>
      <c r="R47" s="105">
        <v>9.0412361183374728</v>
      </c>
      <c r="S47" s="105">
        <v>11912.732709521453</v>
      </c>
      <c r="T47" s="105">
        <v>8.6506196064287195</v>
      </c>
      <c r="U47" s="105">
        <v>11398.056393430479</v>
      </c>
      <c r="V47" s="105">
        <v>11.058682156445224</v>
      </c>
      <c r="W47" s="105">
        <v>14570.919609332226</v>
      </c>
      <c r="X47" s="105">
        <v>5.7305706430738006</v>
      </c>
      <c r="Y47" s="105">
        <v>7550.5998793140388</v>
      </c>
      <c r="Z47" s="105">
        <v>10.669063191294494</v>
      </c>
      <c r="AA47" s="105">
        <v>14057.557660849625</v>
      </c>
      <c r="AB47" s="105">
        <v>9.9554616699682459</v>
      </c>
      <c r="AC47" s="105">
        <v>13117.31629635016</v>
      </c>
      <c r="AD47" s="105">
        <v>12.009517525150912</v>
      </c>
      <c r="AE47" s="105">
        <v>15823.74029113884</v>
      </c>
      <c r="AF47" s="105">
        <v>6.9070838717996743</v>
      </c>
      <c r="AG47" s="105">
        <v>9100.7737094832501</v>
      </c>
      <c r="AH47" s="105">
        <v>11.980017740667671</v>
      </c>
      <c r="AI47" s="105">
        <v>15784.871375103723</v>
      </c>
      <c r="AJ47" s="105">
        <v>10.39083171384441</v>
      </c>
      <c r="AK47" s="105">
        <v>13690.959866161393</v>
      </c>
      <c r="AL47" s="105">
        <v>11.12296247281761</v>
      </c>
      <c r="AM47" s="105">
        <v>14655.615354184481</v>
      </c>
      <c r="AN47" s="105">
        <v>10.818511928226656</v>
      </c>
      <c r="AO47" s="105">
        <v>14254.47131663144</v>
      </c>
      <c r="AP47" s="105">
        <v>13.561854177506209</v>
      </c>
      <c r="AQ47" s="105">
        <v>17869.099064282182</v>
      </c>
      <c r="AR47" s="105">
        <v>10.177727948165876</v>
      </c>
      <c r="AS47" s="105">
        <v>13410.174344503357</v>
      </c>
      <c r="AT47" s="105">
        <v>9.6165875076862211</v>
      </c>
      <c r="AU47" s="105">
        <v>12670.815700127365</v>
      </c>
      <c r="AV47" s="105">
        <v>8.823545075664498</v>
      </c>
      <c r="AW47" s="105">
        <v>11625.902991695542</v>
      </c>
      <c r="AX47" s="105">
        <v>8.8717413622051797</v>
      </c>
      <c r="AY47" s="105">
        <v>11689.406418841543</v>
      </c>
      <c r="AZ47" s="105">
        <v>9.8345896187876178</v>
      </c>
      <c r="BA47" s="105">
        <v>12958.055281714564</v>
      </c>
      <c r="BB47" s="105">
        <v>7.8760242932190838</v>
      </c>
      <c r="BC47" s="105">
        <v>10377.449608745465</v>
      </c>
      <c r="BD47" s="105">
        <v>6.9416769462828114</v>
      </c>
      <c r="BE47" s="105">
        <v>9146.3535444222325</v>
      </c>
      <c r="BF47" s="105">
        <v>7.4856783602438863</v>
      </c>
      <c r="BG47" s="105">
        <v>9863.1298074573442</v>
      </c>
      <c r="BH47" s="105">
        <v>10.257615922641275</v>
      </c>
      <c r="BI47" s="105">
        <v>13515.434739672142</v>
      </c>
      <c r="BJ47" s="105">
        <v>4.5223683405809352</v>
      </c>
      <c r="BK47" s="105">
        <v>5958.6725255494393</v>
      </c>
      <c r="BL47" s="105">
        <v>11</v>
      </c>
      <c r="BM47" s="105">
        <v>14493.599999999999</v>
      </c>
      <c r="BN47" s="105">
        <v>12.037344643184834</v>
      </c>
      <c r="BO47" s="105">
        <v>15860.405301860337</v>
      </c>
      <c r="BP47" s="105">
        <v>10.130389678639522</v>
      </c>
      <c r="BQ47" s="105">
        <v>13347.801440575435</v>
      </c>
      <c r="BR47" s="105">
        <v>7.1855953182432097</v>
      </c>
      <c r="BS47" s="105">
        <v>9467.7403913172529</v>
      </c>
      <c r="BT47" s="105">
        <v>7.8463111822336558</v>
      </c>
      <c r="BU47" s="105">
        <v>10338.299613711064</v>
      </c>
      <c r="BV47" s="105">
        <v>10.178860442652152</v>
      </c>
      <c r="BW47" s="105">
        <v>13411.666519238473</v>
      </c>
      <c r="BX47" s="105">
        <v>10</v>
      </c>
      <c r="BY47" s="105">
        <v>13176</v>
      </c>
      <c r="BZ47" s="105">
        <v>7.4816586594370413</v>
      </c>
      <c r="CA47" s="105">
        <v>9857.8334496742445</v>
      </c>
      <c r="CB47" s="105">
        <v>8.8219190045758218</v>
      </c>
      <c r="CC47" s="105">
        <v>11623.760480429102</v>
      </c>
      <c r="CD47" s="105">
        <v>6.9373338741579209</v>
      </c>
      <c r="CE47" s="105">
        <v>9140.6311125904758</v>
      </c>
      <c r="CF47" s="105">
        <v>10.067952762284271</v>
      </c>
      <c r="CG47" s="105">
        <v>13265.534559585754</v>
      </c>
      <c r="CH47" s="105">
        <v>9</v>
      </c>
      <c r="CI47" s="105">
        <v>11858.4</v>
      </c>
      <c r="CJ47" s="105">
        <v>10.918475882655379</v>
      </c>
      <c r="CK47" s="105">
        <v>14386.183822986726</v>
      </c>
      <c r="CL47" s="105">
        <v>2.8374824039707773</v>
      </c>
      <c r="CM47" s="105">
        <v>3738.6668154718959</v>
      </c>
      <c r="CN47" s="105">
        <v>9.3604881939269635</v>
      </c>
      <c r="CO47" s="105">
        <v>12333.379244318166</v>
      </c>
      <c r="CP47" s="105">
        <v>7.9732780265070069</v>
      </c>
      <c r="CQ47" s="105">
        <v>10505.591127725631</v>
      </c>
      <c r="CR47" s="105">
        <v>9.9973500079905531</v>
      </c>
      <c r="CS47" s="105">
        <v>13172.508370528352</v>
      </c>
      <c r="CT47" s="105">
        <v>11.273167545506622</v>
      </c>
      <c r="CU47" s="105">
        <v>14853.525557959525</v>
      </c>
    </row>
    <row r="48" spans="2:99" x14ac:dyDescent="0.2">
      <c r="C48" s="104" t="s">
        <v>214</v>
      </c>
      <c r="D48" s="105">
        <v>0</v>
      </c>
      <c r="E48" s="105">
        <v>0</v>
      </c>
      <c r="F48" s="105">
        <v>0</v>
      </c>
      <c r="G48" s="105">
        <v>0</v>
      </c>
      <c r="H48" s="105">
        <v>0</v>
      </c>
      <c r="I48" s="105">
        <v>0</v>
      </c>
      <c r="J48" s="105">
        <v>0</v>
      </c>
      <c r="K48" s="105">
        <v>0</v>
      </c>
      <c r="L48" s="105">
        <v>13.857135605943361</v>
      </c>
      <c r="M48" s="105">
        <v>9112.4523744683538</v>
      </c>
      <c r="N48" s="105">
        <v>7.6263665003893699</v>
      </c>
      <c r="O48" s="105">
        <v>5015.0986106560495</v>
      </c>
      <c r="P48" s="105">
        <v>16.758880616843097</v>
      </c>
      <c r="Q48" s="105">
        <v>11020.63989363602</v>
      </c>
      <c r="R48" s="105">
        <v>9.9453597301712211</v>
      </c>
      <c r="S48" s="105">
        <v>6540.0685585605952</v>
      </c>
      <c r="T48" s="105">
        <v>9.6117995626985753</v>
      </c>
      <c r="U48" s="105">
        <v>6320.719392430583</v>
      </c>
      <c r="V48" s="105">
        <v>12.638493893080256</v>
      </c>
      <c r="W48" s="105">
        <v>8311.0735840895759</v>
      </c>
      <c r="X48" s="105">
        <v>6.251531610625964</v>
      </c>
      <c r="Y48" s="105">
        <v>4111.0071871476339</v>
      </c>
      <c r="Z48" s="105">
        <v>11.558151790569037</v>
      </c>
      <c r="AA48" s="105">
        <v>7600.6406174781987</v>
      </c>
      <c r="AB48" s="105">
        <v>10.785083475798935</v>
      </c>
      <c r="AC48" s="105">
        <v>7092.2708936853796</v>
      </c>
      <c r="AD48" s="105">
        <v>11.085708484754688</v>
      </c>
      <c r="AE48" s="105">
        <v>7289.9618995746832</v>
      </c>
      <c r="AF48" s="105">
        <v>7.770469355774634</v>
      </c>
      <c r="AG48" s="105">
        <v>5109.8606483573994</v>
      </c>
      <c r="AH48" s="105">
        <v>11.980017740667671</v>
      </c>
      <c r="AI48" s="105">
        <v>7878.0596662630605</v>
      </c>
      <c r="AJ48" s="105">
        <v>11.256734356664778</v>
      </c>
      <c r="AK48" s="105">
        <v>7402.4285129427581</v>
      </c>
      <c r="AL48" s="105">
        <v>11.818147627368711</v>
      </c>
      <c r="AM48" s="105">
        <v>7771.613879757665</v>
      </c>
      <c r="AN48" s="105">
        <v>11.65070515347486</v>
      </c>
      <c r="AO48" s="105">
        <v>7661.5037089250682</v>
      </c>
      <c r="AP48" s="105">
        <v>12.657730565672463</v>
      </c>
      <c r="AQ48" s="105">
        <v>8323.7236199862109</v>
      </c>
      <c r="AR48" s="105">
        <v>11.102975943453682</v>
      </c>
      <c r="AS48" s="105">
        <v>7301.3169804151412</v>
      </c>
      <c r="AT48" s="105">
        <v>10.356325008277469</v>
      </c>
      <c r="AU48" s="105">
        <v>6810.3193254432645</v>
      </c>
      <c r="AV48" s="105">
        <v>9.7058995832309485</v>
      </c>
      <c r="AW48" s="105">
        <v>6382.5995659326718</v>
      </c>
      <c r="AX48" s="105">
        <v>10.646089634646216</v>
      </c>
      <c r="AY48" s="105">
        <v>7000.8685437433523</v>
      </c>
      <c r="AZ48" s="105">
        <v>9.8345896187876178</v>
      </c>
      <c r="BA48" s="105">
        <v>6467.226133314738</v>
      </c>
      <c r="BB48" s="105">
        <v>7.1600220847446217</v>
      </c>
      <c r="BC48" s="105">
        <v>4708.4305229280635</v>
      </c>
      <c r="BD48" s="105">
        <v>8.9250132166493295</v>
      </c>
      <c r="BE48" s="105">
        <v>5869.0886912685992</v>
      </c>
      <c r="BF48" s="105">
        <v>8.3174204002709864</v>
      </c>
      <c r="BG48" s="105">
        <v>5469.5356552182011</v>
      </c>
      <c r="BH48" s="105">
        <v>12.122636999485142</v>
      </c>
      <c r="BI48" s="105">
        <v>7971.8460908614297</v>
      </c>
      <c r="BJ48" s="105">
        <v>4.9334927351792022</v>
      </c>
      <c r="BK48" s="105">
        <v>3244.2648226538436</v>
      </c>
      <c r="BL48" s="105">
        <v>12</v>
      </c>
      <c r="BM48" s="105">
        <v>7891.2000000000007</v>
      </c>
      <c r="BN48" s="105">
        <v>12.037344643184834</v>
      </c>
      <c r="BO48" s="105">
        <v>7915.7578373583474</v>
      </c>
      <c r="BP48" s="105">
        <v>11.972278711119436</v>
      </c>
      <c r="BQ48" s="105">
        <v>7872.9704804321418</v>
      </c>
      <c r="BR48" s="105">
        <v>8.7823942778528128</v>
      </c>
      <c r="BS48" s="105">
        <v>5775.3024771160099</v>
      </c>
      <c r="BT48" s="105">
        <v>9.0534359795003727</v>
      </c>
      <c r="BU48" s="105">
        <v>5953.5395001194456</v>
      </c>
      <c r="BV48" s="105">
        <v>11.63298336303103</v>
      </c>
      <c r="BW48" s="105">
        <v>7649.8498595292058</v>
      </c>
      <c r="BX48" s="105">
        <v>10</v>
      </c>
      <c r="BY48" s="105">
        <v>6576</v>
      </c>
      <c r="BZ48" s="105">
        <v>9.3520733242963026</v>
      </c>
      <c r="CA48" s="105">
        <v>6149.9234180572485</v>
      </c>
      <c r="CB48" s="105">
        <v>9.802132227306469</v>
      </c>
      <c r="CC48" s="105">
        <v>6445.8821526767342</v>
      </c>
      <c r="CD48" s="105">
        <v>7.804500608427662</v>
      </c>
      <c r="CE48" s="105">
        <v>5132.2396001020306</v>
      </c>
      <c r="CF48" s="105">
        <v>10.983221195219206</v>
      </c>
      <c r="CG48" s="105">
        <v>7222.5662579761502</v>
      </c>
      <c r="CH48" s="105">
        <v>10</v>
      </c>
      <c r="CI48" s="105">
        <v>6576</v>
      </c>
      <c r="CJ48" s="105">
        <v>11.82834887287666</v>
      </c>
      <c r="CK48" s="105">
        <v>7778.3222188036916</v>
      </c>
      <c r="CL48" s="105">
        <v>3.1921677044671251</v>
      </c>
      <c r="CM48" s="105">
        <v>2099.1694824575816</v>
      </c>
      <c r="CN48" s="105">
        <v>10.080525747305961</v>
      </c>
      <c r="CO48" s="105">
        <v>6628.9537314283998</v>
      </c>
      <c r="CP48" s="105">
        <v>7.1759502238563062</v>
      </c>
      <c r="CQ48" s="105">
        <v>4718.904867207907</v>
      </c>
      <c r="CR48" s="105">
        <v>12.496687509988192</v>
      </c>
      <c r="CS48" s="105">
        <v>8217.8217065682347</v>
      </c>
      <c r="CT48" s="105">
        <v>13.007501014046102</v>
      </c>
      <c r="CU48" s="105">
        <v>8553.7326668367168</v>
      </c>
    </row>
    <row r="49" spans="2:99" x14ac:dyDescent="0.2">
      <c r="B49" s="104" t="s">
        <v>129</v>
      </c>
      <c r="C49" s="104" t="s">
        <v>215</v>
      </c>
      <c r="D49" s="105">
        <v>1.8723404255319149</v>
      </c>
      <c r="E49" s="105">
        <v>1107.676595744681</v>
      </c>
      <c r="F49" s="105">
        <v>0</v>
      </c>
      <c r="G49" s="105">
        <v>0</v>
      </c>
      <c r="H49" s="105">
        <v>0</v>
      </c>
      <c r="I49" s="105">
        <v>0</v>
      </c>
      <c r="J49" s="105">
        <v>0</v>
      </c>
      <c r="K49" s="105">
        <v>0</v>
      </c>
      <c r="L49" s="105">
        <v>10.101650216680349</v>
      </c>
      <c r="M49" s="105">
        <v>5976.1362681880946</v>
      </c>
      <c r="N49" s="105">
        <v>13.325333523155532</v>
      </c>
      <c r="O49" s="105">
        <v>7883.2673122988126</v>
      </c>
      <c r="P49" s="105">
        <v>15.817284783725128</v>
      </c>
      <c r="Q49" s="105">
        <v>9357.5056780517862</v>
      </c>
      <c r="R49" s="105">
        <v>8.9661934093790698</v>
      </c>
      <c r="S49" s="105">
        <v>5304.4000209886581</v>
      </c>
      <c r="T49" s="105">
        <v>12.719053743614021</v>
      </c>
      <c r="U49" s="105">
        <v>7524.592194722055</v>
      </c>
      <c r="V49" s="105">
        <v>11.985895852952332</v>
      </c>
      <c r="W49" s="105">
        <v>7090.8559866065998</v>
      </c>
      <c r="X49" s="105">
        <v>11.398760664793219</v>
      </c>
      <c r="Y49" s="105">
        <v>6743.506809291669</v>
      </c>
      <c r="Z49" s="105">
        <v>12.851543886776668</v>
      </c>
      <c r="AA49" s="105">
        <v>7602.9733634170771</v>
      </c>
      <c r="AB49" s="105">
        <v>7.6345805267980209</v>
      </c>
      <c r="AC49" s="105">
        <v>4516.6178396537098</v>
      </c>
      <c r="AD49" s="105">
        <v>7.1729547275032566</v>
      </c>
      <c r="AE49" s="105">
        <v>4243.520016790927</v>
      </c>
      <c r="AF49" s="105">
        <v>9.4035686976414645</v>
      </c>
      <c r="AG49" s="105">
        <v>5563.1512415246907</v>
      </c>
      <c r="AH49" s="105">
        <v>7.7109263320660011</v>
      </c>
      <c r="AI49" s="105">
        <v>4561.7840180502462</v>
      </c>
      <c r="AJ49" s="105">
        <v>13.784896236095644</v>
      </c>
      <c r="AK49" s="105">
        <v>8155.144613274183</v>
      </c>
      <c r="AL49" s="105">
        <v>9.4567964449866047</v>
      </c>
      <c r="AM49" s="105">
        <v>5594.6407768540757</v>
      </c>
      <c r="AN49" s="105">
        <v>10.324252829544434</v>
      </c>
      <c r="AO49" s="105">
        <v>6107.8279739584877</v>
      </c>
      <c r="AP49" s="105">
        <v>11.395457633595075</v>
      </c>
      <c r="AQ49" s="105">
        <v>6741.5527360348469</v>
      </c>
      <c r="AR49" s="105">
        <v>8.2844663071783486</v>
      </c>
      <c r="AS49" s="105">
        <v>4901.090267326711</v>
      </c>
      <c r="AT49" s="105">
        <v>11.391141172370229</v>
      </c>
      <c r="AU49" s="105">
        <v>6738.999117574228</v>
      </c>
      <c r="AV49" s="105">
        <v>9.4695586534143867</v>
      </c>
      <c r="AW49" s="105">
        <v>5602.1908993599518</v>
      </c>
      <c r="AX49" s="105">
        <v>12.978786895556635</v>
      </c>
      <c r="AY49" s="105">
        <v>7678.2503274113051</v>
      </c>
      <c r="AZ49" s="105">
        <v>8.9546241275605176</v>
      </c>
      <c r="BA49" s="105">
        <v>5297.5556338648021</v>
      </c>
      <c r="BB49" s="105">
        <v>9.9898640739316615</v>
      </c>
      <c r="BC49" s="105">
        <v>5910.0035861379711</v>
      </c>
      <c r="BD49" s="105">
        <v>7.3437393638723814</v>
      </c>
      <c r="BE49" s="105">
        <v>4344.5562076669012</v>
      </c>
      <c r="BF49" s="105">
        <v>11</v>
      </c>
      <c r="BG49" s="105">
        <v>6507.6</v>
      </c>
      <c r="BH49" s="105">
        <v>13.580318852797717</v>
      </c>
      <c r="BI49" s="105">
        <v>8034.1166333151295</v>
      </c>
      <c r="BJ49" s="105">
        <v>7.7109263320660011</v>
      </c>
      <c r="BK49" s="105">
        <v>4561.7840180502462</v>
      </c>
      <c r="BL49" s="105">
        <v>10.281235109421335</v>
      </c>
      <c r="BM49" s="105">
        <v>6082.3786907336616</v>
      </c>
      <c r="BN49" s="105">
        <v>8.9836034936691274</v>
      </c>
      <c r="BO49" s="105">
        <v>5314.6998268546558</v>
      </c>
      <c r="BP49" s="105">
        <v>12.048322393853127</v>
      </c>
      <c r="BQ49" s="105">
        <v>7127.7875282035102</v>
      </c>
      <c r="BR49" s="105">
        <v>9.6789870276979091</v>
      </c>
      <c r="BS49" s="105">
        <v>5726.0887255860835</v>
      </c>
      <c r="BT49" s="105">
        <v>15.421852664132002</v>
      </c>
      <c r="BU49" s="105">
        <v>9123.5680361004925</v>
      </c>
      <c r="BV49" s="105">
        <v>11.284282437169756</v>
      </c>
      <c r="BW49" s="105">
        <v>6675.7814898296274</v>
      </c>
      <c r="BX49" s="105">
        <v>7.6345805267980209</v>
      </c>
      <c r="BY49" s="105">
        <v>4516.6178396537098</v>
      </c>
      <c r="BZ49" s="105">
        <v>15.336649058252819</v>
      </c>
      <c r="CA49" s="105">
        <v>9073.161582862369</v>
      </c>
      <c r="CB49" s="105">
        <v>8.7931616067419291</v>
      </c>
      <c r="CC49" s="105">
        <v>5202.0344065485251</v>
      </c>
      <c r="CD49" s="105">
        <v>11.663586048503193</v>
      </c>
      <c r="CE49" s="105">
        <v>6900.1775062944889</v>
      </c>
      <c r="CF49" s="105">
        <v>10.411377325996288</v>
      </c>
      <c r="CG49" s="105">
        <v>6159.370826059404</v>
      </c>
      <c r="CH49" s="105">
        <v>7.7431896221583267</v>
      </c>
      <c r="CI49" s="105">
        <v>4580.870980468866</v>
      </c>
      <c r="CJ49" s="105">
        <v>8.2987547968423332</v>
      </c>
      <c r="CK49" s="105">
        <v>4909.5433378119242</v>
      </c>
      <c r="CL49" s="105">
        <v>11.798138650155629</v>
      </c>
      <c r="CM49" s="105">
        <v>6979.7788254320703</v>
      </c>
      <c r="CN49" s="105">
        <v>7.2495888592073507</v>
      </c>
      <c r="CO49" s="105">
        <v>4288.8567691070684</v>
      </c>
      <c r="CP49" s="105">
        <v>11.203910055138634</v>
      </c>
      <c r="CQ49" s="105">
        <v>6628.2331886200163</v>
      </c>
      <c r="CR49" s="105">
        <v>11.742527409237566</v>
      </c>
      <c r="CS49" s="105">
        <v>6946.8792153049444</v>
      </c>
      <c r="CT49" s="105">
        <v>9.4282068689016594</v>
      </c>
      <c r="CU49" s="105">
        <v>5577.7271836422215</v>
      </c>
    </row>
    <row r="50" spans="2:99" x14ac:dyDescent="0.2">
      <c r="C50" s="104" t="s">
        <v>216</v>
      </c>
      <c r="D50" s="105">
        <v>0</v>
      </c>
      <c r="E50" s="105">
        <v>0</v>
      </c>
      <c r="F50" s="105">
        <v>0</v>
      </c>
      <c r="G50" s="105">
        <v>0</v>
      </c>
      <c r="H50" s="105">
        <v>0</v>
      </c>
      <c r="I50" s="105">
        <v>0</v>
      </c>
      <c r="J50" s="105">
        <v>0</v>
      </c>
      <c r="K50" s="105">
        <v>0</v>
      </c>
      <c r="L50" s="105">
        <v>11.085708484754688</v>
      </c>
      <c r="M50" s="105">
        <v>4283.5177585092115</v>
      </c>
      <c r="N50" s="105">
        <v>12.710610833982283</v>
      </c>
      <c r="O50" s="105">
        <v>4911.3800262507539</v>
      </c>
      <c r="P50" s="105">
        <v>15.827831693685148</v>
      </c>
      <c r="Q50" s="105">
        <v>6115.8741664399413</v>
      </c>
      <c r="R50" s="105">
        <v>9.0412361183374728</v>
      </c>
      <c r="S50" s="105">
        <v>3493.5336361255991</v>
      </c>
      <c r="T50" s="105">
        <v>14.417699344047865</v>
      </c>
      <c r="U50" s="105">
        <v>5570.9990265400947</v>
      </c>
      <c r="V50" s="105">
        <v>12.638493893080256</v>
      </c>
      <c r="W50" s="105">
        <v>4883.5140402862107</v>
      </c>
      <c r="X50" s="105">
        <v>8.3353754808346192</v>
      </c>
      <c r="Y50" s="105">
        <v>3220.7890857944967</v>
      </c>
      <c r="Z50" s="105">
        <v>12.447240389843577</v>
      </c>
      <c r="AA50" s="105">
        <v>4809.6136866355582</v>
      </c>
      <c r="AB50" s="105">
        <v>8.2962180583068719</v>
      </c>
      <c r="AC50" s="105">
        <v>3205.6586577297753</v>
      </c>
      <c r="AD50" s="105">
        <v>9.2380904039622411</v>
      </c>
      <c r="AE50" s="105">
        <v>3569.5981320910096</v>
      </c>
      <c r="AF50" s="105">
        <v>8.6338548397495938</v>
      </c>
      <c r="AG50" s="105">
        <v>3336.1215100792429</v>
      </c>
      <c r="AH50" s="105">
        <v>9.9833481172230591</v>
      </c>
      <c r="AI50" s="105">
        <v>3857.5657124949898</v>
      </c>
      <c r="AJ50" s="105">
        <v>13.854442285125877</v>
      </c>
      <c r="AK50" s="105">
        <v>5353.3564989726383</v>
      </c>
      <c r="AL50" s="105">
        <v>8.342221854613209</v>
      </c>
      <c r="AM50" s="105">
        <v>3223.4345246225439</v>
      </c>
      <c r="AN50" s="105">
        <v>14.147284829219473</v>
      </c>
      <c r="AO50" s="105">
        <v>5466.5108580104043</v>
      </c>
      <c r="AP50" s="105">
        <v>13.561854177506209</v>
      </c>
      <c r="AQ50" s="105">
        <v>5240.3004541883993</v>
      </c>
      <c r="AR50" s="105">
        <v>13.878719929317104</v>
      </c>
      <c r="AS50" s="105">
        <v>5362.7373806881287</v>
      </c>
      <c r="AT50" s="105">
        <v>9.6165875076862211</v>
      </c>
      <c r="AU50" s="105">
        <v>3715.8494129699557</v>
      </c>
      <c r="AV50" s="105">
        <v>13.235317613496749</v>
      </c>
      <c r="AW50" s="105">
        <v>5114.1267258551434</v>
      </c>
      <c r="AX50" s="105">
        <v>15.969134451969325</v>
      </c>
      <c r="AY50" s="105">
        <v>6170.4735522409464</v>
      </c>
      <c r="AZ50" s="105">
        <v>9.8345896187876178</v>
      </c>
      <c r="BA50" s="105">
        <v>3800.0854286995354</v>
      </c>
      <c r="BB50" s="105">
        <v>11.456035335591395</v>
      </c>
      <c r="BC50" s="105">
        <v>4426.6120536725148</v>
      </c>
      <c r="BD50" s="105">
        <v>10.908349487015846</v>
      </c>
      <c r="BE50" s="105">
        <v>4214.9862417829227</v>
      </c>
      <c r="BF50" s="105">
        <v>8.3174204002709864</v>
      </c>
      <c r="BG50" s="105">
        <v>3213.8512426647089</v>
      </c>
      <c r="BH50" s="105">
        <v>13.055147537907079</v>
      </c>
      <c r="BI50" s="105">
        <v>5044.5090086472946</v>
      </c>
      <c r="BJ50" s="105">
        <v>4.1112439459826682</v>
      </c>
      <c r="BK50" s="105">
        <v>1588.5846607277028</v>
      </c>
      <c r="BL50" s="105">
        <v>15</v>
      </c>
      <c r="BM50" s="105">
        <v>5796</v>
      </c>
      <c r="BN50" s="105">
        <v>9.2594958793729489</v>
      </c>
      <c r="BO50" s="105">
        <v>3577.8692077897072</v>
      </c>
      <c r="BP50" s="105">
        <v>12.893223227359393</v>
      </c>
      <c r="BQ50" s="105">
        <v>4981.9414550516685</v>
      </c>
      <c r="BR50" s="105">
        <v>12.774391676876819</v>
      </c>
      <c r="BS50" s="105">
        <v>4936.0249439452027</v>
      </c>
      <c r="BT50" s="105">
        <v>10.260560776767088</v>
      </c>
      <c r="BU50" s="105">
        <v>3964.6806841428024</v>
      </c>
      <c r="BV50" s="105">
        <v>13.814167743599349</v>
      </c>
      <c r="BW50" s="105">
        <v>5337.7944161267878</v>
      </c>
      <c r="BX50" s="105">
        <v>10</v>
      </c>
      <c r="BY50" s="105">
        <v>3864</v>
      </c>
      <c r="BZ50" s="105">
        <v>16.833731983733344</v>
      </c>
      <c r="CA50" s="105">
        <v>6504.5540385145641</v>
      </c>
      <c r="CB50" s="105">
        <v>11.762558672767764</v>
      </c>
      <c r="CC50" s="105">
        <v>4545.0526711574639</v>
      </c>
      <c r="CD50" s="105">
        <v>14.741834482585583</v>
      </c>
      <c r="CE50" s="105">
        <v>5696.2448440710687</v>
      </c>
      <c r="CF50" s="105">
        <v>15.559563359893874</v>
      </c>
      <c r="CG50" s="105">
        <v>6012.2152822629923</v>
      </c>
      <c r="CH50" s="105">
        <v>12</v>
      </c>
      <c r="CI50" s="105">
        <v>4636.7999999999993</v>
      </c>
      <c r="CJ50" s="105">
        <v>10.918475882655379</v>
      </c>
      <c r="CK50" s="105">
        <v>4218.8990810580381</v>
      </c>
      <c r="CL50" s="105">
        <v>5.3202795074452078</v>
      </c>
      <c r="CM50" s="105">
        <v>2055.756001676828</v>
      </c>
      <c r="CN50" s="105">
        <v>7.2003755337899724</v>
      </c>
      <c r="CO50" s="105">
        <v>2782.2251062564451</v>
      </c>
      <c r="CP50" s="105">
        <v>15.149228250363313</v>
      </c>
      <c r="CQ50" s="105">
        <v>5853.6617959403839</v>
      </c>
      <c r="CR50" s="105">
        <v>12.496687509988192</v>
      </c>
      <c r="CS50" s="105">
        <v>4828.720053859437</v>
      </c>
      <c r="CT50" s="105">
        <v>12.140334279776363</v>
      </c>
      <c r="CU50" s="105">
        <v>4691.025165705586</v>
      </c>
    </row>
    <row r="51" spans="2:99" x14ac:dyDescent="0.2">
      <c r="C51" s="104" t="s">
        <v>217</v>
      </c>
      <c r="D51" s="105">
        <v>0</v>
      </c>
      <c r="E51" s="105">
        <v>0</v>
      </c>
      <c r="F51" s="105">
        <v>0</v>
      </c>
      <c r="G51" s="105">
        <v>0</v>
      </c>
      <c r="H51" s="105">
        <v>0</v>
      </c>
      <c r="I51" s="105">
        <v>0</v>
      </c>
      <c r="J51" s="105">
        <v>0</v>
      </c>
      <c r="K51" s="105">
        <v>0</v>
      </c>
      <c r="L51" s="105">
        <v>11.917432697046399</v>
      </c>
      <c r="M51" s="105">
        <v>1616.0038737194916</v>
      </c>
      <c r="N51" s="105">
        <v>11.476848821579836</v>
      </c>
      <c r="O51" s="105">
        <v>1556.2607002062257</v>
      </c>
      <c r="P51" s="105">
        <v>11.63551493432057</v>
      </c>
      <c r="Q51" s="105">
        <v>1577.7758250938691</v>
      </c>
      <c r="R51" s="105">
        <v>10</v>
      </c>
      <c r="S51" s="105">
        <v>1356</v>
      </c>
      <c r="T51" s="105">
        <v>13.731100894064667</v>
      </c>
      <c r="U51" s="105">
        <v>1861.9372812351687</v>
      </c>
      <c r="V51" s="105">
        <v>12.680893229200935</v>
      </c>
      <c r="W51" s="105">
        <v>1719.5291218796467</v>
      </c>
      <c r="X51" s="105">
        <v>12.882177248712059</v>
      </c>
      <c r="Y51" s="105">
        <v>1746.8232349253551</v>
      </c>
      <c r="Z51" s="105">
        <v>13.542218132479992</v>
      </c>
      <c r="AA51" s="105">
        <v>1836.3247787642867</v>
      </c>
      <c r="AB51" s="105">
        <v>10</v>
      </c>
      <c r="AC51" s="105">
        <v>1356</v>
      </c>
      <c r="AD51" s="105">
        <v>11</v>
      </c>
      <c r="AE51" s="105">
        <v>1491.6</v>
      </c>
      <c r="AF51" s="105">
        <v>10</v>
      </c>
      <c r="AG51" s="105">
        <v>1356</v>
      </c>
      <c r="AH51" s="105">
        <v>10</v>
      </c>
      <c r="AI51" s="105">
        <v>1356</v>
      </c>
      <c r="AJ51" s="105">
        <v>14.795538442894006</v>
      </c>
      <c r="AK51" s="105">
        <v>2006.2750128564271</v>
      </c>
      <c r="AL51" s="105">
        <v>10.364970200113151</v>
      </c>
      <c r="AM51" s="105">
        <v>1405.489959135343</v>
      </c>
      <c r="AN51" s="105">
        <v>12.14935878246796</v>
      </c>
      <c r="AO51" s="105">
        <v>1647.4530509026554</v>
      </c>
      <c r="AP51" s="105">
        <v>12.565402398333894</v>
      </c>
      <c r="AQ51" s="105">
        <v>1703.8685652140759</v>
      </c>
      <c r="AR51" s="105">
        <v>12.034062376465892</v>
      </c>
      <c r="AS51" s="105">
        <v>1631.8188582487749</v>
      </c>
      <c r="AT51" s="105">
        <v>11.143328228448645</v>
      </c>
      <c r="AU51" s="105">
        <v>1511.0353077776363</v>
      </c>
      <c r="AV51" s="105">
        <v>12.974854782875456</v>
      </c>
      <c r="AW51" s="105">
        <v>1759.3903085579118</v>
      </c>
      <c r="AX51" s="105">
        <v>11.939089506205102</v>
      </c>
      <c r="AY51" s="105">
        <v>1618.9405370414117</v>
      </c>
      <c r="AZ51" s="105">
        <v>10</v>
      </c>
      <c r="BA51" s="105">
        <v>1356</v>
      </c>
      <c r="BB51" s="105">
        <v>13.411620952778854</v>
      </c>
      <c r="BC51" s="105">
        <v>1818.6158011968125</v>
      </c>
      <c r="BD51" s="105">
        <v>11.511732860551202</v>
      </c>
      <c r="BE51" s="105">
        <v>1560.9909758907429</v>
      </c>
      <c r="BF51" s="105">
        <v>10</v>
      </c>
      <c r="BG51" s="105">
        <v>1356</v>
      </c>
      <c r="BH51" s="105">
        <v>11.805376500257251</v>
      </c>
      <c r="BI51" s="105">
        <v>1600.8090534348833</v>
      </c>
      <c r="BJ51" s="105">
        <v>11</v>
      </c>
      <c r="BK51" s="105">
        <v>1491.6</v>
      </c>
      <c r="BL51" s="105">
        <v>13.592865976215849</v>
      </c>
      <c r="BM51" s="105">
        <v>1843.1926263748692</v>
      </c>
      <c r="BN51" s="105">
        <v>11.865163255392686</v>
      </c>
      <c r="BO51" s="105">
        <v>1608.916137431248</v>
      </c>
      <c r="BP51" s="105">
        <v>11.385762719821265</v>
      </c>
      <c r="BQ51" s="105">
        <v>1543.9094248077636</v>
      </c>
      <c r="BR51" s="105">
        <v>11.865163255392686</v>
      </c>
      <c r="BS51" s="105">
        <v>1608.916137431248</v>
      </c>
      <c r="BT51" s="105">
        <v>12.635173850137935</v>
      </c>
      <c r="BU51" s="105">
        <v>1713.3295740787039</v>
      </c>
      <c r="BV51" s="105">
        <v>11.372248461400112</v>
      </c>
      <c r="BW51" s="105">
        <v>1542.0768913658551</v>
      </c>
      <c r="BX51" s="105">
        <v>11</v>
      </c>
      <c r="BY51" s="105">
        <v>1491.6</v>
      </c>
      <c r="BZ51" s="105">
        <v>14.738877833129676</v>
      </c>
      <c r="CA51" s="105">
        <v>1998.5918341723839</v>
      </c>
      <c r="CB51" s="105">
        <v>11.271905092623053</v>
      </c>
      <c r="CC51" s="105">
        <v>1528.4703305596859</v>
      </c>
      <c r="CD51" s="105">
        <v>12.598011574108117</v>
      </c>
      <c r="CE51" s="105">
        <v>1708.2903694490606</v>
      </c>
      <c r="CF51" s="105">
        <v>13.30224824595267</v>
      </c>
      <c r="CG51" s="105">
        <v>1803.7848621511821</v>
      </c>
      <c r="CH51" s="105">
        <v>11.813350315412805</v>
      </c>
      <c r="CI51" s="105">
        <v>1601.8903027699762</v>
      </c>
      <c r="CJ51" s="105">
        <v>10.608851851880519</v>
      </c>
      <c r="CK51" s="105">
        <v>1438.5603111149983</v>
      </c>
      <c r="CL51" s="105">
        <v>10.771786436636365</v>
      </c>
      <c r="CM51" s="105">
        <v>1460.654240807891</v>
      </c>
      <c r="CN51" s="105">
        <v>11</v>
      </c>
      <c r="CO51" s="105">
        <v>1491.6</v>
      </c>
      <c r="CP51" s="105">
        <v>12.551703334454473</v>
      </c>
      <c r="CQ51" s="105">
        <v>1702.0109721520264</v>
      </c>
      <c r="CR51" s="105">
        <v>12.478123718770906</v>
      </c>
      <c r="CS51" s="105">
        <v>1692.0335762653349</v>
      </c>
      <c r="CT51" s="105">
        <v>13.157865866875159</v>
      </c>
      <c r="CU51" s="105">
        <v>1784.2066115482714</v>
      </c>
    </row>
    <row r="52" spans="2:99" x14ac:dyDescent="0.2">
      <c r="C52" s="104" t="s">
        <v>218</v>
      </c>
      <c r="D52" s="105">
        <v>0</v>
      </c>
      <c r="E52" s="105">
        <v>0</v>
      </c>
      <c r="F52" s="105">
        <v>0</v>
      </c>
      <c r="G52" s="105">
        <v>0</v>
      </c>
      <c r="H52" s="105">
        <v>0</v>
      </c>
      <c r="I52" s="105">
        <v>0</v>
      </c>
      <c r="J52" s="105">
        <v>0</v>
      </c>
      <c r="K52" s="105">
        <v>0</v>
      </c>
      <c r="L52" s="105">
        <v>12.910552088466932</v>
      </c>
      <c r="M52" s="105">
        <v>3439.3710763675904</v>
      </c>
      <c r="N52" s="105">
        <v>10.657073905752704</v>
      </c>
      <c r="O52" s="105">
        <v>2839.04448849252</v>
      </c>
      <c r="P52" s="105">
        <v>11.63551493432057</v>
      </c>
      <c r="Q52" s="105">
        <v>3099.7011785029995</v>
      </c>
      <c r="R52" s="105">
        <v>9</v>
      </c>
      <c r="S52" s="105">
        <v>2397.6</v>
      </c>
      <c r="T52" s="105">
        <v>14.589294699943709</v>
      </c>
      <c r="U52" s="105">
        <v>3886.5881080650038</v>
      </c>
      <c r="V52" s="105">
        <v>11.976399160911992</v>
      </c>
      <c r="W52" s="105">
        <v>3190.5127364669543</v>
      </c>
      <c r="X52" s="105">
        <v>13.597853762529397</v>
      </c>
      <c r="Y52" s="105">
        <v>3622.4682423378308</v>
      </c>
      <c r="Z52" s="105">
        <v>12.745617065863522</v>
      </c>
      <c r="AA52" s="105">
        <v>3395.4323863460418</v>
      </c>
      <c r="AB52" s="105">
        <v>10</v>
      </c>
      <c r="AC52" s="105">
        <v>2664</v>
      </c>
      <c r="AD52" s="105">
        <v>11</v>
      </c>
      <c r="AE52" s="105">
        <v>2930.3999999999996</v>
      </c>
      <c r="AF52" s="105">
        <v>10</v>
      </c>
      <c r="AG52" s="105">
        <v>2664</v>
      </c>
      <c r="AH52" s="105">
        <v>11</v>
      </c>
      <c r="AI52" s="105">
        <v>2930.3999999999996</v>
      </c>
      <c r="AJ52" s="105">
        <v>12.946096137532255</v>
      </c>
      <c r="AK52" s="105">
        <v>3448.8400110385924</v>
      </c>
      <c r="AL52" s="105">
        <v>10.364970200113151</v>
      </c>
      <c r="AM52" s="105">
        <v>2761.2280613101429</v>
      </c>
      <c r="AN52" s="105">
        <v>12.824323159271735</v>
      </c>
      <c r="AO52" s="105">
        <v>3416.39968962999</v>
      </c>
      <c r="AP52" s="105">
        <v>11.087119763235789</v>
      </c>
      <c r="AQ52" s="105">
        <v>2953.6087049260141</v>
      </c>
      <c r="AR52" s="105">
        <v>12.034062376465892</v>
      </c>
      <c r="AS52" s="105">
        <v>3205.8742170905134</v>
      </c>
      <c r="AT52" s="105">
        <v>11.143328228448645</v>
      </c>
      <c r="AU52" s="105">
        <v>2968.5826400587189</v>
      </c>
      <c r="AV52" s="105">
        <v>12.974854782875456</v>
      </c>
      <c r="AW52" s="105">
        <v>3456.5013141580212</v>
      </c>
      <c r="AX52" s="105">
        <v>10.534490740769208</v>
      </c>
      <c r="AY52" s="105">
        <v>2806.3883333409167</v>
      </c>
      <c r="AZ52" s="105">
        <v>10</v>
      </c>
      <c r="BA52" s="105">
        <v>2664</v>
      </c>
      <c r="BB52" s="105">
        <v>13.411620952778854</v>
      </c>
      <c r="BC52" s="105">
        <v>3572.8558218202866</v>
      </c>
      <c r="BD52" s="105">
        <v>10.552421788838602</v>
      </c>
      <c r="BE52" s="105">
        <v>2811.1651645466036</v>
      </c>
      <c r="BF52" s="105">
        <v>9</v>
      </c>
      <c r="BG52" s="105">
        <v>2397.6</v>
      </c>
      <c r="BH52" s="105">
        <v>11.018351400240102</v>
      </c>
      <c r="BI52" s="105">
        <v>2935.2888130239626</v>
      </c>
      <c r="BJ52" s="105">
        <v>10</v>
      </c>
      <c r="BK52" s="105">
        <v>2664</v>
      </c>
      <c r="BL52" s="105">
        <v>11.993705273131633</v>
      </c>
      <c r="BM52" s="105">
        <v>3195.1230847622669</v>
      </c>
      <c r="BN52" s="105">
        <v>10.876399650776628</v>
      </c>
      <c r="BO52" s="105">
        <v>2897.4728669668934</v>
      </c>
      <c r="BP52" s="105">
        <v>12.144813567809349</v>
      </c>
      <c r="BQ52" s="105">
        <v>3235.3783344644103</v>
      </c>
      <c r="BR52" s="105">
        <v>12.563114035121668</v>
      </c>
      <c r="BS52" s="105">
        <v>3346.8135789564121</v>
      </c>
      <c r="BT52" s="105">
        <v>11.305155550123414</v>
      </c>
      <c r="BU52" s="105">
        <v>3011.6934385528775</v>
      </c>
      <c r="BV52" s="105">
        <v>11.372248461400112</v>
      </c>
      <c r="BW52" s="105">
        <v>3029.5669901169895</v>
      </c>
      <c r="BX52" s="105">
        <v>11</v>
      </c>
      <c r="BY52" s="105">
        <v>2930.3999999999996</v>
      </c>
      <c r="BZ52" s="105">
        <v>12.528046158160224</v>
      </c>
      <c r="CA52" s="105">
        <v>3337.4714965338835</v>
      </c>
      <c r="CB52" s="105">
        <v>10.332579668237797</v>
      </c>
      <c r="CC52" s="105">
        <v>2752.5992236185489</v>
      </c>
      <c r="CD52" s="105">
        <v>11.934958333365584</v>
      </c>
      <c r="CE52" s="105">
        <v>3179.4729000085913</v>
      </c>
      <c r="CF52" s="105">
        <v>12.602129917218319</v>
      </c>
      <c r="CG52" s="105">
        <v>3357.2074099469596</v>
      </c>
      <c r="CH52" s="105">
        <v>10.828904455795072</v>
      </c>
      <c r="CI52" s="105">
        <v>2884.8201470238068</v>
      </c>
      <c r="CJ52" s="105">
        <v>10.608851851880519</v>
      </c>
      <c r="CK52" s="105">
        <v>2826.1981333409703</v>
      </c>
      <c r="CL52" s="105">
        <v>10.771786436636365</v>
      </c>
      <c r="CM52" s="105">
        <v>2869.6039067199272</v>
      </c>
      <c r="CN52" s="105">
        <v>10</v>
      </c>
      <c r="CO52" s="105">
        <v>2664</v>
      </c>
      <c r="CP52" s="105">
        <v>12.551703334454473</v>
      </c>
      <c r="CQ52" s="105">
        <v>3343.7737682986713</v>
      </c>
      <c r="CR52" s="105">
        <v>12.478123718770906</v>
      </c>
      <c r="CS52" s="105">
        <v>3324.1721586805693</v>
      </c>
      <c r="CT52" s="105">
        <v>12.280674809083481</v>
      </c>
      <c r="CU52" s="105">
        <v>3271.571769139839</v>
      </c>
    </row>
    <row r="53" spans="2:99" x14ac:dyDescent="0.2">
      <c r="C53" s="104" t="s">
        <v>219</v>
      </c>
      <c r="D53" s="105">
        <v>0</v>
      </c>
      <c r="E53" s="105">
        <v>0</v>
      </c>
      <c r="F53" s="105">
        <v>0</v>
      </c>
      <c r="G53" s="105">
        <v>0</v>
      </c>
      <c r="H53" s="105">
        <v>0</v>
      </c>
      <c r="I53" s="105">
        <v>0</v>
      </c>
      <c r="J53" s="105">
        <v>0</v>
      </c>
      <c r="K53" s="105">
        <v>0</v>
      </c>
      <c r="L53" s="105">
        <v>11.917432697046399</v>
      </c>
      <c r="M53" s="105">
        <v>4676.4005903210063</v>
      </c>
      <c r="N53" s="105">
        <v>11.476848821579836</v>
      </c>
      <c r="O53" s="105">
        <v>4503.5154775879273</v>
      </c>
      <c r="P53" s="105">
        <v>11.63551493432057</v>
      </c>
      <c r="Q53" s="105">
        <v>4565.7760602273911</v>
      </c>
      <c r="R53" s="105">
        <v>10</v>
      </c>
      <c r="S53" s="105">
        <v>3924</v>
      </c>
      <c r="T53" s="105">
        <v>12.872907088185626</v>
      </c>
      <c r="U53" s="105">
        <v>5051.3287414040387</v>
      </c>
      <c r="V53" s="105">
        <v>11.976399160911992</v>
      </c>
      <c r="W53" s="105">
        <v>4699.5390307418656</v>
      </c>
      <c r="X53" s="105">
        <v>12.166500734894724</v>
      </c>
      <c r="Y53" s="105">
        <v>4774.1348883726896</v>
      </c>
      <c r="Z53" s="105">
        <v>11.152414932630581</v>
      </c>
      <c r="AA53" s="105">
        <v>4376.2076195642394</v>
      </c>
      <c r="AB53" s="105">
        <v>10</v>
      </c>
      <c r="AC53" s="105">
        <v>3924</v>
      </c>
      <c r="AD53" s="105">
        <v>11</v>
      </c>
      <c r="AE53" s="105">
        <v>4316.3999999999996</v>
      </c>
      <c r="AF53" s="105">
        <v>11</v>
      </c>
      <c r="AG53" s="105">
        <v>4316.3999999999996</v>
      </c>
      <c r="AH53" s="105">
        <v>9</v>
      </c>
      <c r="AI53" s="105">
        <v>3531.6</v>
      </c>
      <c r="AJ53" s="105">
        <v>13.870817290213131</v>
      </c>
      <c r="AK53" s="105">
        <v>5442.9087046796321</v>
      </c>
      <c r="AL53" s="105">
        <v>10.364970200113151</v>
      </c>
      <c r="AM53" s="105">
        <v>4067.2143065243999</v>
      </c>
      <c r="AN53" s="105">
        <v>10.124465652056633</v>
      </c>
      <c r="AO53" s="105">
        <v>3972.8403218670228</v>
      </c>
      <c r="AP53" s="105">
        <v>11.087119763235789</v>
      </c>
      <c r="AQ53" s="105">
        <v>4350.5857950937234</v>
      </c>
      <c r="AR53" s="105">
        <v>12.034062376465892</v>
      </c>
      <c r="AS53" s="105">
        <v>4722.1660765252154</v>
      </c>
      <c r="AT53" s="105">
        <v>11.143328228448645</v>
      </c>
      <c r="AU53" s="105">
        <v>4372.6419968432483</v>
      </c>
      <c r="AV53" s="105">
        <v>11.352997935016024</v>
      </c>
      <c r="AW53" s="105">
        <v>4454.9163897002873</v>
      </c>
      <c r="AX53" s="105">
        <v>11.939089506205102</v>
      </c>
      <c r="AY53" s="105">
        <v>4684.8987222348815</v>
      </c>
      <c r="AZ53" s="105">
        <v>10</v>
      </c>
      <c r="BA53" s="105">
        <v>3924</v>
      </c>
      <c r="BB53" s="105">
        <v>13.411620952778854</v>
      </c>
      <c r="BC53" s="105">
        <v>5262.7200618704219</v>
      </c>
      <c r="BD53" s="105">
        <v>11.511732860551202</v>
      </c>
      <c r="BE53" s="105">
        <v>4517.2039744802914</v>
      </c>
      <c r="BF53" s="105">
        <v>10</v>
      </c>
      <c r="BG53" s="105">
        <v>3924</v>
      </c>
      <c r="BH53" s="105">
        <v>11.805376500257251</v>
      </c>
      <c r="BI53" s="105">
        <v>4632.4297387009456</v>
      </c>
      <c r="BJ53" s="105">
        <v>10</v>
      </c>
      <c r="BK53" s="105">
        <v>3924</v>
      </c>
      <c r="BL53" s="105">
        <v>12.793285624673739</v>
      </c>
      <c r="BM53" s="105">
        <v>5020.085279121975</v>
      </c>
      <c r="BN53" s="105">
        <v>11.865163255392686</v>
      </c>
      <c r="BO53" s="105">
        <v>4655.8900614160893</v>
      </c>
      <c r="BP53" s="105">
        <v>10.62671187183318</v>
      </c>
      <c r="BQ53" s="105">
        <v>4169.9217385073398</v>
      </c>
      <c r="BR53" s="105">
        <v>10.469261695934724</v>
      </c>
      <c r="BS53" s="105">
        <v>4108.1382894847857</v>
      </c>
      <c r="BT53" s="105">
        <v>11.970164700130676</v>
      </c>
      <c r="BU53" s="105">
        <v>4697.0926283312765</v>
      </c>
      <c r="BV53" s="105">
        <v>12.041204253247177</v>
      </c>
      <c r="BW53" s="105">
        <v>4724.9685489741914</v>
      </c>
      <c r="BX53" s="105">
        <v>10</v>
      </c>
      <c r="BY53" s="105">
        <v>3924</v>
      </c>
      <c r="BZ53" s="105">
        <v>14.001933941473194</v>
      </c>
      <c r="CA53" s="105">
        <v>5494.3588786340806</v>
      </c>
      <c r="CB53" s="105">
        <v>10.332579668237797</v>
      </c>
      <c r="CC53" s="105">
        <v>4054.5042618165112</v>
      </c>
      <c r="CD53" s="105">
        <v>11.934958333365584</v>
      </c>
      <c r="CE53" s="105">
        <v>4683.2776500126547</v>
      </c>
      <c r="CF53" s="105">
        <v>11.902011588483969</v>
      </c>
      <c r="CG53" s="105">
        <v>4670.3493473211092</v>
      </c>
      <c r="CH53" s="105">
        <v>10.828904455795072</v>
      </c>
      <c r="CI53" s="105">
        <v>4249.262108453986</v>
      </c>
      <c r="CJ53" s="105">
        <v>9.7247808642238098</v>
      </c>
      <c r="CK53" s="105">
        <v>3816.0040111214225</v>
      </c>
      <c r="CL53" s="105">
        <v>10.771786436636365</v>
      </c>
      <c r="CM53" s="105">
        <v>4226.8489977361096</v>
      </c>
      <c r="CN53" s="105">
        <v>11</v>
      </c>
      <c r="CO53" s="105">
        <v>4316.3999999999996</v>
      </c>
      <c r="CP53" s="105">
        <v>10.569855439540609</v>
      </c>
      <c r="CQ53" s="105">
        <v>4147.6112744757347</v>
      </c>
      <c r="CR53" s="105">
        <v>10.814373889601454</v>
      </c>
      <c r="CS53" s="105">
        <v>4243.5603142796099</v>
      </c>
      <c r="CT53" s="105">
        <v>13.157865866875159</v>
      </c>
      <c r="CU53" s="105">
        <v>5163.1465661618122</v>
      </c>
    </row>
    <row r="54" spans="2:99" x14ac:dyDescent="0.2">
      <c r="C54" s="104" t="s">
        <v>220</v>
      </c>
      <c r="D54" s="105">
        <v>0</v>
      </c>
      <c r="E54" s="105">
        <v>0</v>
      </c>
      <c r="F54" s="105">
        <v>0</v>
      </c>
      <c r="G54" s="105">
        <v>0</v>
      </c>
      <c r="H54" s="105">
        <v>0</v>
      </c>
      <c r="I54" s="105">
        <v>0</v>
      </c>
      <c r="J54" s="105">
        <v>0</v>
      </c>
      <c r="K54" s="105">
        <v>0</v>
      </c>
      <c r="L54" s="105">
        <v>11.085708484754688</v>
      </c>
      <c r="M54" s="105">
        <v>4522.9690617799124</v>
      </c>
      <c r="N54" s="105">
        <v>11.863236778383463</v>
      </c>
      <c r="O54" s="105">
        <v>4840.2006055804532</v>
      </c>
      <c r="P54" s="105">
        <v>14.896782770527198</v>
      </c>
      <c r="Q54" s="105">
        <v>6077.8873703750969</v>
      </c>
      <c r="R54" s="105">
        <v>9.9453597301712211</v>
      </c>
      <c r="S54" s="105">
        <v>4057.7067699098584</v>
      </c>
      <c r="T54" s="105">
        <v>16.34005925658758</v>
      </c>
      <c r="U54" s="105">
        <v>6666.7441766877328</v>
      </c>
      <c r="V54" s="105">
        <v>13.428399761397772</v>
      </c>
      <c r="W54" s="105">
        <v>5478.7871026502908</v>
      </c>
      <c r="X54" s="105">
        <v>8.3353754808346192</v>
      </c>
      <c r="Y54" s="105">
        <v>3400.8331961805247</v>
      </c>
      <c r="Z54" s="105">
        <v>14.225417588392659</v>
      </c>
      <c r="AA54" s="105">
        <v>5803.9703760642051</v>
      </c>
      <c r="AB54" s="105">
        <v>8.2962180583068719</v>
      </c>
      <c r="AC54" s="105">
        <v>3384.8569677892037</v>
      </c>
      <c r="AD54" s="105">
        <v>9.2380904039622411</v>
      </c>
      <c r="AE54" s="105">
        <v>3769.1408848165943</v>
      </c>
      <c r="AF54" s="105">
        <v>8.6338548397495938</v>
      </c>
      <c r="AG54" s="105">
        <v>3522.6127746178345</v>
      </c>
      <c r="AH54" s="105">
        <v>9.9833481172230591</v>
      </c>
      <c r="AI54" s="105">
        <v>4073.2060318270082</v>
      </c>
      <c r="AJ54" s="105">
        <v>12.98853964230551</v>
      </c>
      <c r="AK54" s="105">
        <v>5299.3241740606481</v>
      </c>
      <c r="AL54" s="105">
        <v>8.342221854613209</v>
      </c>
      <c r="AM54" s="105">
        <v>3403.626516682189</v>
      </c>
      <c r="AN54" s="105">
        <v>13.315091603971268</v>
      </c>
      <c r="AO54" s="105">
        <v>5432.5573744202775</v>
      </c>
      <c r="AP54" s="105">
        <v>12.657730565672463</v>
      </c>
      <c r="AQ54" s="105">
        <v>5164.3540707943648</v>
      </c>
      <c r="AR54" s="105">
        <v>12.953471934029295</v>
      </c>
      <c r="AS54" s="105">
        <v>5285.0165490839527</v>
      </c>
      <c r="AT54" s="105">
        <v>8.8768500070949745</v>
      </c>
      <c r="AU54" s="105">
        <v>3621.7548028947494</v>
      </c>
      <c r="AV54" s="105">
        <v>15.000026628629648</v>
      </c>
      <c r="AW54" s="105">
        <v>6120.0108644808961</v>
      </c>
      <c r="AX54" s="105">
        <v>15.969134451969325</v>
      </c>
      <c r="AY54" s="105">
        <v>6515.4068564034842</v>
      </c>
      <c r="AZ54" s="105">
        <v>8.8511306569088539</v>
      </c>
      <c r="BA54" s="105">
        <v>3611.2613080188125</v>
      </c>
      <c r="BB54" s="105">
        <v>10.740033127116932</v>
      </c>
      <c r="BC54" s="105">
        <v>4381.9335158637086</v>
      </c>
      <c r="BD54" s="105">
        <v>10.908349487015846</v>
      </c>
      <c r="BE54" s="105">
        <v>4450.6065907024649</v>
      </c>
      <c r="BF54" s="105">
        <v>9.1491624402980829</v>
      </c>
      <c r="BG54" s="105">
        <v>3732.8582756416176</v>
      </c>
      <c r="BH54" s="105">
        <v>13.055147537907079</v>
      </c>
      <c r="BI54" s="105">
        <v>5326.5001954660884</v>
      </c>
      <c r="BJ54" s="105">
        <v>4.5223683405809352</v>
      </c>
      <c r="BK54" s="105">
        <v>1845.1262829570217</v>
      </c>
      <c r="BL54" s="105">
        <v>16</v>
      </c>
      <c r="BM54" s="105">
        <v>6528</v>
      </c>
      <c r="BN54" s="105">
        <v>10.185445467310245</v>
      </c>
      <c r="BO54" s="105">
        <v>4155.6617506625798</v>
      </c>
      <c r="BP54" s="105">
        <v>14.735112259839307</v>
      </c>
      <c r="BQ54" s="105">
        <v>6011.9258020144371</v>
      </c>
      <c r="BR54" s="105">
        <v>13.572791156681619</v>
      </c>
      <c r="BS54" s="105">
        <v>5537.698791926101</v>
      </c>
      <c r="BT54" s="105">
        <v>10.864123175400445</v>
      </c>
      <c r="BU54" s="105">
        <v>4432.5622555633818</v>
      </c>
      <c r="BV54" s="105">
        <v>11.63298336303103</v>
      </c>
      <c r="BW54" s="105">
        <v>4746.2572121166604</v>
      </c>
      <c r="BX54" s="105">
        <v>11</v>
      </c>
      <c r="BY54" s="105">
        <v>4488</v>
      </c>
      <c r="BZ54" s="105">
        <v>17.768939316162975</v>
      </c>
      <c r="CA54" s="105">
        <v>7249.7272409944935</v>
      </c>
      <c r="CB54" s="105">
        <v>10.782345450037116</v>
      </c>
      <c r="CC54" s="105">
        <v>4399.196943615143</v>
      </c>
      <c r="CD54" s="105">
        <v>14.741834482585583</v>
      </c>
      <c r="CE54" s="105">
        <v>6014.6684688949181</v>
      </c>
      <c r="CF54" s="105">
        <v>14.64429492695894</v>
      </c>
      <c r="CG54" s="105">
        <v>5974.8723301992477</v>
      </c>
      <c r="CH54" s="105">
        <v>11</v>
      </c>
      <c r="CI54" s="105">
        <v>4488</v>
      </c>
      <c r="CJ54" s="105">
        <v>10.008602892434098</v>
      </c>
      <c r="CK54" s="105">
        <v>4083.5099801131119</v>
      </c>
      <c r="CL54" s="105">
        <v>4.965594206948861</v>
      </c>
      <c r="CM54" s="105">
        <v>2025.9624364351353</v>
      </c>
      <c r="CN54" s="105">
        <v>7.9204130871689697</v>
      </c>
      <c r="CO54" s="105">
        <v>3231.5285395649398</v>
      </c>
      <c r="CP54" s="105">
        <v>12.757244842411211</v>
      </c>
      <c r="CQ54" s="105">
        <v>5204.9558957037743</v>
      </c>
      <c r="CR54" s="105">
        <v>12.496687509988192</v>
      </c>
      <c r="CS54" s="105">
        <v>5098.6485040751822</v>
      </c>
      <c r="CT54" s="105">
        <v>11.273167545506622</v>
      </c>
      <c r="CU54" s="105">
        <v>4599.4523585667021</v>
      </c>
    </row>
    <row r="55" spans="2:99" x14ac:dyDescent="0.2">
      <c r="C55" s="104" t="s">
        <v>221</v>
      </c>
      <c r="D55" s="105">
        <v>0</v>
      </c>
      <c r="E55" s="105">
        <v>0</v>
      </c>
      <c r="F55" s="105">
        <v>0</v>
      </c>
      <c r="G55" s="105">
        <v>0</v>
      </c>
      <c r="H55" s="105">
        <v>0</v>
      </c>
      <c r="I55" s="105">
        <v>0</v>
      </c>
      <c r="J55" s="105">
        <v>0</v>
      </c>
      <c r="K55" s="105">
        <v>0</v>
      </c>
      <c r="L55" s="105">
        <v>10.924313305625866</v>
      </c>
      <c r="M55" s="105">
        <v>2779.1453049512197</v>
      </c>
      <c r="N55" s="105">
        <v>11.476848821579836</v>
      </c>
      <c r="O55" s="105">
        <v>2919.7103402099096</v>
      </c>
      <c r="P55" s="105">
        <v>13.089954301110643</v>
      </c>
      <c r="Q55" s="105">
        <v>3330.0843742025468</v>
      </c>
      <c r="R55" s="105">
        <v>10</v>
      </c>
      <c r="S55" s="105">
        <v>2543.9999999999995</v>
      </c>
      <c r="T55" s="105">
        <v>12.872907088185626</v>
      </c>
      <c r="U55" s="105">
        <v>3274.8675632344225</v>
      </c>
      <c r="V55" s="105">
        <v>10.567411024334112</v>
      </c>
      <c r="W55" s="105">
        <v>2688.3493645905974</v>
      </c>
      <c r="X55" s="105">
        <v>13.597853762529397</v>
      </c>
      <c r="Y55" s="105">
        <v>3459.293997187478</v>
      </c>
      <c r="Z55" s="105">
        <v>11.949015999247052</v>
      </c>
      <c r="AA55" s="105">
        <v>3039.8296702084494</v>
      </c>
      <c r="AB55" s="105">
        <v>10</v>
      </c>
      <c r="AC55" s="105">
        <v>2543.9999999999995</v>
      </c>
      <c r="AD55" s="105">
        <v>10</v>
      </c>
      <c r="AE55" s="105">
        <v>2543.9999999999995</v>
      </c>
      <c r="AF55" s="105">
        <v>11</v>
      </c>
      <c r="AG55" s="105">
        <v>2798.3999999999996</v>
      </c>
      <c r="AH55" s="105">
        <v>10</v>
      </c>
      <c r="AI55" s="105">
        <v>2543.9999999999995</v>
      </c>
      <c r="AJ55" s="105">
        <v>13.870817290213131</v>
      </c>
      <c r="AK55" s="105">
        <v>3528.7359186302197</v>
      </c>
      <c r="AL55" s="105">
        <v>11.228717716789246</v>
      </c>
      <c r="AM55" s="105">
        <v>2856.5857871511835</v>
      </c>
      <c r="AN55" s="105">
        <v>12.14935878246796</v>
      </c>
      <c r="AO55" s="105">
        <v>3090.7968742598482</v>
      </c>
      <c r="AP55" s="105">
        <v>11.826261080784843</v>
      </c>
      <c r="AQ55" s="105">
        <v>3008.6008189516633</v>
      </c>
      <c r="AR55" s="105">
        <v>11.231791551368167</v>
      </c>
      <c r="AS55" s="105">
        <v>2857.367770668061</v>
      </c>
      <c r="AT55" s="105">
        <v>10.286149133952595</v>
      </c>
      <c r="AU55" s="105">
        <v>2616.7963396775394</v>
      </c>
      <c r="AV55" s="105">
        <v>11.352997935016024</v>
      </c>
      <c r="AW55" s="105">
        <v>2888.2026746680758</v>
      </c>
      <c r="AX55" s="105">
        <v>13.343688271640996</v>
      </c>
      <c r="AY55" s="105">
        <v>3394.6342963054685</v>
      </c>
      <c r="AZ55" s="105">
        <v>11</v>
      </c>
      <c r="BA55" s="105">
        <v>2798.3999999999996</v>
      </c>
      <c r="BB55" s="105">
        <v>12.622702073203628</v>
      </c>
      <c r="BC55" s="105">
        <v>3211.2154074230025</v>
      </c>
      <c r="BD55" s="105">
        <v>11.511732860551202</v>
      </c>
      <c r="BE55" s="105">
        <v>2928.5848397242253</v>
      </c>
      <c r="BF55" s="105">
        <v>10</v>
      </c>
      <c r="BG55" s="105">
        <v>2543.9999999999995</v>
      </c>
      <c r="BH55" s="105">
        <v>11.805376500257251</v>
      </c>
      <c r="BI55" s="105">
        <v>3003.2877816654441</v>
      </c>
      <c r="BJ55" s="105">
        <v>11</v>
      </c>
      <c r="BK55" s="105">
        <v>2798.3999999999996</v>
      </c>
      <c r="BL55" s="105">
        <v>11.993705273131633</v>
      </c>
      <c r="BM55" s="105">
        <v>3051.198621484687</v>
      </c>
      <c r="BN55" s="105">
        <v>10.876399650776628</v>
      </c>
      <c r="BO55" s="105">
        <v>2766.9560711575737</v>
      </c>
      <c r="BP55" s="105">
        <v>12.144813567809349</v>
      </c>
      <c r="BQ55" s="105">
        <v>3089.6405716506979</v>
      </c>
      <c r="BR55" s="105">
        <v>11.167212475663705</v>
      </c>
      <c r="BS55" s="105">
        <v>2840.938853808846</v>
      </c>
      <c r="BT55" s="105">
        <v>10.640146400116155</v>
      </c>
      <c r="BU55" s="105">
        <v>2706.8532441895491</v>
      </c>
      <c r="BV55" s="105">
        <v>10.703292669553047</v>
      </c>
      <c r="BW55" s="105">
        <v>2722.9176551342948</v>
      </c>
      <c r="BX55" s="105">
        <v>10</v>
      </c>
      <c r="BY55" s="105">
        <v>2543.9999999999995</v>
      </c>
      <c r="BZ55" s="105">
        <v>12.528046158160224</v>
      </c>
      <c r="CA55" s="105">
        <v>3187.1349426359602</v>
      </c>
      <c r="CB55" s="105">
        <v>12.211230517008307</v>
      </c>
      <c r="CC55" s="105">
        <v>3106.5370435269128</v>
      </c>
      <c r="CD55" s="105">
        <v>11.271905092623053</v>
      </c>
      <c r="CE55" s="105">
        <v>2867.5726555633041</v>
      </c>
      <c r="CF55" s="105">
        <v>11.201893259749616</v>
      </c>
      <c r="CG55" s="105">
        <v>2849.7616452803018</v>
      </c>
      <c r="CH55" s="105">
        <v>11.813350315412805</v>
      </c>
      <c r="CI55" s="105">
        <v>3005.3163202410169</v>
      </c>
      <c r="CJ55" s="105">
        <v>11.492922839537229</v>
      </c>
      <c r="CK55" s="105">
        <v>2923.7995703782703</v>
      </c>
      <c r="CL55" s="105">
        <v>11.541199753538962</v>
      </c>
      <c r="CM55" s="105">
        <v>2936.0812173003114</v>
      </c>
      <c r="CN55" s="105">
        <v>10</v>
      </c>
      <c r="CO55" s="105">
        <v>2543.9999999999995</v>
      </c>
      <c r="CP55" s="105">
        <v>10.569855439540609</v>
      </c>
      <c r="CQ55" s="105">
        <v>2688.9712238191305</v>
      </c>
      <c r="CR55" s="105">
        <v>12.478123718770906</v>
      </c>
      <c r="CS55" s="105">
        <v>3174.4346740553178</v>
      </c>
      <c r="CT55" s="105">
        <v>11.403483751291803</v>
      </c>
      <c r="CU55" s="105">
        <v>2901.0462663286344</v>
      </c>
    </row>
    <row r="56" spans="2:99" x14ac:dyDescent="0.2">
      <c r="C56" s="104" t="s">
        <v>222</v>
      </c>
      <c r="D56" s="105">
        <v>1.8723404255319149</v>
      </c>
      <c r="E56" s="105">
        <v>1419.9829787234041</v>
      </c>
      <c r="F56" s="105">
        <v>0</v>
      </c>
      <c r="G56" s="105">
        <v>0</v>
      </c>
      <c r="H56" s="105">
        <v>0</v>
      </c>
      <c r="I56" s="105">
        <v>0</v>
      </c>
      <c r="J56" s="105">
        <v>0</v>
      </c>
      <c r="K56" s="105">
        <v>0</v>
      </c>
      <c r="L56" s="105">
        <v>9.2598460319569877</v>
      </c>
      <c r="M56" s="105">
        <v>7022.6672306361797</v>
      </c>
      <c r="N56" s="105">
        <v>12.436977954945162</v>
      </c>
      <c r="O56" s="105">
        <v>9432.2040810304097</v>
      </c>
      <c r="P56" s="105">
        <v>15.817284783725128</v>
      </c>
      <c r="Q56" s="105">
        <v>11995.828779977137</v>
      </c>
      <c r="R56" s="105">
        <v>8.0695740684411632</v>
      </c>
      <c r="S56" s="105">
        <v>6119.9649735057783</v>
      </c>
      <c r="T56" s="105">
        <v>11.924112884638145</v>
      </c>
      <c r="U56" s="105">
        <v>9043.2472117095695</v>
      </c>
      <c r="V56" s="105">
        <v>13.584015300012643</v>
      </c>
      <c r="W56" s="105">
        <v>10302.117203529588</v>
      </c>
      <c r="X56" s="105">
        <v>10.728245331570088</v>
      </c>
      <c r="Y56" s="105">
        <v>8136.3012594627544</v>
      </c>
      <c r="Z56" s="105">
        <v>13.769511307260716</v>
      </c>
      <c r="AA56" s="105">
        <v>10442.797375426526</v>
      </c>
      <c r="AB56" s="105">
        <v>6.8711224741182182</v>
      </c>
      <c r="AC56" s="105">
        <v>5211.0592843712566</v>
      </c>
      <c r="AD56" s="105">
        <v>6.4556592547529306</v>
      </c>
      <c r="AE56" s="105">
        <v>4895.9719788046223</v>
      </c>
      <c r="AF56" s="105">
        <v>9.4035686976414645</v>
      </c>
      <c r="AG56" s="105">
        <v>7131.6665002912869</v>
      </c>
      <c r="AH56" s="105">
        <v>7.7109263320660011</v>
      </c>
      <c r="AI56" s="105">
        <v>5847.9665302388548</v>
      </c>
      <c r="AJ56" s="105">
        <v>13.784896236095644</v>
      </c>
      <c r="AK56" s="105">
        <v>10454.465305454936</v>
      </c>
      <c r="AL56" s="105">
        <v>8.0019046842194346</v>
      </c>
      <c r="AM56" s="105">
        <v>6068.644512512019</v>
      </c>
      <c r="AN56" s="105">
        <v>10.969518631390963</v>
      </c>
      <c r="AO56" s="105">
        <v>8319.2829300469057</v>
      </c>
      <c r="AP56" s="105">
        <v>12.15515480916808</v>
      </c>
      <c r="AQ56" s="105">
        <v>9218.4694072730708</v>
      </c>
      <c r="AR56" s="105">
        <v>8.9217329461920674</v>
      </c>
      <c r="AS56" s="105">
        <v>6766.2422663920634</v>
      </c>
      <c r="AT56" s="105">
        <v>11.391141172370229</v>
      </c>
      <c r="AU56" s="105">
        <v>8639.0414651255815</v>
      </c>
      <c r="AV56" s="105">
        <v>9.4695586534143867</v>
      </c>
      <c r="AW56" s="105">
        <v>7181.7132827494706</v>
      </c>
      <c r="AX56" s="105">
        <v>11.451870790197029</v>
      </c>
      <c r="AY56" s="105">
        <v>8685.098807285427</v>
      </c>
      <c r="AZ56" s="105">
        <v>8.9546241275605176</v>
      </c>
      <c r="BA56" s="105">
        <v>6791.1869383418962</v>
      </c>
      <c r="BB56" s="105">
        <v>9.9898640739316615</v>
      </c>
      <c r="BC56" s="105">
        <v>7576.3129136697717</v>
      </c>
      <c r="BD56" s="105">
        <v>7.3437393638723814</v>
      </c>
      <c r="BE56" s="105">
        <v>5569.4919335608138</v>
      </c>
      <c r="BF56" s="105">
        <v>9</v>
      </c>
      <c r="BG56" s="105">
        <v>6825.5999999999995</v>
      </c>
      <c r="BH56" s="105">
        <v>12.674964262611201</v>
      </c>
      <c r="BI56" s="105">
        <v>9612.6928967643344</v>
      </c>
      <c r="BJ56" s="105">
        <v>6.9398336988593998</v>
      </c>
      <c r="BK56" s="105">
        <v>5263.1698772149684</v>
      </c>
      <c r="BL56" s="105">
        <v>10.281235109421335</v>
      </c>
      <c r="BM56" s="105">
        <v>7797.2887069851404</v>
      </c>
      <c r="BN56" s="105">
        <v>7.4863362447242725</v>
      </c>
      <c r="BO56" s="105">
        <v>5677.6374079988882</v>
      </c>
      <c r="BP56" s="105">
        <v>12.048322393853127</v>
      </c>
      <c r="BQ56" s="105">
        <v>9137.4477034982119</v>
      </c>
      <c r="BR56" s="105">
        <v>10.324252829544434</v>
      </c>
      <c r="BS56" s="105">
        <v>7829.9133459264986</v>
      </c>
      <c r="BT56" s="105">
        <v>15.421852664132002</v>
      </c>
      <c r="BU56" s="105">
        <v>11695.93306047771</v>
      </c>
      <c r="BV56" s="105">
        <v>12.036567932981074</v>
      </c>
      <c r="BW56" s="105">
        <v>9128.5331203728456</v>
      </c>
      <c r="BX56" s="105">
        <v>7.6345805267980209</v>
      </c>
      <c r="BY56" s="105">
        <v>5790.0658715236186</v>
      </c>
      <c r="BZ56" s="105">
        <v>13.632576940669171</v>
      </c>
      <c r="CA56" s="105">
        <v>10338.946351803499</v>
      </c>
      <c r="CB56" s="105">
        <v>7.4403675133970175</v>
      </c>
      <c r="CC56" s="105">
        <v>5642.7747221602976</v>
      </c>
      <c r="CD56" s="105">
        <v>11.015609045808572</v>
      </c>
      <c r="CE56" s="105">
        <v>8354.2379003412207</v>
      </c>
      <c r="CF56" s="105">
        <v>11.712799491745823</v>
      </c>
      <c r="CG56" s="105">
        <v>8882.9871345400315</v>
      </c>
      <c r="CH56" s="105">
        <v>7.0979238203117996</v>
      </c>
      <c r="CI56" s="105">
        <v>5383.0654253244684</v>
      </c>
      <c r="CJ56" s="105">
        <v>8.2987547968423332</v>
      </c>
      <c r="CK56" s="105">
        <v>6293.7756379252251</v>
      </c>
      <c r="CL56" s="105">
        <v>10.955414460858798</v>
      </c>
      <c r="CM56" s="105">
        <v>8308.5863271153121</v>
      </c>
      <c r="CN56" s="105">
        <v>6.5905353265521374</v>
      </c>
      <c r="CO56" s="105">
        <v>4998.2619916571412</v>
      </c>
      <c r="CP56" s="105">
        <v>9.8858029898282052</v>
      </c>
      <c r="CQ56" s="105">
        <v>7497.3929874857104</v>
      </c>
      <c r="CR56" s="105">
        <v>10.176857088005889</v>
      </c>
      <c r="CS56" s="105">
        <v>7718.1284155436661</v>
      </c>
      <c r="CT56" s="105">
        <v>9.4282068689016594</v>
      </c>
      <c r="CU56" s="105">
        <v>7150.3520893750183</v>
      </c>
    </row>
    <row r="57" spans="2:99" x14ac:dyDescent="0.2">
      <c r="C57" s="104" t="s">
        <v>223</v>
      </c>
      <c r="D57" s="105">
        <v>0</v>
      </c>
      <c r="E57" s="105">
        <v>0</v>
      </c>
      <c r="F57" s="105">
        <v>0</v>
      </c>
      <c r="G57" s="105">
        <v>0</v>
      </c>
      <c r="H57" s="105">
        <v>0</v>
      </c>
      <c r="I57" s="105">
        <v>0</v>
      </c>
      <c r="J57" s="105">
        <v>0</v>
      </c>
      <c r="K57" s="105">
        <v>0</v>
      </c>
      <c r="L57" s="105">
        <v>11.917432697046399</v>
      </c>
      <c r="M57" s="105">
        <v>8337.4359148536605</v>
      </c>
      <c r="N57" s="105">
        <v>11.476848821579836</v>
      </c>
      <c r="O57" s="105">
        <v>8029.203435577253</v>
      </c>
      <c r="P57" s="105">
        <v>10.908295250925534</v>
      </c>
      <c r="Q57" s="105">
        <v>7631.4433575475032</v>
      </c>
      <c r="R57" s="105">
        <v>10</v>
      </c>
      <c r="S57" s="105">
        <v>6996</v>
      </c>
      <c r="T57" s="105">
        <v>12.872907088185626</v>
      </c>
      <c r="U57" s="105">
        <v>9005.8857988946638</v>
      </c>
      <c r="V57" s="105">
        <v>10.567411024334112</v>
      </c>
      <c r="W57" s="105">
        <v>7392.9607526241443</v>
      </c>
      <c r="X57" s="105">
        <v>12.166500734894724</v>
      </c>
      <c r="Y57" s="105">
        <v>8511.6839141323489</v>
      </c>
      <c r="Z57" s="105">
        <v>12.745617065863522</v>
      </c>
      <c r="AA57" s="105">
        <v>8916.8336992781205</v>
      </c>
      <c r="AB57" s="105">
        <v>10</v>
      </c>
      <c r="AC57" s="105">
        <v>6996</v>
      </c>
      <c r="AD57" s="105">
        <v>10</v>
      </c>
      <c r="AE57" s="105">
        <v>6996</v>
      </c>
      <c r="AF57" s="105">
        <v>10</v>
      </c>
      <c r="AG57" s="105">
        <v>6996</v>
      </c>
      <c r="AH57" s="105">
        <v>9</v>
      </c>
      <c r="AI57" s="105">
        <v>6296.4000000000005</v>
      </c>
      <c r="AJ57" s="105">
        <v>14.795538442894006</v>
      </c>
      <c r="AK57" s="105">
        <v>10350.958694648647</v>
      </c>
      <c r="AL57" s="105">
        <v>11.228717716789246</v>
      </c>
      <c r="AM57" s="105">
        <v>7855.6109146657573</v>
      </c>
      <c r="AN57" s="105">
        <v>12.14935878246796</v>
      </c>
      <c r="AO57" s="105">
        <v>8499.6914042145854</v>
      </c>
      <c r="AP57" s="105">
        <v>11.087119763235789</v>
      </c>
      <c r="AQ57" s="105">
        <v>7756.5489863597577</v>
      </c>
      <c r="AR57" s="105">
        <v>12.034062376465892</v>
      </c>
      <c r="AS57" s="105">
        <v>8419.0300385755381</v>
      </c>
      <c r="AT57" s="105">
        <v>10.286149133952595</v>
      </c>
      <c r="AU57" s="105">
        <v>7196.1899341132357</v>
      </c>
      <c r="AV57" s="105">
        <v>11.352997935016024</v>
      </c>
      <c r="AW57" s="105">
        <v>7942.5573553372105</v>
      </c>
      <c r="AX57" s="105">
        <v>11.236790123487154</v>
      </c>
      <c r="AY57" s="105">
        <v>7861.2583703916134</v>
      </c>
      <c r="AZ57" s="105">
        <v>9</v>
      </c>
      <c r="BA57" s="105">
        <v>6296.4000000000005</v>
      </c>
      <c r="BB57" s="105">
        <v>11.833783193628401</v>
      </c>
      <c r="BC57" s="105">
        <v>8278.9147222624288</v>
      </c>
      <c r="BD57" s="105">
        <v>10.552421788838602</v>
      </c>
      <c r="BE57" s="105">
        <v>7382.4742834714862</v>
      </c>
      <c r="BF57" s="105">
        <v>11</v>
      </c>
      <c r="BG57" s="105">
        <v>7695.6</v>
      </c>
      <c r="BH57" s="105">
        <v>11.805376500257251</v>
      </c>
      <c r="BI57" s="105">
        <v>8259.0413995799736</v>
      </c>
      <c r="BJ57" s="105">
        <v>11</v>
      </c>
      <c r="BK57" s="105">
        <v>7695.6</v>
      </c>
      <c r="BL57" s="105">
        <v>11.993705273131633</v>
      </c>
      <c r="BM57" s="105">
        <v>8390.7962090828914</v>
      </c>
      <c r="BN57" s="105">
        <v>10.876399650776628</v>
      </c>
      <c r="BO57" s="105">
        <v>7609.1291956833293</v>
      </c>
      <c r="BP57" s="105">
        <v>12.144813567809349</v>
      </c>
      <c r="BQ57" s="105">
        <v>8496.5115720394206</v>
      </c>
      <c r="BR57" s="105">
        <v>11.865163255392686</v>
      </c>
      <c r="BS57" s="105">
        <v>8300.8682134727223</v>
      </c>
      <c r="BT57" s="105">
        <v>10.640146400116155</v>
      </c>
      <c r="BU57" s="105">
        <v>7443.8464215212625</v>
      </c>
      <c r="BV57" s="105">
        <v>10.034336877705982</v>
      </c>
      <c r="BW57" s="105">
        <v>7020.0220796431058</v>
      </c>
      <c r="BX57" s="105">
        <v>11</v>
      </c>
      <c r="BY57" s="105">
        <v>7695.6</v>
      </c>
      <c r="BZ57" s="105">
        <v>14.001933941473194</v>
      </c>
      <c r="CA57" s="105">
        <v>9795.7529854546465</v>
      </c>
      <c r="CB57" s="105">
        <v>11.271905092623053</v>
      </c>
      <c r="CC57" s="105">
        <v>7885.8248027990876</v>
      </c>
      <c r="CD57" s="105">
        <v>10.608851851880519</v>
      </c>
      <c r="CE57" s="105">
        <v>7421.9527555756113</v>
      </c>
      <c r="CF57" s="105">
        <v>11.201893259749616</v>
      </c>
      <c r="CG57" s="105">
        <v>7836.8445245208313</v>
      </c>
      <c r="CH57" s="105">
        <v>10.828904455795072</v>
      </c>
      <c r="CI57" s="105">
        <v>7575.9015572742328</v>
      </c>
      <c r="CJ57" s="105">
        <v>10.608851851880519</v>
      </c>
      <c r="CK57" s="105">
        <v>7421.9527555756113</v>
      </c>
      <c r="CL57" s="105">
        <v>11.541199753538962</v>
      </c>
      <c r="CM57" s="105">
        <v>8074.2233475758576</v>
      </c>
      <c r="CN57" s="105">
        <v>9</v>
      </c>
      <c r="CO57" s="105">
        <v>6296.4000000000005</v>
      </c>
      <c r="CP57" s="105">
        <v>10.569855439540609</v>
      </c>
      <c r="CQ57" s="105">
        <v>7394.6708655026105</v>
      </c>
      <c r="CR57" s="105">
        <v>11.646248804186179</v>
      </c>
      <c r="CS57" s="105">
        <v>8147.7156634086514</v>
      </c>
      <c r="CT57" s="105">
        <v>12.280674809083481</v>
      </c>
      <c r="CU57" s="105">
        <v>8591.5600964348032</v>
      </c>
    </row>
    <row r="58" spans="2:99" x14ac:dyDescent="0.2">
      <c r="C58" s="104" t="s">
        <v>224</v>
      </c>
      <c r="D58" s="105">
        <v>1.8723404255319149</v>
      </c>
      <c r="E58" s="105">
        <v>1415.4893617021278</v>
      </c>
      <c r="F58" s="105">
        <v>0</v>
      </c>
      <c r="G58" s="105">
        <v>0</v>
      </c>
      <c r="H58" s="105">
        <v>0</v>
      </c>
      <c r="I58" s="105">
        <v>0</v>
      </c>
      <c r="J58" s="105">
        <v>0</v>
      </c>
      <c r="K58" s="105">
        <v>0</v>
      </c>
      <c r="L58" s="105">
        <v>9.2598460319569877</v>
      </c>
      <c r="M58" s="105">
        <v>7000.4436001594831</v>
      </c>
      <c r="N58" s="105">
        <v>11.548622386734792</v>
      </c>
      <c r="O58" s="105">
        <v>8730.7585243715021</v>
      </c>
      <c r="P58" s="105">
        <v>16.805865082707946</v>
      </c>
      <c r="Q58" s="105">
        <v>12705.234002527208</v>
      </c>
      <c r="R58" s="105">
        <v>8.0695740684411632</v>
      </c>
      <c r="S58" s="105">
        <v>6100.5979957415193</v>
      </c>
      <c r="T58" s="105">
        <v>11.924112884638145</v>
      </c>
      <c r="U58" s="105">
        <v>9014.6293407864378</v>
      </c>
      <c r="V58" s="105">
        <v>11.985895852952332</v>
      </c>
      <c r="W58" s="105">
        <v>9061.3372648319637</v>
      </c>
      <c r="X58" s="105">
        <v>11.398760664793219</v>
      </c>
      <c r="Y58" s="105">
        <v>8617.4630625836744</v>
      </c>
      <c r="Z58" s="105">
        <v>14.687478727744763</v>
      </c>
      <c r="AA58" s="105">
        <v>11103.733918175041</v>
      </c>
      <c r="AB58" s="105">
        <v>7.6345805267980209</v>
      </c>
      <c r="AC58" s="105">
        <v>5771.7428782593042</v>
      </c>
      <c r="AD58" s="105">
        <v>7.8902502002535817</v>
      </c>
      <c r="AE58" s="105">
        <v>5965.0291513917082</v>
      </c>
      <c r="AF58" s="105">
        <v>9.4035686976414645</v>
      </c>
      <c r="AG58" s="105">
        <v>7109.0979354169476</v>
      </c>
      <c r="AH58" s="105">
        <v>6.9398336988593998</v>
      </c>
      <c r="AI58" s="105">
        <v>5246.5142763377062</v>
      </c>
      <c r="AJ58" s="105">
        <v>12.923340221339664</v>
      </c>
      <c r="AK58" s="105">
        <v>9770.045207332787</v>
      </c>
      <c r="AL58" s="105">
        <v>9.4567964449866047</v>
      </c>
      <c r="AM58" s="105">
        <v>7149.3381124098732</v>
      </c>
      <c r="AN58" s="105">
        <v>9.6789870276979091</v>
      </c>
      <c r="AO58" s="105">
        <v>7317.3141929396197</v>
      </c>
      <c r="AP58" s="105">
        <v>10.635760458022069</v>
      </c>
      <c r="AQ58" s="105">
        <v>8040.6349062646841</v>
      </c>
      <c r="AR58" s="105">
        <v>7.647199668164629</v>
      </c>
      <c r="AS58" s="105">
        <v>5781.2829491324592</v>
      </c>
      <c r="AT58" s="105">
        <v>9.6386579150825007</v>
      </c>
      <c r="AU58" s="105">
        <v>7286.8253838023702</v>
      </c>
      <c r="AV58" s="105">
        <v>8.7931616067419291</v>
      </c>
      <c r="AW58" s="105">
        <v>6647.6301746968984</v>
      </c>
      <c r="AX58" s="105">
        <v>11.451870790197029</v>
      </c>
      <c r="AY58" s="105">
        <v>8657.6143173889541</v>
      </c>
      <c r="AZ58" s="105">
        <v>8.9546241275605176</v>
      </c>
      <c r="BA58" s="105">
        <v>6769.6958404357511</v>
      </c>
      <c r="BB58" s="105">
        <v>10.614230578552389</v>
      </c>
      <c r="BC58" s="105">
        <v>8024.3583173856059</v>
      </c>
      <c r="BD58" s="105">
        <v>7.3437393638723814</v>
      </c>
      <c r="BE58" s="105">
        <v>5551.8669590875206</v>
      </c>
      <c r="BF58" s="105">
        <v>10</v>
      </c>
      <c r="BG58" s="105">
        <v>7560</v>
      </c>
      <c r="BH58" s="105">
        <v>11.769609672424687</v>
      </c>
      <c r="BI58" s="105">
        <v>8897.8249123530641</v>
      </c>
      <c r="BJ58" s="105">
        <v>7.7109263320660011</v>
      </c>
      <c r="BK58" s="105">
        <v>5829.4603070418971</v>
      </c>
      <c r="BL58" s="105">
        <v>10.281235109421335</v>
      </c>
      <c r="BM58" s="105">
        <v>7772.6137427225294</v>
      </c>
      <c r="BN58" s="105">
        <v>8.2349698691966999</v>
      </c>
      <c r="BO58" s="105">
        <v>6225.6372211127054</v>
      </c>
      <c r="BP58" s="105">
        <v>10.441879408006042</v>
      </c>
      <c r="BQ58" s="105">
        <v>7894.0608324525674</v>
      </c>
      <c r="BR58" s="105">
        <v>10.324252829544434</v>
      </c>
      <c r="BS58" s="105">
        <v>7805.1351391355929</v>
      </c>
      <c r="BT58" s="105">
        <v>14.565083071680222</v>
      </c>
      <c r="BU58" s="105">
        <v>11011.202802190248</v>
      </c>
      <c r="BV58" s="105">
        <v>12.036567932981074</v>
      </c>
      <c r="BW58" s="105">
        <v>9099.6453573336912</v>
      </c>
      <c r="BX58" s="105">
        <v>8.3980385794778218</v>
      </c>
      <c r="BY58" s="105">
        <v>6348.9171660852335</v>
      </c>
      <c r="BZ58" s="105">
        <v>15.336649058252819</v>
      </c>
      <c r="CA58" s="105">
        <v>11594.506688039131</v>
      </c>
      <c r="CB58" s="105">
        <v>7.4403675133970175</v>
      </c>
      <c r="CC58" s="105">
        <v>5624.9178401281451</v>
      </c>
      <c r="CD58" s="105">
        <v>11.015609045808572</v>
      </c>
      <c r="CE58" s="105">
        <v>8327.8004386312805</v>
      </c>
      <c r="CF58" s="105">
        <v>10.411377325996288</v>
      </c>
      <c r="CG58" s="105">
        <v>7871.0012584531933</v>
      </c>
      <c r="CH58" s="105">
        <v>7.0979238203117996</v>
      </c>
      <c r="CI58" s="105">
        <v>5366.0304081557206</v>
      </c>
      <c r="CJ58" s="105">
        <v>7.6071918971054711</v>
      </c>
      <c r="CK58" s="105">
        <v>5751.0370742117357</v>
      </c>
      <c r="CL58" s="105">
        <v>10.955414460858798</v>
      </c>
      <c r="CM58" s="105">
        <v>8282.2933324092501</v>
      </c>
      <c r="CN58" s="105">
        <v>6.5905353265521374</v>
      </c>
      <c r="CO58" s="105">
        <v>4982.4447068734162</v>
      </c>
      <c r="CP58" s="105">
        <v>11.203910055138634</v>
      </c>
      <c r="CQ58" s="105">
        <v>8470.1560016848071</v>
      </c>
      <c r="CR58" s="105">
        <v>10.176857088005889</v>
      </c>
      <c r="CS58" s="105">
        <v>7693.7039585324519</v>
      </c>
      <c r="CT58" s="105">
        <v>10.101650216680349</v>
      </c>
      <c r="CU58" s="105">
        <v>7636.8475638103446</v>
      </c>
    </row>
    <row r="59" spans="2:99" x14ac:dyDescent="0.2">
      <c r="C59" s="104" t="s">
        <v>225</v>
      </c>
      <c r="D59" s="105">
        <v>0</v>
      </c>
      <c r="E59" s="105">
        <v>0</v>
      </c>
      <c r="F59" s="105">
        <v>0</v>
      </c>
      <c r="G59" s="105">
        <v>0</v>
      </c>
      <c r="H59" s="105">
        <v>0</v>
      </c>
      <c r="I59" s="105">
        <v>0</v>
      </c>
      <c r="J59" s="105">
        <v>0</v>
      </c>
      <c r="K59" s="105">
        <v>0</v>
      </c>
      <c r="L59" s="105">
        <v>11.085708484754688</v>
      </c>
      <c r="M59" s="105">
        <v>4868.843166504259</v>
      </c>
      <c r="N59" s="105">
        <v>11.863236778383463</v>
      </c>
      <c r="O59" s="105">
        <v>5210.3335930660169</v>
      </c>
      <c r="P59" s="105">
        <v>14.896782770527198</v>
      </c>
      <c r="Q59" s="105">
        <v>6542.6669928155452</v>
      </c>
      <c r="R59" s="105">
        <v>9.0412361183374728</v>
      </c>
      <c r="S59" s="105">
        <v>3970.910903173818</v>
      </c>
      <c r="T59" s="105">
        <v>14.417699344047865</v>
      </c>
      <c r="U59" s="105">
        <v>6332.253551905822</v>
      </c>
      <c r="V59" s="105">
        <v>12.638493893080256</v>
      </c>
      <c r="W59" s="105">
        <v>5550.8265178408483</v>
      </c>
      <c r="X59" s="105">
        <v>8.3353754808346192</v>
      </c>
      <c r="Y59" s="105">
        <v>3660.8969111825645</v>
      </c>
      <c r="Z59" s="105">
        <v>13.336328989118117</v>
      </c>
      <c r="AA59" s="105">
        <v>5857.3156920206766</v>
      </c>
      <c r="AB59" s="105">
        <v>8.2962180583068719</v>
      </c>
      <c r="AC59" s="105">
        <v>3643.6989712083782</v>
      </c>
      <c r="AD59" s="105">
        <v>10.161899444358463</v>
      </c>
      <c r="AE59" s="105">
        <v>4463.1062359622365</v>
      </c>
      <c r="AF59" s="105">
        <v>8.6338548397495938</v>
      </c>
      <c r="AG59" s="105">
        <v>3791.9890456180215</v>
      </c>
      <c r="AH59" s="105">
        <v>9.9833481172230591</v>
      </c>
      <c r="AI59" s="105">
        <v>4384.6864930843676</v>
      </c>
      <c r="AJ59" s="105">
        <v>14.720344927946245</v>
      </c>
      <c r="AK59" s="105">
        <v>6465.1754923539911</v>
      </c>
      <c r="AL59" s="105">
        <v>8.342221854613209</v>
      </c>
      <c r="AM59" s="105">
        <v>3663.9038385461213</v>
      </c>
      <c r="AN59" s="105">
        <v>14.147284829219473</v>
      </c>
      <c r="AO59" s="105">
        <v>6213.4874969931925</v>
      </c>
      <c r="AP59" s="105">
        <v>13.561854177506209</v>
      </c>
      <c r="AQ59" s="105">
        <v>5956.3663547607266</v>
      </c>
      <c r="AR59" s="105">
        <v>12.028223938741489</v>
      </c>
      <c r="AS59" s="105">
        <v>5282.7959538952618</v>
      </c>
      <c r="AT59" s="105">
        <v>8.8768500070949745</v>
      </c>
      <c r="AU59" s="105">
        <v>3898.7125231161126</v>
      </c>
      <c r="AV59" s="105">
        <v>13.235317613496749</v>
      </c>
      <c r="AW59" s="105">
        <v>5812.9514958477721</v>
      </c>
      <c r="AX59" s="105">
        <v>14.194786179528288</v>
      </c>
      <c r="AY59" s="105">
        <v>6234.3500900488243</v>
      </c>
      <c r="AZ59" s="105">
        <v>8.8511306569088539</v>
      </c>
      <c r="BA59" s="105">
        <v>3887.4165845143684</v>
      </c>
      <c r="BB59" s="105">
        <v>11.456035335591395</v>
      </c>
      <c r="BC59" s="105">
        <v>5031.4907193917406</v>
      </c>
      <c r="BD59" s="105">
        <v>10.908349487015846</v>
      </c>
      <c r="BE59" s="105">
        <v>4790.9470946973597</v>
      </c>
      <c r="BF59" s="105">
        <v>8.3174204002709864</v>
      </c>
      <c r="BG59" s="105">
        <v>3653.011039799017</v>
      </c>
      <c r="BH59" s="105">
        <v>13.055147537907079</v>
      </c>
      <c r="BI59" s="105">
        <v>5733.8207986487887</v>
      </c>
      <c r="BJ59" s="105">
        <v>4.1112439459826682</v>
      </c>
      <c r="BK59" s="105">
        <v>1805.6583410755877</v>
      </c>
      <c r="BL59" s="105">
        <v>15</v>
      </c>
      <c r="BM59" s="105">
        <v>6588</v>
      </c>
      <c r="BN59" s="105">
        <v>11.11139505524754</v>
      </c>
      <c r="BO59" s="105">
        <v>4880.1247082647196</v>
      </c>
      <c r="BP59" s="105">
        <v>12.893223227359393</v>
      </c>
      <c r="BQ59" s="105">
        <v>5662.7036414562454</v>
      </c>
      <c r="BR59" s="105">
        <v>11.975992197072017</v>
      </c>
      <c r="BS59" s="105">
        <v>5259.8557729540298</v>
      </c>
      <c r="BT59" s="105">
        <v>9.6569983781337303</v>
      </c>
      <c r="BU59" s="105">
        <v>4241.3536876763346</v>
      </c>
      <c r="BV59" s="105">
        <v>11.63298336303103</v>
      </c>
      <c r="BW59" s="105">
        <v>5109.2062930432285</v>
      </c>
      <c r="BX59" s="105">
        <v>11</v>
      </c>
      <c r="BY59" s="105">
        <v>4831.2</v>
      </c>
      <c r="BZ59" s="105">
        <v>17.768939316162975</v>
      </c>
      <c r="CA59" s="105">
        <v>7804.1181476587781</v>
      </c>
      <c r="CB59" s="105">
        <v>10.782345450037116</v>
      </c>
      <c r="CC59" s="105">
        <v>4735.6061216563012</v>
      </c>
      <c r="CD59" s="105">
        <v>15.609001216855324</v>
      </c>
      <c r="CE59" s="105">
        <v>6855.4733344428578</v>
      </c>
      <c r="CF59" s="105">
        <v>14.64429492695894</v>
      </c>
      <c r="CG59" s="105">
        <v>6431.7743319203664</v>
      </c>
      <c r="CH59" s="105">
        <v>12</v>
      </c>
      <c r="CI59" s="105">
        <v>5270.4</v>
      </c>
      <c r="CJ59" s="105">
        <v>10.918475882655379</v>
      </c>
      <c r="CK59" s="105">
        <v>4795.3946076622424</v>
      </c>
      <c r="CL59" s="105">
        <v>4.6109089064525133</v>
      </c>
      <c r="CM59" s="105">
        <v>2025.1111917139438</v>
      </c>
      <c r="CN59" s="105">
        <v>6.4803379804109751</v>
      </c>
      <c r="CO59" s="105">
        <v>2846.1644409965002</v>
      </c>
      <c r="CP59" s="105">
        <v>14.351900447712612</v>
      </c>
      <c r="CQ59" s="105">
        <v>6303.3546766353793</v>
      </c>
      <c r="CR59" s="105">
        <v>12.496687509988192</v>
      </c>
      <c r="CS59" s="105">
        <v>5488.5451543868139</v>
      </c>
      <c r="CT59" s="105">
        <v>12.140334279776363</v>
      </c>
      <c r="CU59" s="105">
        <v>5332.0348156777782</v>
      </c>
    </row>
    <row r="60" spans="2:99" x14ac:dyDescent="0.2">
      <c r="C60" s="104" t="s">
        <v>226</v>
      </c>
      <c r="D60" s="105">
        <v>0</v>
      </c>
      <c r="E60" s="105">
        <v>0</v>
      </c>
      <c r="F60" s="105">
        <v>0</v>
      </c>
      <c r="G60" s="105">
        <v>0</v>
      </c>
      <c r="H60" s="105">
        <v>0</v>
      </c>
      <c r="I60" s="105">
        <v>0</v>
      </c>
      <c r="J60" s="105">
        <v>0</v>
      </c>
      <c r="K60" s="105">
        <v>0</v>
      </c>
      <c r="L60" s="105">
        <v>10.924313305625866</v>
      </c>
      <c r="M60" s="105">
        <v>2294.105794181432</v>
      </c>
      <c r="N60" s="105">
        <v>10.657073905752704</v>
      </c>
      <c r="O60" s="105">
        <v>2237.9855202080676</v>
      </c>
      <c r="P60" s="105">
        <v>11.63551493432057</v>
      </c>
      <c r="Q60" s="105">
        <v>2443.4581362073195</v>
      </c>
      <c r="R60" s="105">
        <v>10</v>
      </c>
      <c r="S60" s="105">
        <v>2100</v>
      </c>
      <c r="T60" s="105">
        <v>12.014713282306584</v>
      </c>
      <c r="U60" s="105">
        <v>2523.0897892843827</v>
      </c>
      <c r="V60" s="105">
        <v>11.271905092623053</v>
      </c>
      <c r="W60" s="105">
        <v>2367.1000694508411</v>
      </c>
      <c r="X60" s="105">
        <v>12.166500734894724</v>
      </c>
      <c r="Y60" s="105">
        <v>2554.9651543278919</v>
      </c>
      <c r="Z60" s="105">
        <v>11.949015999247052</v>
      </c>
      <c r="AA60" s="105">
        <v>2509.2933598418808</v>
      </c>
      <c r="AB60" s="105">
        <v>11</v>
      </c>
      <c r="AC60" s="105">
        <v>2310</v>
      </c>
      <c r="AD60" s="105">
        <v>10</v>
      </c>
      <c r="AE60" s="105">
        <v>2100</v>
      </c>
      <c r="AF60" s="105">
        <v>11</v>
      </c>
      <c r="AG60" s="105">
        <v>2310</v>
      </c>
      <c r="AH60" s="105">
        <v>10</v>
      </c>
      <c r="AI60" s="105">
        <v>2100</v>
      </c>
      <c r="AJ60" s="105">
        <v>13.870817290213131</v>
      </c>
      <c r="AK60" s="105">
        <v>2912.8716309447573</v>
      </c>
      <c r="AL60" s="105">
        <v>10.364970200113151</v>
      </c>
      <c r="AM60" s="105">
        <v>2176.6437420237617</v>
      </c>
      <c r="AN60" s="105">
        <v>12.824323159271735</v>
      </c>
      <c r="AO60" s="105">
        <v>2693.1078634470646</v>
      </c>
      <c r="AP60" s="105">
        <v>11.087119763235789</v>
      </c>
      <c r="AQ60" s="105">
        <v>2328.2951502795158</v>
      </c>
      <c r="AR60" s="105">
        <v>11.231791551368167</v>
      </c>
      <c r="AS60" s="105">
        <v>2358.6762257873152</v>
      </c>
      <c r="AT60" s="105">
        <v>10.286149133952595</v>
      </c>
      <c r="AU60" s="105">
        <v>2160.0913181300448</v>
      </c>
      <c r="AV60" s="105">
        <v>12.974854782875456</v>
      </c>
      <c r="AW60" s="105">
        <v>2724.7195044038458</v>
      </c>
      <c r="AX60" s="105">
        <v>11.236790123487154</v>
      </c>
      <c r="AY60" s="105">
        <v>2359.7259259323023</v>
      </c>
      <c r="AZ60" s="105">
        <v>9</v>
      </c>
      <c r="BA60" s="105">
        <v>1890</v>
      </c>
      <c r="BB60" s="105">
        <v>12.622702073203628</v>
      </c>
      <c r="BC60" s="105">
        <v>2650.7674353727621</v>
      </c>
      <c r="BD60" s="105">
        <v>10.552421788838602</v>
      </c>
      <c r="BE60" s="105">
        <v>2216.0085756561066</v>
      </c>
      <c r="BF60" s="105">
        <v>11</v>
      </c>
      <c r="BG60" s="105">
        <v>2310</v>
      </c>
      <c r="BH60" s="105">
        <v>11.018351400240102</v>
      </c>
      <c r="BI60" s="105">
        <v>2313.8537940504211</v>
      </c>
      <c r="BJ60" s="105">
        <v>11</v>
      </c>
      <c r="BK60" s="105">
        <v>2310</v>
      </c>
      <c r="BL60" s="105">
        <v>11.993705273131633</v>
      </c>
      <c r="BM60" s="105">
        <v>2518.6781073576431</v>
      </c>
      <c r="BN60" s="105">
        <v>10.876399650776628</v>
      </c>
      <c r="BO60" s="105">
        <v>2284.043926663092</v>
      </c>
      <c r="BP60" s="105">
        <v>10.62671187183318</v>
      </c>
      <c r="BQ60" s="105">
        <v>2231.6094930849677</v>
      </c>
      <c r="BR60" s="105">
        <v>12.563114035121668</v>
      </c>
      <c r="BS60" s="105">
        <v>2638.2539473755501</v>
      </c>
      <c r="BT60" s="105">
        <v>10.640146400116155</v>
      </c>
      <c r="BU60" s="105">
        <v>2234.4307440243924</v>
      </c>
      <c r="BV60" s="105">
        <v>11.372248461400112</v>
      </c>
      <c r="BW60" s="105">
        <v>2388.1721768940233</v>
      </c>
      <c r="BX60" s="105">
        <v>11</v>
      </c>
      <c r="BY60" s="105">
        <v>2310</v>
      </c>
      <c r="BZ60" s="105">
        <v>13.26499004981671</v>
      </c>
      <c r="CA60" s="105">
        <v>2785.6479104615091</v>
      </c>
      <c r="CB60" s="105">
        <v>10.332579668237797</v>
      </c>
      <c r="CC60" s="105">
        <v>2169.8417303299375</v>
      </c>
      <c r="CD60" s="105">
        <v>12.598011574108117</v>
      </c>
      <c r="CE60" s="105">
        <v>2645.5824305627048</v>
      </c>
      <c r="CF60" s="105">
        <v>12.602129917218319</v>
      </c>
      <c r="CG60" s="105">
        <v>2646.4472826158471</v>
      </c>
      <c r="CH60" s="105">
        <v>10.828904455795072</v>
      </c>
      <c r="CI60" s="105">
        <v>2274.0699357169651</v>
      </c>
      <c r="CJ60" s="105">
        <v>9.7247808642238098</v>
      </c>
      <c r="CK60" s="105">
        <v>2042.203981487</v>
      </c>
      <c r="CL60" s="105">
        <v>10.771786436636365</v>
      </c>
      <c r="CM60" s="105">
        <v>2262.0751516936366</v>
      </c>
      <c r="CN60" s="105">
        <v>10</v>
      </c>
      <c r="CO60" s="105">
        <v>2100</v>
      </c>
      <c r="CP60" s="105">
        <v>11.891087369483184</v>
      </c>
      <c r="CQ60" s="105">
        <v>2497.1283475914688</v>
      </c>
      <c r="CR60" s="105">
        <v>13.309998633355633</v>
      </c>
      <c r="CS60" s="105">
        <v>2795.0997130046831</v>
      </c>
      <c r="CT60" s="105">
        <v>12.280674809083481</v>
      </c>
      <c r="CU60" s="105">
        <v>2578.9417099075308</v>
      </c>
    </row>
    <row r="61" spans="2:99" x14ac:dyDescent="0.2">
      <c r="C61" s="104" t="s">
        <v>227</v>
      </c>
      <c r="D61" s="105">
        <v>0</v>
      </c>
      <c r="E61" s="105">
        <v>0</v>
      </c>
      <c r="F61" s="105">
        <v>0</v>
      </c>
      <c r="G61" s="105">
        <v>0</v>
      </c>
      <c r="H61" s="105">
        <v>0</v>
      </c>
      <c r="I61" s="105">
        <v>0</v>
      </c>
      <c r="J61" s="105">
        <v>0</v>
      </c>
      <c r="K61" s="105">
        <v>0</v>
      </c>
      <c r="L61" s="105">
        <v>12.910552088466932</v>
      </c>
      <c r="M61" s="105">
        <v>2556.2893135164527</v>
      </c>
      <c r="N61" s="105">
        <v>11.476848821579836</v>
      </c>
      <c r="O61" s="105">
        <v>2272.4160666728076</v>
      </c>
      <c r="P61" s="105">
        <v>13.089954301110643</v>
      </c>
      <c r="Q61" s="105">
        <v>2591.8109516199074</v>
      </c>
      <c r="R61" s="105">
        <v>9</v>
      </c>
      <c r="S61" s="105">
        <v>1782</v>
      </c>
      <c r="T61" s="105">
        <v>12.872907088185626</v>
      </c>
      <c r="U61" s="105">
        <v>2548.8356034607536</v>
      </c>
      <c r="V61" s="105">
        <v>11.271905092623053</v>
      </c>
      <c r="W61" s="105">
        <v>2231.8372083393642</v>
      </c>
      <c r="X61" s="105">
        <v>12.882177248712059</v>
      </c>
      <c r="Y61" s="105">
        <v>2550.6710952449876</v>
      </c>
      <c r="Z61" s="105">
        <v>11.152414932630581</v>
      </c>
      <c r="AA61" s="105">
        <v>2208.1781566608552</v>
      </c>
      <c r="AB61" s="105">
        <v>10</v>
      </c>
      <c r="AC61" s="105">
        <v>1980</v>
      </c>
      <c r="AD61" s="105">
        <v>11</v>
      </c>
      <c r="AE61" s="105">
        <v>2178</v>
      </c>
      <c r="AF61" s="105">
        <v>10</v>
      </c>
      <c r="AG61" s="105">
        <v>1980</v>
      </c>
      <c r="AH61" s="105">
        <v>10</v>
      </c>
      <c r="AI61" s="105">
        <v>1980</v>
      </c>
      <c r="AJ61" s="105">
        <v>14.795538442894006</v>
      </c>
      <c r="AK61" s="105">
        <v>2929.5166116930131</v>
      </c>
      <c r="AL61" s="105">
        <v>11.228717716789246</v>
      </c>
      <c r="AM61" s="105">
        <v>2223.2861079242707</v>
      </c>
      <c r="AN61" s="105">
        <v>12.824323159271735</v>
      </c>
      <c r="AO61" s="105">
        <v>2539.2159855358036</v>
      </c>
      <c r="AP61" s="105">
        <v>11.087119763235789</v>
      </c>
      <c r="AQ61" s="105">
        <v>2195.249713120686</v>
      </c>
      <c r="AR61" s="105">
        <v>12.836333201563617</v>
      </c>
      <c r="AS61" s="105">
        <v>2541.5939739095961</v>
      </c>
      <c r="AT61" s="105">
        <v>11.143328228448645</v>
      </c>
      <c r="AU61" s="105">
        <v>2206.3789892328318</v>
      </c>
      <c r="AV61" s="105">
        <v>12.163926358945739</v>
      </c>
      <c r="AW61" s="105">
        <v>2408.4574190712565</v>
      </c>
      <c r="AX61" s="105">
        <v>11.939089506205102</v>
      </c>
      <c r="AY61" s="105">
        <v>2363.9397222286102</v>
      </c>
      <c r="AZ61" s="105">
        <v>9</v>
      </c>
      <c r="BA61" s="105">
        <v>1782</v>
      </c>
      <c r="BB61" s="105">
        <v>13.411620952778854</v>
      </c>
      <c r="BC61" s="105">
        <v>2655.5009486502131</v>
      </c>
      <c r="BD61" s="105">
        <v>12.471043932263802</v>
      </c>
      <c r="BE61" s="105">
        <v>2469.2666985882329</v>
      </c>
      <c r="BF61" s="105">
        <v>11</v>
      </c>
      <c r="BG61" s="105">
        <v>2178</v>
      </c>
      <c r="BH61" s="105">
        <v>11.018351400240102</v>
      </c>
      <c r="BI61" s="105">
        <v>2181.63357724754</v>
      </c>
      <c r="BJ61" s="105">
        <v>11</v>
      </c>
      <c r="BK61" s="105">
        <v>2178</v>
      </c>
      <c r="BL61" s="105">
        <v>11.993705273131633</v>
      </c>
      <c r="BM61" s="105">
        <v>2374.7536440800632</v>
      </c>
      <c r="BN61" s="105">
        <v>10.876399650776628</v>
      </c>
      <c r="BO61" s="105">
        <v>2153.5271308537722</v>
      </c>
      <c r="BP61" s="105">
        <v>10.62671187183318</v>
      </c>
      <c r="BQ61" s="105">
        <v>2104.0889506229696</v>
      </c>
      <c r="BR61" s="105">
        <v>11.865163255392686</v>
      </c>
      <c r="BS61" s="105">
        <v>2349.3023245677518</v>
      </c>
      <c r="BT61" s="105">
        <v>12.635173850137935</v>
      </c>
      <c r="BU61" s="105">
        <v>2501.764422327311</v>
      </c>
      <c r="BV61" s="105">
        <v>12.710160045094241</v>
      </c>
      <c r="BW61" s="105">
        <v>2516.61168892866</v>
      </c>
      <c r="BX61" s="105">
        <v>10</v>
      </c>
      <c r="BY61" s="105">
        <v>1980</v>
      </c>
      <c r="BZ61" s="105">
        <v>14.738877833129676</v>
      </c>
      <c r="CA61" s="105">
        <v>2918.2978109596756</v>
      </c>
      <c r="CB61" s="105">
        <v>10.332579668237797</v>
      </c>
      <c r="CC61" s="105">
        <v>2045.8507743110838</v>
      </c>
      <c r="CD61" s="105">
        <v>11.934958333365584</v>
      </c>
      <c r="CE61" s="105">
        <v>2363.1217500063858</v>
      </c>
      <c r="CF61" s="105">
        <v>11.201893259749616</v>
      </c>
      <c r="CG61" s="105">
        <v>2217.974865430424</v>
      </c>
      <c r="CH61" s="105">
        <v>11.813350315412805</v>
      </c>
      <c r="CI61" s="105">
        <v>2339.0433624517354</v>
      </c>
      <c r="CJ61" s="105">
        <v>11.492922839537229</v>
      </c>
      <c r="CK61" s="105">
        <v>2275.5987222283716</v>
      </c>
      <c r="CL61" s="105">
        <v>10.771786436636365</v>
      </c>
      <c r="CM61" s="105">
        <v>2132.8137144540001</v>
      </c>
      <c r="CN61" s="105">
        <v>12</v>
      </c>
      <c r="CO61" s="105">
        <v>2376</v>
      </c>
      <c r="CP61" s="105">
        <v>11.230471404511896</v>
      </c>
      <c r="CQ61" s="105">
        <v>2223.6333380933552</v>
      </c>
      <c r="CR61" s="105">
        <v>11.646248804186179</v>
      </c>
      <c r="CS61" s="105">
        <v>2305.9572632288632</v>
      </c>
      <c r="CT61" s="105">
        <v>12.280674809083481</v>
      </c>
      <c r="CU61" s="105">
        <v>2431.5736121985292</v>
      </c>
    </row>
    <row r="62" spans="2:99" x14ac:dyDescent="0.2">
      <c r="C62" s="104" t="s">
        <v>228</v>
      </c>
      <c r="D62" s="105">
        <v>0</v>
      </c>
      <c r="E62" s="105">
        <v>0</v>
      </c>
      <c r="F62" s="105">
        <v>0</v>
      </c>
      <c r="G62" s="105">
        <v>0</v>
      </c>
      <c r="H62" s="105">
        <v>0</v>
      </c>
      <c r="I62" s="105">
        <v>0</v>
      </c>
      <c r="J62" s="105">
        <v>0</v>
      </c>
      <c r="K62" s="105">
        <v>0</v>
      </c>
      <c r="L62" s="105">
        <v>10.924313305625866</v>
      </c>
      <c r="M62" s="105">
        <v>10448.013245500577</v>
      </c>
      <c r="N62" s="105">
        <v>11.476848821579836</v>
      </c>
      <c r="O62" s="105">
        <v>10976.458212958954</v>
      </c>
      <c r="P62" s="105">
        <v>10.908295250925534</v>
      </c>
      <c r="Q62" s="105">
        <v>10432.693577985179</v>
      </c>
      <c r="R62" s="105">
        <v>10</v>
      </c>
      <c r="S62" s="105">
        <v>9564</v>
      </c>
      <c r="T62" s="105">
        <v>12.014713282306584</v>
      </c>
      <c r="U62" s="105">
        <v>11490.871783198016</v>
      </c>
      <c r="V62" s="105">
        <v>11.976399160911992</v>
      </c>
      <c r="W62" s="105">
        <v>11454.228157496229</v>
      </c>
      <c r="X62" s="105">
        <v>12.166500734894724</v>
      </c>
      <c r="Y62" s="105">
        <v>11636.041302853313</v>
      </c>
      <c r="Z62" s="105">
        <v>11.152414932630581</v>
      </c>
      <c r="AA62" s="105">
        <v>10666.169641567887</v>
      </c>
      <c r="AB62" s="105">
        <v>9</v>
      </c>
      <c r="AC62" s="105">
        <v>8607.6</v>
      </c>
      <c r="AD62" s="105">
        <v>11</v>
      </c>
      <c r="AE62" s="105">
        <v>10520.4</v>
      </c>
      <c r="AF62" s="105">
        <v>9</v>
      </c>
      <c r="AG62" s="105">
        <v>8607.6</v>
      </c>
      <c r="AH62" s="105">
        <v>10</v>
      </c>
      <c r="AI62" s="105">
        <v>9564</v>
      </c>
      <c r="AJ62" s="105">
        <v>13.870817290213131</v>
      </c>
      <c r="AK62" s="105">
        <v>13266.049656359837</v>
      </c>
      <c r="AL62" s="105">
        <v>10.364970200113151</v>
      </c>
      <c r="AM62" s="105">
        <v>9913.0574993882165</v>
      </c>
      <c r="AN62" s="105">
        <v>11.474394405664185</v>
      </c>
      <c r="AO62" s="105">
        <v>10974.110809577227</v>
      </c>
      <c r="AP62" s="105">
        <v>10.347978445686737</v>
      </c>
      <c r="AQ62" s="105">
        <v>9896.8065854547949</v>
      </c>
      <c r="AR62" s="105">
        <v>11.231791551368167</v>
      </c>
      <c r="AS62" s="105">
        <v>10742.085439728515</v>
      </c>
      <c r="AT62" s="105">
        <v>11.143328228448645</v>
      </c>
      <c r="AU62" s="105">
        <v>10657.479117688285</v>
      </c>
      <c r="AV62" s="105">
        <v>11.352997935016024</v>
      </c>
      <c r="AW62" s="105">
        <v>10858.007225049325</v>
      </c>
      <c r="AX62" s="105">
        <v>11.236790123487154</v>
      </c>
      <c r="AY62" s="105">
        <v>10746.866074103114</v>
      </c>
      <c r="AZ62" s="105">
        <v>9</v>
      </c>
      <c r="BA62" s="105">
        <v>8607.6</v>
      </c>
      <c r="BB62" s="105">
        <v>11.833783193628401</v>
      </c>
      <c r="BC62" s="105">
        <v>11317.830246386202</v>
      </c>
      <c r="BD62" s="105">
        <v>9.5931107171260024</v>
      </c>
      <c r="BE62" s="105">
        <v>9174.8510898593086</v>
      </c>
      <c r="BF62" s="105">
        <v>9</v>
      </c>
      <c r="BG62" s="105">
        <v>8607.6</v>
      </c>
      <c r="BH62" s="105">
        <v>11.805376500257251</v>
      </c>
      <c r="BI62" s="105">
        <v>11290.662084846035</v>
      </c>
      <c r="BJ62" s="105">
        <v>10</v>
      </c>
      <c r="BK62" s="105">
        <v>9564</v>
      </c>
      <c r="BL62" s="105">
        <v>12.793285624673739</v>
      </c>
      <c r="BM62" s="105">
        <v>12235.498371437963</v>
      </c>
      <c r="BN62" s="105">
        <v>9.887636046160571</v>
      </c>
      <c r="BO62" s="105">
        <v>9456.535114547969</v>
      </c>
      <c r="BP62" s="105">
        <v>10.62671187183318</v>
      </c>
      <c r="BQ62" s="105">
        <v>10163.387234221253</v>
      </c>
      <c r="BR62" s="105">
        <v>11.167212475663705</v>
      </c>
      <c r="BS62" s="105">
        <v>10680.322011724767</v>
      </c>
      <c r="BT62" s="105">
        <v>9.9751372501088955</v>
      </c>
      <c r="BU62" s="105">
        <v>9540.2212660041478</v>
      </c>
      <c r="BV62" s="105">
        <v>11.372248461400112</v>
      </c>
      <c r="BW62" s="105">
        <v>10876.418428483066</v>
      </c>
      <c r="BX62" s="105">
        <v>10</v>
      </c>
      <c r="BY62" s="105">
        <v>9564</v>
      </c>
      <c r="BZ62" s="105">
        <v>11.791102266503742</v>
      </c>
      <c r="CA62" s="105">
        <v>11277.010207684179</v>
      </c>
      <c r="CB62" s="105">
        <v>10.332579668237797</v>
      </c>
      <c r="CC62" s="105">
        <v>9882.0791947026282</v>
      </c>
      <c r="CD62" s="105">
        <v>9.9457986111379881</v>
      </c>
      <c r="CE62" s="105">
        <v>9512.1617916923715</v>
      </c>
      <c r="CF62" s="105">
        <v>11.201893259749616</v>
      </c>
      <c r="CG62" s="105">
        <v>10713.490713624533</v>
      </c>
      <c r="CH62" s="105">
        <v>9.8444585961773381</v>
      </c>
      <c r="CI62" s="105">
        <v>9415.2402013840056</v>
      </c>
      <c r="CJ62" s="105">
        <v>10.608851851880519</v>
      </c>
      <c r="CK62" s="105">
        <v>10146.305911138528</v>
      </c>
      <c r="CL62" s="105">
        <v>10.002373119733766</v>
      </c>
      <c r="CM62" s="105">
        <v>9566.2696517133736</v>
      </c>
      <c r="CN62" s="105">
        <v>10</v>
      </c>
      <c r="CO62" s="105">
        <v>9564</v>
      </c>
      <c r="CP62" s="105">
        <v>11.891087369483184</v>
      </c>
      <c r="CQ62" s="105">
        <v>11372.635960173717</v>
      </c>
      <c r="CR62" s="105">
        <v>10.814373889601454</v>
      </c>
      <c r="CS62" s="105">
        <v>10342.86718801483</v>
      </c>
      <c r="CT62" s="105">
        <v>10.526292693500126</v>
      </c>
      <c r="CU62" s="105">
        <v>10067.34633206352</v>
      </c>
    </row>
    <row r="63" spans="2:99" x14ac:dyDescent="0.2">
      <c r="C63" s="104" t="s">
        <v>229</v>
      </c>
      <c r="D63" s="105">
        <v>0</v>
      </c>
      <c r="E63" s="105">
        <v>0</v>
      </c>
      <c r="F63" s="105">
        <v>0</v>
      </c>
      <c r="G63" s="105">
        <v>0</v>
      </c>
      <c r="H63" s="105">
        <v>0</v>
      </c>
      <c r="I63" s="105">
        <v>0</v>
      </c>
      <c r="J63" s="105">
        <v>0</v>
      </c>
      <c r="K63" s="105">
        <v>0</v>
      </c>
      <c r="L63" s="105">
        <v>12.910552088466932</v>
      </c>
      <c r="M63" s="105">
        <v>387.31656265400795</v>
      </c>
      <c r="N63" s="105">
        <v>10.657073905752704</v>
      </c>
      <c r="O63" s="105">
        <v>319.71221717258112</v>
      </c>
      <c r="P63" s="105">
        <v>11.63551493432057</v>
      </c>
      <c r="Q63" s="105">
        <v>349.06544802961707</v>
      </c>
      <c r="R63" s="105">
        <v>10</v>
      </c>
      <c r="S63" s="105">
        <v>300</v>
      </c>
      <c r="T63" s="105">
        <v>12.872907088185626</v>
      </c>
      <c r="U63" s="105">
        <v>386.18721264556876</v>
      </c>
      <c r="V63" s="105">
        <v>11.271905092623053</v>
      </c>
      <c r="W63" s="105">
        <v>338.15715277869157</v>
      </c>
      <c r="X63" s="105">
        <v>12.166500734894724</v>
      </c>
      <c r="Y63" s="105">
        <v>364.99502204684171</v>
      </c>
      <c r="Z63" s="105">
        <v>12.745617065863522</v>
      </c>
      <c r="AA63" s="105">
        <v>382.36851197590568</v>
      </c>
      <c r="AB63" s="105">
        <v>11</v>
      </c>
      <c r="AC63" s="105">
        <v>330</v>
      </c>
      <c r="AD63" s="105">
        <v>10</v>
      </c>
      <c r="AE63" s="105">
        <v>300</v>
      </c>
      <c r="AF63" s="105">
        <v>10</v>
      </c>
      <c r="AG63" s="105">
        <v>300</v>
      </c>
      <c r="AH63" s="105">
        <v>10</v>
      </c>
      <c r="AI63" s="105">
        <v>300</v>
      </c>
      <c r="AJ63" s="105">
        <v>13.870817290213131</v>
      </c>
      <c r="AK63" s="105">
        <v>416.12451870639393</v>
      </c>
      <c r="AL63" s="105">
        <v>10.364970200113151</v>
      </c>
      <c r="AM63" s="105">
        <v>310.94910600339449</v>
      </c>
      <c r="AN63" s="105">
        <v>12.14935878246796</v>
      </c>
      <c r="AO63" s="105">
        <v>364.48076347403878</v>
      </c>
      <c r="AP63" s="105">
        <v>12.565402398333894</v>
      </c>
      <c r="AQ63" s="105">
        <v>376.96207195001682</v>
      </c>
      <c r="AR63" s="105">
        <v>12.836333201563617</v>
      </c>
      <c r="AS63" s="105">
        <v>385.08999604690854</v>
      </c>
      <c r="AT63" s="105">
        <v>11.143328228448645</v>
      </c>
      <c r="AU63" s="105">
        <v>334.29984685345937</v>
      </c>
      <c r="AV63" s="105">
        <v>12.163926358945739</v>
      </c>
      <c r="AW63" s="105">
        <v>364.91779076837219</v>
      </c>
      <c r="AX63" s="105">
        <v>12.64138888892305</v>
      </c>
      <c r="AY63" s="105">
        <v>379.2416666676915</v>
      </c>
      <c r="AZ63" s="105">
        <v>10</v>
      </c>
      <c r="BA63" s="105">
        <v>300</v>
      </c>
      <c r="BB63" s="105">
        <v>13.411620952778854</v>
      </c>
      <c r="BC63" s="105">
        <v>402.34862858336561</v>
      </c>
      <c r="BD63" s="105">
        <v>12.471043932263802</v>
      </c>
      <c r="BE63" s="105">
        <v>374.13131796791407</v>
      </c>
      <c r="BF63" s="105">
        <v>10</v>
      </c>
      <c r="BG63" s="105">
        <v>300</v>
      </c>
      <c r="BH63" s="105">
        <v>12.592401600274401</v>
      </c>
      <c r="BI63" s="105">
        <v>377.77204800823205</v>
      </c>
      <c r="BJ63" s="105">
        <v>12</v>
      </c>
      <c r="BK63" s="105">
        <v>360</v>
      </c>
      <c r="BL63" s="105">
        <v>12.793285624673739</v>
      </c>
      <c r="BM63" s="105">
        <v>383.7985687402122</v>
      </c>
      <c r="BN63" s="105">
        <v>11.865163255392686</v>
      </c>
      <c r="BO63" s="105">
        <v>355.95489766178059</v>
      </c>
      <c r="BP63" s="105">
        <v>11.385762719821265</v>
      </c>
      <c r="BQ63" s="105">
        <v>341.57288159463798</v>
      </c>
      <c r="BR63" s="105">
        <v>11.167212475663705</v>
      </c>
      <c r="BS63" s="105">
        <v>335.01637426991113</v>
      </c>
      <c r="BT63" s="105">
        <v>11.970164700130676</v>
      </c>
      <c r="BU63" s="105">
        <v>359.10494100392026</v>
      </c>
      <c r="BV63" s="105">
        <v>12.710160045094241</v>
      </c>
      <c r="BW63" s="105">
        <v>381.30480135282721</v>
      </c>
      <c r="BX63" s="105">
        <v>12</v>
      </c>
      <c r="BY63" s="105">
        <v>360</v>
      </c>
      <c r="BZ63" s="105">
        <v>12.528046158160224</v>
      </c>
      <c r="CA63" s="105">
        <v>375.8413847448067</v>
      </c>
      <c r="CB63" s="105">
        <v>11.271905092623053</v>
      </c>
      <c r="CC63" s="105">
        <v>338.15715277869157</v>
      </c>
      <c r="CD63" s="105">
        <v>12.598011574108117</v>
      </c>
      <c r="CE63" s="105">
        <v>377.94034722324352</v>
      </c>
      <c r="CF63" s="105">
        <v>13.30224824595267</v>
      </c>
      <c r="CG63" s="105">
        <v>399.06744737858008</v>
      </c>
      <c r="CH63" s="105">
        <v>12.797796175030539</v>
      </c>
      <c r="CI63" s="105">
        <v>383.93388525091621</v>
      </c>
      <c r="CJ63" s="105">
        <v>11.492922839537229</v>
      </c>
      <c r="CK63" s="105">
        <v>344.78768518611685</v>
      </c>
      <c r="CL63" s="105">
        <v>10.002373119733766</v>
      </c>
      <c r="CM63" s="105">
        <v>300.071193592013</v>
      </c>
      <c r="CN63" s="105">
        <v>10</v>
      </c>
      <c r="CO63" s="105">
        <v>300</v>
      </c>
      <c r="CP63" s="105">
        <v>11.891087369483184</v>
      </c>
      <c r="CQ63" s="105">
        <v>356.73262108449552</v>
      </c>
      <c r="CR63" s="105">
        <v>12.478123718770906</v>
      </c>
      <c r="CS63" s="105">
        <v>374.34371156312716</v>
      </c>
      <c r="CT63" s="105">
        <v>12.280674809083481</v>
      </c>
      <c r="CU63" s="105">
        <v>368.42024427250442</v>
      </c>
    </row>
    <row r="64" spans="2:99" x14ac:dyDescent="0.2">
      <c r="C64" s="104" t="s">
        <v>230</v>
      </c>
      <c r="D64" s="105">
        <v>0</v>
      </c>
      <c r="E64" s="105">
        <v>0</v>
      </c>
      <c r="F64" s="105">
        <v>0</v>
      </c>
      <c r="G64" s="105">
        <v>0</v>
      </c>
      <c r="H64" s="105">
        <v>0</v>
      </c>
      <c r="I64" s="105">
        <v>0</v>
      </c>
      <c r="J64" s="105">
        <v>0</v>
      </c>
      <c r="K64" s="105">
        <v>0</v>
      </c>
      <c r="L64" s="105">
        <v>11.917432697046399</v>
      </c>
      <c r="M64" s="105">
        <v>2674.271897217212</v>
      </c>
      <c r="N64" s="105">
        <v>12.296623737406966</v>
      </c>
      <c r="O64" s="105">
        <v>2759.3623666741232</v>
      </c>
      <c r="P64" s="105">
        <v>10.908295250925534</v>
      </c>
      <c r="Q64" s="105">
        <v>2447.8214543076897</v>
      </c>
      <c r="R64" s="105">
        <v>10</v>
      </c>
      <c r="S64" s="105">
        <v>2244</v>
      </c>
      <c r="T64" s="105">
        <v>13.731100894064667</v>
      </c>
      <c r="U64" s="105">
        <v>3081.2590406281115</v>
      </c>
      <c r="V64" s="105">
        <v>12.680893229200935</v>
      </c>
      <c r="W64" s="105">
        <v>2845.5924406326899</v>
      </c>
      <c r="X64" s="105">
        <v>12.882177248712059</v>
      </c>
      <c r="Y64" s="105">
        <v>2890.7605746109862</v>
      </c>
      <c r="Z64" s="105">
        <v>12.745617065863522</v>
      </c>
      <c r="AA64" s="105">
        <v>2860.1164695797743</v>
      </c>
      <c r="AB64" s="105">
        <v>10</v>
      </c>
      <c r="AC64" s="105">
        <v>2244</v>
      </c>
      <c r="AD64" s="105">
        <v>10</v>
      </c>
      <c r="AE64" s="105">
        <v>2244</v>
      </c>
      <c r="AF64" s="105">
        <v>10</v>
      </c>
      <c r="AG64" s="105">
        <v>2244</v>
      </c>
      <c r="AH64" s="105">
        <v>9</v>
      </c>
      <c r="AI64" s="105">
        <v>2019.6000000000001</v>
      </c>
      <c r="AJ64" s="105">
        <v>13.870817290213131</v>
      </c>
      <c r="AK64" s="105">
        <v>3112.6113999238264</v>
      </c>
      <c r="AL64" s="105">
        <v>10.364970200113151</v>
      </c>
      <c r="AM64" s="105">
        <v>2325.8993129053911</v>
      </c>
      <c r="AN64" s="105">
        <v>12.14935878246796</v>
      </c>
      <c r="AO64" s="105">
        <v>2726.3161107858105</v>
      </c>
      <c r="AP64" s="105">
        <v>10.347978445686737</v>
      </c>
      <c r="AQ64" s="105">
        <v>2322.0863632121036</v>
      </c>
      <c r="AR64" s="105">
        <v>10.429520726270439</v>
      </c>
      <c r="AS64" s="105">
        <v>2340.3844509750866</v>
      </c>
      <c r="AT64" s="105">
        <v>10.286149133952595</v>
      </c>
      <c r="AU64" s="105">
        <v>2308.2118656589623</v>
      </c>
      <c r="AV64" s="105">
        <v>13.785783206805172</v>
      </c>
      <c r="AW64" s="105">
        <v>3093.5297516070809</v>
      </c>
      <c r="AX64" s="105">
        <v>11.236790123487154</v>
      </c>
      <c r="AY64" s="105">
        <v>2521.5357037105173</v>
      </c>
      <c r="AZ64" s="105">
        <v>11</v>
      </c>
      <c r="BA64" s="105">
        <v>2468.4</v>
      </c>
      <c r="BB64" s="105">
        <v>13.411620952778854</v>
      </c>
      <c r="BC64" s="105">
        <v>3009.5677418035748</v>
      </c>
      <c r="BD64" s="105">
        <v>11.511732860551202</v>
      </c>
      <c r="BE64" s="105">
        <v>2583.2328539076898</v>
      </c>
      <c r="BF64" s="105">
        <v>11</v>
      </c>
      <c r="BG64" s="105">
        <v>2468.4</v>
      </c>
      <c r="BH64" s="105">
        <v>12.592401600274401</v>
      </c>
      <c r="BI64" s="105">
        <v>2825.7349191015755</v>
      </c>
      <c r="BJ64" s="105">
        <v>10</v>
      </c>
      <c r="BK64" s="105">
        <v>2244</v>
      </c>
      <c r="BL64" s="105">
        <v>12.793285624673739</v>
      </c>
      <c r="BM64" s="105">
        <v>2870.8132941767872</v>
      </c>
      <c r="BN64" s="105">
        <v>11.865163255392686</v>
      </c>
      <c r="BO64" s="105">
        <v>2662.5426345101187</v>
      </c>
      <c r="BP64" s="105">
        <v>12.903864415797434</v>
      </c>
      <c r="BQ64" s="105">
        <v>2895.6271749049442</v>
      </c>
      <c r="BR64" s="105">
        <v>11.167212475663705</v>
      </c>
      <c r="BS64" s="105">
        <v>2505.9224795389355</v>
      </c>
      <c r="BT64" s="105">
        <v>11.970164700130676</v>
      </c>
      <c r="BU64" s="105">
        <v>2686.1049587093239</v>
      </c>
      <c r="BV64" s="105">
        <v>12.041204253247177</v>
      </c>
      <c r="BW64" s="105">
        <v>2702.0462344286666</v>
      </c>
      <c r="BX64" s="105">
        <v>10</v>
      </c>
      <c r="BY64" s="105">
        <v>2244</v>
      </c>
      <c r="BZ64" s="105">
        <v>12.528046158160224</v>
      </c>
      <c r="CA64" s="105">
        <v>2811.2935578911543</v>
      </c>
      <c r="CB64" s="105">
        <v>13.150555941393561</v>
      </c>
      <c r="CC64" s="105">
        <v>2950.9847532487152</v>
      </c>
      <c r="CD64" s="105">
        <v>10.608851851880519</v>
      </c>
      <c r="CE64" s="105">
        <v>2380.6263555619885</v>
      </c>
      <c r="CF64" s="105">
        <v>11.902011588483969</v>
      </c>
      <c r="CG64" s="105">
        <v>2670.8114004558029</v>
      </c>
      <c r="CH64" s="105">
        <v>11.813350315412805</v>
      </c>
      <c r="CI64" s="105">
        <v>2650.9158107786334</v>
      </c>
      <c r="CJ64" s="105">
        <v>10.608851851880519</v>
      </c>
      <c r="CK64" s="105">
        <v>2380.6263555619885</v>
      </c>
      <c r="CL64" s="105">
        <v>11.541199753538962</v>
      </c>
      <c r="CM64" s="105">
        <v>2589.8452246941429</v>
      </c>
      <c r="CN64" s="105">
        <v>10</v>
      </c>
      <c r="CO64" s="105">
        <v>2244</v>
      </c>
      <c r="CP64" s="105">
        <v>11.891087369483184</v>
      </c>
      <c r="CQ64" s="105">
        <v>2668.3600057120266</v>
      </c>
      <c r="CR64" s="105">
        <v>10.814373889601454</v>
      </c>
      <c r="CS64" s="105">
        <v>2426.7455008265661</v>
      </c>
      <c r="CT64" s="105">
        <v>12.280674809083481</v>
      </c>
      <c r="CU64" s="105">
        <v>2755.7834271583333</v>
      </c>
    </row>
    <row r="65" spans="2:99" x14ac:dyDescent="0.2">
      <c r="C65" s="104" t="s">
        <v>231</v>
      </c>
      <c r="D65" s="105">
        <v>0</v>
      </c>
      <c r="E65" s="105">
        <v>0</v>
      </c>
      <c r="F65" s="105">
        <v>0</v>
      </c>
      <c r="G65" s="105">
        <v>0</v>
      </c>
      <c r="H65" s="105">
        <v>0</v>
      </c>
      <c r="I65" s="105">
        <v>0</v>
      </c>
      <c r="J65" s="105">
        <v>0</v>
      </c>
      <c r="K65" s="105">
        <v>0</v>
      </c>
      <c r="L65" s="105">
        <v>10.924313305625866</v>
      </c>
      <c r="M65" s="105">
        <v>5400.9804983014274</v>
      </c>
      <c r="N65" s="105">
        <v>11.476848821579836</v>
      </c>
      <c r="O65" s="105">
        <v>5674.1540573890707</v>
      </c>
      <c r="P65" s="105">
        <v>11.63551493432057</v>
      </c>
      <c r="Q65" s="105">
        <v>5752.5985835280899</v>
      </c>
      <c r="R65" s="105">
        <v>10</v>
      </c>
      <c r="S65" s="105">
        <v>4944</v>
      </c>
      <c r="T65" s="105">
        <v>13.731100894064667</v>
      </c>
      <c r="U65" s="105">
        <v>6788.6562820255713</v>
      </c>
      <c r="V65" s="105">
        <v>11.271905092623053</v>
      </c>
      <c r="W65" s="105">
        <v>5572.8298777928367</v>
      </c>
      <c r="X65" s="105">
        <v>11.450824221077387</v>
      </c>
      <c r="Y65" s="105">
        <v>5661.28749490066</v>
      </c>
      <c r="Z65" s="105">
        <v>12.745617065863522</v>
      </c>
      <c r="AA65" s="105">
        <v>6301.4330773629254</v>
      </c>
      <c r="AB65" s="105">
        <v>9</v>
      </c>
      <c r="AC65" s="105">
        <v>4449.5999999999995</v>
      </c>
      <c r="AD65" s="105">
        <v>10</v>
      </c>
      <c r="AE65" s="105">
        <v>4944</v>
      </c>
      <c r="AF65" s="105">
        <v>10</v>
      </c>
      <c r="AG65" s="105">
        <v>4944</v>
      </c>
      <c r="AH65" s="105">
        <v>10</v>
      </c>
      <c r="AI65" s="105">
        <v>4944</v>
      </c>
      <c r="AJ65" s="105">
        <v>13.870817290213131</v>
      </c>
      <c r="AK65" s="105">
        <v>6857.7320682813715</v>
      </c>
      <c r="AL65" s="105">
        <v>11.228717716789246</v>
      </c>
      <c r="AM65" s="105">
        <v>5551.4780391806034</v>
      </c>
      <c r="AN65" s="105">
        <v>12.14935878246796</v>
      </c>
      <c r="AO65" s="105">
        <v>6006.6429820521589</v>
      </c>
      <c r="AP65" s="105">
        <v>11.087119763235789</v>
      </c>
      <c r="AQ65" s="105">
        <v>5481.472010943774</v>
      </c>
      <c r="AR65" s="105">
        <v>10.429520726270439</v>
      </c>
      <c r="AS65" s="105">
        <v>5156.3550470681048</v>
      </c>
      <c r="AT65" s="105">
        <v>10.286149133952595</v>
      </c>
      <c r="AU65" s="105">
        <v>5085.4721318261627</v>
      </c>
      <c r="AV65" s="105">
        <v>12.163926358945739</v>
      </c>
      <c r="AW65" s="105">
        <v>6013.8451918627734</v>
      </c>
      <c r="AX65" s="105">
        <v>11.236790123487154</v>
      </c>
      <c r="AY65" s="105">
        <v>5555.4690370520484</v>
      </c>
      <c r="AZ65" s="105">
        <v>9</v>
      </c>
      <c r="BA65" s="105">
        <v>4449.5999999999995</v>
      </c>
      <c r="BB65" s="105">
        <v>12.622702073203628</v>
      </c>
      <c r="BC65" s="105">
        <v>6240.663904991874</v>
      </c>
      <c r="BD65" s="105">
        <v>11.511732860551202</v>
      </c>
      <c r="BE65" s="105">
        <v>5691.4007262565137</v>
      </c>
      <c r="BF65" s="105">
        <v>9</v>
      </c>
      <c r="BG65" s="105">
        <v>4449.5999999999995</v>
      </c>
      <c r="BH65" s="105">
        <v>12.592401600274401</v>
      </c>
      <c r="BI65" s="105">
        <v>6225.683351175664</v>
      </c>
      <c r="BJ65" s="105">
        <v>10</v>
      </c>
      <c r="BK65" s="105">
        <v>4944</v>
      </c>
      <c r="BL65" s="105">
        <v>11.993705273131633</v>
      </c>
      <c r="BM65" s="105">
        <v>5929.6878870362789</v>
      </c>
      <c r="BN65" s="105">
        <v>10.876399650776628</v>
      </c>
      <c r="BO65" s="105">
        <v>5377.291987343965</v>
      </c>
      <c r="BP65" s="105">
        <v>10.62671187183318</v>
      </c>
      <c r="BQ65" s="105">
        <v>5253.8463494343241</v>
      </c>
      <c r="BR65" s="105">
        <v>10.469261695934724</v>
      </c>
      <c r="BS65" s="105">
        <v>5176.0029824701278</v>
      </c>
      <c r="BT65" s="105">
        <v>10.640146400116155</v>
      </c>
      <c r="BU65" s="105">
        <v>5260.4883802174272</v>
      </c>
      <c r="BV65" s="105">
        <v>11.372248461400112</v>
      </c>
      <c r="BW65" s="105">
        <v>5622.4396393162151</v>
      </c>
      <c r="BX65" s="105">
        <v>9</v>
      </c>
      <c r="BY65" s="105">
        <v>4449.5999999999995</v>
      </c>
      <c r="BZ65" s="105">
        <v>14.001933941473194</v>
      </c>
      <c r="CA65" s="105">
        <v>6922.5561406643465</v>
      </c>
      <c r="CB65" s="105">
        <v>12.211230517008307</v>
      </c>
      <c r="CC65" s="105">
        <v>6037.2323676089063</v>
      </c>
      <c r="CD65" s="105">
        <v>11.271905092623053</v>
      </c>
      <c r="CE65" s="105">
        <v>5572.8298777928367</v>
      </c>
      <c r="CF65" s="105">
        <v>11.201893259749616</v>
      </c>
      <c r="CG65" s="105">
        <v>5538.2160276202094</v>
      </c>
      <c r="CH65" s="105">
        <v>10.828904455795072</v>
      </c>
      <c r="CI65" s="105">
        <v>5353.8103629450834</v>
      </c>
      <c r="CJ65" s="105">
        <v>10.608851851880519</v>
      </c>
      <c r="CK65" s="105">
        <v>5245.0163555697281</v>
      </c>
      <c r="CL65" s="105">
        <v>10.002373119733766</v>
      </c>
      <c r="CM65" s="105">
        <v>4945.1732703963735</v>
      </c>
      <c r="CN65" s="105">
        <v>11</v>
      </c>
      <c r="CO65" s="105">
        <v>5438.4</v>
      </c>
      <c r="CP65" s="105">
        <v>10.569855439540609</v>
      </c>
      <c r="CQ65" s="105">
        <v>5225.7365293088769</v>
      </c>
      <c r="CR65" s="105">
        <v>13.309998633355633</v>
      </c>
      <c r="CS65" s="105">
        <v>6580.4633243310245</v>
      </c>
      <c r="CT65" s="105">
        <v>11.403483751291803</v>
      </c>
      <c r="CU65" s="105">
        <v>5637.882366638667</v>
      </c>
    </row>
    <row r="66" spans="2:99" x14ac:dyDescent="0.2">
      <c r="C66" s="104" t="s">
        <v>232</v>
      </c>
      <c r="D66" s="105">
        <v>0</v>
      </c>
      <c r="E66" s="105">
        <v>0</v>
      </c>
      <c r="F66" s="105">
        <v>0</v>
      </c>
      <c r="G66" s="105">
        <v>0</v>
      </c>
      <c r="H66" s="105">
        <v>0</v>
      </c>
      <c r="I66" s="105">
        <v>0</v>
      </c>
      <c r="J66" s="105">
        <v>0</v>
      </c>
      <c r="K66" s="105">
        <v>0</v>
      </c>
      <c r="L66" s="105">
        <v>11.917432697046399</v>
      </c>
      <c r="M66" s="105">
        <v>4747.9051865032852</v>
      </c>
      <c r="N66" s="105">
        <v>12.296623737406966</v>
      </c>
      <c r="O66" s="105">
        <v>4898.9748969829352</v>
      </c>
      <c r="P66" s="105">
        <v>12.362734617715606</v>
      </c>
      <c r="Q66" s="105">
        <v>4925.3134716978975</v>
      </c>
      <c r="R66" s="105">
        <v>9</v>
      </c>
      <c r="S66" s="105">
        <v>3585.6</v>
      </c>
      <c r="T66" s="105">
        <v>12.872907088185626</v>
      </c>
      <c r="U66" s="105">
        <v>5128.5661839331533</v>
      </c>
      <c r="V66" s="105">
        <v>11.976399160911992</v>
      </c>
      <c r="W66" s="105">
        <v>4771.3974257073369</v>
      </c>
      <c r="X66" s="105">
        <v>12.166500734894724</v>
      </c>
      <c r="Y66" s="105">
        <v>4847.133892782058</v>
      </c>
      <c r="Z66" s="105">
        <v>12.745617065863522</v>
      </c>
      <c r="AA66" s="105">
        <v>5077.8538390400272</v>
      </c>
      <c r="AB66" s="105">
        <v>10</v>
      </c>
      <c r="AC66" s="105">
        <v>3984</v>
      </c>
      <c r="AD66" s="105">
        <v>10</v>
      </c>
      <c r="AE66" s="105">
        <v>3984</v>
      </c>
      <c r="AF66" s="105">
        <v>9</v>
      </c>
      <c r="AG66" s="105">
        <v>3585.6</v>
      </c>
      <c r="AH66" s="105">
        <v>9</v>
      </c>
      <c r="AI66" s="105">
        <v>3585.6</v>
      </c>
      <c r="AJ66" s="105">
        <v>15.720259595574881</v>
      </c>
      <c r="AK66" s="105">
        <v>6262.9514228770322</v>
      </c>
      <c r="AL66" s="105">
        <v>11.228717716789246</v>
      </c>
      <c r="AM66" s="105">
        <v>4473.5211383688356</v>
      </c>
      <c r="AN66" s="105">
        <v>11.474394405664185</v>
      </c>
      <c r="AO66" s="105">
        <v>4571.3987312166109</v>
      </c>
      <c r="AP66" s="105">
        <v>11.087119763235789</v>
      </c>
      <c r="AQ66" s="105">
        <v>4417.1085136731381</v>
      </c>
      <c r="AR66" s="105">
        <v>10.429520726270439</v>
      </c>
      <c r="AS66" s="105">
        <v>4155.1210573461431</v>
      </c>
      <c r="AT66" s="105">
        <v>11.143328228448645</v>
      </c>
      <c r="AU66" s="105">
        <v>4439.5019662139402</v>
      </c>
      <c r="AV66" s="105">
        <v>11.352997935016024</v>
      </c>
      <c r="AW66" s="105">
        <v>4523.0343773103841</v>
      </c>
      <c r="AX66" s="105">
        <v>12.64138888892305</v>
      </c>
      <c r="AY66" s="105">
        <v>5036.3293333469428</v>
      </c>
      <c r="AZ66" s="105">
        <v>9</v>
      </c>
      <c r="BA66" s="105">
        <v>3585.6</v>
      </c>
      <c r="BB66" s="105">
        <v>13.411620952778854</v>
      </c>
      <c r="BC66" s="105">
        <v>5343.1897875870955</v>
      </c>
      <c r="BD66" s="105">
        <v>12.471043932263802</v>
      </c>
      <c r="BE66" s="105">
        <v>4968.4639026138984</v>
      </c>
      <c r="BF66" s="105">
        <v>11</v>
      </c>
      <c r="BG66" s="105">
        <v>4382.3999999999996</v>
      </c>
      <c r="BH66" s="105">
        <v>11.805376500257251</v>
      </c>
      <c r="BI66" s="105">
        <v>4703.2619977024888</v>
      </c>
      <c r="BJ66" s="105">
        <v>11</v>
      </c>
      <c r="BK66" s="105">
        <v>4382.3999999999996</v>
      </c>
      <c r="BL66" s="105">
        <v>11.993705273131633</v>
      </c>
      <c r="BM66" s="105">
        <v>4778.2921808156425</v>
      </c>
      <c r="BN66" s="105">
        <v>10.876399650776628</v>
      </c>
      <c r="BO66" s="105">
        <v>4333.1576208694087</v>
      </c>
      <c r="BP66" s="105">
        <v>11.385762719821265</v>
      </c>
      <c r="BQ66" s="105">
        <v>4536.0878675767917</v>
      </c>
      <c r="BR66" s="105">
        <v>11.865163255392686</v>
      </c>
      <c r="BS66" s="105">
        <v>4727.0810409484457</v>
      </c>
      <c r="BT66" s="105">
        <v>11.305155550123414</v>
      </c>
      <c r="BU66" s="105">
        <v>4503.9739711691682</v>
      </c>
      <c r="BV66" s="105">
        <v>12.041204253247177</v>
      </c>
      <c r="BW66" s="105">
        <v>4797.2157744936749</v>
      </c>
      <c r="BX66" s="105">
        <v>11</v>
      </c>
      <c r="BY66" s="105">
        <v>4382.3999999999996</v>
      </c>
      <c r="BZ66" s="105">
        <v>14.001933941473194</v>
      </c>
      <c r="CA66" s="105">
        <v>5578.3704822829204</v>
      </c>
      <c r="CB66" s="105">
        <v>12.211230517008307</v>
      </c>
      <c r="CC66" s="105">
        <v>4864.9542379761087</v>
      </c>
      <c r="CD66" s="105">
        <v>12.598011574108117</v>
      </c>
      <c r="CE66" s="105">
        <v>5019.0478111246739</v>
      </c>
      <c r="CF66" s="105">
        <v>11.201893259749616</v>
      </c>
      <c r="CG66" s="105">
        <v>4462.8342746842463</v>
      </c>
      <c r="CH66" s="105">
        <v>11.813350315412805</v>
      </c>
      <c r="CI66" s="105">
        <v>4706.4387656604613</v>
      </c>
      <c r="CJ66" s="105">
        <v>11.492922839537229</v>
      </c>
      <c r="CK66" s="105">
        <v>4578.780459271632</v>
      </c>
      <c r="CL66" s="105">
        <v>10.002373119733766</v>
      </c>
      <c r="CM66" s="105">
        <v>3984.9454509019324</v>
      </c>
      <c r="CN66" s="105">
        <v>11</v>
      </c>
      <c r="CO66" s="105">
        <v>4382.3999999999996</v>
      </c>
      <c r="CP66" s="105">
        <v>11.230471404511896</v>
      </c>
      <c r="CQ66" s="105">
        <v>4474.2198075575388</v>
      </c>
      <c r="CR66" s="105">
        <v>10.814373889601454</v>
      </c>
      <c r="CS66" s="105">
        <v>4308.4465576172188</v>
      </c>
      <c r="CT66" s="105">
        <v>11.403483751291803</v>
      </c>
      <c r="CU66" s="105">
        <v>4543.1479265146545</v>
      </c>
    </row>
    <row r="67" spans="2:99" x14ac:dyDescent="0.2">
      <c r="C67" s="104" t="s">
        <v>233</v>
      </c>
      <c r="D67" s="105">
        <v>0</v>
      </c>
      <c r="E67" s="105">
        <v>0</v>
      </c>
      <c r="F67" s="105">
        <v>0</v>
      </c>
      <c r="G67" s="105">
        <v>0</v>
      </c>
      <c r="H67" s="105">
        <v>0</v>
      </c>
      <c r="I67" s="105">
        <v>0</v>
      </c>
      <c r="J67" s="105">
        <v>0</v>
      </c>
      <c r="K67" s="105">
        <v>0</v>
      </c>
      <c r="L67" s="105">
        <v>11.917432697046399</v>
      </c>
      <c r="M67" s="105">
        <v>5648.8630983999929</v>
      </c>
      <c r="N67" s="105">
        <v>10.657073905752704</v>
      </c>
      <c r="O67" s="105">
        <v>5051.4530313267815</v>
      </c>
      <c r="P67" s="105">
        <v>11.63551493432057</v>
      </c>
      <c r="Q67" s="105">
        <v>5515.2340788679503</v>
      </c>
      <c r="R67" s="105">
        <v>10</v>
      </c>
      <c r="S67" s="105">
        <v>4740</v>
      </c>
      <c r="T67" s="105">
        <v>12.014713282306584</v>
      </c>
      <c r="U67" s="105">
        <v>5694.9740958133207</v>
      </c>
      <c r="V67" s="105">
        <v>11.271905092623053</v>
      </c>
      <c r="W67" s="105">
        <v>5342.8830139033271</v>
      </c>
      <c r="X67" s="105">
        <v>12.882177248712059</v>
      </c>
      <c r="Y67" s="105">
        <v>6106.1520158895164</v>
      </c>
      <c r="Z67" s="105">
        <v>11.949015999247052</v>
      </c>
      <c r="AA67" s="105">
        <v>5663.8335836431024</v>
      </c>
      <c r="AB67" s="105">
        <v>10</v>
      </c>
      <c r="AC67" s="105">
        <v>4740</v>
      </c>
      <c r="AD67" s="105">
        <v>11</v>
      </c>
      <c r="AE67" s="105">
        <v>5214</v>
      </c>
      <c r="AF67" s="105">
        <v>10</v>
      </c>
      <c r="AG67" s="105">
        <v>4740</v>
      </c>
      <c r="AH67" s="105">
        <v>10</v>
      </c>
      <c r="AI67" s="105">
        <v>4740</v>
      </c>
      <c r="AJ67" s="105">
        <v>13.870817290213131</v>
      </c>
      <c r="AK67" s="105">
        <v>6574.7673955610235</v>
      </c>
      <c r="AL67" s="105">
        <v>11.228717716789246</v>
      </c>
      <c r="AM67" s="105">
        <v>5322.4121977581026</v>
      </c>
      <c r="AN67" s="105">
        <v>11.474394405664185</v>
      </c>
      <c r="AO67" s="105">
        <v>5438.8629482848237</v>
      </c>
      <c r="AP67" s="105">
        <v>12.565402398333894</v>
      </c>
      <c r="AQ67" s="105">
        <v>5956.0007368102661</v>
      </c>
      <c r="AR67" s="105">
        <v>11.231791551368167</v>
      </c>
      <c r="AS67" s="105">
        <v>5323.8691953485113</v>
      </c>
      <c r="AT67" s="105">
        <v>11.143328228448645</v>
      </c>
      <c r="AU67" s="105">
        <v>5281.937580284658</v>
      </c>
      <c r="AV67" s="105">
        <v>12.974854782875456</v>
      </c>
      <c r="AW67" s="105">
        <v>6150.0811670829662</v>
      </c>
      <c r="AX67" s="105">
        <v>10.534490740769208</v>
      </c>
      <c r="AY67" s="105">
        <v>4993.3486111246048</v>
      </c>
      <c r="AZ67" s="105">
        <v>10</v>
      </c>
      <c r="BA67" s="105">
        <v>4740</v>
      </c>
      <c r="BB67" s="105">
        <v>14.200539832354082</v>
      </c>
      <c r="BC67" s="105">
        <v>6731.0558805358351</v>
      </c>
      <c r="BD67" s="105">
        <v>10.552421788838602</v>
      </c>
      <c r="BE67" s="105">
        <v>5001.8479279094972</v>
      </c>
      <c r="BF67" s="105">
        <v>10</v>
      </c>
      <c r="BG67" s="105">
        <v>4740</v>
      </c>
      <c r="BH67" s="105">
        <v>12.592401600274401</v>
      </c>
      <c r="BI67" s="105">
        <v>5968.7983585300663</v>
      </c>
      <c r="BJ67" s="105">
        <v>10</v>
      </c>
      <c r="BK67" s="105">
        <v>4740</v>
      </c>
      <c r="BL67" s="105">
        <v>12.793285624673739</v>
      </c>
      <c r="BM67" s="105">
        <v>6064.0173860953528</v>
      </c>
      <c r="BN67" s="105">
        <v>11.865163255392686</v>
      </c>
      <c r="BO67" s="105">
        <v>5624.0873830561331</v>
      </c>
      <c r="BP67" s="105">
        <v>9.8676610238450966</v>
      </c>
      <c r="BQ67" s="105">
        <v>4677.2713253025759</v>
      </c>
      <c r="BR67" s="105">
        <v>10.469261695934724</v>
      </c>
      <c r="BS67" s="105">
        <v>4962.4300438730597</v>
      </c>
      <c r="BT67" s="105">
        <v>10.640146400116155</v>
      </c>
      <c r="BU67" s="105">
        <v>5043.4293936550575</v>
      </c>
      <c r="BV67" s="105">
        <v>10.703292669553047</v>
      </c>
      <c r="BW67" s="105">
        <v>5073.3607253681439</v>
      </c>
      <c r="BX67" s="105">
        <v>10</v>
      </c>
      <c r="BY67" s="105">
        <v>4740</v>
      </c>
      <c r="BZ67" s="105">
        <v>12.528046158160224</v>
      </c>
      <c r="CA67" s="105">
        <v>5938.2938789679465</v>
      </c>
      <c r="CB67" s="105">
        <v>10.332579668237797</v>
      </c>
      <c r="CC67" s="105">
        <v>4897.6427627447156</v>
      </c>
      <c r="CD67" s="105">
        <v>12.598011574108117</v>
      </c>
      <c r="CE67" s="105">
        <v>5971.4574861272476</v>
      </c>
      <c r="CF67" s="105">
        <v>12.602129917218319</v>
      </c>
      <c r="CG67" s="105">
        <v>5973.4095807614831</v>
      </c>
      <c r="CH67" s="105">
        <v>11.813350315412805</v>
      </c>
      <c r="CI67" s="105">
        <v>5599.5280495056695</v>
      </c>
      <c r="CJ67" s="105">
        <v>9.7247808642238098</v>
      </c>
      <c r="CK67" s="105">
        <v>4609.5461296420863</v>
      </c>
      <c r="CL67" s="105">
        <v>10.771786436636365</v>
      </c>
      <c r="CM67" s="105">
        <v>5105.8267709656366</v>
      </c>
      <c r="CN67" s="105">
        <v>11</v>
      </c>
      <c r="CO67" s="105">
        <v>5214</v>
      </c>
      <c r="CP67" s="105">
        <v>11.891087369483184</v>
      </c>
      <c r="CQ67" s="105">
        <v>5636.3754131350297</v>
      </c>
      <c r="CR67" s="105">
        <v>12.478123718770906</v>
      </c>
      <c r="CS67" s="105">
        <v>5914.6306426974097</v>
      </c>
      <c r="CT67" s="105">
        <v>12.280674809083481</v>
      </c>
      <c r="CU67" s="105">
        <v>5821.0398595055694</v>
      </c>
    </row>
    <row r="68" spans="2:99" x14ac:dyDescent="0.2">
      <c r="C68" s="104" t="s">
        <v>234</v>
      </c>
      <c r="D68" s="105">
        <v>0</v>
      </c>
      <c r="E68" s="105">
        <v>0</v>
      </c>
      <c r="F68" s="105">
        <v>0</v>
      </c>
      <c r="G68" s="105">
        <v>0</v>
      </c>
      <c r="H68" s="105">
        <v>0</v>
      </c>
      <c r="I68" s="105">
        <v>0</v>
      </c>
      <c r="J68" s="105">
        <v>0</v>
      </c>
      <c r="K68" s="105">
        <v>0</v>
      </c>
      <c r="L68" s="105">
        <v>11.917432697046399</v>
      </c>
      <c r="M68" s="105">
        <v>3217.706828202528</v>
      </c>
      <c r="N68" s="105">
        <v>12.296623737406966</v>
      </c>
      <c r="O68" s="105">
        <v>3320.0884090998807</v>
      </c>
      <c r="P68" s="105">
        <v>13.089954301110643</v>
      </c>
      <c r="Q68" s="105">
        <v>3534.2876612998734</v>
      </c>
      <c r="R68" s="105">
        <v>9</v>
      </c>
      <c r="S68" s="105">
        <v>2430</v>
      </c>
      <c r="T68" s="105">
        <v>12.872907088185626</v>
      </c>
      <c r="U68" s="105">
        <v>3475.6849138101188</v>
      </c>
      <c r="V68" s="105">
        <v>11.976399160911992</v>
      </c>
      <c r="W68" s="105">
        <v>3233.6277734462378</v>
      </c>
      <c r="X68" s="105">
        <v>12.166500734894724</v>
      </c>
      <c r="Y68" s="105">
        <v>3284.9551984215755</v>
      </c>
      <c r="Z68" s="105">
        <v>11.949015999247052</v>
      </c>
      <c r="AA68" s="105">
        <v>3226.2343197967043</v>
      </c>
      <c r="AB68" s="105">
        <v>10</v>
      </c>
      <c r="AC68" s="105">
        <v>2700</v>
      </c>
      <c r="AD68" s="105">
        <v>11</v>
      </c>
      <c r="AE68" s="105">
        <v>2970</v>
      </c>
      <c r="AF68" s="105">
        <v>10</v>
      </c>
      <c r="AG68" s="105">
        <v>2700</v>
      </c>
      <c r="AH68" s="105">
        <v>10</v>
      </c>
      <c r="AI68" s="105">
        <v>2700</v>
      </c>
      <c r="AJ68" s="105">
        <v>13.870817290213131</v>
      </c>
      <c r="AK68" s="105">
        <v>3745.1206683575451</v>
      </c>
      <c r="AL68" s="105">
        <v>12.092465233465344</v>
      </c>
      <c r="AM68" s="105">
        <v>3264.9656130356429</v>
      </c>
      <c r="AN68" s="105">
        <v>11.474394405664185</v>
      </c>
      <c r="AO68" s="105">
        <v>3098.0864895293298</v>
      </c>
      <c r="AP68" s="105">
        <v>12.565402398333894</v>
      </c>
      <c r="AQ68" s="105">
        <v>3392.6586475501517</v>
      </c>
      <c r="AR68" s="105">
        <v>11.231791551368167</v>
      </c>
      <c r="AS68" s="105">
        <v>3032.5837188694049</v>
      </c>
      <c r="AT68" s="105">
        <v>12.000507322944694</v>
      </c>
      <c r="AU68" s="105">
        <v>3240.1369771950672</v>
      </c>
      <c r="AV68" s="105">
        <v>12.974854782875456</v>
      </c>
      <c r="AW68" s="105">
        <v>3503.210791376373</v>
      </c>
      <c r="AX68" s="105">
        <v>10.534490740769208</v>
      </c>
      <c r="AY68" s="105">
        <v>2844.3125000076861</v>
      </c>
      <c r="AZ68" s="105">
        <v>9</v>
      </c>
      <c r="BA68" s="105">
        <v>2430</v>
      </c>
      <c r="BB68" s="105">
        <v>12.622702073203628</v>
      </c>
      <c r="BC68" s="105">
        <v>3408.1295597649796</v>
      </c>
      <c r="BD68" s="105">
        <v>11.511732860551202</v>
      </c>
      <c r="BE68" s="105">
        <v>3108.1678723488244</v>
      </c>
      <c r="BF68" s="105">
        <v>11</v>
      </c>
      <c r="BG68" s="105">
        <v>2970</v>
      </c>
      <c r="BH68" s="105">
        <v>12.592401600274401</v>
      </c>
      <c r="BI68" s="105">
        <v>3399.9484320740885</v>
      </c>
      <c r="BJ68" s="105">
        <v>11</v>
      </c>
      <c r="BK68" s="105">
        <v>2970</v>
      </c>
      <c r="BL68" s="105">
        <v>11.993705273131633</v>
      </c>
      <c r="BM68" s="105">
        <v>3238.3004237455411</v>
      </c>
      <c r="BN68" s="105">
        <v>10.876399650776628</v>
      </c>
      <c r="BO68" s="105">
        <v>2936.6279057096895</v>
      </c>
      <c r="BP68" s="105">
        <v>10.62671187183318</v>
      </c>
      <c r="BQ68" s="105">
        <v>2869.2122053949588</v>
      </c>
      <c r="BR68" s="105">
        <v>11.167212475663705</v>
      </c>
      <c r="BS68" s="105">
        <v>3015.1473684292005</v>
      </c>
      <c r="BT68" s="105">
        <v>11.970164700130676</v>
      </c>
      <c r="BU68" s="105">
        <v>3231.9444690352825</v>
      </c>
      <c r="BV68" s="105">
        <v>12.710160045094241</v>
      </c>
      <c r="BW68" s="105">
        <v>3431.743212175445</v>
      </c>
      <c r="BX68" s="105">
        <v>10</v>
      </c>
      <c r="BY68" s="105">
        <v>2700</v>
      </c>
      <c r="BZ68" s="105">
        <v>13.26499004981671</v>
      </c>
      <c r="CA68" s="105">
        <v>3581.5473134505119</v>
      </c>
      <c r="CB68" s="105">
        <v>10.332579668237797</v>
      </c>
      <c r="CC68" s="105">
        <v>2789.7965104242053</v>
      </c>
      <c r="CD68" s="105">
        <v>10.608851851880519</v>
      </c>
      <c r="CE68" s="105">
        <v>2864.3900000077401</v>
      </c>
      <c r="CF68" s="105">
        <v>12.602129917218319</v>
      </c>
      <c r="CG68" s="105">
        <v>3402.5750776489463</v>
      </c>
      <c r="CH68" s="105">
        <v>12.797796175030539</v>
      </c>
      <c r="CI68" s="105">
        <v>3455.4049672582455</v>
      </c>
      <c r="CJ68" s="105">
        <v>10.608851851880519</v>
      </c>
      <c r="CK68" s="105">
        <v>2864.3900000077401</v>
      </c>
      <c r="CL68" s="105">
        <v>10.002373119733766</v>
      </c>
      <c r="CM68" s="105">
        <v>2700.6407423281171</v>
      </c>
      <c r="CN68" s="105">
        <v>11</v>
      </c>
      <c r="CO68" s="105">
        <v>2970</v>
      </c>
      <c r="CP68" s="105">
        <v>11.230471404511896</v>
      </c>
      <c r="CQ68" s="105">
        <v>3032.2272792182116</v>
      </c>
      <c r="CR68" s="105">
        <v>11.646248804186179</v>
      </c>
      <c r="CS68" s="105">
        <v>3144.4871771302683</v>
      </c>
      <c r="CT68" s="105">
        <v>13.157865866875159</v>
      </c>
      <c r="CU68" s="105">
        <v>3552.6237840562931</v>
      </c>
    </row>
    <row r="69" spans="2:99" x14ac:dyDescent="0.2">
      <c r="C69" s="104" t="s">
        <v>235</v>
      </c>
      <c r="D69" s="105">
        <v>0</v>
      </c>
      <c r="E69" s="105">
        <v>0</v>
      </c>
      <c r="F69" s="105">
        <v>0</v>
      </c>
      <c r="G69" s="105">
        <v>0</v>
      </c>
      <c r="H69" s="105">
        <v>0</v>
      </c>
      <c r="I69" s="105">
        <v>0</v>
      </c>
      <c r="J69" s="105">
        <v>0</v>
      </c>
      <c r="K69" s="105">
        <v>0</v>
      </c>
      <c r="L69" s="105">
        <v>10.924313305625866</v>
      </c>
      <c r="M69" s="105">
        <v>1887.7213392121494</v>
      </c>
      <c r="N69" s="105">
        <v>12.296623737406966</v>
      </c>
      <c r="O69" s="105">
        <v>2124.8565818239235</v>
      </c>
      <c r="P69" s="105">
        <v>12.362734617715606</v>
      </c>
      <c r="Q69" s="105">
        <v>2136.2805419412566</v>
      </c>
      <c r="R69" s="105">
        <v>11</v>
      </c>
      <c r="S69" s="105">
        <v>1900.7999999999997</v>
      </c>
      <c r="T69" s="105">
        <v>13.731100894064667</v>
      </c>
      <c r="U69" s="105">
        <v>2372.734234494374</v>
      </c>
      <c r="V69" s="105">
        <v>11.976399160911992</v>
      </c>
      <c r="W69" s="105">
        <v>2069.5217750055922</v>
      </c>
      <c r="X69" s="105">
        <v>11.450824221077387</v>
      </c>
      <c r="Y69" s="105">
        <v>1978.7024254021721</v>
      </c>
      <c r="Z69" s="105">
        <v>11.949015999247052</v>
      </c>
      <c r="AA69" s="105">
        <v>2064.7899646698907</v>
      </c>
      <c r="AB69" s="105">
        <v>9</v>
      </c>
      <c r="AC69" s="105">
        <v>1555.1999999999998</v>
      </c>
      <c r="AD69" s="105">
        <v>10</v>
      </c>
      <c r="AE69" s="105">
        <v>1727.9999999999998</v>
      </c>
      <c r="AF69" s="105">
        <v>10</v>
      </c>
      <c r="AG69" s="105">
        <v>1727.9999999999998</v>
      </c>
      <c r="AH69" s="105">
        <v>11</v>
      </c>
      <c r="AI69" s="105">
        <v>1900.7999999999997</v>
      </c>
      <c r="AJ69" s="105">
        <v>15.720259595574881</v>
      </c>
      <c r="AK69" s="105">
        <v>2716.4608581153393</v>
      </c>
      <c r="AL69" s="105">
        <v>10.364970200113151</v>
      </c>
      <c r="AM69" s="105">
        <v>1791.0668505795522</v>
      </c>
      <c r="AN69" s="105">
        <v>12.824323159271735</v>
      </c>
      <c r="AO69" s="105">
        <v>2216.0430419221557</v>
      </c>
      <c r="AP69" s="105">
        <v>11.087119763235789</v>
      </c>
      <c r="AQ69" s="105">
        <v>1915.854295087144</v>
      </c>
      <c r="AR69" s="105">
        <v>11.231791551368167</v>
      </c>
      <c r="AS69" s="105">
        <v>1940.8535800764189</v>
      </c>
      <c r="AT69" s="105">
        <v>12.000507322944694</v>
      </c>
      <c r="AU69" s="105">
        <v>2073.6876654048428</v>
      </c>
      <c r="AV69" s="105">
        <v>11.352997935016024</v>
      </c>
      <c r="AW69" s="105">
        <v>1961.7980431707688</v>
      </c>
      <c r="AX69" s="105">
        <v>12.64138888892305</v>
      </c>
      <c r="AY69" s="105">
        <v>2184.4320000059029</v>
      </c>
      <c r="AZ69" s="105">
        <v>9</v>
      </c>
      <c r="BA69" s="105">
        <v>1555.1999999999998</v>
      </c>
      <c r="BB69" s="105">
        <v>14.989458711929307</v>
      </c>
      <c r="BC69" s="105">
        <v>2590.1784654213839</v>
      </c>
      <c r="BD69" s="105">
        <v>10.552421788838602</v>
      </c>
      <c r="BE69" s="105">
        <v>1823.4584851113102</v>
      </c>
      <c r="BF69" s="105">
        <v>10</v>
      </c>
      <c r="BG69" s="105">
        <v>1727.9999999999998</v>
      </c>
      <c r="BH69" s="105">
        <v>11.805376500257251</v>
      </c>
      <c r="BI69" s="105">
        <v>2039.9690592444529</v>
      </c>
      <c r="BJ69" s="105">
        <v>11</v>
      </c>
      <c r="BK69" s="105">
        <v>1900.7999999999997</v>
      </c>
      <c r="BL69" s="105">
        <v>12.793285624673739</v>
      </c>
      <c r="BM69" s="105">
        <v>2210.6797559436218</v>
      </c>
      <c r="BN69" s="105">
        <v>10.876399650776628</v>
      </c>
      <c r="BO69" s="105">
        <v>1879.4418596542012</v>
      </c>
      <c r="BP69" s="105">
        <v>11.385762719821265</v>
      </c>
      <c r="BQ69" s="105">
        <v>1967.4597979851144</v>
      </c>
      <c r="BR69" s="105">
        <v>12.563114035121668</v>
      </c>
      <c r="BS69" s="105">
        <v>2170.906105269024</v>
      </c>
      <c r="BT69" s="105">
        <v>12.635173850137935</v>
      </c>
      <c r="BU69" s="105">
        <v>2183.3580413038349</v>
      </c>
      <c r="BV69" s="105">
        <v>13.37911583694131</v>
      </c>
      <c r="BW69" s="105">
        <v>2311.9112166234581</v>
      </c>
      <c r="BX69" s="105">
        <v>10</v>
      </c>
      <c r="BY69" s="105">
        <v>1727.9999999999998</v>
      </c>
      <c r="BZ69" s="105">
        <v>13.26499004981671</v>
      </c>
      <c r="CA69" s="105">
        <v>2292.1902806083272</v>
      </c>
      <c r="CB69" s="105">
        <v>11.271905092623053</v>
      </c>
      <c r="CC69" s="105">
        <v>1947.7852000052633</v>
      </c>
      <c r="CD69" s="105">
        <v>11.934958333365584</v>
      </c>
      <c r="CE69" s="105">
        <v>2062.3608000055729</v>
      </c>
      <c r="CF69" s="105">
        <v>11.902011588483969</v>
      </c>
      <c r="CG69" s="105">
        <v>2056.6676024900298</v>
      </c>
      <c r="CH69" s="105">
        <v>11.813350315412805</v>
      </c>
      <c r="CI69" s="105">
        <v>2041.3469345033325</v>
      </c>
      <c r="CJ69" s="105">
        <v>10.608851851880519</v>
      </c>
      <c r="CK69" s="105">
        <v>1833.2096000049537</v>
      </c>
      <c r="CL69" s="105">
        <v>10.002373119733766</v>
      </c>
      <c r="CM69" s="105">
        <v>1728.4100750899947</v>
      </c>
      <c r="CN69" s="105">
        <v>11</v>
      </c>
      <c r="CO69" s="105">
        <v>1900.7999999999997</v>
      </c>
      <c r="CP69" s="105">
        <v>13.21231929942576</v>
      </c>
      <c r="CQ69" s="105">
        <v>2283.0887749407711</v>
      </c>
      <c r="CR69" s="105">
        <v>13.309998633355633</v>
      </c>
      <c r="CS69" s="105">
        <v>2299.9677638438534</v>
      </c>
      <c r="CT69" s="105">
        <v>12.280674809083481</v>
      </c>
      <c r="CU69" s="105">
        <v>2122.100607009625</v>
      </c>
    </row>
    <row r="70" spans="2:99" x14ac:dyDescent="0.2">
      <c r="C70" s="104" t="s">
        <v>236</v>
      </c>
      <c r="D70" s="105">
        <v>0</v>
      </c>
      <c r="E70" s="105">
        <v>0</v>
      </c>
      <c r="F70" s="105">
        <v>0</v>
      </c>
      <c r="G70" s="105">
        <v>0</v>
      </c>
      <c r="H70" s="105">
        <v>0</v>
      </c>
      <c r="I70" s="105">
        <v>0</v>
      </c>
      <c r="J70" s="105">
        <v>0</v>
      </c>
      <c r="K70" s="105">
        <v>0</v>
      </c>
      <c r="L70" s="105">
        <v>11.917432697046399</v>
      </c>
      <c r="M70" s="105">
        <v>5119.729086651133</v>
      </c>
      <c r="N70" s="105">
        <v>11.476848821579836</v>
      </c>
      <c r="O70" s="105">
        <v>4930.4542537506968</v>
      </c>
      <c r="P70" s="105">
        <v>13.089954301110643</v>
      </c>
      <c r="Q70" s="105">
        <v>5623.4443677571317</v>
      </c>
      <c r="R70" s="105">
        <v>10</v>
      </c>
      <c r="S70" s="105">
        <v>4296</v>
      </c>
      <c r="T70" s="105">
        <v>12.014713282306584</v>
      </c>
      <c r="U70" s="105">
        <v>5161.5208260789077</v>
      </c>
      <c r="V70" s="105">
        <v>11.976399160911992</v>
      </c>
      <c r="W70" s="105">
        <v>5145.0610795277917</v>
      </c>
      <c r="X70" s="105">
        <v>12.882177248712059</v>
      </c>
      <c r="Y70" s="105">
        <v>5534.1833460467005</v>
      </c>
      <c r="Z70" s="105">
        <v>11.152414932630581</v>
      </c>
      <c r="AA70" s="105">
        <v>4791.0774550580973</v>
      </c>
      <c r="AB70" s="105">
        <v>11</v>
      </c>
      <c r="AC70" s="105">
        <v>4725.5999999999995</v>
      </c>
      <c r="AD70" s="105">
        <v>9</v>
      </c>
      <c r="AE70" s="105">
        <v>3866.3999999999996</v>
      </c>
      <c r="AF70" s="105">
        <v>9</v>
      </c>
      <c r="AG70" s="105">
        <v>3866.3999999999996</v>
      </c>
      <c r="AH70" s="105">
        <v>9</v>
      </c>
      <c r="AI70" s="105">
        <v>3866.3999999999996</v>
      </c>
      <c r="AJ70" s="105">
        <v>13.870817290213131</v>
      </c>
      <c r="AK70" s="105">
        <v>5958.9031078755606</v>
      </c>
      <c r="AL70" s="105">
        <v>9.5012226834370566</v>
      </c>
      <c r="AM70" s="105">
        <v>4081.7252648045592</v>
      </c>
      <c r="AN70" s="105">
        <v>10.79943002886041</v>
      </c>
      <c r="AO70" s="105">
        <v>4639.4351403984319</v>
      </c>
      <c r="AP70" s="105">
        <v>11.826261080784843</v>
      </c>
      <c r="AQ70" s="105">
        <v>5080.5617603051678</v>
      </c>
      <c r="AR70" s="105">
        <v>12.034062376465892</v>
      </c>
      <c r="AS70" s="105">
        <v>5169.8331969297469</v>
      </c>
      <c r="AT70" s="105">
        <v>11.143328228448645</v>
      </c>
      <c r="AU70" s="105">
        <v>4787.1738069415378</v>
      </c>
      <c r="AV70" s="105">
        <v>12.163926358945739</v>
      </c>
      <c r="AW70" s="105">
        <v>5225.6227638030887</v>
      </c>
      <c r="AX70" s="105">
        <v>11.236790123487154</v>
      </c>
      <c r="AY70" s="105">
        <v>4827.3250370500809</v>
      </c>
      <c r="AZ70" s="105">
        <v>9</v>
      </c>
      <c r="BA70" s="105">
        <v>3866.3999999999996</v>
      </c>
      <c r="BB70" s="105">
        <v>13.411620952778854</v>
      </c>
      <c r="BC70" s="105">
        <v>5761.6323613137956</v>
      </c>
      <c r="BD70" s="105">
        <v>10.552421788838602</v>
      </c>
      <c r="BE70" s="105">
        <v>4533.3204004850631</v>
      </c>
      <c r="BF70" s="105">
        <v>10</v>
      </c>
      <c r="BG70" s="105">
        <v>4296</v>
      </c>
      <c r="BH70" s="105">
        <v>11.018351400240102</v>
      </c>
      <c r="BI70" s="105">
        <v>4733.483761543147</v>
      </c>
      <c r="BJ70" s="105">
        <v>11</v>
      </c>
      <c r="BK70" s="105">
        <v>4725.5999999999995</v>
      </c>
      <c r="BL70" s="105">
        <v>11.993705273131633</v>
      </c>
      <c r="BM70" s="105">
        <v>5152.4957853373489</v>
      </c>
      <c r="BN70" s="105">
        <v>11.865163255392686</v>
      </c>
      <c r="BO70" s="105">
        <v>5097.2741345166969</v>
      </c>
      <c r="BP70" s="105">
        <v>12.144813567809349</v>
      </c>
      <c r="BQ70" s="105">
        <v>5217.4119087308954</v>
      </c>
      <c r="BR70" s="105">
        <v>11.865163255392686</v>
      </c>
      <c r="BS70" s="105">
        <v>5097.2741345166969</v>
      </c>
      <c r="BT70" s="105">
        <v>10.640146400116155</v>
      </c>
      <c r="BU70" s="105">
        <v>4571.0068934899</v>
      </c>
      <c r="BV70" s="105">
        <v>12.710160045094241</v>
      </c>
      <c r="BW70" s="105">
        <v>5460.284755372486</v>
      </c>
      <c r="BX70" s="105">
        <v>10</v>
      </c>
      <c r="BY70" s="105">
        <v>4296</v>
      </c>
      <c r="BZ70" s="105">
        <v>13.26499004981671</v>
      </c>
      <c r="CA70" s="105">
        <v>5698.6397254012581</v>
      </c>
      <c r="CB70" s="105">
        <v>12.211230517008307</v>
      </c>
      <c r="CC70" s="105">
        <v>5245.9446301067683</v>
      </c>
      <c r="CD70" s="105">
        <v>11.934958333365584</v>
      </c>
      <c r="CE70" s="105">
        <v>5127.2581000138543</v>
      </c>
      <c r="CF70" s="105">
        <v>12.602129917218319</v>
      </c>
      <c r="CG70" s="105">
        <v>5413.875012436989</v>
      </c>
      <c r="CH70" s="105">
        <v>12.797796175030539</v>
      </c>
      <c r="CI70" s="105">
        <v>5497.9332367931192</v>
      </c>
      <c r="CJ70" s="105">
        <v>11.492922839537229</v>
      </c>
      <c r="CK70" s="105">
        <v>4937.359651865193</v>
      </c>
      <c r="CL70" s="105">
        <v>10.771786436636365</v>
      </c>
      <c r="CM70" s="105">
        <v>4627.559453178982</v>
      </c>
      <c r="CN70" s="105">
        <v>10</v>
      </c>
      <c r="CO70" s="105">
        <v>4296</v>
      </c>
      <c r="CP70" s="105">
        <v>11.891087369483184</v>
      </c>
      <c r="CQ70" s="105">
        <v>5108.4111339299752</v>
      </c>
      <c r="CR70" s="105">
        <v>12.478123718770906</v>
      </c>
      <c r="CS70" s="105">
        <v>5360.601949583981</v>
      </c>
      <c r="CT70" s="105">
        <v>11.403483751291803</v>
      </c>
      <c r="CU70" s="105">
        <v>4898.9366195549583</v>
      </c>
    </row>
    <row r="71" spans="2:99" x14ac:dyDescent="0.2">
      <c r="B71" s="104" t="s">
        <v>130</v>
      </c>
      <c r="C71" s="104" t="s">
        <v>237</v>
      </c>
      <c r="D71" s="105">
        <v>0.93617021276595747</v>
      </c>
      <c r="E71" s="105">
        <v>171.88085106382979</v>
      </c>
      <c r="F71" s="105">
        <v>0</v>
      </c>
      <c r="G71" s="105">
        <v>0</v>
      </c>
      <c r="H71" s="105">
        <v>0</v>
      </c>
      <c r="I71" s="105">
        <v>0</v>
      </c>
      <c r="J71" s="105">
        <v>0</v>
      </c>
      <c r="K71" s="105">
        <v>0</v>
      </c>
      <c r="L71" s="105">
        <v>8.4180418472336243</v>
      </c>
      <c r="M71" s="105">
        <v>1545.5524831520934</v>
      </c>
      <c r="N71" s="105">
        <v>7.9952001138933184</v>
      </c>
      <c r="O71" s="105">
        <v>1467.9187409108133</v>
      </c>
      <c r="P71" s="105">
        <v>5.9314817938969231</v>
      </c>
      <c r="Q71" s="105">
        <v>1089.020057359475</v>
      </c>
      <c r="R71" s="105">
        <v>8.0695740684411632</v>
      </c>
      <c r="S71" s="105">
        <v>1481.5737989657976</v>
      </c>
      <c r="T71" s="105">
        <v>4.769645153855258</v>
      </c>
      <c r="U71" s="105">
        <v>875.70685024782529</v>
      </c>
      <c r="V71" s="105">
        <v>4.7943583411809332</v>
      </c>
      <c r="W71" s="105">
        <v>880.24419144081935</v>
      </c>
      <c r="X71" s="105">
        <v>5.364122665785044</v>
      </c>
      <c r="Y71" s="105">
        <v>984.8529214381341</v>
      </c>
      <c r="Z71" s="105">
        <v>4.5898371024202378</v>
      </c>
      <c r="AA71" s="105">
        <v>842.69409200435564</v>
      </c>
      <c r="AB71" s="105">
        <v>6.8711224741182182</v>
      </c>
      <c r="AC71" s="105">
        <v>1261.5380862481047</v>
      </c>
      <c r="AD71" s="105">
        <v>5.7383637820026046</v>
      </c>
      <c r="AE71" s="105">
        <v>1053.5635903756781</v>
      </c>
      <c r="AF71" s="105">
        <v>4.7017843488207323</v>
      </c>
      <c r="AG71" s="105">
        <v>863.24760644348646</v>
      </c>
      <c r="AH71" s="105">
        <v>5.3976484324462009</v>
      </c>
      <c r="AI71" s="105">
        <v>991.00825219712249</v>
      </c>
      <c r="AJ71" s="105">
        <v>4.3077800737798881</v>
      </c>
      <c r="AK71" s="105">
        <v>790.90842154598749</v>
      </c>
      <c r="AL71" s="105">
        <v>5.8195670430686794</v>
      </c>
      <c r="AM71" s="105">
        <v>1068.4725091074095</v>
      </c>
      <c r="AN71" s="105">
        <v>5.8073922166187453</v>
      </c>
      <c r="AO71" s="105">
        <v>1066.2372109712016</v>
      </c>
      <c r="AP71" s="105">
        <v>5.3178802290110347</v>
      </c>
      <c r="AQ71" s="105">
        <v>976.36281004642592</v>
      </c>
      <c r="AR71" s="105">
        <v>6.3726663901371907</v>
      </c>
      <c r="AS71" s="105">
        <v>1170.0215492291882</v>
      </c>
      <c r="AT71" s="105">
        <v>6.133691400507046</v>
      </c>
      <c r="AU71" s="105">
        <v>1126.1457411330937</v>
      </c>
      <c r="AV71" s="105">
        <v>5.4111763733796492</v>
      </c>
      <c r="AW71" s="105">
        <v>993.49198215250351</v>
      </c>
      <c r="AX71" s="105">
        <v>6.8711224741182182</v>
      </c>
      <c r="AY71" s="105">
        <v>1261.5380862481047</v>
      </c>
      <c r="AZ71" s="105">
        <v>5.9697494183736781</v>
      </c>
      <c r="BA71" s="105">
        <v>1096.0459932134072</v>
      </c>
      <c r="BB71" s="105">
        <v>5.6192985415865584</v>
      </c>
      <c r="BC71" s="105">
        <v>1031.7032122352921</v>
      </c>
      <c r="BD71" s="105">
        <v>6.6761266944294375</v>
      </c>
      <c r="BE71" s="105">
        <v>1225.7368610972446</v>
      </c>
      <c r="BF71" s="105">
        <v>6</v>
      </c>
      <c r="BG71" s="105">
        <v>1101.5999999999999</v>
      </c>
      <c r="BH71" s="105">
        <v>5.4321275411190868</v>
      </c>
      <c r="BI71" s="105">
        <v>997.33861654946429</v>
      </c>
      <c r="BJ71" s="105">
        <v>6.1687410656528003</v>
      </c>
      <c r="BK71" s="105">
        <v>1132.5808596538541</v>
      </c>
      <c r="BL71" s="105">
        <v>4.7979097177299561</v>
      </c>
      <c r="BM71" s="105">
        <v>880.89622417521991</v>
      </c>
      <c r="BN71" s="105">
        <v>5.9890689957794176</v>
      </c>
      <c r="BO71" s="105">
        <v>1099.593067625101</v>
      </c>
      <c r="BP71" s="105">
        <v>6.4257719433883338</v>
      </c>
      <c r="BQ71" s="105">
        <v>1179.7717288060981</v>
      </c>
      <c r="BR71" s="105">
        <v>6.4526580184652724</v>
      </c>
      <c r="BS71" s="105">
        <v>1184.7080121902241</v>
      </c>
      <c r="BT71" s="105">
        <v>5.1406175547106674</v>
      </c>
      <c r="BU71" s="105">
        <v>943.81738304487851</v>
      </c>
      <c r="BV71" s="105">
        <v>6.0182839664905368</v>
      </c>
      <c r="BW71" s="105">
        <v>1104.9569362476625</v>
      </c>
      <c r="BX71" s="105">
        <v>5.3442063687586145</v>
      </c>
      <c r="BY71" s="105">
        <v>981.19628930408157</v>
      </c>
      <c r="BZ71" s="105">
        <v>4.2601802939591158</v>
      </c>
      <c r="CA71" s="105">
        <v>782.16910197089362</v>
      </c>
      <c r="CB71" s="105">
        <v>6.7639704667245617</v>
      </c>
      <c r="CC71" s="105">
        <v>1241.8649776906295</v>
      </c>
      <c r="CD71" s="105">
        <v>5.1838160215569751</v>
      </c>
      <c r="CE71" s="105">
        <v>951.74862155786059</v>
      </c>
      <c r="CF71" s="105">
        <v>5.8563997458729116</v>
      </c>
      <c r="CG71" s="105">
        <v>1075.2349933422665</v>
      </c>
      <c r="CH71" s="105">
        <v>7.0979238203117996</v>
      </c>
      <c r="CI71" s="105">
        <v>1303.1788134092465</v>
      </c>
      <c r="CJ71" s="105">
        <v>6.2240660976317495</v>
      </c>
      <c r="CK71" s="105">
        <v>1142.7385355251893</v>
      </c>
      <c r="CL71" s="105">
        <v>5.0563451357809841</v>
      </c>
      <c r="CM71" s="105">
        <v>928.34496692938865</v>
      </c>
      <c r="CN71" s="105">
        <v>6.5905353265521374</v>
      </c>
      <c r="CO71" s="105">
        <v>1210.0222859549724</v>
      </c>
      <c r="CP71" s="105">
        <v>5.931481793896924</v>
      </c>
      <c r="CQ71" s="105">
        <v>1089.0200573594752</v>
      </c>
      <c r="CR71" s="105">
        <v>5.479846124310864</v>
      </c>
      <c r="CS71" s="105">
        <v>1006.0997484234746</v>
      </c>
      <c r="CT71" s="105">
        <v>5.3875467822295198</v>
      </c>
      <c r="CU71" s="105">
        <v>989.1535892173398</v>
      </c>
    </row>
    <row r="72" spans="2:99" x14ac:dyDescent="0.2">
      <c r="C72" s="104" t="s">
        <v>238</v>
      </c>
      <c r="D72" s="105">
        <v>0.93617021276595747</v>
      </c>
      <c r="E72" s="105">
        <v>458.34893617021277</v>
      </c>
      <c r="F72" s="105">
        <v>0</v>
      </c>
      <c r="G72" s="105">
        <v>0</v>
      </c>
      <c r="H72" s="105">
        <v>0</v>
      </c>
      <c r="I72" s="105">
        <v>0</v>
      </c>
      <c r="J72" s="105">
        <v>0</v>
      </c>
      <c r="K72" s="105">
        <v>0</v>
      </c>
      <c r="L72" s="105">
        <v>6.734433477786899</v>
      </c>
      <c r="M72" s="105">
        <v>3297.1786307244656</v>
      </c>
      <c r="N72" s="105">
        <v>7.1068445456829492</v>
      </c>
      <c r="O72" s="105">
        <v>3479.5110895663715</v>
      </c>
      <c r="P72" s="105">
        <v>6.9200620928797427</v>
      </c>
      <c r="Q72" s="105">
        <v>3388.0624006739217</v>
      </c>
      <c r="R72" s="105">
        <v>8.0695740684411632</v>
      </c>
      <c r="S72" s="105">
        <v>3950.8634639087932</v>
      </c>
      <c r="T72" s="105">
        <v>5.5645860128311337</v>
      </c>
      <c r="U72" s="105">
        <v>2724.4213118821231</v>
      </c>
      <c r="V72" s="105">
        <v>5.5934180647110878</v>
      </c>
      <c r="W72" s="105">
        <v>2738.5374844825483</v>
      </c>
      <c r="X72" s="105">
        <v>5.364122665785044</v>
      </c>
      <c r="Y72" s="105">
        <v>2626.2744571683575</v>
      </c>
      <c r="Z72" s="105">
        <v>5.5078045229042862</v>
      </c>
      <c r="AA72" s="105">
        <v>2696.6210944139384</v>
      </c>
      <c r="AB72" s="105">
        <v>6.1076644214384164</v>
      </c>
      <c r="AC72" s="105">
        <v>2990.3125007362482</v>
      </c>
      <c r="AD72" s="105">
        <v>5.7383637820026046</v>
      </c>
      <c r="AE72" s="105">
        <v>2809.502907668475</v>
      </c>
      <c r="AF72" s="105">
        <v>4.7017843488207323</v>
      </c>
      <c r="AG72" s="105">
        <v>2301.9936171826303</v>
      </c>
      <c r="AH72" s="105">
        <v>5.3976484324462009</v>
      </c>
      <c r="AI72" s="105">
        <v>2642.68867252566</v>
      </c>
      <c r="AJ72" s="105">
        <v>4.3077800737798881</v>
      </c>
      <c r="AK72" s="105">
        <v>2109.0891241226332</v>
      </c>
      <c r="AL72" s="105">
        <v>5.0921211626850944</v>
      </c>
      <c r="AM72" s="105">
        <v>2493.102521250622</v>
      </c>
      <c r="AN72" s="105">
        <v>5.8073922166187453</v>
      </c>
      <c r="AO72" s="105">
        <v>2843.2992292565373</v>
      </c>
      <c r="AP72" s="105">
        <v>5.3178802290110347</v>
      </c>
      <c r="AQ72" s="105">
        <v>2603.6341601238023</v>
      </c>
      <c r="AR72" s="105">
        <v>5.735399751123472</v>
      </c>
      <c r="AS72" s="105">
        <v>2808.0517181500518</v>
      </c>
      <c r="AT72" s="105">
        <v>6.133691400507046</v>
      </c>
      <c r="AU72" s="105">
        <v>3003.0553096882495</v>
      </c>
      <c r="AV72" s="105">
        <v>6.087573420052105</v>
      </c>
      <c r="AW72" s="105">
        <v>2980.4759464575104</v>
      </c>
      <c r="AX72" s="105">
        <v>6.1076644214384164</v>
      </c>
      <c r="AY72" s="105">
        <v>2990.3125007362482</v>
      </c>
      <c r="AZ72" s="105">
        <v>5.9697494183736781</v>
      </c>
      <c r="BA72" s="105">
        <v>2922.7893152357524</v>
      </c>
      <c r="BB72" s="105">
        <v>5.6192985415865584</v>
      </c>
      <c r="BC72" s="105">
        <v>2751.2085659607787</v>
      </c>
      <c r="BD72" s="105">
        <v>6.0085140249864937</v>
      </c>
      <c r="BE72" s="105">
        <v>2941.7684666333871</v>
      </c>
      <c r="BF72" s="105">
        <v>6</v>
      </c>
      <c r="BG72" s="105">
        <v>2937.6</v>
      </c>
      <c r="BH72" s="105">
        <v>5.4321275411190868</v>
      </c>
      <c r="BI72" s="105">
        <v>2659.5696441319046</v>
      </c>
      <c r="BJ72" s="105">
        <v>6.1687410656528003</v>
      </c>
      <c r="BK72" s="105">
        <v>3020.2156257436109</v>
      </c>
      <c r="BL72" s="105">
        <v>4.7979097177299561</v>
      </c>
      <c r="BM72" s="105">
        <v>2349.0565978005861</v>
      </c>
      <c r="BN72" s="105">
        <v>5.2404353713069902</v>
      </c>
      <c r="BO72" s="105">
        <v>2565.7171577919021</v>
      </c>
      <c r="BP72" s="105">
        <v>5.6225504504647921</v>
      </c>
      <c r="BQ72" s="105">
        <v>2752.800700547562</v>
      </c>
      <c r="BR72" s="105">
        <v>5.8073922166187453</v>
      </c>
      <c r="BS72" s="105">
        <v>2843.2992292565373</v>
      </c>
      <c r="BT72" s="105">
        <v>4.2838479622588892</v>
      </c>
      <c r="BU72" s="105">
        <v>2097.3719623219522</v>
      </c>
      <c r="BV72" s="105">
        <v>6.0182839664905368</v>
      </c>
      <c r="BW72" s="105">
        <v>2946.5518299937667</v>
      </c>
      <c r="BX72" s="105">
        <v>5.3442063687586145</v>
      </c>
      <c r="BY72" s="105">
        <v>2616.5234381442174</v>
      </c>
      <c r="BZ72" s="105">
        <v>4.2601802939591158</v>
      </c>
      <c r="CA72" s="105">
        <v>2085.7842719223831</v>
      </c>
      <c r="CB72" s="105">
        <v>7.4403675133970175</v>
      </c>
      <c r="CC72" s="105">
        <v>3642.8039345591797</v>
      </c>
      <c r="CD72" s="105">
        <v>5.8317930242515965</v>
      </c>
      <c r="CE72" s="105">
        <v>2855.2458646735813</v>
      </c>
      <c r="CF72" s="105">
        <v>5.8563997458729116</v>
      </c>
      <c r="CG72" s="105">
        <v>2867.2933155793771</v>
      </c>
      <c r="CH72" s="105">
        <v>6.4526580184652724</v>
      </c>
      <c r="CI72" s="105">
        <v>3159.2213658405972</v>
      </c>
      <c r="CJ72" s="105">
        <v>6.2240660976317495</v>
      </c>
      <c r="CK72" s="105">
        <v>3047.3027614005041</v>
      </c>
      <c r="CL72" s="105">
        <v>5.0563451357809841</v>
      </c>
      <c r="CM72" s="105">
        <v>2475.5865784783696</v>
      </c>
      <c r="CN72" s="105">
        <v>5.931481793896924</v>
      </c>
      <c r="CO72" s="105">
        <v>2904.053486291934</v>
      </c>
      <c r="CP72" s="105">
        <v>5.2724282612417106</v>
      </c>
      <c r="CQ72" s="105">
        <v>2581.3808767039413</v>
      </c>
      <c r="CR72" s="105">
        <v>5.479846124310864</v>
      </c>
      <c r="CS72" s="105">
        <v>2682.9326624625987</v>
      </c>
      <c r="CT72" s="105">
        <v>5.3875467822295198</v>
      </c>
      <c r="CU72" s="105">
        <v>2637.7429045795725</v>
      </c>
    </row>
    <row r="73" spans="2:99" x14ac:dyDescent="0.2">
      <c r="C73" s="104" t="s">
        <v>239</v>
      </c>
      <c r="D73" s="105">
        <v>0.93617021276595747</v>
      </c>
      <c r="E73" s="105">
        <v>531.37021276595749</v>
      </c>
      <c r="F73" s="105">
        <v>0</v>
      </c>
      <c r="G73" s="105">
        <v>0</v>
      </c>
      <c r="H73" s="105">
        <v>0</v>
      </c>
      <c r="I73" s="105">
        <v>0</v>
      </c>
      <c r="J73" s="105">
        <v>0</v>
      </c>
      <c r="K73" s="105">
        <v>0</v>
      </c>
      <c r="L73" s="105">
        <v>7.5762376625102625</v>
      </c>
      <c r="M73" s="105">
        <v>4300.272497240825</v>
      </c>
      <c r="N73" s="105">
        <v>7.9952001138933184</v>
      </c>
      <c r="O73" s="105">
        <v>4538.0755846458478</v>
      </c>
      <c r="P73" s="105">
        <v>5.9314817938969231</v>
      </c>
      <c r="Q73" s="105">
        <v>3366.7090662158935</v>
      </c>
      <c r="R73" s="105">
        <v>7.1729547275032557</v>
      </c>
      <c r="S73" s="105">
        <v>4071.3691033308482</v>
      </c>
      <c r="T73" s="105">
        <v>5.5645860128311337</v>
      </c>
      <c r="U73" s="105">
        <v>3158.4590208829518</v>
      </c>
      <c r="V73" s="105">
        <v>6.3924777882412442</v>
      </c>
      <c r="W73" s="105">
        <v>3628.3703926057306</v>
      </c>
      <c r="X73" s="105">
        <v>5.364122665785044</v>
      </c>
      <c r="Y73" s="105">
        <v>3044.6760250995912</v>
      </c>
      <c r="Z73" s="105">
        <v>4.5898371024202378</v>
      </c>
      <c r="AA73" s="105">
        <v>2605.1915393337272</v>
      </c>
      <c r="AB73" s="105">
        <v>6.8711224741182182</v>
      </c>
      <c r="AC73" s="105">
        <v>3900.0491163095007</v>
      </c>
      <c r="AD73" s="105">
        <v>5.7383637820026046</v>
      </c>
      <c r="AE73" s="105">
        <v>3257.0952826646785</v>
      </c>
      <c r="AF73" s="105">
        <v>4.7017843488207323</v>
      </c>
      <c r="AG73" s="105">
        <v>2668.7327963906478</v>
      </c>
      <c r="AH73" s="105">
        <v>6.1687410656528003</v>
      </c>
      <c r="AI73" s="105">
        <v>3501.3774288645295</v>
      </c>
      <c r="AJ73" s="105">
        <v>4.3077800737798881</v>
      </c>
      <c r="AK73" s="105">
        <v>2445.0959698774645</v>
      </c>
      <c r="AL73" s="105">
        <v>5.8195670430686794</v>
      </c>
      <c r="AM73" s="105">
        <v>3303.1862536457825</v>
      </c>
      <c r="AN73" s="105">
        <v>5.8073922166187453</v>
      </c>
      <c r="AO73" s="105">
        <v>3296.2758221528002</v>
      </c>
      <c r="AP73" s="105">
        <v>5.3178802290110347</v>
      </c>
      <c r="AQ73" s="105">
        <v>3018.4288179866635</v>
      </c>
      <c r="AR73" s="105">
        <v>5.735399751123472</v>
      </c>
      <c r="AS73" s="105">
        <v>3255.412898737683</v>
      </c>
      <c r="AT73" s="105">
        <v>6.133691400507046</v>
      </c>
      <c r="AU73" s="105">
        <v>3481.4832389277994</v>
      </c>
      <c r="AV73" s="105">
        <v>5.4111763733796492</v>
      </c>
      <c r="AW73" s="105">
        <v>3071.3837095302888</v>
      </c>
      <c r="AX73" s="105">
        <v>5.3442063687586145</v>
      </c>
      <c r="AY73" s="105">
        <v>3033.3715349073896</v>
      </c>
      <c r="AZ73" s="105">
        <v>4.9747911819780644</v>
      </c>
      <c r="BA73" s="105">
        <v>2823.6914748907493</v>
      </c>
      <c r="BB73" s="105">
        <v>5.6192985415865584</v>
      </c>
      <c r="BC73" s="105">
        <v>3189.5138522045308</v>
      </c>
      <c r="BD73" s="105">
        <v>6.6761266944294375</v>
      </c>
      <c r="BE73" s="105">
        <v>3789.3695117581487</v>
      </c>
      <c r="BF73" s="105">
        <v>5</v>
      </c>
      <c r="BG73" s="105">
        <v>2838</v>
      </c>
      <c r="BH73" s="105">
        <v>5.4321275411190868</v>
      </c>
      <c r="BI73" s="105">
        <v>3083.2755923391937</v>
      </c>
      <c r="BJ73" s="105">
        <v>6.9398336988593998</v>
      </c>
      <c r="BK73" s="105">
        <v>3939.0496074725957</v>
      </c>
      <c r="BL73" s="105">
        <v>5.4833253916913778</v>
      </c>
      <c r="BM73" s="105">
        <v>3112.3354923240263</v>
      </c>
      <c r="BN73" s="105">
        <v>5.9890689957794176</v>
      </c>
      <c r="BO73" s="105">
        <v>3399.3955620043976</v>
      </c>
      <c r="BP73" s="105">
        <v>5.6225504504647921</v>
      </c>
      <c r="BQ73" s="105">
        <v>3191.3596356838161</v>
      </c>
      <c r="BR73" s="105">
        <v>5.8073922166187453</v>
      </c>
      <c r="BS73" s="105">
        <v>3296.2758221528002</v>
      </c>
      <c r="BT73" s="105">
        <v>5.1406175547106674</v>
      </c>
      <c r="BU73" s="105">
        <v>2917.8145240537751</v>
      </c>
      <c r="BV73" s="105">
        <v>5.2659984706792207</v>
      </c>
      <c r="BW73" s="105">
        <v>2988.9807319575257</v>
      </c>
      <c r="BX73" s="105">
        <v>6.1076644214384164</v>
      </c>
      <c r="BY73" s="105">
        <v>3466.7103256084451</v>
      </c>
      <c r="BZ73" s="105">
        <v>4.2601802939591158</v>
      </c>
      <c r="CA73" s="105">
        <v>2418.0783348511941</v>
      </c>
      <c r="CB73" s="105">
        <v>7.4403675133970175</v>
      </c>
      <c r="CC73" s="105">
        <v>4223.1526006041477</v>
      </c>
      <c r="CD73" s="105">
        <v>5.1838160215569751</v>
      </c>
      <c r="CE73" s="105">
        <v>2942.333973835739</v>
      </c>
      <c r="CF73" s="105">
        <v>5.2056886629981438</v>
      </c>
      <c r="CG73" s="105">
        <v>2954.7488851177463</v>
      </c>
      <c r="CH73" s="105">
        <v>6.4526580184652724</v>
      </c>
      <c r="CI73" s="105">
        <v>3662.5286912808888</v>
      </c>
      <c r="CJ73" s="105">
        <v>6.2240660976317495</v>
      </c>
      <c r="CK73" s="105">
        <v>3532.7799170157809</v>
      </c>
      <c r="CL73" s="105">
        <v>5.0563451357809841</v>
      </c>
      <c r="CM73" s="105">
        <v>2869.9814990692867</v>
      </c>
      <c r="CN73" s="105">
        <v>6.5905353265521374</v>
      </c>
      <c r="CO73" s="105">
        <v>3740.7878513509932</v>
      </c>
      <c r="CP73" s="105">
        <v>5.2724282612417106</v>
      </c>
      <c r="CQ73" s="105">
        <v>2992.6302810807952</v>
      </c>
      <c r="CR73" s="105">
        <v>6.2626812849267006</v>
      </c>
      <c r="CS73" s="105">
        <v>3554.6978973243954</v>
      </c>
      <c r="CT73" s="105">
        <v>5.3875467822295198</v>
      </c>
      <c r="CU73" s="105">
        <v>3057.9715535934756</v>
      </c>
    </row>
    <row r="74" spans="2:99" x14ac:dyDescent="0.2">
      <c r="C74" s="104" t="s">
        <v>240</v>
      </c>
      <c r="D74" s="105">
        <v>0.93617021276595747</v>
      </c>
      <c r="E74" s="105">
        <v>294.33191489361701</v>
      </c>
      <c r="F74" s="105">
        <v>0</v>
      </c>
      <c r="G74" s="105">
        <v>0</v>
      </c>
      <c r="H74" s="105">
        <v>0</v>
      </c>
      <c r="I74" s="105">
        <v>0</v>
      </c>
      <c r="J74" s="105">
        <v>0</v>
      </c>
      <c r="K74" s="105">
        <v>0</v>
      </c>
      <c r="L74" s="105">
        <v>7.5762376625102625</v>
      </c>
      <c r="M74" s="105">
        <v>2381.9691210932265</v>
      </c>
      <c r="N74" s="105">
        <v>7.1068445456829492</v>
      </c>
      <c r="O74" s="105">
        <v>2234.391925162719</v>
      </c>
      <c r="P74" s="105">
        <v>5.9314817938969231</v>
      </c>
      <c r="Q74" s="105">
        <v>1864.8578760011924</v>
      </c>
      <c r="R74" s="105">
        <v>7.1729547275032557</v>
      </c>
      <c r="S74" s="105">
        <v>2255.1769663270234</v>
      </c>
      <c r="T74" s="105">
        <v>5.5645860128311337</v>
      </c>
      <c r="U74" s="105">
        <v>1749.5058424341082</v>
      </c>
      <c r="V74" s="105">
        <v>4.7943583411809332</v>
      </c>
      <c r="W74" s="105">
        <v>1507.3462624672852</v>
      </c>
      <c r="X74" s="105">
        <v>5.364122665785044</v>
      </c>
      <c r="Y74" s="105">
        <v>1686.4801661228178</v>
      </c>
      <c r="Z74" s="105">
        <v>5.5078045229042862</v>
      </c>
      <c r="AA74" s="105">
        <v>1731.6537420011075</v>
      </c>
      <c r="AB74" s="105">
        <v>6.8711224741182182</v>
      </c>
      <c r="AC74" s="105">
        <v>2160.2809058627677</v>
      </c>
      <c r="AD74" s="105">
        <v>6.4556592547529306</v>
      </c>
      <c r="AE74" s="105">
        <v>2029.6592696943212</v>
      </c>
      <c r="AF74" s="105">
        <v>4.7017843488207323</v>
      </c>
      <c r="AG74" s="105">
        <v>1478.240999269238</v>
      </c>
      <c r="AH74" s="105">
        <v>6.1687410656528003</v>
      </c>
      <c r="AI74" s="105">
        <v>1939.4521910412402</v>
      </c>
      <c r="AJ74" s="105">
        <v>4.3077800737798881</v>
      </c>
      <c r="AK74" s="105">
        <v>1354.3660551963967</v>
      </c>
      <c r="AL74" s="105">
        <v>5.8195670430686794</v>
      </c>
      <c r="AM74" s="105">
        <v>1829.6718783407928</v>
      </c>
      <c r="AN74" s="105">
        <v>5.8073922166187453</v>
      </c>
      <c r="AO74" s="105">
        <v>1825.8441129049334</v>
      </c>
      <c r="AP74" s="105">
        <v>6.0775774045840398</v>
      </c>
      <c r="AQ74" s="105">
        <v>1910.7903360012219</v>
      </c>
      <c r="AR74" s="105">
        <v>5.735399751123472</v>
      </c>
      <c r="AS74" s="105">
        <v>1803.2096817532195</v>
      </c>
      <c r="AT74" s="105">
        <v>6.133691400507046</v>
      </c>
      <c r="AU74" s="105">
        <v>1928.4325763194151</v>
      </c>
      <c r="AV74" s="105">
        <v>6.087573420052105</v>
      </c>
      <c r="AW74" s="105">
        <v>1913.9330832643816</v>
      </c>
      <c r="AX74" s="105">
        <v>6.1076644214384164</v>
      </c>
      <c r="AY74" s="105">
        <v>1920.249694100238</v>
      </c>
      <c r="AZ74" s="105">
        <v>5.9697494183736781</v>
      </c>
      <c r="BA74" s="105">
        <v>1876.8892171366842</v>
      </c>
      <c r="BB74" s="105">
        <v>5.6192985415865584</v>
      </c>
      <c r="BC74" s="105">
        <v>1766.7074614748137</v>
      </c>
      <c r="BD74" s="105">
        <v>6.0085140249864937</v>
      </c>
      <c r="BE74" s="105">
        <v>1889.0768094557534</v>
      </c>
      <c r="BF74" s="105">
        <v>5</v>
      </c>
      <c r="BG74" s="105">
        <v>1572</v>
      </c>
      <c r="BH74" s="105">
        <v>5.4321275411190868</v>
      </c>
      <c r="BI74" s="105">
        <v>1707.8608989278407</v>
      </c>
      <c r="BJ74" s="105">
        <v>6.1687410656528003</v>
      </c>
      <c r="BK74" s="105">
        <v>1939.4521910412402</v>
      </c>
      <c r="BL74" s="105">
        <v>4.7979097177299561</v>
      </c>
      <c r="BM74" s="105">
        <v>1508.462815254298</v>
      </c>
      <c r="BN74" s="105">
        <v>6.7377026202518451</v>
      </c>
      <c r="BO74" s="105">
        <v>2118.33370380718</v>
      </c>
      <c r="BP74" s="105">
        <v>5.6225504504647921</v>
      </c>
      <c r="BQ74" s="105">
        <v>1767.7298616261305</v>
      </c>
      <c r="BR74" s="105">
        <v>5.1621264147722172</v>
      </c>
      <c r="BS74" s="105">
        <v>1622.9725448043851</v>
      </c>
      <c r="BT74" s="105">
        <v>5.1406175547106674</v>
      </c>
      <c r="BU74" s="105">
        <v>1616.2101592010338</v>
      </c>
      <c r="BV74" s="105">
        <v>6.0182839664905368</v>
      </c>
      <c r="BW74" s="105">
        <v>1892.1484790646246</v>
      </c>
      <c r="BX74" s="105">
        <v>6.1076644214384164</v>
      </c>
      <c r="BY74" s="105">
        <v>1920.249694100238</v>
      </c>
      <c r="BZ74" s="105">
        <v>4.2601802939591158</v>
      </c>
      <c r="CA74" s="105">
        <v>1339.4006844207458</v>
      </c>
      <c r="CB74" s="105">
        <v>6.087573420052105</v>
      </c>
      <c r="CC74" s="105">
        <v>1913.9330832643816</v>
      </c>
      <c r="CD74" s="105">
        <v>5.1838160215569751</v>
      </c>
      <c r="CE74" s="105">
        <v>1629.7917571775129</v>
      </c>
      <c r="CF74" s="105">
        <v>5.8563997458729116</v>
      </c>
      <c r="CG74" s="105">
        <v>1841.2520801024432</v>
      </c>
      <c r="CH74" s="105">
        <v>6.4526580184652724</v>
      </c>
      <c r="CI74" s="105">
        <v>2028.7156810054814</v>
      </c>
      <c r="CJ74" s="105">
        <v>6.2240660976317495</v>
      </c>
      <c r="CK74" s="105">
        <v>1956.846381095422</v>
      </c>
      <c r="CL74" s="105">
        <v>5.0563451357809841</v>
      </c>
      <c r="CM74" s="105">
        <v>1589.7149106895413</v>
      </c>
      <c r="CN74" s="105">
        <v>6.5905353265521374</v>
      </c>
      <c r="CO74" s="105">
        <v>2072.0643066679918</v>
      </c>
      <c r="CP74" s="105">
        <v>5.931481793896924</v>
      </c>
      <c r="CQ74" s="105">
        <v>1864.8578760011928</v>
      </c>
      <c r="CR74" s="105">
        <v>5.479846124310864</v>
      </c>
      <c r="CS74" s="105">
        <v>1722.8636214833355</v>
      </c>
      <c r="CT74" s="105">
        <v>5.3875467822295198</v>
      </c>
      <c r="CU74" s="105">
        <v>1693.8447083329609</v>
      </c>
    </row>
    <row r="75" spans="2:99" x14ac:dyDescent="0.2">
      <c r="C75" s="104" t="s">
        <v>241</v>
      </c>
      <c r="D75" s="105">
        <v>0.93617021276595747</v>
      </c>
      <c r="E75" s="105">
        <v>560.57872340425524</v>
      </c>
      <c r="F75" s="105">
        <v>0</v>
      </c>
      <c r="G75" s="105">
        <v>0</v>
      </c>
      <c r="H75" s="105">
        <v>0</v>
      </c>
      <c r="I75" s="105">
        <v>0</v>
      </c>
      <c r="J75" s="105">
        <v>0</v>
      </c>
      <c r="K75" s="105">
        <v>0</v>
      </c>
      <c r="L75" s="105">
        <v>7.5762376625102625</v>
      </c>
      <c r="M75" s="105">
        <v>4536.651112311145</v>
      </c>
      <c r="N75" s="105">
        <v>7.1068445456829492</v>
      </c>
      <c r="O75" s="105">
        <v>4255.5785139549498</v>
      </c>
      <c r="P75" s="105">
        <v>6.9200620928797427</v>
      </c>
      <c r="Q75" s="105">
        <v>4143.7331812163893</v>
      </c>
      <c r="R75" s="105">
        <v>8.0695740684411632</v>
      </c>
      <c r="S75" s="105">
        <v>4832.0609521825681</v>
      </c>
      <c r="T75" s="105">
        <v>4.769645153855258</v>
      </c>
      <c r="U75" s="105">
        <v>2856.0635181285284</v>
      </c>
      <c r="V75" s="105">
        <v>5.5934180647110878</v>
      </c>
      <c r="W75" s="105">
        <v>3349.3387371489989</v>
      </c>
      <c r="X75" s="105">
        <v>6.0346379990081749</v>
      </c>
      <c r="Y75" s="105">
        <v>3613.5412338060946</v>
      </c>
      <c r="Z75" s="105">
        <v>4.5898371024202378</v>
      </c>
      <c r="AA75" s="105">
        <v>2748.394456929238</v>
      </c>
      <c r="AB75" s="105">
        <v>5.3442063687586145</v>
      </c>
      <c r="AC75" s="105">
        <v>3200.1107736126582</v>
      </c>
      <c r="AD75" s="105">
        <v>5.7383637820026046</v>
      </c>
      <c r="AE75" s="105">
        <v>3436.1322326631594</v>
      </c>
      <c r="AF75" s="105">
        <v>4.7017843488207323</v>
      </c>
      <c r="AG75" s="105">
        <v>2815.4284680738542</v>
      </c>
      <c r="AH75" s="105">
        <v>6.1687410656528003</v>
      </c>
      <c r="AI75" s="105">
        <v>3693.8421501128964</v>
      </c>
      <c r="AJ75" s="105">
        <v>4.3077800737798881</v>
      </c>
      <c r="AK75" s="105">
        <v>2579.498708179397</v>
      </c>
      <c r="AL75" s="105">
        <v>5.0921211626850944</v>
      </c>
      <c r="AM75" s="105">
        <v>3049.1621522158343</v>
      </c>
      <c r="AN75" s="105">
        <v>5.8073922166187453</v>
      </c>
      <c r="AO75" s="105">
        <v>3477.4664593113043</v>
      </c>
      <c r="AP75" s="105">
        <v>5.3178802290110347</v>
      </c>
      <c r="AQ75" s="105">
        <v>3184.3466811318071</v>
      </c>
      <c r="AR75" s="105">
        <v>5.735399751123472</v>
      </c>
      <c r="AS75" s="105">
        <v>3434.3573709727348</v>
      </c>
      <c r="AT75" s="105">
        <v>6.133691400507046</v>
      </c>
      <c r="AU75" s="105">
        <v>3672.8544106236191</v>
      </c>
      <c r="AV75" s="105">
        <v>5.4111763733796492</v>
      </c>
      <c r="AW75" s="105">
        <v>3240.2124123797339</v>
      </c>
      <c r="AX75" s="105">
        <v>6.1076644214384164</v>
      </c>
      <c r="AY75" s="105">
        <v>3657.2694555573235</v>
      </c>
      <c r="AZ75" s="105">
        <v>5.9697494183736781</v>
      </c>
      <c r="BA75" s="105">
        <v>3574.6859517221583</v>
      </c>
      <c r="BB75" s="105">
        <v>6.2436650462072878</v>
      </c>
      <c r="BC75" s="105">
        <v>3738.7066296689236</v>
      </c>
      <c r="BD75" s="105">
        <v>6.0085140249864937</v>
      </c>
      <c r="BE75" s="105">
        <v>3597.8981981619122</v>
      </c>
      <c r="BF75" s="105">
        <v>5</v>
      </c>
      <c r="BG75" s="105">
        <v>2994</v>
      </c>
      <c r="BH75" s="105">
        <v>5.4321275411190868</v>
      </c>
      <c r="BI75" s="105">
        <v>3252.7579716221089</v>
      </c>
      <c r="BJ75" s="105">
        <v>6.9398336988593998</v>
      </c>
      <c r="BK75" s="105">
        <v>4155.5724188770082</v>
      </c>
      <c r="BL75" s="105">
        <v>5.4833253916913778</v>
      </c>
      <c r="BM75" s="105">
        <v>3283.4152445447967</v>
      </c>
      <c r="BN75" s="105">
        <v>5.9890689957794176</v>
      </c>
      <c r="BO75" s="105">
        <v>3586.2545146727152</v>
      </c>
      <c r="BP75" s="105">
        <v>5.6225504504647921</v>
      </c>
      <c r="BQ75" s="105">
        <v>3366.7832097383171</v>
      </c>
      <c r="BR75" s="105">
        <v>5.1621264147722172</v>
      </c>
      <c r="BS75" s="105">
        <v>3091.0812971656032</v>
      </c>
      <c r="BT75" s="105">
        <v>5.1406175547106674</v>
      </c>
      <c r="BU75" s="105">
        <v>3078.2017917607473</v>
      </c>
      <c r="BV75" s="105">
        <v>6.0182839664905368</v>
      </c>
      <c r="BW75" s="105">
        <v>3603.7484391345333</v>
      </c>
      <c r="BX75" s="105">
        <v>6.1076644214384164</v>
      </c>
      <c r="BY75" s="105">
        <v>3657.2694555573235</v>
      </c>
      <c r="BZ75" s="105">
        <v>4.2601802939591158</v>
      </c>
      <c r="CA75" s="105">
        <v>2550.9959600227185</v>
      </c>
      <c r="CB75" s="105">
        <v>6.087573420052105</v>
      </c>
      <c r="CC75" s="105">
        <v>3645.2389639272001</v>
      </c>
      <c r="CD75" s="105">
        <v>5.8317930242515965</v>
      </c>
      <c r="CE75" s="105">
        <v>3492.0776629218558</v>
      </c>
      <c r="CF75" s="105">
        <v>5.8563997458729116</v>
      </c>
      <c r="CG75" s="105">
        <v>3506.8121678286993</v>
      </c>
      <c r="CH75" s="105">
        <v>6.4526580184652724</v>
      </c>
      <c r="CI75" s="105">
        <v>3863.851621457005</v>
      </c>
      <c r="CJ75" s="105">
        <v>6.2240660976317495</v>
      </c>
      <c r="CK75" s="105">
        <v>3726.9707792618915</v>
      </c>
      <c r="CL75" s="105">
        <v>4.213620946484153</v>
      </c>
      <c r="CM75" s="105">
        <v>2523.1162227547106</v>
      </c>
      <c r="CN75" s="105">
        <v>6.5905353265521374</v>
      </c>
      <c r="CO75" s="105">
        <v>3946.4125535394196</v>
      </c>
      <c r="CP75" s="105">
        <v>4.6133747285864963</v>
      </c>
      <c r="CQ75" s="105">
        <v>2762.4887874775936</v>
      </c>
      <c r="CR75" s="105">
        <v>5.479846124310864</v>
      </c>
      <c r="CS75" s="105">
        <v>3281.3318592373453</v>
      </c>
      <c r="CT75" s="105">
        <v>4.7141034344508297</v>
      </c>
      <c r="CU75" s="105">
        <v>2822.8051365491565</v>
      </c>
    </row>
    <row r="76" spans="2:99" x14ac:dyDescent="0.2">
      <c r="C76" s="104" t="s">
        <v>242</v>
      </c>
      <c r="D76" s="105">
        <v>0.93617021276595747</v>
      </c>
      <c r="E76" s="105">
        <v>807.72765957446802</v>
      </c>
      <c r="F76" s="105">
        <v>0</v>
      </c>
      <c r="G76" s="105">
        <v>0</v>
      </c>
      <c r="H76" s="105">
        <v>0</v>
      </c>
      <c r="I76" s="105">
        <v>0</v>
      </c>
      <c r="J76" s="105">
        <v>0</v>
      </c>
      <c r="K76" s="105">
        <v>0</v>
      </c>
      <c r="L76" s="105">
        <v>7.5762376625102625</v>
      </c>
      <c r="M76" s="105">
        <v>6536.7778552138543</v>
      </c>
      <c r="N76" s="105">
        <v>6.2184889774725809</v>
      </c>
      <c r="O76" s="105">
        <v>5365.312289763343</v>
      </c>
      <c r="P76" s="105">
        <v>5.9314817938969231</v>
      </c>
      <c r="Q76" s="105">
        <v>5117.6824917742651</v>
      </c>
      <c r="R76" s="105">
        <v>7.1729547275032557</v>
      </c>
      <c r="S76" s="105">
        <v>6188.8253388898083</v>
      </c>
      <c r="T76" s="105">
        <v>4.769645153855258</v>
      </c>
      <c r="U76" s="105">
        <v>4115.2498387463165</v>
      </c>
      <c r="V76" s="105">
        <v>4.7943583411809332</v>
      </c>
      <c r="W76" s="105">
        <v>4136.5723767709087</v>
      </c>
      <c r="X76" s="105">
        <v>5.364122665785044</v>
      </c>
      <c r="Y76" s="105">
        <v>4628.165036039336</v>
      </c>
      <c r="Z76" s="105">
        <v>5.5078045229042862</v>
      </c>
      <c r="AA76" s="105">
        <v>4752.1337423618179</v>
      </c>
      <c r="AB76" s="105">
        <v>6.8711224741182182</v>
      </c>
      <c r="AC76" s="105">
        <v>5928.4044706691984</v>
      </c>
      <c r="AD76" s="105">
        <v>6.4556592547529306</v>
      </c>
      <c r="AE76" s="105">
        <v>5569.9428050008282</v>
      </c>
      <c r="AF76" s="105">
        <v>4.7017843488207323</v>
      </c>
      <c r="AG76" s="105">
        <v>4056.6995361625277</v>
      </c>
      <c r="AH76" s="105">
        <v>6.1687410656528003</v>
      </c>
      <c r="AI76" s="105">
        <v>5322.3897914452355</v>
      </c>
      <c r="AJ76" s="105">
        <v>4.3077800737798881</v>
      </c>
      <c r="AK76" s="105">
        <v>3716.7526476572871</v>
      </c>
      <c r="AL76" s="105">
        <v>5.0921211626850944</v>
      </c>
      <c r="AM76" s="105">
        <v>4393.4821391646992</v>
      </c>
      <c r="AN76" s="105">
        <v>5.1621264147722172</v>
      </c>
      <c r="AO76" s="105">
        <v>4453.882670665469</v>
      </c>
      <c r="AP76" s="105">
        <v>5.3178802290110347</v>
      </c>
      <c r="AQ76" s="105">
        <v>4588.2670615907209</v>
      </c>
      <c r="AR76" s="105">
        <v>6.3726663901371907</v>
      </c>
      <c r="AS76" s="105">
        <v>5498.3365614103677</v>
      </c>
      <c r="AT76" s="105">
        <v>6.133691400507046</v>
      </c>
      <c r="AU76" s="105">
        <v>5292.1489403574788</v>
      </c>
      <c r="AV76" s="105">
        <v>6.087573420052105</v>
      </c>
      <c r="AW76" s="105">
        <v>5252.3583468209563</v>
      </c>
      <c r="AX76" s="105">
        <v>5.3442063687586145</v>
      </c>
      <c r="AY76" s="105">
        <v>4610.9812549649323</v>
      </c>
      <c r="AZ76" s="105">
        <v>5.9697494183736781</v>
      </c>
      <c r="BA76" s="105">
        <v>5150.6997981728091</v>
      </c>
      <c r="BB76" s="105">
        <v>5.6192985415865584</v>
      </c>
      <c r="BC76" s="105">
        <v>4848.330781680882</v>
      </c>
      <c r="BD76" s="105">
        <v>5.3409013555435498</v>
      </c>
      <c r="BE76" s="105">
        <v>4608.1296895629748</v>
      </c>
      <c r="BF76" s="105">
        <v>5</v>
      </c>
      <c r="BG76" s="105">
        <v>4314</v>
      </c>
      <c r="BH76" s="105">
        <v>4.526772950932572</v>
      </c>
      <c r="BI76" s="105">
        <v>3905.6997020646231</v>
      </c>
      <c r="BJ76" s="105">
        <v>6.1687410656528003</v>
      </c>
      <c r="BK76" s="105">
        <v>5322.3897914452355</v>
      </c>
      <c r="BL76" s="105">
        <v>5.4833253916913778</v>
      </c>
      <c r="BM76" s="105">
        <v>4731.0131479513202</v>
      </c>
      <c r="BN76" s="105">
        <v>5.9890689957794176</v>
      </c>
      <c r="BO76" s="105">
        <v>5167.3687295584814</v>
      </c>
      <c r="BP76" s="105">
        <v>4.8193289575412503</v>
      </c>
      <c r="BQ76" s="105">
        <v>4158.1170245665908</v>
      </c>
      <c r="BR76" s="105">
        <v>5.1621264147722172</v>
      </c>
      <c r="BS76" s="105">
        <v>4453.882670665469</v>
      </c>
      <c r="BT76" s="105">
        <v>5.1406175547106674</v>
      </c>
      <c r="BU76" s="105">
        <v>4435.3248262043635</v>
      </c>
      <c r="BV76" s="105">
        <v>5.2659984706792207</v>
      </c>
      <c r="BW76" s="105">
        <v>4543.5034805020314</v>
      </c>
      <c r="BX76" s="105">
        <v>5.3442063687586145</v>
      </c>
      <c r="BY76" s="105">
        <v>4610.9812549649323</v>
      </c>
      <c r="BZ76" s="105">
        <v>4.2601802939591158</v>
      </c>
      <c r="CA76" s="105">
        <v>3675.683557627925</v>
      </c>
      <c r="CB76" s="105">
        <v>6.7639704667245617</v>
      </c>
      <c r="CC76" s="105">
        <v>5835.9537186899515</v>
      </c>
      <c r="CD76" s="105">
        <v>5.1838160215569751</v>
      </c>
      <c r="CE76" s="105">
        <v>4472.5964633993581</v>
      </c>
      <c r="CF76" s="105">
        <v>5.2056886629981438</v>
      </c>
      <c r="CG76" s="105">
        <v>4491.4681784347986</v>
      </c>
      <c r="CH76" s="105">
        <v>5.8073922166187453</v>
      </c>
      <c r="CI76" s="105">
        <v>5010.6180044986531</v>
      </c>
      <c r="CJ76" s="105">
        <v>6.2240660976317495</v>
      </c>
      <c r="CK76" s="105">
        <v>5370.1242290366736</v>
      </c>
      <c r="CL76" s="105">
        <v>5.0563451357809841</v>
      </c>
      <c r="CM76" s="105">
        <v>4362.6145831518324</v>
      </c>
      <c r="CN76" s="105">
        <v>5.931481793896924</v>
      </c>
      <c r="CO76" s="105">
        <v>5117.6824917742661</v>
      </c>
      <c r="CP76" s="105">
        <v>5.2724282612417106</v>
      </c>
      <c r="CQ76" s="105">
        <v>4549.0511037993474</v>
      </c>
      <c r="CR76" s="105">
        <v>5.479846124310864</v>
      </c>
      <c r="CS76" s="105">
        <v>4728.0112360554131</v>
      </c>
      <c r="CT76" s="105">
        <v>4.7141034344508297</v>
      </c>
      <c r="CU76" s="105">
        <v>4067.3284432441756</v>
      </c>
    </row>
    <row r="77" spans="2:99" x14ac:dyDescent="0.2">
      <c r="C77" s="104" t="s">
        <v>243</v>
      </c>
      <c r="D77" s="105">
        <v>0.93617021276595747</v>
      </c>
      <c r="E77" s="105">
        <v>645.95744680851067</v>
      </c>
      <c r="F77" s="105">
        <v>0</v>
      </c>
      <c r="G77" s="105">
        <v>0</v>
      </c>
      <c r="H77" s="105">
        <v>0</v>
      </c>
      <c r="I77" s="105">
        <v>0</v>
      </c>
      <c r="J77" s="105">
        <v>0</v>
      </c>
      <c r="K77" s="105">
        <v>0</v>
      </c>
      <c r="L77" s="105">
        <v>7.5762376625102625</v>
      </c>
      <c r="M77" s="105">
        <v>5227.6039871320809</v>
      </c>
      <c r="N77" s="105">
        <v>7.1068445456829492</v>
      </c>
      <c r="O77" s="105">
        <v>4903.7227365212348</v>
      </c>
      <c r="P77" s="105">
        <v>6.9200620928797427</v>
      </c>
      <c r="Q77" s="105">
        <v>4774.8428440870221</v>
      </c>
      <c r="R77" s="105">
        <v>8.0695740684411632</v>
      </c>
      <c r="S77" s="105">
        <v>5568.0061072244025</v>
      </c>
      <c r="T77" s="105">
        <v>4.769645153855258</v>
      </c>
      <c r="U77" s="105">
        <v>3291.0551561601278</v>
      </c>
      <c r="V77" s="105">
        <v>5.5934180647110878</v>
      </c>
      <c r="W77" s="105">
        <v>3859.4584646506505</v>
      </c>
      <c r="X77" s="105">
        <v>6.0346379990081749</v>
      </c>
      <c r="Y77" s="105">
        <v>4163.9002193156402</v>
      </c>
      <c r="Z77" s="105">
        <v>4.5898371024202378</v>
      </c>
      <c r="AA77" s="105">
        <v>3166.9876006699642</v>
      </c>
      <c r="AB77" s="105">
        <v>6.8711224741182182</v>
      </c>
      <c r="AC77" s="105">
        <v>4741.0745071415704</v>
      </c>
      <c r="AD77" s="105">
        <v>5.0210683092522794</v>
      </c>
      <c r="AE77" s="105">
        <v>3464.5371333840726</v>
      </c>
      <c r="AF77" s="105">
        <v>4.7017843488207323</v>
      </c>
      <c r="AG77" s="105">
        <v>3244.2312006863053</v>
      </c>
      <c r="AH77" s="105">
        <v>6.1687410656528003</v>
      </c>
      <c r="AI77" s="105">
        <v>4256.4313353004318</v>
      </c>
      <c r="AJ77" s="105">
        <v>4.3077800737798881</v>
      </c>
      <c r="AK77" s="105">
        <v>2972.3682509081227</v>
      </c>
      <c r="AL77" s="105">
        <v>5.8195670430686794</v>
      </c>
      <c r="AM77" s="105">
        <v>4015.5012597173886</v>
      </c>
      <c r="AN77" s="105">
        <v>5.1621264147722172</v>
      </c>
      <c r="AO77" s="105">
        <v>3561.86722619283</v>
      </c>
      <c r="AP77" s="105">
        <v>5.3178802290110347</v>
      </c>
      <c r="AQ77" s="105">
        <v>3669.337358017614</v>
      </c>
      <c r="AR77" s="105">
        <v>5.735399751123472</v>
      </c>
      <c r="AS77" s="105">
        <v>3957.4258282751957</v>
      </c>
      <c r="AT77" s="105">
        <v>6.133691400507046</v>
      </c>
      <c r="AU77" s="105">
        <v>4232.2470663498616</v>
      </c>
      <c r="AV77" s="105">
        <v>6.087573420052105</v>
      </c>
      <c r="AW77" s="105">
        <v>4200.4256598359525</v>
      </c>
      <c r="AX77" s="105">
        <v>5.3442063687586145</v>
      </c>
      <c r="AY77" s="105">
        <v>3687.5023944434442</v>
      </c>
      <c r="AZ77" s="105">
        <v>4.9747911819780644</v>
      </c>
      <c r="BA77" s="105">
        <v>3432.6059155648645</v>
      </c>
      <c r="BB77" s="105">
        <v>5.6192985415865584</v>
      </c>
      <c r="BC77" s="105">
        <v>3877.3159936947254</v>
      </c>
      <c r="BD77" s="105">
        <v>6.0085140249864937</v>
      </c>
      <c r="BE77" s="105">
        <v>4145.8746772406803</v>
      </c>
      <c r="BF77" s="105">
        <v>5</v>
      </c>
      <c r="BG77" s="105">
        <v>3450</v>
      </c>
      <c r="BH77" s="105">
        <v>5.4321275411190868</v>
      </c>
      <c r="BI77" s="105">
        <v>3748.16800337217</v>
      </c>
      <c r="BJ77" s="105">
        <v>6.1687410656528003</v>
      </c>
      <c r="BK77" s="105">
        <v>4256.4313353004318</v>
      </c>
      <c r="BL77" s="105">
        <v>4.7979097177299561</v>
      </c>
      <c r="BM77" s="105">
        <v>3310.5577052336698</v>
      </c>
      <c r="BN77" s="105">
        <v>5.9890689957794176</v>
      </c>
      <c r="BO77" s="105">
        <v>4132.4576070877984</v>
      </c>
      <c r="BP77" s="105">
        <v>5.6225504504647921</v>
      </c>
      <c r="BQ77" s="105">
        <v>3879.5598108207064</v>
      </c>
      <c r="BR77" s="105">
        <v>5.8073922166187453</v>
      </c>
      <c r="BS77" s="105">
        <v>4007.1006294669342</v>
      </c>
      <c r="BT77" s="105">
        <v>4.2838479622588892</v>
      </c>
      <c r="BU77" s="105">
        <v>2955.8550939586335</v>
      </c>
      <c r="BV77" s="105">
        <v>5.2659984706792207</v>
      </c>
      <c r="BW77" s="105">
        <v>3633.5389447686621</v>
      </c>
      <c r="BX77" s="105">
        <v>6.1076644214384164</v>
      </c>
      <c r="BY77" s="105">
        <v>4214.2884507925073</v>
      </c>
      <c r="BZ77" s="105">
        <v>4.2601802939591158</v>
      </c>
      <c r="CA77" s="105">
        <v>2939.5244028317898</v>
      </c>
      <c r="CB77" s="105">
        <v>6.087573420052105</v>
      </c>
      <c r="CC77" s="105">
        <v>4200.4256598359525</v>
      </c>
      <c r="CD77" s="105">
        <v>5.1838160215569751</v>
      </c>
      <c r="CE77" s="105">
        <v>3576.8330548743129</v>
      </c>
      <c r="CF77" s="105">
        <v>5.8563997458729116</v>
      </c>
      <c r="CG77" s="105">
        <v>4040.9158246523089</v>
      </c>
      <c r="CH77" s="105">
        <v>6.4526580184652724</v>
      </c>
      <c r="CI77" s="105">
        <v>4452.3340327410378</v>
      </c>
      <c r="CJ77" s="105">
        <v>5.5325031978948882</v>
      </c>
      <c r="CK77" s="105">
        <v>3817.4272065474729</v>
      </c>
      <c r="CL77" s="105">
        <v>5.0563451357809841</v>
      </c>
      <c r="CM77" s="105">
        <v>3488.8781436888789</v>
      </c>
      <c r="CN77" s="105">
        <v>5.931481793896924</v>
      </c>
      <c r="CO77" s="105">
        <v>4092.7224377888774</v>
      </c>
      <c r="CP77" s="105">
        <v>5.2724282612417106</v>
      </c>
      <c r="CQ77" s="105">
        <v>3637.9755002567804</v>
      </c>
      <c r="CR77" s="105">
        <v>5.479846124310864</v>
      </c>
      <c r="CS77" s="105">
        <v>3781.0938257744961</v>
      </c>
      <c r="CT77" s="105">
        <v>5.3875467822295198</v>
      </c>
      <c r="CU77" s="105">
        <v>3717.4072797383687</v>
      </c>
    </row>
    <row r="78" spans="2:99" x14ac:dyDescent="0.2">
      <c r="C78" s="104" t="s">
        <v>244</v>
      </c>
      <c r="D78" s="105">
        <v>0.93617021276595747</v>
      </c>
      <c r="E78" s="105">
        <v>121.32765957446809</v>
      </c>
      <c r="F78" s="105">
        <v>0</v>
      </c>
      <c r="G78" s="105">
        <v>0</v>
      </c>
      <c r="H78" s="105">
        <v>0</v>
      </c>
      <c r="I78" s="105">
        <v>0</v>
      </c>
      <c r="J78" s="105">
        <v>0</v>
      </c>
      <c r="K78" s="105">
        <v>0</v>
      </c>
      <c r="L78" s="105">
        <v>7.5762376625102625</v>
      </c>
      <c r="M78" s="105">
        <v>981.88040106132996</v>
      </c>
      <c r="N78" s="105">
        <v>7.9952001138933184</v>
      </c>
      <c r="O78" s="105">
        <v>1036.1779347605741</v>
      </c>
      <c r="P78" s="105">
        <v>6.9200620928797427</v>
      </c>
      <c r="Q78" s="105">
        <v>896.84004723721466</v>
      </c>
      <c r="R78" s="105">
        <v>8.0695740684411632</v>
      </c>
      <c r="S78" s="105">
        <v>1045.8167992699748</v>
      </c>
      <c r="T78" s="105">
        <v>5.5645860128311337</v>
      </c>
      <c r="U78" s="105">
        <v>721.1703472629149</v>
      </c>
      <c r="V78" s="105">
        <v>5.5934180647110878</v>
      </c>
      <c r="W78" s="105">
        <v>724.906981186557</v>
      </c>
      <c r="X78" s="105">
        <v>5.364122665785044</v>
      </c>
      <c r="Y78" s="105">
        <v>695.19029748574167</v>
      </c>
      <c r="Z78" s="105">
        <v>4.5898371024202378</v>
      </c>
      <c r="AA78" s="105">
        <v>594.84288847366281</v>
      </c>
      <c r="AB78" s="105">
        <v>6.1076644214384164</v>
      </c>
      <c r="AC78" s="105">
        <v>791.55330901841876</v>
      </c>
      <c r="AD78" s="105">
        <v>6.4556592547529306</v>
      </c>
      <c r="AE78" s="105">
        <v>836.65343941597973</v>
      </c>
      <c r="AF78" s="105">
        <v>5.6421412185848778</v>
      </c>
      <c r="AG78" s="105">
        <v>731.22150192860011</v>
      </c>
      <c r="AH78" s="105">
        <v>5.3976484324462009</v>
      </c>
      <c r="AI78" s="105">
        <v>699.53523684502761</v>
      </c>
      <c r="AJ78" s="105">
        <v>4.3077800737798881</v>
      </c>
      <c r="AK78" s="105">
        <v>558.28829756187349</v>
      </c>
      <c r="AL78" s="105">
        <v>5.0921211626850944</v>
      </c>
      <c r="AM78" s="105">
        <v>659.9389026839882</v>
      </c>
      <c r="AN78" s="105">
        <v>6.4526580184652724</v>
      </c>
      <c r="AO78" s="105">
        <v>836.26447919309931</v>
      </c>
      <c r="AP78" s="105">
        <v>5.3178802290110347</v>
      </c>
      <c r="AQ78" s="105">
        <v>689.19727767983011</v>
      </c>
      <c r="AR78" s="105">
        <v>6.3726663901371907</v>
      </c>
      <c r="AS78" s="105">
        <v>825.89756416177988</v>
      </c>
      <c r="AT78" s="105">
        <v>7.0099330291509094</v>
      </c>
      <c r="AU78" s="105">
        <v>908.4873205779578</v>
      </c>
      <c r="AV78" s="105">
        <v>6.087573420052105</v>
      </c>
      <c r="AW78" s="105">
        <v>788.94951523875272</v>
      </c>
      <c r="AX78" s="105">
        <v>6.1076644214384164</v>
      </c>
      <c r="AY78" s="105">
        <v>791.55330901841876</v>
      </c>
      <c r="AZ78" s="105">
        <v>4.9747911819780644</v>
      </c>
      <c r="BA78" s="105">
        <v>644.73293718435707</v>
      </c>
      <c r="BB78" s="105">
        <v>5.6192985415865584</v>
      </c>
      <c r="BC78" s="105">
        <v>728.26109098961797</v>
      </c>
      <c r="BD78" s="105">
        <v>6.0085140249864937</v>
      </c>
      <c r="BE78" s="105">
        <v>778.70341763824956</v>
      </c>
      <c r="BF78" s="105">
        <v>6</v>
      </c>
      <c r="BG78" s="105">
        <v>777.59999999999991</v>
      </c>
      <c r="BH78" s="105">
        <v>5.4321275411190868</v>
      </c>
      <c r="BI78" s="105">
        <v>704.0037293290336</v>
      </c>
      <c r="BJ78" s="105">
        <v>6.9398336988593998</v>
      </c>
      <c r="BK78" s="105">
        <v>899.40244737217813</v>
      </c>
      <c r="BL78" s="105">
        <v>6.1687410656528003</v>
      </c>
      <c r="BM78" s="105">
        <v>799.46884210860287</v>
      </c>
      <c r="BN78" s="105">
        <v>5.9890689957794176</v>
      </c>
      <c r="BO78" s="105">
        <v>776.18334185301251</v>
      </c>
      <c r="BP78" s="105">
        <v>5.6225504504647921</v>
      </c>
      <c r="BQ78" s="105">
        <v>728.68253838023702</v>
      </c>
      <c r="BR78" s="105">
        <v>5.8073922166187453</v>
      </c>
      <c r="BS78" s="105">
        <v>752.63803127378935</v>
      </c>
      <c r="BT78" s="105">
        <v>4.2838479622588892</v>
      </c>
      <c r="BU78" s="105">
        <v>555.18669590875197</v>
      </c>
      <c r="BV78" s="105">
        <v>6.0182839664905368</v>
      </c>
      <c r="BW78" s="105">
        <v>779.96960205717357</v>
      </c>
      <c r="BX78" s="105">
        <v>5.3442063687586145</v>
      </c>
      <c r="BY78" s="105">
        <v>692.60914539111639</v>
      </c>
      <c r="BZ78" s="105">
        <v>5.1122163527509397</v>
      </c>
      <c r="CA78" s="105">
        <v>662.54323931652175</v>
      </c>
      <c r="CB78" s="105">
        <v>7.4403675133970175</v>
      </c>
      <c r="CC78" s="105">
        <v>964.27162973625343</v>
      </c>
      <c r="CD78" s="105">
        <v>5.8317930242515965</v>
      </c>
      <c r="CE78" s="105">
        <v>755.80037594300688</v>
      </c>
      <c r="CF78" s="105">
        <v>5.8563997458729116</v>
      </c>
      <c r="CG78" s="105">
        <v>758.98940706512929</v>
      </c>
      <c r="CH78" s="105">
        <v>7.0979238203117996</v>
      </c>
      <c r="CI78" s="105">
        <v>919.89092711240914</v>
      </c>
      <c r="CJ78" s="105">
        <v>6.9156289973686098</v>
      </c>
      <c r="CK78" s="105">
        <v>896.26551805897179</v>
      </c>
      <c r="CL78" s="105">
        <v>5.0563451357809841</v>
      </c>
      <c r="CM78" s="105">
        <v>655.30232959721548</v>
      </c>
      <c r="CN78" s="105">
        <v>5.931481793896924</v>
      </c>
      <c r="CO78" s="105">
        <v>768.72004048904137</v>
      </c>
      <c r="CP78" s="105">
        <v>5.2724282612417106</v>
      </c>
      <c r="CQ78" s="105">
        <v>683.30670265692561</v>
      </c>
      <c r="CR78" s="105">
        <v>6.2626812849267006</v>
      </c>
      <c r="CS78" s="105">
        <v>811.64349452650038</v>
      </c>
      <c r="CT78" s="105">
        <v>5.3875467822295198</v>
      </c>
      <c r="CU78" s="105">
        <v>698.22606297694574</v>
      </c>
    </row>
    <row r="79" spans="2:99" x14ac:dyDescent="0.2">
      <c r="C79" s="104" t="s">
        <v>245</v>
      </c>
      <c r="D79" s="105">
        <v>0.93617021276595747</v>
      </c>
      <c r="E79" s="105">
        <v>449.36170212765956</v>
      </c>
      <c r="F79" s="105">
        <v>0</v>
      </c>
      <c r="G79" s="105">
        <v>0</v>
      </c>
      <c r="H79" s="105">
        <v>0</v>
      </c>
      <c r="I79" s="105">
        <v>0</v>
      </c>
      <c r="J79" s="105">
        <v>0</v>
      </c>
      <c r="K79" s="105">
        <v>0</v>
      </c>
      <c r="L79" s="105">
        <v>7.5762376625102625</v>
      </c>
      <c r="M79" s="105">
        <v>3636.5940780049259</v>
      </c>
      <c r="N79" s="105">
        <v>7.1068445456829492</v>
      </c>
      <c r="O79" s="105">
        <v>3411.2853819278157</v>
      </c>
      <c r="P79" s="105">
        <v>5.9314817938969231</v>
      </c>
      <c r="Q79" s="105">
        <v>2847.1112610705231</v>
      </c>
      <c r="R79" s="105">
        <v>7.1729547275032557</v>
      </c>
      <c r="S79" s="105">
        <v>3443.0182692015628</v>
      </c>
      <c r="T79" s="105">
        <v>4.769645153855258</v>
      </c>
      <c r="U79" s="105">
        <v>2289.4296738505236</v>
      </c>
      <c r="V79" s="105">
        <v>6.3924777882412442</v>
      </c>
      <c r="W79" s="105">
        <v>3068.389338355797</v>
      </c>
      <c r="X79" s="105">
        <v>5.364122665785044</v>
      </c>
      <c r="Y79" s="105">
        <v>2574.7788795768211</v>
      </c>
      <c r="Z79" s="105">
        <v>5.5078045229042862</v>
      </c>
      <c r="AA79" s="105">
        <v>2643.7461709940576</v>
      </c>
      <c r="AB79" s="105">
        <v>6.1076644214384164</v>
      </c>
      <c r="AC79" s="105">
        <v>2931.6789222904399</v>
      </c>
      <c r="AD79" s="105">
        <v>5.7383637820026046</v>
      </c>
      <c r="AE79" s="105">
        <v>2754.4146153612501</v>
      </c>
      <c r="AF79" s="105">
        <v>4.7017843488207323</v>
      </c>
      <c r="AG79" s="105">
        <v>2256.8564874339513</v>
      </c>
      <c r="AH79" s="105">
        <v>6.1687410656528003</v>
      </c>
      <c r="AI79" s="105">
        <v>2960.9957115133443</v>
      </c>
      <c r="AJ79" s="105">
        <v>4.3077800737798881</v>
      </c>
      <c r="AK79" s="105">
        <v>2067.7344354143461</v>
      </c>
      <c r="AL79" s="105">
        <v>5.0921211626850944</v>
      </c>
      <c r="AM79" s="105">
        <v>2444.2181580888455</v>
      </c>
      <c r="AN79" s="105">
        <v>5.8073922166187453</v>
      </c>
      <c r="AO79" s="105">
        <v>2787.5482639769975</v>
      </c>
      <c r="AP79" s="105">
        <v>4.5581830534380297</v>
      </c>
      <c r="AQ79" s="105">
        <v>2187.9278656502543</v>
      </c>
      <c r="AR79" s="105">
        <v>6.3726663901371907</v>
      </c>
      <c r="AS79" s="105">
        <v>3058.8798672658513</v>
      </c>
      <c r="AT79" s="105">
        <v>5.2574497718631816</v>
      </c>
      <c r="AU79" s="105">
        <v>2523.5758904943273</v>
      </c>
      <c r="AV79" s="105">
        <v>6.087573420052105</v>
      </c>
      <c r="AW79" s="105">
        <v>2922.0352416250103</v>
      </c>
      <c r="AX79" s="105">
        <v>6.1076644214384164</v>
      </c>
      <c r="AY79" s="105">
        <v>2931.6789222904399</v>
      </c>
      <c r="AZ79" s="105">
        <v>4.9747911819780644</v>
      </c>
      <c r="BA79" s="105">
        <v>2387.8997673494709</v>
      </c>
      <c r="BB79" s="105">
        <v>6.2436650462072878</v>
      </c>
      <c r="BC79" s="105">
        <v>2996.9592221794983</v>
      </c>
      <c r="BD79" s="105">
        <v>6.0085140249864937</v>
      </c>
      <c r="BE79" s="105">
        <v>2884.0867319935169</v>
      </c>
      <c r="BF79" s="105">
        <v>5</v>
      </c>
      <c r="BG79" s="105">
        <v>2400</v>
      </c>
      <c r="BH79" s="105">
        <v>5.4321275411190868</v>
      </c>
      <c r="BI79" s="105">
        <v>2607.4212197371617</v>
      </c>
      <c r="BJ79" s="105">
        <v>5.3976484324462009</v>
      </c>
      <c r="BK79" s="105">
        <v>2590.8712475741763</v>
      </c>
      <c r="BL79" s="105">
        <v>5.4833253916913778</v>
      </c>
      <c r="BM79" s="105">
        <v>2631.9961880118612</v>
      </c>
      <c r="BN79" s="105">
        <v>6.7377026202518451</v>
      </c>
      <c r="BO79" s="105">
        <v>3234.0972577208859</v>
      </c>
      <c r="BP79" s="105">
        <v>5.6225504504647921</v>
      </c>
      <c r="BQ79" s="105">
        <v>2698.8242162231004</v>
      </c>
      <c r="BR79" s="105">
        <v>5.8073922166187453</v>
      </c>
      <c r="BS79" s="105">
        <v>2787.5482639769975</v>
      </c>
      <c r="BT79" s="105">
        <v>5.1406175547106674</v>
      </c>
      <c r="BU79" s="105">
        <v>2467.4964262611202</v>
      </c>
      <c r="BV79" s="105">
        <v>5.2659984706792207</v>
      </c>
      <c r="BW79" s="105">
        <v>2527.6792659260259</v>
      </c>
      <c r="BX79" s="105">
        <v>5.3442063687586145</v>
      </c>
      <c r="BY79" s="105">
        <v>2565.2190570041348</v>
      </c>
      <c r="BZ79" s="105">
        <v>4.2601802939591158</v>
      </c>
      <c r="CA79" s="105">
        <v>2044.8865411003756</v>
      </c>
      <c r="CB79" s="105">
        <v>6.7639704667245617</v>
      </c>
      <c r="CC79" s="105">
        <v>3246.7058240277897</v>
      </c>
      <c r="CD79" s="105">
        <v>5.8317930242515965</v>
      </c>
      <c r="CE79" s="105">
        <v>2799.2606516407664</v>
      </c>
      <c r="CF79" s="105">
        <v>5.8563997458729116</v>
      </c>
      <c r="CG79" s="105">
        <v>2811.0718780189977</v>
      </c>
      <c r="CH79" s="105">
        <v>5.8073922166187453</v>
      </c>
      <c r="CI79" s="105">
        <v>2787.5482639769975</v>
      </c>
      <c r="CJ79" s="105">
        <v>5.5325031978948882</v>
      </c>
      <c r="CK79" s="105">
        <v>2655.6015349895465</v>
      </c>
      <c r="CL79" s="105">
        <v>5.0563451357809841</v>
      </c>
      <c r="CM79" s="105">
        <v>2427.0456651748723</v>
      </c>
      <c r="CN79" s="105">
        <v>7.2495888592073507</v>
      </c>
      <c r="CO79" s="105">
        <v>3479.8026524195284</v>
      </c>
      <c r="CP79" s="105">
        <v>5.931481793896924</v>
      </c>
      <c r="CQ79" s="105">
        <v>2847.1112610705236</v>
      </c>
      <c r="CR79" s="105">
        <v>6.2626812849267006</v>
      </c>
      <c r="CS79" s="105">
        <v>3006.0870167648163</v>
      </c>
      <c r="CT79" s="105">
        <v>6.0609901300082099</v>
      </c>
      <c r="CU79" s="105">
        <v>2909.2752624039408</v>
      </c>
    </row>
    <row r="80" spans="2:99" x14ac:dyDescent="0.2">
      <c r="C80" s="104" t="s">
        <v>246</v>
      </c>
      <c r="D80" s="105">
        <v>0.93617021276595747</v>
      </c>
      <c r="E80" s="105">
        <v>713.36170212765956</v>
      </c>
      <c r="F80" s="105">
        <v>0</v>
      </c>
      <c r="G80" s="105">
        <v>0</v>
      </c>
      <c r="H80" s="105">
        <v>0</v>
      </c>
      <c r="I80" s="105">
        <v>0</v>
      </c>
      <c r="J80" s="105">
        <v>0</v>
      </c>
      <c r="K80" s="105">
        <v>0</v>
      </c>
      <c r="L80" s="105">
        <v>7.5762376625102625</v>
      </c>
      <c r="M80" s="105">
        <v>5773.09309883282</v>
      </c>
      <c r="N80" s="105">
        <v>7.1068445456829492</v>
      </c>
      <c r="O80" s="105">
        <v>5415.4155438104071</v>
      </c>
      <c r="P80" s="105">
        <v>5.9314817938969231</v>
      </c>
      <c r="Q80" s="105">
        <v>4519.7891269494557</v>
      </c>
      <c r="R80" s="105">
        <v>7.1729547275032557</v>
      </c>
      <c r="S80" s="105">
        <v>5465.7915023574806</v>
      </c>
      <c r="T80" s="105">
        <v>4.769645153855258</v>
      </c>
      <c r="U80" s="105">
        <v>3634.4696072377064</v>
      </c>
      <c r="V80" s="105">
        <v>5.5934180647110878</v>
      </c>
      <c r="W80" s="105">
        <v>4262.1845653098489</v>
      </c>
      <c r="X80" s="105">
        <v>6.0346379990081749</v>
      </c>
      <c r="Y80" s="105">
        <v>4598.3941552442293</v>
      </c>
      <c r="Z80" s="105">
        <v>5.5078045229042862</v>
      </c>
      <c r="AA80" s="105">
        <v>4196.9470464530659</v>
      </c>
      <c r="AB80" s="105">
        <v>6.8711224741182182</v>
      </c>
      <c r="AC80" s="105">
        <v>5235.7953252780826</v>
      </c>
      <c r="AD80" s="105">
        <v>5.7383637820026046</v>
      </c>
      <c r="AE80" s="105">
        <v>4372.6332018859848</v>
      </c>
      <c r="AF80" s="105">
        <v>4.7017843488207323</v>
      </c>
      <c r="AG80" s="105">
        <v>3582.7596738013981</v>
      </c>
      <c r="AH80" s="105">
        <v>5.3976484324462009</v>
      </c>
      <c r="AI80" s="105">
        <v>4113.0081055240053</v>
      </c>
      <c r="AJ80" s="105">
        <v>4.3077800737798881</v>
      </c>
      <c r="AK80" s="105">
        <v>3282.5284162202747</v>
      </c>
      <c r="AL80" s="105">
        <v>5.0921211626850944</v>
      </c>
      <c r="AM80" s="105">
        <v>3880.196325966042</v>
      </c>
      <c r="AN80" s="105">
        <v>5.1621264147722172</v>
      </c>
      <c r="AO80" s="105">
        <v>3933.5403280564296</v>
      </c>
      <c r="AP80" s="105">
        <v>4.5581830534380297</v>
      </c>
      <c r="AQ80" s="105">
        <v>3473.3354867197786</v>
      </c>
      <c r="AR80" s="105">
        <v>5.735399751123472</v>
      </c>
      <c r="AS80" s="105">
        <v>4370.3746103560852</v>
      </c>
      <c r="AT80" s="105">
        <v>6.133691400507046</v>
      </c>
      <c r="AU80" s="105">
        <v>4673.8728471863687</v>
      </c>
      <c r="AV80" s="105">
        <v>6.087573420052105</v>
      </c>
      <c r="AW80" s="105">
        <v>4638.7309460797042</v>
      </c>
      <c r="AX80" s="105">
        <v>5.3442063687586145</v>
      </c>
      <c r="AY80" s="105">
        <v>4072.2852529940642</v>
      </c>
      <c r="AZ80" s="105">
        <v>5.9697494183736781</v>
      </c>
      <c r="BA80" s="105">
        <v>4548.9490568007432</v>
      </c>
      <c r="BB80" s="105">
        <v>6.2436650462072878</v>
      </c>
      <c r="BC80" s="105">
        <v>4757.6727652099535</v>
      </c>
      <c r="BD80" s="105">
        <v>6.0085140249864937</v>
      </c>
      <c r="BE80" s="105">
        <v>4578.4876870397084</v>
      </c>
      <c r="BF80" s="105">
        <v>5</v>
      </c>
      <c r="BG80" s="105">
        <v>3810</v>
      </c>
      <c r="BH80" s="105">
        <v>4.526772950932572</v>
      </c>
      <c r="BI80" s="105">
        <v>3449.4009886106201</v>
      </c>
      <c r="BJ80" s="105">
        <v>6.9398336988593998</v>
      </c>
      <c r="BK80" s="105">
        <v>5288.1532785308627</v>
      </c>
      <c r="BL80" s="105">
        <v>5.4833253916913778</v>
      </c>
      <c r="BM80" s="105">
        <v>4178.2939484688295</v>
      </c>
      <c r="BN80" s="105">
        <v>5.9890689957794176</v>
      </c>
      <c r="BO80" s="105">
        <v>4563.670574783916</v>
      </c>
      <c r="BP80" s="105">
        <v>4.8193289575412503</v>
      </c>
      <c r="BQ80" s="105">
        <v>3672.3286656464329</v>
      </c>
      <c r="BR80" s="105">
        <v>5.8073922166187453</v>
      </c>
      <c r="BS80" s="105">
        <v>4425.232869063484</v>
      </c>
      <c r="BT80" s="105">
        <v>5.1406175547106674</v>
      </c>
      <c r="BU80" s="105">
        <v>3917.1505766895284</v>
      </c>
      <c r="BV80" s="105">
        <v>5.2659984706792207</v>
      </c>
      <c r="BW80" s="105">
        <v>4012.690834657566</v>
      </c>
      <c r="BX80" s="105">
        <v>5.3442063687586145</v>
      </c>
      <c r="BY80" s="105">
        <v>4072.2852529940642</v>
      </c>
      <c r="BZ80" s="105">
        <v>4.2601802939591158</v>
      </c>
      <c r="CA80" s="105">
        <v>3246.2573839968463</v>
      </c>
      <c r="CB80" s="105">
        <v>6.087573420052105</v>
      </c>
      <c r="CC80" s="105">
        <v>4638.7309460797042</v>
      </c>
      <c r="CD80" s="105">
        <v>5.8317930242515965</v>
      </c>
      <c r="CE80" s="105">
        <v>4443.8262844797164</v>
      </c>
      <c r="CF80" s="105">
        <v>5.2056886629981438</v>
      </c>
      <c r="CG80" s="105">
        <v>3966.7347612045855</v>
      </c>
      <c r="CH80" s="105">
        <v>6.4526580184652724</v>
      </c>
      <c r="CI80" s="105">
        <v>4916.9254100705375</v>
      </c>
      <c r="CJ80" s="105">
        <v>6.2240660976317495</v>
      </c>
      <c r="CK80" s="105">
        <v>4742.7383663953933</v>
      </c>
      <c r="CL80" s="105">
        <v>5.0563451357809841</v>
      </c>
      <c r="CM80" s="105">
        <v>3852.93499346511</v>
      </c>
      <c r="CN80" s="105">
        <v>5.931481793896924</v>
      </c>
      <c r="CO80" s="105">
        <v>4519.7891269494557</v>
      </c>
      <c r="CP80" s="105">
        <v>5.2724282612417106</v>
      </c>
      <c r="CQ80" s="105">
        <v>4017.5903350661833</v>
      </c>
      <c r="CR80" s="105">
        <v>5.479846124310864</v>
      </c>
      <c r="CS80" s="105">
        <v>4175.6427467248786</v>
      </c>
      <c r="CT80" s="105">
        <v>5.3875467822295198</v>
      </c>
      <c r="CU80" s="105">
        <v>4105.310648058894</v>
      </c>
    </row>
    <row r="81" spans="2:99" x14ac:dyDescent="0.2">
      <c r="C81" s="104" t="s">
        <v>247</v>
      </c>
      <c r="D81" s="105">
        <v>0.93617021276595747</v>
      </c>
      <c r="E81" s="105">
        <v>584.17021276595744</v>
      </c>
      <c r="F81" s="105">
        <v>0</v>
      </c>
      <c r="G81" s="105">
        <v>0</v>
      </c>
      <c r="H81" s="105">
        <v>0</v>
      </c>
      <c r="I81" s="105">
        <v>0</v>
      </c>
      <c r="J81" s="105">
        <v>0</v>
      </c>
      <c r="K81" s="105">
        <v>0</v>
      </c>
      <c r="L81" s="105">
        <v>7.5762376625102625</v>
      </c>
      <c r="M81" s="105">
        <v>4727.5723014064042</v>
      </c>
      <c r="N81" s="105">
        <v>7.9952001138933184</v>
      </c>
      <c r="O81" s="105">
        <v>4989.0048710694309</v>
      </c>
      <c r="P81" s="105">
        <v>6.9200620928797427</v>
      </c>
      <c r="Q81" s="105">
        <v>4318.1187459569592</v>
      </c>
      <c r="R81" s="105">
        <v>8.0695740684411632</v>
      </c>
      <c r="S81" s="105">
        <v>5035.4142187072857</v>
      </c>
      <c r="T81" s="105">
        <v>5.5645860128311337</v>
      </c>
      <c r="U81" s="105">
        <v>3472.3016720066275</v>
      </c>
      <c r="V81" s="105">
        <v>5.5934180647110878</v>
      </c>
      <c r="W81" s="105">
        <v>3490.2928723797186</v>
      </c>
      <c r="X81" s="105">
        <v>5.364122665785044</v>
      </c>
      <c r="Y81" s="105">
        <v>3347.2125434498676</v>
      </c>
      <c r="Z81" s="105">
        <v>4.5898371024202378</v>
      </c>
      <c r="AA81" s="105">
        <v>2864.0583519102283</v>
      </c>
      <c r="AB81" s="105">
        <v>5.3442063687586145</v>
      </c>
      <c r="AC81" s="105">
        <v>3334.7847741053756</v>
      </c>
      <c r="AD81" s="105">
        <v>5.7383637820026046</v>
      </c>
      <c r="AE81" s="105">
        <v>3580.7389999696252</v>
      </c>
      <c r="AF81" s="105">
        <v>4.7017843488207323</v>
      </c>
      <c r="AG81" s="105">
        <v>2933.9134336641368</v>
      </c>
      <c r="AH81" s="105">
        <v>5.3976484324462009</v>
      </c>
      <c r="AI81" s="105">
        <v>3368.1326218464292</v>
      </c>
      <c r="AJ81" s="105">
        <v>4.3077800737798881</v>
      </c>
      <c r="AK81" s="105">
        <v>2688.0547660386501</v>
      </c>
      <c r="AL81" s="105">
        <v>5.0921211626850944</v>
      </c>
      <c r="AM81" s="105">
        <v>3177.4836055154988</v>
      </c>
      <c r="AN81" s="105">
        <v>5.8073922166187453</v>
      </c>
      <c r="AO81" s="105">
        <v>3623.8127431700968</v>
      </c>
      <c r="AP81" s="105">
        <v>5.3178802290110347</v>
      </c>
      <c r="AQ81" s="105">
        <v>3318.3572629028859</v>
      </c>
      <c r="AR81" s="105">
        <v>5.735399751123472</v>
      </c>
      <c r="AS81" s="105">
        <v>3578.8894447010466</v>
      </c>
      <c r="AT81" s="105">
        <v>6.133691400507046</v>
      </c>
      <c r="AU81" s="105">
        <v>3827.4234339163968</v>
      </c>
      <c r="AV81" s="105">
        <v>5.4111763733796492</v>
      </c>
      <c r="AW81" s="105">
        <v>3376.5740569889012</v>
      </c>
      <c r="AX81" s="105">
        <v>6.1076644214384164</v>
      </c>
      <c r="AY81" s="105">
        <v>3811.1825989775716</v>
      </c>
      <c r="AZ81" s="105">
        <v>5.9697494183736781</v>
      </c>
      <c r="BA81" s="105">
        <v>3725.123637065175</v>
      </c>
      <c r="BB81" s="105">
        <v>5.6192985415865584</v>
      </c>
      <c r="BC81" s="105">
        <v>3506.4422899500123</v>
      </c>
      <c r="BD81" s="105">
        <v>6.0085140249864937</v>
      </c>
      <c r="BE81" s="105">
        <v>3749.3127515915721</v>
      </c>
      <c r="BF81" s="105">
        <v>5</v>
      </c>
      <c r="BG81" s="105">
        <v>3120</v>
      </c>
      <c r="BH81" s="105">
        <v>4.526772950932572</v>
      </c>
      <c r="BI81" s="105">
        <v>2824.7063213819251</v>
      </c>
      <c r="BJ81" s="105">
        <v>5.3976484324462009</v>
      </c>
      <c r="BK81" s="105">
        <v>3368.1326218464292</v>
      </c>
      <c r="BL81" s="105">
        <v>4.7979097177299561</v>
      </c>
      <c r="BM81" s="105">
        <v>2993.8956638634927</v>
      </c>
      <c r="BN81" s="105">
        <v>5.9890689957794176</v>
      </c>
      <c r="BO81" s="105">
        <v>3737.1790533663566</v>
      </c>
      <c r="BP81" s="105">
        <v>5.6225504504647921</v>
      </c>
      <c r="BQ81" s="105">
        <v>3508.4714810900305</v>
      </c>
      <c r="BR81" s="105">
        <v>5.1621264147722172</v>
      </c>
      <c r="BS81" s="105">
        <v>3221.1668828178636</v>
      </c>
      <c r="BT81" s="105">
        <v>5.1406175547106674</v>
      </c>
      <c r="BU81" s="105">
        <v>3207.7453541394566</v>
      </c>
      <c r="BV81" s="105">
        <v>6.0182839664905368</v>
      </c>
      <c r="BW81" s="105">
        <v>3755.4091950900947</v>
      </c>
      <c r="BX81" s="105">
        <v>6.1076644214384164</v>
      </c>
      <c r="BY81" s="105">
        <v>3811.1825989775716</v>
      </c>
      <c r="BZ81" s="105">
        <v>4.2601802939591158</v>
      </c>
      <c r="CA81" s="105">
        <v>2658.3525034304885</v>
      </c>
      <c r="CB81" s="105">
        <v>6.7639704667245617</v>
      </c>
      <c r="CC81" s="105">
        <v>4220.7175712361268</v>
      </c>
      <c r="CD81" s="105">
        <v>5.1838160215569751</v>
      </c>
      <c r="CE81" s="105">
        <v>3234.7011974515526</v>
      </c>
      <c r="CF81" s="105">
        <v>5.2056886629981438</v>
      </c>
      <c r="CG81" s="105">
        <v>3248.3497257108415</v>
      </c>
      <c r="CH81" s="105">
        <v>7.0979238203117996</v>
      </c>
      <c r="CI81" s="105">
        <v>4429.1044638745625</v>
      </c>
      <c r="CJ81" s="105">
        <v>6.2240660976317495</v>
      </c>
      <c r="CK81" s="105">
        <v>3883.8172449222116</v>
      </c>
      <c r="CL81" s="105">
        <v>5.8990693250778143</v>
      </c>
      <c r="CM81" s="105">
        <v>3681.0192588485561</v>
      </c>
      <c r="CN81" s="105">
        <v>6.5905353265521374</v>
      </c>
      <c r="CO81" s="105">
        <v>4112.4940437685336</v>
      </c>
      <c r="CP81" s="105">
        <v>5.931481793896924</v>
      </c>
      <c r="CQ81" s="105">
        <v>3701.2446393916807</v>
      </c>
      <c r="CR81" s="105">
        <v>5.479846124310864</v>
      </c>
      <c r="CS81" s="105">
        <v>3419.4239815699793</v>
      </c>
      <c r="CT81" s="105">
        <v>5.3875467822295198</v>
      </c>
      <c r="CU81" s="105">
        <v>3361.8291921112204</v>
      </c>
    </row>
    <row r="82" spans="2:99" x14ac:dyDescent="0.2">
      <c r="C82" s="104" t="s">
        <v>248</v>
      </c>
      <c r="D82" s="105">
        <v>0.93617021276595747</v>
      </c>
      <c r="E82" s="105">
        <v>334.77446808510638</v>
      </c>
      <c r="F82" s="105">
        <v>0</v>
      </c>
      <c r="G82" s="105">
        <v>0</v>
      </c>
      <c r="H82" s="105">
        <v>0</v>
      </c>
      <c r="I82" s="105">
        <v>0</v>
      </c>
      <c r="J82" s="105">
        <v>0</v>
      </c>
      <c r="K82" s="105">
        <v>0</v>
      </c>
      <c r="L82" s="105">
        <v>7.5762376625102625</v>
      </c>
      <c r="M82" s="105">
        <v>2709.2625881136696</v>
      </c>
      <c r="N82" s="105">
        <v>7.9952001138933184</v>
      </c>
      <c r="O82" s="105">
        <v>2859.0835607282502</v>
      </c>
      <c r="P82" s="105">
        <v>6.9200620928797427</v>
      </c>
      <c r="Q82" s="105">
        <v>2474.614204413796</v>
      </c>
      <c r="R82" s="105">
        <v>8.9661934093790698</v>
      </c>
      <c r="S82" s="105">
        <v>3206.3107631939552</v>
      </c>
      <c r="T82" s="105">
        <v>5.5645860128311337</v>
      </c>
      <c r="U82" s="105">
        <v>1989.8959581884133</v>
      </c>
      <c r="V82" s="105">
        <v>5.5934180647110878</v>
      </c>
      <c r="W82" s="105">
        <v>2000.2062999406849</v>
      </c>
      <c r="X82" s="105">
        <v>6.0346379990081749</v>
      </c>
      <c r="Y82" s="105">
        <v>2157.986548445323</v>
      </c>
      <c r="Z82" s="105">
        <v>4.5898371024202378</v>
      </c>
      <c r="AA82" s="105">
        <v>1641.3257478254768</v>
      </c>
      <c r="AB82" s="105">
        <v>6.8711224741182182</v>
      </c>
      <c r="AC82" s="105">
        <v>2457.1133967446744</v>
      </c>
      <c r="AD82" s="105">
        <v>5.7383637820026046</v>
      </c>
      <c r="AE82" s="105">
        <v>2052.0388884441313</v>
      </c>
      <c r="AF82" s="105">
        <v>4.7017843488207323</v>
      </c>
      <c r="AG82" s="105">
        <v>1681.3580831382938</v>
      </c>
      <c r="AH82" s="105">
        <v>6.1687410656528003</v>
      </c>
      <c r="AI82" s="105">
        <v>2205.9418050774411</v>
      </c>
      <c r="AJ82" s="105">
        <v>4.3077800737798881</v>
      </c>
      <c r="AK82" s="105">
        <v>1540.4621543836879</v>
      </c>
      <c r="AL82" s="105">
        <v>5.8195670430686794</v>
      </c>
      <c r="AM82" s="105">
        <v>2081.0771746013597</v>
      </c>
      <c r="AN82" s="105">
        <v>5.8073922166187453</v>
      </c>
      <c r="AO82" s="105">
        <v>2076.7234566628631</v>
      </c>
      <c r="AP82" s="105">
        <v>5.3178802290110347</v>
      </c>
      <c r="AQ82" s="105">
        <v>1901.6739698943459</v>
      </c>
      <c r="AR82" s="105">
        <v>5.735399751123472</v>
      </c>
      <c r="AS82" s="105">
        <v>2050.9789510017536</v>
      </c>
      <c r="AT82" s="105">
        <v>5.2574497718631816</v>
      </c>
      <c r="AU82" s="105">
        <v>1880.0640384182736</v>
      </c>
      <c r="AV82" s="105">
        <v>6.087573420052105</v>
      </c>
      <c r="AW82" s="105">
        <v>2176.9162550106325</v>
      </c>
      <c r="AX82" s="105">
        <v>5.3442063687586145</v>
      </c>
      <c r="AY82" s="105">
        <v>1911.0881974680804</v>
      </c>
      <c r="AZ82" s="105">
        <v>5.9697494183736781</v>
      </c>
      <c r="BA82" s="105">
        <v>2134.782392010427</v>
      </c>
      <c r="BB82" s="105">
        <v>5.6192985415865584</v>
      </c>
      <c r="BC82" s="105">
        <v>2009.4611584713532</v>
      </c>
      <c r="BD82" s="105">
        <v>6.0085140249864937</v>
      </c>
      <c r="BE82" s="105">
        <v>2148.6446153351699</v>
      </c>
      <c r="BF82" s="105">
        <v>5</v>
      </c>
      <c r="BG82" s="105">
        <v>1787.9999999999998</v>
      </c>
      <c r="BH82" s="105">
        <v>4.526772950932572</v>
      </c>
      <c r="BI82" s="105">
        <v>1618.7740072534875</v>
      </c>
      <c r="BJ82" s="105">
        <v>6.1687410656528003</v>
      </c>
      <c r="BK82" s="105">
        <v>2205.9418050774411</v>
      </c>
      <c r="BL82" s="105">
        <v>5.4833253916913778</v>
      </c>
      <c r="BM82" s="105">
        <v>1960.8371600688365</v>
      </c>
      <c r="BN82" s="105">
        <v>6.7377026202518451</v>
      </c>
      <c r="BO82" s="105">
        <v>2409.4024570020597</v>
      </c>
      <c r="BP82" s="105">
        <v>5.6225504504647921</v>
      </c>
      <c r="BQ82" s="105">
        <v>2010.6240410862094</v>
      </c>
      <c r="BR82" s="105">
        <v>5.8073922166187453</v>
      </c>
      <c r="BS82" s="105">
        <v>2076.7234566628631</v>
      </c>
      <c r="BT82" s="105">
        <v>5.1406175547106674</v>
      </c>
      <c r="BU82" s="105">
        <v>1838.2848375645344</v>
      </c>
      <c r="BV82" s="105">
        <v>5.2659984706792207</v>
      </c>
      <c r="BW82" s="105">
        <v>1883.121053114889</v>
      </c>
      <c r="BX82" s="105">
        <v>5.3442063687586145</v>
      </c>
      <c r="BY82" s="105">
        <v>1911.0881974680804</v>
      </c>
      <c r="BZ82" s="105">
        <v>4.2601802939591158</v>
      </c>
      <c r="CA82" s="105">
        <v>1523.4404731197797</v>
      </c>
      <c r="CB82" s="105">
        <v>7.4403675133970175</v>
      </c>
      <c r="CC82" s="105">
        <v>2660.6754227907732</v>
      </c>
      <c r="CD82" s="105">
        <v>5.1838160215569751</v>
      </c>
      <c r="CE82" s="105">
        <v>1853.732609308774</v>
      </c>
      <c r="CF82" s="105">
        <v>5.2056886629981438</v>
      </c>
      <c r="CG82" s="105">
        <v>1861.5542658881361</v>
      </c>
      <c r="CH82" s="105">
        <v>5.8073922166187453</v>
      </c>
      <c r="CI82" s="105">
        <v>2076.7234566628631</v>
      </c>
      <c r="CJ82" s="105">
        <v>6.2240660976317495</v>
      </c>
      <c r="CK82" s="105">
        <v>2225.7260365131133</v>
      </c>
      <c r="CL82" s="105">
        <v>5.0563451357809841</v>
      </c>
      <c r="CM82" s="105">
        <v>1808.1490205552798</v>
      </c>
      <c r="CN82" s="105">
        <v>5.931481793896924</v>
      </c>
      <c r="CO82" s="105">
        <v>2121.0978894975397</v>
      </c>
      <c r="CP82" s="105">
        <v>5.2724282612417106</v>
      </c>
      <c r="CQ82" s="105">
        <v>1885.4203462200355</v>
      </c>
      <c r="CR82" s="105">
        <v>5.479846124310864</v>
      </c>
      <c r="CS82" s="105">
        <v>1959.5929740535648</v>
      </c>
      <c r="CT82" s="105">
        <v>6.0609901300082099</v>
      </c>
      <c r="CU82" s="105">
        <v>2167.4100704909356</v>
      </c>
    </row>
    <row r="83" spans="2:99" x14ac:dyDescent="0.2">
      <c r="C83" s="104" t="s">
        <v>249</v>
      </c>
      <c r="D83" s="105">
        <v>0.93617021276595747</v>
      </c>
      <c r="E83" s="105">
        <v>559.45531914893616</v>
      </c>
      <c r="F83" s="105">
        <v>0</v>
      </c>
      <c r="G83" s="105">
        <v>0</v>
      </c>
      <c r="H83" s="105">
        <v>0</v>
      </c>
      <c r="I83" s="105">
        <v>0</v>
      </c>
      <c r="J83" s="105">
        <v>0</v>
      </c>
      <c r="K83" s="105">
        <v>0</v>
      </c>
      <c r="L83" s="105">
        <v>7.5762376625102625</v>
      </c>
      <c r="M83" s="105">
        <v>4527.559627116133</v>
      </c>
      <c r="N83" s="105">
        <v>7.9952001138933184</v>
      </c>
      <c r="O83" s="105">
        <v>4777.9315880626473</v>
      </c>
      <c r="P83" s="105">
        <v>6.9200620928797427</v>
      </c>
      <c r="Q83" s="105">
        <v>4135.4291067049344</v>
      </c>
      <c r="R83" s="105">
        <v>8.0695740684411632</v>
      </c>
      <c r="S83" s="105">
        <v>4822.3774633004396</v>
      </c>
      <c r="T83" s="105">
        <v>4.769645153855258</v>
      </c>
      <c r="U83" s="105">
        <v>2850.3399439439022</v>
      </c>
      <c r="V83" s="105">
        <v>5.5934180647110878</v>
      </c>
      <c r="W83" s="105">
        <v>3342.6266354713462</v>
      </c>
      <c r="X83" s="105">
        <v>5.364122665785044</v>
      </c>
      <c r="Y83" s="105">
        <v>3205.5997050731426</v>
      </c>
      <c r="Z83" s="105">
        <v>4.5898371024202378</v>
      </c>
      <c r="AA83" s="105">
        <v>2742.8866524063342</v>
      </c>
      <c r="AB83" s="105">
        <v>6.1076644214384164</v>
      </c>
      <c r="AC83" s="105">
        <v>3649.9402582515977</v>
      </c>
      <c r="AD83" s="105">
        <v>5.7383637820026046</v>
      </c>
      <c r="AE83" s="105">
        <v>3429.2461961247568</v>
      </c>
      <c r="AF83" s="105">
        <v>4.7017843488207323</v>
      </c>
      <c r="AG83" s="105">
        <v>2809.7863268552696</v>
      </c>
      <c r="AH83" s="105">
        <v>5.3976484324462009</v>
      </c>
      <c r="AI83" s="105">
        <v>3225.6347032298499</v>
      </c>
      <c r="AJ83" s="105">
        <v>5.1693360885358661</v>
      </c>
      <c r="AK83" s="105">
        <v>3089.1952465090335</v>
      </c>
      <c r="AL83" s="105">
        <v>5.8195670430686794</v>
      </c>
      <c r="AM83" s="105">
        <v>3477.7732649378431</v>
      </c>
      <c r="AN83" s="105">
        <v>5.1621264147722172</v>
      </c>
      <c r="AO83" s="105">
        <v>3084.8867454678771</v>
      </c>
      <c r="AP83" s="105">
        <v>5.3178802290110347</v>
      </c>
      <c r="AQ83" s="105">
        <v>3177.9652248569946</v>
      </c>
      <c r="AR83" s="105">
        <v>5.735399751123472</v>
      </c>
      <c r="AS83" s="105">
        <v>3427.4748912713872</v>
      </c>
      <c r="AT83" s="105">
        <v>5.2574497718631816</v>
      </c>
      <c r="AU83" s="105">
        <v>3141.8519836654373</v>
      </c>
      <c r="AV83" s="105">
        <v>6.087573420052105</v>
      </c>
      <c r="AW83" s="105">
        <v>3637.9338758231379</v>
      </c>
      <c r="AX83" s="105">
        <v>6.1076644214384164</v>
      </c>
      <c r="AY83" s="105">
        <v>3649.9402582515977</v>
      </c>
      <c r="AZ83" s="105">
        <v>5.9697494183736781</v>
      </c>
      <c r="BA83" s="105">
        <v>3567.5222524201104</v>
      </c>
      <c r="BB83" s="105">
        <v>5.6192985415865584</v>
      </c>
      <c r="BC83" s="105">
        <v>3358.0928084521274</v>
      </c>
      <c r="BD83" s="105">
        <v>6.0085140249864937</v>
      </c>
      <c r="BE83" s="105">
        <v>3590.6879813319288</v>
      </c>
      <c r="BF83" s="105">
        <v>6</v>
      </c>
      <c r="BG83" s="105">
        <v>3585.6000000000004</v>
      </c>
      <c r="BH83" s="105">
        <v>5.4321275411190868</v>
      </c>
      <c r="BI83" s="105">
        <v>3246.2394185727662</v>
      </c>
      <c r="BJ83" s="105">
        <v>6.1687410656528003</v>
      </c>
      <c r="BK83" s="105">
        <v>3686.4396608341135</v>
      </c>
      <c r="BL83" s="105">
        <v>5.4833253916913778</v>
      </c>
      <c r="BM83" s="105">
        <v>3276.8352540747674</v>
      </c>
      <c r="BN83" s="105">
        <v>5.9890689957794176</v>
      </c>
      <c r="BO83" s="105">
        <v>3579.0676318777801</v>
      </c>
      <c r="BP83" s="105">
        <v>5.6225504504647921</v>
      </c>
      <c r="BQ83" s="105">
        <v>3360.0361491977601</v>
      </c>
      <c r="BR83" s="105">
        <v>5.1621264147722172</v>
      </c>
      <c r="BS83" s="105">
        <v>3084.8867454678771</v>
      </c>
      <c r="BT83" s="105">
        <v>5.1406175547106674</v>
      </c>
      <c r="BU83" s="105">
        <v>3072.033050695095</v>
      </c>
      <c r="BV83" s="105">
        <v>5.2659984706792207</v>
      </c>
      <c r="BW83" s="105">
        <v>3146.9606860779022</v>
      </c>
      <c r="BX83" s="105">
        <v>6.1076644214384164</v>
      </c>
      <c r="BY83" s="105">
        <v>3649.9402582515977</v>
      </c>
      <c r="BZ83" s="105">
        <v>4.2601802939591158</v>
      </c>
      <c r="CA83" s="105">
        <v>2545.8837436699678</v>
      </c>
      <c r="CB83" s="105">
        <v>6.7639704667245617</v>
      </c>
      <c r="CC83" s="105">
        <v>4042.1487509145982</v>
      </c>
      <c r="CD83" s="105">
        <v>5.1838160215569751</v>
      </c>
      <c r="CE83" s="105">
        <v>3097.8484544824482</v>
      </c>
      <c r="CF83" s="105">
        <v>5.2056886629981438</v>
      </c>
      <c r="CG83" s="105">
        <v>3110.9195450076909</v>
      </c>
      <c r="CH83" s="105">
        <v>6.4526580184652724</v>
      </c>
      <c r="CI83" s="105">
        <v>3856.1084318348471</v>
      </c>
      <c r="CJ83" s="105">
        <v>6.9156289973686098</v>
      </c>
      <c r="CK83" s="105">
        <v>4132.779888827481</v>
      </c>
      <c r="CL83" s="105">
        <v>5.0563451357809841</v>
      </c>
      <c r="CM83" s="105">
        <v>3021.6718531427164</v>
      </c>
      <c r="CN83" s="105">
        <v>6.5905353265521374</v>
      </c>
      <c r="CO83" s="105">
        <v>3938.5039111475576</v>
      </c>
      <c r="CP83" s="105">
        <v>5.2724282612417106</v>
      </c>
      <c r="CQ83" s="105">
        <v>3150.8031289180462</v>
      </c>
      <c r="CR83" s="105">
        <v>5.479846124310864</v>
      </c>
      <c r="CS83" s="105">
        <v>3274.7560438881724</v>
      </c>
      <c r="CT83" s="105">
        <v>4.7141034344508297</v>
      </c>
      <c r="CU83" s="105">
        <v>2817.1482124278159</v>
      </c>
    </row>
    <row r="84" spans="2:99" x14ac:dyDescent="0.2">
      <c r="C84" s="104" t="s">
        <v>250</v>
      </c>
      <c r="D84" s="105">
        <v>0.93617021276595747</v>
      </c>
      <c r="E84" s="105">
        <v>478.57021276595742</v>
      </c>
      <c r="F84" s="105">
        <v>0</v>
      </c>
      <c r="G84" s="105">
        <v>0</v>
      </c>
      <c r="H84" s="105">
        <v>0</v>
      </c>
      <c r="I84" s="105">
        <v>0</v>
      </c>
      <c r="J84" s="105">
        <v>0</v>
      </c>
      <c r="K84" s="105">
        <v>0</v>
      </c>
      <c r="L84" s="105">
        <v>6.734433477786899</v>
      </c>
      <c r="M84" s="105">
        <v>3442.6423938446628</v>
      </c>
      <c r="N84" s="105">
        <v>7.1068445456829492</v>
      </c>
      <c r="O84" s="105">
        <v>3633.0189317531235</v>
      </c>
      <c r="P84" s="105">
        <v>5.9314817938969231</v>
      </c>
      <c r="Q84" s="105">
        <v>3032.1734930401071</v>
      </c>
      <c r="R84" s="105">
        <v>7.1729547275032557</v>
      </c>
      <c r="S84" s="105">
        <v>3666.8144566996643</v>
      </c>
      <c r="T84" s="105">
        <v>5.5645860128311337</v>
      </c>
      <c r="U84" s="105">
        <v>2844.6163697592756</v>
      </c>
      <c r="V84" s="105">
        <v>5.5934180647110878</v>
      </c>
      <c r="W84" s="105">
        <v>2859.3553146803079</v>
      </c>
      <c r="X84" s="105">
        <v>6.0346379990081749</v>
      </c>
      <c r="Y84" s="105">
        <v>3084.9069450929787</v>
      </c>
      <c r="Z84" s="105">
        <v>5.5078045229042862</v>
      </c>
      <c r="AA84" s="105">
        <v>2815.589672108671</v>
      </c>
      <c r="AB84" s="105">
        <v>6.1076644214384164</v>
      </c>
      <c r="AC84" s="105">
        <v>3122.2380522393182</v>
      </c>
      <c r="AD84" s="105">
        <v>6.4556592547529306</v>
      </c>
      <c r="AE84" s="105">
        <v>3300.1330110296981</v>
      </c>
      <c r="AF84" s="105">
        <v>4.7017843488207323</v>
      </c>
      <c r="AG84" s="105">
        <v>2403.5521591171582</v>
      </c>
      <c r="AH84" s="105">
        <v>6.1687410656528003</v>
      </c>
      <c r="AI84" s="105">
        <v>3153.4604327617117</v>
      </c>
      <c r="AJ84" s="105">
        <v>4.3077800737798881</v>
      </c>
      <c r="AK84" s="105">
        <v>2202.137173716279</v>
      </c>
      <c r="AL84" s="105">
        <v>5.8195670430686794</v>
      </c>
      <c r="AM84" s="105">
        <v>2974.9626724167088</v>
      </c>
      <c r="AN84" s="105">
        <v>5.8073922166187453</v>
      </c>
      <c r="AO84" s="105">
        <v>2968.7389011355026</v>
      </c>
      <c r="AP84" s="105">
        <v>5.3178802290110347</v>
      </c>
      <c r="AQ84" s="105">
        <v>2718.5003730704407</v>
      </c>
      <c r="AR84" s="105">
        <v>5.735399751123472</v>
      </c>
      <c r="AS84" s="105">
        <v>2931.9363527743189</v>
      </c>
      <c r="AT84" s="105">
        <v>6.133691400507046</v>
      </c>
      <c r="AU84" s="105">
        <v>3135.5430439392017</v>
      </c>
      <c r="AV84" s="105">
        <v>6.087573420052105</v>
      </c>
      <c r="AW84" s="105">
        <v>3111.967532330636</v>
      </c>
      <c r="AX84" s="105">
        <v>6.1076644214384164</v>
      </c>
      <c r="AY84" s="105">
        <v>3122.2380522393182</v>
      </c>
      <c r="AZ84" s="105">
        <v>5.9697494183736781</v>
      </c>
      <c r="BA84" s="105">
        <v>3051.735902672624</v>
      </c>
      <c r="BB84" s="105">
        <v>5.6192985415865584</v>
      </c>
      <c r="BC84" s="105">
        <v>2872.5854144590485</v>
      </c>
      <c r="BD84" s="105">
        <v>5.3409013555435498</v>
      </c>
      <c r="BE84" s="105">
        <v>2730.2687729538625</v>
      </c>
      <c r="BF84" s="105">
        <v>5</v>
      </c>
      <c r="BG84" s="105">
        <v>2556</v>
      </c>
      <c r="BH84" s="105">
        <v>5.4321275411190868</v>
      </c>
      <c r="BI84" s="105">
        <v>2776.9035990200773</v>
      </c>
      <c r="BJ84" s="105">
        <v>6.1687410656528003</v>
      </c>
      <c r="BK84" s="105">
        <v>3153.4604327617117</v>
      </c>
      <c r="BL84" s="105">
        <v>5.4833253916913778</v>
      </c>
      <c r="BM84" s="105">
        <v>2803.0759402326321</v>
      </c>
      <c r="BN84" s="105">
        <v>5.9890689957794176</v>
      </c>
      <c r="BO84" s="105">
        <v>3061.6120706424381</v>
      </c>
      <c r="BP84" s="105">
        <v>5.6225504504647921</v>
      </c>
      <c r="BQ84" s="105">
        <v>2874.2477902776018</v>
      </c>
      <c r="BR84" s="105">
        <v>5.1621264147722172</v>
      </c>
      <c r="BS84" s="105">
        <v>2638.8790232315573</v>
      </c>
      <c r="BT84" s="105">
        <v>5.1406175547106674</v>
      </c>
      <c r="BU84" s="105">
        <v>2627.8836939680932</v>
      </c>
      <c r="BV84" s="105">
        <v>5.2659984706792207</v>
      </c>
      <c r="BW84" s="105">
        <v>2691.9784182112176</v>
      </c>
      <c r="BX84" s="105">
        <v>5.3442063687586145</v>
      </c>
      <c r="BY84" s="105">
        <v>2731.9582957094035</v>
      </c>
      <c r="BZ84" s="105">
        <v>4.2601802939591158</v>
      </c>
      <c r="CA84" s="105">
        <v>2177.8041662719002</v>
      </c>
      <c r="CB84" s="105">
        <v>6.7639704667245617</v>
      </c>
      <c r="CC84" s="105">
        <v>3457.7417025895957</v>
      </c>
      <c r="CD84" s="105">
        <v>5.1838160215569751</v>
      </c>
      <c r="CE84" s="105">
        <v>2649.9667502199254</v>
      </c>
      <c r="CF84" s="105">
        <v>5.8563997458729116</v>
      </c>
      <c r="CG84" s="105">
        <v>2993.7915500902322</v>
      </c>
      <c r="CH84" s="105">
        <v>6.4526580184652724</v>
      </c>
      <c r="CI84" s="105">
        <v>3298.598779039447</v>
      </c>
      <c r="CJ84" s="105">
        <v>6.2240660976317495</v>
      </c>
      <c r="CK84" s="105">
        <v>3181.7425891093503</v>
      </c>
      <c r="CL84" s="105">
        <v>5.0563451357809841</v>
      </c>
      <c r="CM84" s="105">
        <v>2584.8036334112389</v>
      </c>
      <c r="CN84" s="105">
        <v>6.5905353265521374</v>
      </c>
      <c r="CO84" s="105">
        <v>3369.0816589334527</v>
      </c>
      <c r="CP84" s="105">
        <v>5.2724282612417106</v>
      </c>
      <c r="CQ84" s="105">
        <v>2695.2653271467625</v>
      </c>
      <c r="CR84" s="105">
        <v>5.479846124310864</v>
      </c>
      <c r="CS84" s="105">
        <v>2801.2973387477136</v>
      </c>
      <c r="CT84" s="105">
        <v>5.3875467822295198</v>
      </c>
      <c r="CU84" s="105">
        <v>2754.1139150757303</v>
      </c>
    </row>
    <row r="85" spans="2:99" x14ac:dyDescent="0.2">
      <c r="C85" s="104" t="s">
        <v>251</v>
      </c>
      <c r="D85" s="105">
        <v>0.93617021276595747</v>
      </c>
      <c r="E85" s="105">
        <v>255.01276595744679</v>
      </c>
      <c r="F85" s="105">
        <v>0</v>
      </c>
      <c r="G85" s="105">
        <v>0</v>
      </c>
      <c r="H85" s="105">
        <v>0</v>
      </c>
      <c r="I85" s="105">
        <v>0</v>
      </c>
      <c r="J85" s="105">
        <v>0</v>
      </c>
      <c r="K85" s="105">
        <v>0</v>
      </c>
      <c r="L85" s="105">
        <v>7.5762376625102625</v>
      </c>
      <c r="M85" s="105">
        <v>2063.7671392677953</v>
      </c>
      <c r="N85" s="105">
        <v>7.1068445456829492</v>
      </c>
      <c r="O85" s="105">
        <v>1935.9044542440352</v>
      </c>
      <c r="P85" s="105">
        <v>6.9200620928797427</v>
      </c>
      <c r="Q85" s="105">
        <v>1885.0249141004417</v>
      </c>
      <c r="R85" s="105">
        <v>8.0695740684411632</v>
      </c>
      <c r="S85" s="105">
        <v>2198.1519762433727</v>
      </c>
      <c r="T85" s="105">
        <v>5.5645860128311337</v>
      </c>
      <c r="U85" s="105">
        <v>1515.7932298952007</v>
      </c>
      <c r="V85" s="105">
        <v>5.5934180647110878</v>
      </c>
      <c r="W85" s="105">
        <v>1523.6470808273002</v>
      </c>
      <c r="X85" s="105">
        <v>6.0346379990081749</v>
      </c>
      <c r="Y85" s="105">
        <v>1643.8353909298266</v>
      </c>
      <c r="Z85" s="105">
        <v>4.5898371024202378</v>
      </c>
      <c r="AA85" s="105">
        <v>1250.2716266992727</v>
      </c>
      <c r="AB85" s="105">
        <v>6.8711224741182182</v>
      </c>
      <c r="AC85" s="105">
        <v>1871.6937619498026</v>
      </c>
      <c r="AD85" s="105">
        <v>6.4556592547529306</v>
      </c>
      <c r="AE85" s="105">
        <v>1758.5215809946981</v>
      </c>
      <c r="AF85" s="105">
        <v>4.7017843488207323</v>
      </c>
      <c r="AG85" s="105">
        <v>1280.7660566187674</v>
      </c>
      <c r="AH85" s="105">
        <v>6.1687410656528003</v>
      </c>
      <c r="AI85" s="105">
        <v>1680.3650662838227</v>
      </c>
      <c r="AJ85" s="105">
        <v>4.3077800737798881</v>
      </c>
      <c r="AK85" s="105">
        <v>1173.4392920976413</v>
      </c>
      <c r="AL85" s="105">
        <v>5.8195670430686794</v>
      </c>
      <c r="AM85" s="105">
        <v>1585.250062531908</v>
      </c>
      <c r="AN85" s="105">
        <v>5.8073922166187453</v>
      </c>
      <c r="AO85" s="105">
        <v>1581.9336398069461</v>
      </c>
      <c r="AP85" s="105">
        <v>4.5581830534380297</v>
      </c>
      <c r="AQ85" s="105">
        <v>1241.6490637565191</v>
      </c>
      <c r="AR85" s="105">
        <v>7.0099330291509094</v>
      </c>
      <c r="AS85" s="105">
        <v>1909.5057571407076</v>
      </c>
      <c r="AT85" s="105">
        <v>5.2574497718631816</v>
      </c>
      <c r="AU85" s="105">
        <v>1432.1293178555306</v>
      </c>
      <c r="AV85" s="105">
        <v>6.087573420052105</v>
      </c>
      <c r="AW85" s="105">
        <v>1658.2549996221933</v>
      </c>
      <c r="AX85" s="105">
        <v>6.1076644214384164</v>
      </c>
      <c r="AY85" s="105">
        <v>1663.7277883998245</v>
      </c>
      <c r="AZ85" s="105">
        <v>5.9697494183736781</v>
      </c>
      <c r="BA85" s="105">
        <v>1626.1597415649899</v>
      </c>
      <c r="BB85" s="105">
        <v>5.6192985415865584</v>
      </c>
      <c r="BC85" s="105">
        <v>1530.6969227281784</v>
      </c>
      <c r="BD85" s="105">
        <v>5.3409013555435498</v>
      </c>
      <c r="BE85" s="105">
        <v>1454.8615292500629</v>
      </c>
      <c r="BF85" s="105">
        <v>5</v>
      </c>
      <c r="BG85" s="105">
        <v>1362</v>
      </c>
      <c r="BH85" s="105">
        <v>5.4321275411190868</v>
      </c>
      <c r="BI85" s="105">
        <v>1479.7115422008392</v>
      </c>
      <c r="BJ85" s="105">
        <v>6.9398336988593998</v>
      </c>
      <c r="BK85" s="105">
        <v>1890.4106995693003</v>
      </c>
      <c r="BL85" s="105">
        <v>6.1687410656528003</v>
      </c>
      <c r="BM85" s="105">
        <v>1680.3650662838227</v>
      </c>
      <c r="BN85" s="105">
        <v>5.2404353713069902</v>
      </c>
      <c r="BO85" s="105">
        <v>1427.4945951440241</v>
      </c>
      <c r="BP85" s="105">
        <v>5.6225504504647921</v>
      </c>
      <c r="BQ85" s="105">
        <v>1531.5827427066092</v>
      </c>
      <c r="BR85" s="105">
        <v>5.8073922166187453</v>
      </c>
      <c r="BS85" s="105">
        <v>1581.9336398069461</v>
      </c>
      <c r="BT85" s="105">
        <v>5.1406175547106674</v>
      </c>
      <c r="BU85" s="105">
        <v>1400.3042219031856</v>
      </c>
      <c r="BV85" s="105">
        <v>5.2659984706792207</v>
      </c>
      <c r="BW85" s="105">
        <v>1434.4579834130195</v>
      </c>
      <c r="BX85" s="105">
        <v>5.3442063687586145</v>
      </c>
      <c r="BY85" s="105">
        <v>1455.7618148498466</v>
      </c>
      <c r="BZ85" s="105">
        <v>4.2601802939591158</v>
      </c>
      <c r="CA85" s="105">
        <v>1160.473112074463</v>
      </c>
      <c r="CB85" s="105">
        <v>6.7639704667245617</v>
      </c>
      <c r="CC85" s="105">
        <v>1842.5055551357705</v>
      </c>
      <c r="CD85" s="105">
        <v>5.1838160215569751</v>
      </c>
      <c r="CE85" s="105">
        <v>1412.07148427212</v>
      </c>
      <c r="CF85" s="105">
        <v>5.2056886629981438</v>
      </c>
      <c r="CG85" s="105">
        <v>1418.0295918006943</v>
      </c>
      <c r="CH85" s="105">
        <v>7.0979238203117996</v>
      </c>
      <c r="CI85" s="105">
        <v>1933.4744486529341</v>
      </c>
      <c r="CJ85" s="105">
        <v>5.5325031978948882</v>
      </c>
      <c r="CK85" s="105">
        <v>1507.0538711065674</v>
      </c>
      <c r="CL85" s="105">
        <v>5.8990693250778143</v>
      </c>
      <c r="CM85" s="105">
        <v>1606.9064841511965</v>
      </c>
      <c r="CN85" s="105">
        <v>6.5905353265521374</v>
      </c>
      <c r="CO85" s="105">
        <v>1795.261822952802</v>
      </c>
      <c r="CP85" s="105">
        <v>5.2724282612417106</v>
      </c>
      <c r="CQ85" s="105">
        <v>1436.2094583622418</v>
      </c>
      <c r="CR85" s="105">
        <v>5.479846124310864</v>
      </c>
      <c r="CS85" s="105">
        <v>1492.7100842622792</v>
      </c>
      <c r="CT85" s="105">
        <v>5.3875467822295198</v>
      </c>
      <c r="CU85" s="105">
        <v>1467.5677434793211</v>
      </c>
    </row>
    <row r="86" spans="2:99" x14ac:dyDescent="0.2">
      <c r="C86" s="104" t="s">
        <v>252</v>
      </c>
      <c r="D86" s="105">
        <v>0.93617021276595747</v>
      </c>
      <c r="E86" s="105">
        <v>463.96595744680849</v>
      </c>
      <c r="F86" s="105">
        <v>0</v>
      </c>
      <c r="G86" s="105">
        <v>0</v>
      </c>
      <c r="H86" s="105">
        <v>0</v>
      </c>
      <c r="I86" s="105">
        <v>0</v>
      </c>
      <c r="J86" s="105">
        <v>0</v>
      </c>
      <c r="K86" s="105">
        <v>0</v>
      </c>
      <c r="L86" s="105">
        <v>8.4180418472336243</v>
      </c>
      <c r="M86" s="105">
        <v>4171.9815394889838</v>
      </c>
      <c r="N86" s="105">
        <v>7.9952001138933184</v>
      </c>
      <c r="O86" s="105">
        <v>3962.4211764455285</v>
      </c>
      <c r="P86" s="105">
        <v>5.9314817938969231</v>
      </c>
      <c r="Q86" s="105">
        <v>2939.6423770553147</v>
      </c>
      <c r="R86" s="105">
        <v>8.0695740684411632</v>
      </c>
      <c r="S86" s="105">
        <v>3999.2809083194402</v>
      </c>
      <c r="T86" s="105">
        <v>4.769645153855258</v>
      </c>
      <c r="U86" s="105">
        <v>2363.8361382506655</v>
      </c>
      <c r="V86" s="105">
        <v>5.5934180647110878</v>
      </c>
      <c r="W86" s="105">
        <v>2772.0979928708148</v>
      </c>
      <c r="X86" s="105">
        <v>5.364122665785044</v>
      </c>
      <c r="Y86" s="105">
        <v>2658.4591931630675</v>
      </c>
      <c r="Z86" s="105">
        <v>4.5898371024202378</v>
      </c>
      <c r="AA86" s="105">
        <v>2274.7232679594695</v>
      </c>
      <c r="AB86" s="105">
        <v>6.1076644214384164</v>
      </c>
      <c r="AC86" s="105">
        <v>3026.9584872648788</v>
      </c>
      <c r="AD86" s="105">
        <v>5.0210683092522794</v>
      </c>
      <c r="AE86" s="105">
        <v>2488.4414540654293</v>
      </c>
      <c r="AF86" s="105">
        <v>4.7017843488207323</v>
      </c>
      <c r="AG86" s="105">
        <v>2330.2043232755545</v>
      </c>
      <c r="AH86" s="105">
        <v>5.3976484324462009</v>
      </c>
      <c r="AI86" s="105">
        <v>2675.0745631203367</v>
      </c>
      <c r="AJ86" s="105">
        <v>4.3077800737798881</v>
      </c>
      <c r="AK86" s="105">
        <v>2134.9358045653125</v>
      </c>
      <c r="AL86" s="105">
        <v>5.0921211626850944</v>
      </c>
      <c r="AM86" s="105">
        <v>2523.6552482267325</v>
      </c>
      <c r="AN86" s="105">
        <v>6.4526580184652724</v>
      </c>
      <c r="AO86" s="105">
        <v>3197.9373139513887</v>
      </c>
      <c r="AP86" s="105">
        <v>5.3178802290110347</v>
      </c>
      <c r="AQ86" s="105">
        <v>2635.5414414978686</v>
      </c>
      <c r="AR86" s="105">
        <v>5.735399751123472</v>
      </c>
      <c r="AS86" s="105">
        <v>2842.4641166567926</v>
      </c>
      <c r="AT86" s="105">
        <v>6.133691400507046</v>
      </c>
      <c r="AU86" s="105">
        <v>3039.8574580912918</v>
      </c>
      <c r="AV86" s="105">
        <v>6.087573420052105</v>
      </c>
      <c r="AW86" s="105">
        <v>3017.0013869778231</v>
      </c>
      <c r="AX86" s="105">
        <v>5.3442063687586145</v>
      </c>
      <c r="AY86" s="105">
        <v>2648.5886763567692</v>
      </c>
      <c r="AZ86" s="105">
        <v>4.9747911819780644</v>
      </c>
      <c r="BA86" s="105">
        <v>2465.5065097883285</v>
      </c>
      <c r="BB86" s="105">
        <v>5.6192985415865584</v>
      </c>
      <c r="BC86" s="105">
        <v>2784.9243572102982</v>
      </c>
      <c r="BD86" s="105">
        <v>5.3409013555435498</v>
      </c>
      <c r="BE86" s="105">
        <v>2646.950711807383</v>
      </c>
      <c r="BF86" s="105">
        <v>5</v>
      </c>
      <c r="BG86" s="105">
        <v>2478</v>
      </c>
      <c r="BH86" s="105">
        <v>5.4321275411190868</v>
      </c>
      <c r="BI86" s="105">
        <v>2692.162409378619</v>
      </c>
      <c r="BJ86" s="105">
        <v>5.3976484324462009</v>
      </c>
      <c r="BK86" s="105">
        <v>2675.0745631203367</v>
      </c>
      <c r="BL86" s="105">
        <v>5.4833253916913778</v>
      </c>
      <c r="BM86" s="105">
        <v>2717.5360641222464</v>
      </c>
      <c r="BN86" s="105">
        <v>6.7377026202518451</v>
      </c>
      <c r="BO86" s="105">
        <v>3339.2054185968141</v>
      </c>
      <c r="BP86" s="105">
        <v>4.8193289575412503</v>
      </c>
      <c r="BQ86" s="105">
        <v>2388.4594313574435</v>
      </c>
      <c r="BR86" s="105">
        <v>5.8073922166187453</v>
      </c>
      <c r="BS86" s="105">
        <v>2878.1435825562498</v>
      </c>
      <c r="BT86" s="105">
        <v>5.1406175547106674</v>
      </c>
      <c r="BU86" s="105">
        <v>2547.6900601146067</v>
      </c>
      <c r="BV86" s="105">
        <v>6.0182839664905368</v>
      </c>
      <c r="BW86" s="105">
        <v>2982.6615337927096</v>
      </c>
      <c r="BX86" s="105">
        <v>6.1076644214384164</v>
      </c>
      <c r="BY86" s="105">
        <v>3026.9584872648788</v>
      </c>
      <c r="BZ86" s="105">
        <v>4.2601802939591158</v>
      </c>
      <c r="CA86" s="105">
        <v>2111.3453536861375</v>
      </c>
      <c r="CB86" s="105">
        <v>7.4403675133970175</v>
      </c>
      <c r="CC86" s="105">
        <v>3687.4461396395618</v>
      </c>
      <c r="CD86" s="105">
        <v>5.1838160215569751</v>
      </c>
      <c r="CE86" s="105">
        <v>2569.0992202836369</v>
      </c>
      <c r="CF86" s="105">
        <v>5.8563997458729116</v>
      </c>
      <c r="CG86" s="105">
        <v>2902.431714054615</v>
      </c>
      <c r="CH86" s="105">
        <v>7.0979238203117996</v>
      </c>
      <c r="CI86" s="105">
        <v>3517.7310453465275</v>
      </c>
      <c r="CJ86" s="105">
        <v>6.2240660976317495</v>
      </c>
      <c r="CK86" s="105">
        <v>3084.647157986295</v>
      </c>
      <c r="CL86" s="105">
        <v>5.0563451357809841</v>
      </c>
      <c r="CM86" s="105">
        <v>2505.9246492930556</v>
      </c>
      <c r="CN86" s="105">
        <v>6.5905353265521374</v>
      </c>
      <c r="CO86" s="105">
        <v>3266.269307839239</v>
      </c>
      <c r="CP86" s="105">
        <v>4.6133747285864963</v>
      </c>
      <c r="CQ86" s="105">
        <v>2286.3885154874674</v>
      </c>
      <c r="CR86" s="105">
        <v>6.2626812849267006</v>
      </c>
      <c r="CS86" s="105">
        <v>3103.7848448096724</v>
      </c>
      <c r="CT86" s="105">
        <v>5.3875467822295198</v>
      </c>
      <c r="CU86" s="105">
        <v>2670.0681852729499</v>
      </c>
    </row>
    <row r="87" spans="2:99" x14ac:dyDescent="0.2">
      <c r="B87" s="104" t="s">
        <v>131</v>
      </c>
      <c r="C87" s="104" t="s">
        <v>253</v>
      </c>
      <c r="D87" s="105">
        <v>0</v>
      </c>
      <c r="E87" s="105">
        <v>0</v>
      </c>
      <c r="F87" s="105">
        <v>0</v>
      </c>
      <c r="G87" s="105">
        <v>0</v>
      </c>
      <c r="H87" s="105">
        <v>0</v>
      </c>
      <c r="I87" s="105">
        <v>0</v>
      </c>
      <c r="J87" s="105">
        <v>0</v>
      </c>
      <c r="K87" s="105">
        <v>0</v>
      </c>
      <c r="L87" s="105">
        <v>9.2474787228704471</v>
      </c>
      <c r="M87" s="105">
        <v>8700.0279824765166</v>
      </c>
      <c r="N87" s="105">
        <v>8.5706637559802807</v>
      </c>
      <c r="O87" s="105">
        <v>8063.2804616262474</v>
      </c>
      <c r="P87" s="105">
        <v>10.741696852155339</v>
      </c>
      <c r="Q87" s="105">
        <v>10105.788398507742</v>
      </c>
      <c r="R87" s="105">
        <v>11.175704805777777</v>
      </c>
      <c r="S87" s="105">
        <v>10514.103081275731</v>
      </c>
      <c r="T87" s="105">
        <v>10.277984255805466</v>
      </c>
      <c r="U87" s="105">
        <v>9669.5275878617813</v>
      </c>
      <c r="V87" s="105">
        <v>11.690208951553208</v>
      </c>
      <c r="W87" s="105">
        <v>10998.148581621257</v>
      </c>
      <c r="X87" s="105">
        <v>9.8492116537566776</v>
      </c>
      <c r="Y87" s="105">
        <v>9266.1383238542821</v>
      </c>
      <c r="Z87" s="105">
        <v>13.447892302201105</v>
      </c>
      <c r="AA87" s="105">
        <v>12651.777077910798</v>
      </c>
      <c r="AB87" s="105">
        <v>10.224110139147195</v>
      </c>
      <c r="AC87" s="105">
        <v>9618.8428189096794</v>
      </c>
      <c r="AD87" s="105">
        <v>10.083597956403038</v>
      </c>
      <c r="AE87" s="105">
        <v>9486.6489573839772</v>
      </c>
      <c r="AF87" s="105">
        <v>7.7190333193395348</v>
      </c>
      <c r="AG87" s="105">
        <v>7262.0665468346342</v>
      </c>
      <c r="AH87" s="105">
        <v>10.085099832774263</v>
      </c>
      <c r="AI87" s="105">
        <v>9488.0619226740273</v>
      </c>
      <c r="AJ87" s="105">
        <v>11.14755441583879</v>
      </c>
      <c r="AK87" s="105">
        <v>10487.619194421133</v>
      </c>
      <c r="AL87" s="105">
        <v>8.5989231277616582</v>
      </c>
      <c r="AM87" s="105">
        <v>8089.8668785981681</v>
      </c>
      <c r="AN87" s="105">
        <v>8.9276811877855913</v>
      </c>
      <c r="AO87" s="105">
        <v>8399.1624614686843</v>
      </c>
      <c r="AP87" s="105">
        <v>9.9080129173611926</v>
      </c>
      <c r="AQ87" s="105">
        <v>9321.4585526534102</v>
      </c>
      <c r="AR87" s="105">
        <v>10.873658729945944</v>
      </c>
      <c r="AS87" s="105">
        <v>10229.938133133144</v>
      </c>
      <c r="AT87" s="105">
        <v>13.580296886732128</v>
      </c>
      <c r="AU87" s="105">
        <v>12776.343311037586</v>
      </c>
      <c r="AV87" s="105">
        <v>8.7970226819792039</v>
      </c>
      <c r="AW87" s="105">
        <v>8276.238939206034</v>
      </c>
      <c r="AX87" s="105">
        <v>13.346984596614604</v>
      </c>
      <c r="AY87" s="105">
        <v>12556.843108495019</v>
      </c>
      <c r="AZ87" s="105">
        <v>11.473723600598518</v>
      </c>
      <c r="BA87" s="105">
        <v>10794.479163443086</v>
      </c>
      <c r="BB87" s="105">
        <v>8.6052927004488886</v>
      </c>
      <c r="BC87" s="105">
        <v>8095.8593725823139</v>
      </c>
      <c r="BD87" s="105">
        <v>9.8834272773677405</v>
      </c>
      <c r="BE87" s="105">
        <v>9298.3283825475701</v>
      </c>
      <c r="BF87" s="105">
        <v>13.640483536915067</v>
      </c>
      <c r="BG87" s="105">
        <v>12832.966911529695</v>
      </c>
      <c r="BH87" s="105">
        <v>13.01640912672941</v>
      </c>
      <c r="BI87" s="105">
        <v>12245.837706427028</v>
      </c>
      <c r="BJ87" s="105">
        <v>13.718102341108356</v>
      </c>
      <c r="BK87" s="105">
        <v>12905.990682514741</v>
      </c>
      <c r="BL87" s="105">
        <v>8.7809109188253966</v>
      </c>
      <c r="BM87" s="105">
        <v>8261.0809924309324</v>
      </c>
      <c r="BN87" s="105">
        <v>11.380060550797714</v>
      </c>
      <c r="BO87" s="105">
        <v>10706.360966190488</v>
      </c>
      <c r="BP87" s="105">
        <v>10.68243231779862</v>
      </c>
      <c r="BQ87" s="105">
        <v>10050.032324584941</v>
      </c>
      <c r="BR87" s="105">
        <v>12.735479433346763</v>
      </c>
      <c r="BS87" s="105">
        <v>11981.539050892634</v>
      </c>
      <c r="BT87" s="105">
        <v>13.99656041639277</v>
      </c>
      <c r="BU87" s="105">
        <v>13167.964039742317</v>
      </c>
      <c r="BV87" s="105">
        <v>10.573055877684642</v>
      </c>
      <c r="BW87" s="105">
        <v>9947.1309697257111</v>
      </c>
      <c r="BX87" s="105">
        <v>7.9906289361311105</v>
      </c>
      <c r="BY87" s="105">
        <v>7517.5837031121482</v>
      </c>
      <c r="BZ87" s="105">
        <v>10.232552839509825</v>
      </c>
      <c r="CA87" s="105">
        <v>9626.7857114108429</v>
      </c>
      <c r="CB87" s="105">
        <v>16.504231461792266</v>
      </c>
      <c r="CC87" s="105">
        <v>15527.180959254163</v>
      </c>
      <c r="CD87" s="105">
        <v>10.203064214612104</v>
      </c>
      <c r="CE87" s="105">
        <v>9599.0428131070657</v>
      </c>
      <c r="CF87" s="105">
        <v>12.264884350359354</v>
      </c>
      <c r="CG87" s="105">
        <v>11538.80319681808</v>
      </c>
      <c r="CH87" s="105">
        <v>13.975512957119999</v>
      </c>
      <c r="CI87" s="105">
        <v>13148.162590058495</v>
      </c>
      <c r="CJ87" s="105">
        <v>12.790691049387283</v>
      </c>
      <c r="CK87" s="105">
        <v>12033.482139263555</v>
      </c>
      <c r="CL87" s="105">
        <v>11.296523236110511</v>
      </c>
      <c r="CM87" s="105">
        <v>10627.769060532768</v>
      </c>
      <c r="CN87" s="105">
        <v>10.443844491063127</v>
      </c>
      <c r="CO87" s="105">
        <v>9825.5688971921882</v>
      </c>
      <c r="CP87" s="105">
        <v>11.74516747104034</v>
      </c>
      <c r="CQ87" s="105">
        <v>11049.853556754751</v>
      </c>
      <c r="CR87" s="105">
        <v>13.533881049198776</v>
      </c>
      <c r="CS87" s="105">
        <v>12732.675291086207</v>
      </c>
      <c r="CT87" s="105">
        <v>9.3112431624376235</v>
      </c>
      <c r="CU87" s="105">
        <v>8760.0175672213154</v>
      </c>
    </row>
    <row r="88" spans="2:99" x14ac:dyDescent="0.2">
      <c r="C88" s="104" t="s">
        <v>254</v>
      </c>
      <c r="D88" s="105">
        <v>0</v>
      </c>
      <c r="E88" s="105">
        <v>0</v>
      </c>
      <c r="F88" s="105">
        <v>0</v>
      </c>
      <c r="G88" s="105">
        <v>0</v>
      </c>
      <c r="H88" s="105">
        <v>0</v>
      </c>
      <c r="I88" s="105">
        <v>0</v>
      </c>
      <c r="J88" s="105">
        <v>0</v>
      </c>
      <c r="K88" s="105">
        <v>0</v>
      </c>
      <c r="L88" s="105">
        <v>9.2474787228704471</v>
      </c>
      <c r="M88" s="105">
        <v>8100.7913612345119</v>
      </c>
      <c r="N88" s="105">
        <v>8.5706637559802807</v>
      </c>
      <c r="O88" s="105">
        <v>7507.9014502387263</v>
      </c>
      <c r="P88" s="105">
        <v>10.025583728678317</v>
      </c>
      <c r="Q88" s="105">
        <v>8782.4113463222056</v>
      </c>
      <c r="R88" s="105">
        <v>12.293275286355554</v>
      </c>
      <c r="S88" s="105">
        <v>10768.909150847465</v>
      </c>
      <c r="T88" s="105">
        <v>12.091746183300545</v>
      </c>
      <c r="U88" s="105">
        <v>10592.369656571278</v>
      </c>
      <c r="V88" s="105">
        <v>10.855194026442264</v>
      </c>
      <c r="W88" s="105">
        <v>9509.1499671634228</v>
      </c>
      <c r="X88" s="105">
        <v>8.5359834332557867</v>
      </c>
      <c r="Y88" s="105">
        <v>7477.5214875320689</v>
      </c>
      <c r="Z88" s="105">
        <v>12.836624470282873</v>
      </c>
      <c r="AA88" s="105">
        <v>11244.883035967796</v>
      </c>
      <c r="AB88" s="105">
        <v>10.224110139147195</v>
      </c>
      <c r="AC88" s="105">
        <v>8956.3204818929426</v>
      </c>
      <c r="AD88" s="105">
        <v>10.643797842869873</v>
      </c>
      <c r="AE88" s="105">
        <v>9323.9669103540091</v>
      </c>
      <c r="AF88" s="105">
        <v>7.7190333193395348</v>
      </c>
      <c r="AG88" s="105">
        <v>6761.873187741433</v>
      </c>
      <c r="AH88" s="105">
        <v>10.085099832774263</v>
      </c>
      <c r="AI88" s="105">
        <v>8834.5474535102549</v>
      </c>
      <c r="AJ88" s="105">
        <v>11.14755441583879</v>
      </c>
      <c r="AK88" s="105">
        <v>9765.2576682747804</v>
      </c>
      <c r="AL88" s="105">
        <v>8.5989231277616582</v>
      </c>
      <c r="AM88" s="105">
        <v>7532.6566599192129</v>
      </c>
      <c r="AN88" s="105">
        <v>9.5653727011988483</v>
      </c>
      <c r="AO88" s="105">
        <v>8379.2664862501915</v>
      </c>
      <c r="AP88" s="105">
        <v>9.9080129173611926</v>
      </c>
      <c r="AQ88" s="105">
        <v>8679.4193156084038</v>
      </c>
      <c r="AR88" s="105">
        <v>11.96102460294054</v>
      </c>
      <c r="AS88" s="105">
        <v>10477.857552175914</v>
      </c>
      <c r="AT88" s="105">
        <v>14.379137880069312</v>
      </c>
      <c r="AU88" s="105">
        <v>12596.124782940717</v>
      </c>
      <c r="AV88" s="105">
        <v>8.7970226819792039</v>
      </c>
      <c r="AW88" s="105">
        <v>7706.191869413783</v>
      </c>
      <c r="AX88" s="105">
        <v>14.049457470120634</v>
      </c>
      <c r="AY88" s="105">
        <v>12307.324743825675</v>
      </c>
      <c r="AZ88" s="105">
        <v>10.654171914841481</v>
      </c>
      <c r="BA88" s="105">
        <v>9333.0545974011366</v>
      </c>
      <c r="BB88" s="105">
        <v>9.2199564647666659</v>
      </c>
      <c r="BC88" s="105">
        <v>8076.6818631355991</v>
      </c>
      <c r="BD88" s="105">
        <v>9.3343479841806456</v>
      </c>
      <c r="BE88" s="105">
        <v>8176.8888341422453</v>
      </c>
      <c r="BF88" s="105">
        <v>12.124874255035616</v>
      </c>
      <c r="BG88" s="105">
        <v>10621.389847411199</v>
      </c>
      <c r="BH88" s="105">
        <v>11.15692210862521</v>
      </c>
      <c r="BI88" s="105">
        <v>9773.4637671556848</v>
      </c>
      <c r="BJ88" s="105">
        <v>12.525223876664151</v>
      </c>
      <c r="BK88" s="105">
        <v>10972.096115957796</v>
      </c>
      <c r="BL88" s="105">
        <v>9.9516990413354485</v>
      </c>
      <c r="BM88" s="105">
        <v>8717.6883602098533</v>
      </c>
      <c r="BN88" s="105">
        <v>12.012286136953142</v>
      </c>
      <c r="BO88" s="105">
        <v>10522.762655970952</v>
      </c>
      <c r="BP88" s="105">
        <v>11.445463197641379</v>
      </c>
      <c r="BQ88" s="105">
        <v>10026.225761133848</v>
      </c>
      <c r="BR88" s="105">
        <v>12.204834456957313</v>
      </c>
      <c r="BS88" s="105">
        <v>10691.434984294607</v>
      </c>
      <c r="BT88" s="105">
        <v>13.330057539421686</v>
      </c>
      <c r="BU88" s="105">
        <v>11677.130404533396</v>
      </c>
      <c r="BV88" s="105">
        <v>9.0626193237296917</v>
      </c>
      <c r="BW88" s="105">
        <v>7938.8545275872102</v>
      </c>
      <c r="BX88" s="105">
        <v>7.3759651718133332</v>
      </c>
      <c r="BY88" s="105">
        <v>6461.34549050848</v>
      </c>
      <c r="BZ88" s="105">
        <v>10.232552839509825</v>
      </c>
      <c r="CA88" s="105">
        <v>8963.716287410607</v>
      </c>
      <c r="CB88" s="105">
        <v>15.281695797955802</v>
      </c>
      <c r="CC88" s="105">
        <v>13386.765519009283</v>
      </c>
      <c r="CD88" s="105">
        <v>8.9276811877855913</v>
      </c>
      <c r="CE88" s="105">
        <v>7820.6487205001777</v>
      </c>
      <c r="CF88" s="105">
        <v>13.286958046222633</v>
      </c>
      <c r="CG88" s="105">
        <v>11639.375248491027</v>
      </c>
      <c r="CH88" s="105">
        <v>12.228573837479999</v>
      </c>
      <c r="CI88" s="105">
        <v>10712.23068163248</v>
      </c>
      <c r="CJ88" s="105">
        <v>12.151156496917919</v>
      </c>
      <c r="CK88" s="105">
        <v>10644.413091300097</v>
      </c>
      <c r="CL88" s="105">
        <v>10.63202186928048</v>
      </c>
      <c r="CM88" s="105">
        <v>9313.6511574897013</v>
      </c>
      <c r="CN88" s="105">
        <v>10.443844491063127</v>
      </c>
      <c r="CO88" s="105">
        <v>9148.8077741712987</v>
      </c>
      <c r="CP88" s="105">
        <v>11.74516747104034</v>
      </c>
      <c r="CQ88" s="105">
        <v>10288.766704631338</v>
      </c>
      <c r="CR88" s="105">
        <v>14.210575101658716</v>
      </c>
      <c r="CS88" s="105">
        <v>12448.463789053036</v>
      </c>
      <c r="CT88" s="105">
        <v>10.954403720514852</v>
      </c>
      <c r="CU88" s="105">
        <v>9596.0576591710105</v>
      </c>
    </row>
    <row r="89" spans="2:99" x14ac:dyDescent="0.2">
      <c r="C89" s="104" t="s">
        <v>255</v>
      </c>
      <c r="D89" s="105">
        <v>0</v>
      </c>
      <c r="E89" s="105">
        <v>0</v>
      </c>
      <c r="F89" s="105">
        <v>0</v>
      </c>
      <c r="G89" s="105">
        <v>0</v>
      </c>
      <c r="H89" s="105">
        <v>0</v>
      </c>
      <c r="I89" s="105">
        <v>0</v>
      </c>
      <c r="J89" s="105">
        <v>0</v>
      </c>
      <c r="K89" s="105">
        <v>0</v>
      </c>
      <c r="L89" s="105">
        <v>9.9080129173611926</v>
      </c>
      <c r="M89" s="105">
        <v>5778.3531334050467</v>
      </c>
      <c r="N89" s="105">
        <v>8.5706637559802807</v>
      </c>
      <c r="O89" s="105">
        <v>4998.4111024876993</v>
      </c>
      <c r="P89" s="105">
        <v>10.741696852155339</v>
      </c>
      <c r="Q89" s="105">
        <v>6264.5576041769928</v>
      </c>
      <c r="R89" s="105">
        <v>12.293275286355554</v>
      </c>
      <c r="S89" s="105">
        <v>7169.4381470025583</v>
      </c>
      <c r="T89" s="105">
        <v>11.487158874135519</v>
      </c>
      <c r="U89" s="105">
        <v>6699.311055395834</v>
      </c>
      <c r="V89" s="105">
        <v>11.690208951553208</v>
      </c>
      <c r="W89" s="105">
        <v>6817.72986054583</v>
      </c>
      <c r="X89" s="105">
        <v>8.5359834332557867</v>
      </c>
      <c r="Y89" s="105">
        <v>4978.1855382747744</v>
      </c>
      <c r="Z89" s="105">
        <v>15.281695797955802</v>
      </c>
      <c r="AA89" s="105">
        <v>8912.2849893678231</v>
      </c>
      <c r="AB89" s="105">
        <v>10.954403720514852</v>
      </c>
      <c r="AC89" s="105">
        <v>6388.6082498042615</v>
      </c>
      <c r="AD89" s="105">
        <v>10.643797842869873</v>
      </c>
      <c r="AE89" s="105">
        <v>6207.4629019617087</v>
      </c>
      <c r="AF89" s="105">
        <v>8.3622860959511627</v>
      </c>
      <c r="AG89" s="105">
        <v>4876.8852511587174</v>
      </c>
      <c r="AH89" s="105">
        <v>8.8986174995067024</v>
      </c>
      <c r="AI89" s="105">
        <v>5189.6737257123086</v>
      </c>
      <c r="AJ89" s="105">
        <v>12.26230985742267</v>
      </c>
      <c r="AK89" s="105">
        <v>7151.3791088489006</v>
      </c>
      <c r="AL89" s="105">
        <v>8.0256615859108802</v>
      </c>
      <c r="AM89" s="105">
        <v>4680.5658369032244</v>
      </c>
      <c r="AN89" s="105">
        <v>10.203064214612104</v>
      </c>
      <c r="AO89" s="105">
        <v>5950.4270499617778</v>
      </c>
      <c r="AP89" s="105">
        <v>10.56854711185194</v>
      </c>
      <c r="AQ89" s="105">
        <v>6163.5766756320509</v>
      </c>
      <c r="AR89" s="105">
        <v>11.96102460294054</v>
      </c>
      <c r="AS89" s="105">
        <v>6975.669548434922</v>
      </c>
      <c r="AT89" s="105">
        <v>16.775660860080865</v>
      </c>
      <c r="AU89" s="105">
        <v>9783.565413599159</v>
      </c>
      <c r="AV89" s="105">
        <v>10.150410786899084</v>
      </c>
      <c r="AW89" s="105">
        <v>5919.7195709195448</v>
      </c>
      <c r="AX89" s="105">
        <v>13.346984596614604</v>
      </c>
      <c r="AY89" s="105">
        <v>7783.9614167456357</v>
      </c>
      <c r="AZ89" s="105">
        <v>9.8346202290844449</v>
      </c>
      <c r="BA89" s="105">
        <v>5735.5505176020479</v>
      </c>
      <c r="BB89" s="105">
        <v>9.8346202290844449</v>
      </c>
      <c r="BC89" s="105">
        <v>5735.5505176020479</v>
      </c>
      <c r="BD89" s="105">
        <v>9.3343479841806456</v>
      </c>
      <c r="BE89" s="105">
        <v>5443.7917443741517</v>
      </c>
      <c r="BF89" s="105">
        <v>12.882678895975342</v>
      </c>
      <c r="BG89" s="105">
        <v>7513.1783321328185</v>
      </c>
      <c r="BH89" s="105">
        <v>13.636238132764147</v>
      </c>
      <c r="BI89" s="105">
        <v>7952.6540790280496</v>
      </c>
      <c r="BJ89" s="105">
        <v>12.525223876664151</v>
      </c>
      <c r="BK89" s="105">
        <v>7304.7105648705319</v>
      </c>
      <c r="BL89" s="105">
        <v>10.537093102590475</v>
      </c>
      <c r="BM89" s="105">
        <v>6145.2326974307643</v>
      </c>
      <c r="BN89" s="105">
        <v>12.012286136953142</v>
      </c>
      <c r="BO89" s="105">
        <v>7005.5652750710715</v>
      </c>
      <c r="BP89" s="105">
        <v>11.445463197641379</v>
      </c>
      <c r="BQ89" s="105">
        <v>6674.9941368644513</v>
      </c>
      <c r="BR89" s="105">
        <v>11.143544504178417</v>
      </c>
      <c r="BS89" s="105">
        <v>6498.9151548368518</v>
      </c>
      <c r="BT89" s="105">
        <v>14.663063293363857</v>
      </c>
      <c r="BU89" s="105">
        <v>8551.4985126898009</v>
      </c>
      <c r="BV89" s="105">
        <v>9.0626193237296917</v>
      </c>
      <c r="BW89" s="105">
        <v>5285.3195895991557</v>
      </c>
      <c r="BX89" s="105">
        <v>8.6052927004488886</v>
      </c>
      <c r="BY89" s="105">
        <v>5018.6067029017913</v>
      </c>
      <c r="BZ89" s="105">
        <v>11.511621944448555</v>
      </c>
      <c r="CA89" s="105">
        <v>6713.5779180023965</v>
      </c>
      <c r="CB89" s="105">
        <v>15.892963629874032</v>
      </c>
      <c r="CC89" s="105">
        <v>9268.776388942535</v>
      </c>
      <c r="CD89" s="105">
        <v>10.203064214612104</v>
      </c>
      <c r="CE89" s="105">
        <v>5950.4270499617778</v>
      </c>
      <c r="CF89" s="105">
        <v>12.264884350359354</v>
      </c>
      <c r="CG89" s="105">
        <v>7152.8805531295748</v>
      </c>
      <c r="CH89" s="105">
        <v>13.975512957119999</v>
      </c>
      <c r="CI89" s="105">
        <v>8150.5191565923824</v>
      </c>
      <c r="CJ89" s="105">
        <v>11.511621944448555</v>
      </c>
      <c r="CK89" s="105">
        <v>6713.5779180023965</v>
      </c>
      <c r="CL89" s="105">
        <v>10.63202186928048</v>
      </c>
      <c r="CM89" s="105">
        <v>6200.5951541643753</v>
      </c>
      <c r="CN89" s="105">
        <v>9.138363929680235</v>
      </c>
      <c r="CO89" s="105">
        <v>5329.4938437895125</v>
      </c>
      <c r="CP89" s="105">
        <v>13.15458756756518</v>
      </c>
      <c r="CQ89" s="105">
        <v>7671.7554694040118</v>
      </c>
      <c r="CR89" s="105">
        <v>12.1804929442789</v>
      </c>
      <c r="CS89" s="105">
        <v>7103.6634851034532</v>
      </c>
      <c r="CT89" s="105">
        <v>10.406683534489108</v>
      </c>
      <c r="CU89" s="105">
        <v>6069.1778373140469</v>
      </c>
    </row>
    <row r="90" spans="2:99" x14ac:dyDescent="0.2">
      <c r="C90" s="104" t="s">
        <v>256</v>
      </c>
      <c r="D90" s="105">
        <v>0</v>
      </c>
      <c r="E90" s="105">
        <v>0</v>
      </c>
      <c r="F90" s="105">
        <v>0</v>
      </c>
      <c r="G90" s="105">
        <v>0</v>
      </c>
      <c r="H90" s="105">
        <v>0</v>
      </c>
      <c r="I90" s="105">
        <v>0</v>
      </c>
      <c r="J90" s="105">
        <v>0</v>
      </c>
      <c r="K90" s="105">
        <v>0</v>
      </c>
      <c r="L90" s="105">
        <v>9.2474787228704471</v>
      </c>
      <c r="M90" s="105">
        <v>7568.1365867971735</v>
      </c>
      <c r="N90" s="105">
        <v>9.3498150065239436</v>
      </c>
      <c r="O90" s="105">
        <v>7651.8886013391948</v>
      </c>
      <c r="P90" s="105">
        <v>10.025583728678317</v>
      </c>
      <c r="Q90" s="105">
        <v>8204.9377235503343</v>
      </c>
      <c r="R90" s="105">
        <v>12.293275286355554</v>
      </c>
      <c r="S90" s="105">
        <v>10060.816494353385</v>
      </c>
      <c r="T90" s="105">
        <v>12.091746183300545</v>
      </c>
      <c r="U90" s="105">
        <v>9895.8850764131657</v>
      </c>
      <c r="V90" s="105">
        <v>11.690208951553208</v>
      </c>
      <c r="W90" s="105">
        <v>9567.2670059511456</v>
      </c>
      <c r="X90" s="105">
        <v>8.5359834332557867</v>
      </c>
      <c r="Y90" s="105">
        <v>6985.8488417765357</v>
      </c>
      <c r="Z90" s="105">
        <v>14.059160134119338</v>
      </c>
      <c r="AA90" s="105">
        <v>11506.016653763267</v>
      </c>
      <c r="AB90" s="105">
        <v>10.954403720514852</v>
      </c>
      <c r="AC90" s="105">
        <v>8965.0840048693553</v>
      </c>
      <c r="AD90" s="105">
        <v>10.083597956403038</v>
      </c>
      <c r="AE90" s="105">
        <v>8252.4165675202457</v>
      </c>
      <c r="AF90" s="105">
        <v>7.7190333193395348</v>
      </c>
      <c r="AG90" s="105">
        <v>6317.2568685474753</v>
      </c>
      <c r="AH90" s="105">
        <v>8.8986174995067024</v>
      </c>
      <c r="AI90" s="105">
        <v>7282.6285615962852</v>
      </c>
      <c r="AJ90" s="105">
        <v>11.704932136630729</v>
      </c>
      <c r="AK90" s="105">
        <v>9579.3164606185892</v>
      </c>
      <c r="AL90" s="105">
        <v>8.5989231277616582</v>
      </c>
      <c r="AM90" s="105">
        <v>7037.358687760141</v>
      </c>
      <c r="AN90" s="105">
        <v>8.9276811877855913</v>
      </c>
      <c r="AO90" s="105">
        <v>7306.4142840837276</v>
      </c>
      <c r="AP90" s="105">
        <v>10.56854711185194</v>
      </c>
      <c r="AQ90" s="105">
        <v>8649.2989563396277</v>
      </c>
      <c r="AR90" s="105">
        <v>11.96102460294054</v>
      </c>
      <c r="AS90" s="105">
        <v>9788.9025350465381</v>
      </c>
      <c r="AT90" s="105">
        <v>13.580296886732128</v>
      </c>
      <c r="AU90" s="105">
        <v>11114.114972101574</v>
      </c>
      <c r="AV90" s="105">
        <v>8.7970226819792039</v>
      </c>
      <c r="AW90" s="105">
        <v>7199.48336293178</v>
      </c>
      <c r="AX90" s="105">
        <v>14.751930343626666</v>
      </c>
      <c r="AY90" s="105">
        <v>12072.979793224064</v>
      </c>
      <c r="AZ90" s="105">
        <v>9.8346202290844449</v>
      </c>
      <c r="BA90" s="105">
        <v>8048.6531954827096</v>
      </c>
      <c r="BB90" s="105">
        <v>9.8346202290844449</v>
      </c>
      <c r="BC90" s="105">
        <v>8048.6531954827096</v>
      </c>
      <c r="BD90" s="105">
        <v>10.432506570554839</v>
      </c>
      <c r="BE90" s="105">
        <v>8537.9633773420792</v>
      </c>
      <c r="BF90" s="105">
        <v>12.882678895975342</v>
      </c>
      <c r="BG90" s="105">
        <v>10543.184408466219</v>
      </c>
      <c r="BH90" s="105">
        <v>11.776751114659943</v>
      </c>
      <c r="BI90" s="105">
        <v>9638.0931122376969</v>
      </c>
      <c r="BJ90" s="105">
        <v>13.718102341108356</v>
      </c>
      <c r="BK90" s="105">
        <v>11226.894955963078</v>
      </c>
      <c r="BL90" s="105">
        <v>8.7809109188253966</v>
      </c>
      <c r="BM90" s="105">
        <v>7186.2974959667044</v>
      </c>
      <c r="BN90" s="105">
        <v>10.747834964642285</v>
      </c>
      <c r="BO90" s="105">
        <v>8796.0281350632467</v>
      </c>
      <c r="BP90" s="105">
        <v>12.208494077484138</v>
      </c>
      <c r="BQ90" s="105">
        <v>9991.4315530130189</v>
      </c>
      <c r="BR90" s="105">
        <v>11.674189480567865</v>
      </c>
      <c r="BS90" s="105">
        <v>9554.1566708967403</v>
      </c>
      <c r="BT90" s="105">
        <v>13.99656041639277</v>
      </c>
      <c r="BU90" s="105">
        <v>11454.785044775843</v>
      </c>
      <c r="BV90" s="105">
        <v>9.8178376007071666</v>
      </c>
      <c r="BW90" s="105">
        <v>8034.9182924187453</v>
      </c>
      <c r="BX90" s="105">
        <v>7.9906289361311105</v>
      </c>
      <c r="BY90" s="105">
        <v>6539.530721329701</v>
      </c>
      <c r="BZ90" s="105">
        <v>9.5930182870404614</v>
      </c>
      <c r="CA90" s="105">
        <v>7850.9261661139135</v>
      </c>
      <c r="CB90" s="105">
        <v>15.892963629874032</v>
      </c>
      <c r="CC90" s="105">
        <v>13006.801434688907</v>
      </c>
      <c r="CD90" s="105">
        <v>8.2899896743723342</v>
      </c>
      <c r="CE90" s="105">
        <v>6784.5275495063179</v>
      </c>
      <c r="CF90" s="105">
        <v>12.264884350359354</v>
      </c>
      <c r="CG90" s="105">
        <v>10037.581352334095</v>
      </c>
      <c r="CH90" s="105">
        <v>13.39319991724</v>
      </c>
      <c r="CI90" s="105">
        <v>10960.994812269217</v>
      </c>
      <c r="CJ90" s="105">
        <v>13.430225601856646</v>
      </c>
      <c r="CK90" s="105">
        <v>10991.296632559479</v>
      </c>
      <c r="CL90" s="105">
        <v>10.63202186928048</v>
      </c>
      <c r="CM90" s="105">
        <v>8701.2466978191442</v>
      </c>
      <c r="CN90" s="105">
        <v>10.443844491063127</v>
      </c>
      <c r="CO90" s="105">
        <v>8547.2423314860625</v>
      </c>
      <c r="CP90" s="105">
        <v>12.214974169881954</v>
      </c>
      <c r="CQ90" s="105">
        <v>9996.7348606313899</v>
      </c>
      <c r="CR90" s="105">
        <v>13.533881049198776</v>
      </c>
      <c r="CS90" s="105">
        <v>11076.128250664278</v>
      </c>
      <c r="CT90" s="105">
        <v>10.406683534489108</v>
      </c>
      <c r="CU90" s="105">
        <v>8516.829804625886</v>
      </c>
    </row>
    <row r="91" spans="2:99" x14ac:dyDescent="0.2">
      <c r="C91" s="104" t="s">
        <v>257</v>
      </c>
      <c r="D91" s="105">
        <v>0</v>
      </c>
      <c r="E91" s="105">
        <v>0</v>
      </c>
      <c r="F91" s="105">
        <v>0</v>
      </c>
      <c r="G91" s="105">
        <v>0</v>
      </c>
      <c r="H91" s="105">
        <v>0</v>
      </c>
      <c r="I91" s="105">
        <v>0</v>
      </c>
      <c r="J91" s="105">
        <v>0</v>
      </c>
      <c r="K91" s="105">
        <v>0</v>
      </c>
      <c r="L91" s="105">
        <v>8.5869445283797017</v>
      </c>
      <c r="M91" s="105">
        <v>6749.3383993064454</v>
      </c>
      <c r="N91" s="105">
        <v>10.128966257067606</v>
      </c>
      <c r="O91" s="105">
        <v>7961.3674780551382</v>
      </c>
      <c r="P91" s="105">
        <v>10.741696852155339</v>
      </c>
      <c r="Q91" s="105">
        <v>8442.973725794096</v>
      </c>
      <c r="R91" s="105">
        <v>10.058134325199999</v>
      </c>
      <c r="S91" s="105">
        <v>7905.6935796071994</v>
      </c>
      <c r="T91" s="105">
        <v>12.696333492465573</v>
      </c>
      <c r="U91" s="105">
        <v>9979.3181250779398</v>
      </c>
      <c r="V91" s="105">
        <v>12.525223876664151</v>
      </c>
      <c r="W91" s="105">
        <v>9844.8259670580228</v>
      </c>
      <c r="X91" s="105">
        <v>9.1925975435062313</v>
      </c>
      <c r="Y91" s="105">
        <v>7225.3816691958982</v>
      </c>
      <c r="Z91" s="105">
        <v>14.059160134119338</v>
      </c>
      <c r="AA91" s="105">
        <v>11050.4998654178</v>
      </c>
      <c r="AB91" s="105">
        <v>11.684697301882508</v>
      </c>
      <c r="AC91" s="105">
        <v>9184.1720792796514</v>
      </c>
      <c r="AD91" s="105">
        <v>9.5233980699362029</v>
      </c>
      <c r="AE91" s="105">
        <v>7485.3908829698557</v>
      </c>
      <c r="AF91" s="105">
        <v>7.7190333193395348</v>
      </c>
      <c r="AG91" s="105">
        <v>6067.1601890008742</v>
      </c>
      <c r="AH91" s="105">
        <v>9.491858666140482</v>
      </c>
      <c r="AI91" s="105">
        <v>7460.600911586419</v>
      </c>
      <c r="AJ91" s="105">
        <v>10.590176695046852</v>
      </c>
      <c r="AK91" s="105">
        <v>8323.8788823068262</v>
      </c>
      <c r="AL91" s="105">
        <v>8.0256615859108802</v>
      </c>
      <c r="AM91" s="105">
        <v>6308.170006525952</v>
      </c>
      <c r="AN91" s="105">
        <v>9.5653727011988483</v>
      </c>
      <c r="AO91" s="105">
        <v>7518.3829431422946</v>
      </c>
      <c r="AP91" s="105">
        <v>10.56854711185194</v>
      </c>
      <c r="AQ91" s="105">
        <v>8306.8780299156242</v>
      </c>
      <c r="AR91" s="105">
        <v>12.504707539437838</v>
      </c>
      <c r="AS91" s="105">
        <v>9828.7001259981407</v>
      </c>
      <c r="AT91" s="105">
        <v>13.580296886732128</v>
      </c>
      <c r="AU91" s="105">
        <v>10674.113352971453</v>
      </c>
      <c r="AV91" s="105">
        <v>10.150410786899084</v>
      </c>
      <c r="AW91" s="105">
        <v>7978.22287850268</v>
      </c>
      <c r="AX91" s="105">
        <v>14.049457470120634</v>
      </c>
      <c r="AY91" s="105">
        <v>11042.873571514818</v>
      </c>
      <c r="AZ91" s="105">
        <v>9.8346202290844449</v>
      </c>
      <c r="BA91" s="105">
        <v>7730.0115000603737</v>
      </c>
      <c r="BB91" s="105">
        <v>9.2199564647666659</v>
      </c>
      <c r="BC91" s="105">
        <v>7246.8857813065997</v>
      </c>
      <c r="BD91" s="105">
        <v>10.432506570554839</v>
      </c>
      <c r="BE91" s="105">
        <v>8199.9501644561042</v>
      </c>
      <c r="BF91" s="105">
        <v>13.640483536915067</v>
      </c>
      <c r="BG91" s="105">
        <v>10721.420060015242</v>
      </c>
      <c r="BH91" s="105">
        <v>11.15692210862521</v>
      </c>
      <c r="BI91" s="105">
        <v>8769.3407773794152</v>
      </c>
      <c r="BJ91" s="105">
        <v>14.314541573330459</v>
      </c>
      <c r="BK91" s="105">
        <v>11251.22967663774</v>
      </c>
      <c r="BL91" s="105">
        <v>8.7809109188253966</v>
      </c>
      <c r="BM91" s="105">
        <v>6901.7959821967615</v>
      </c>
      <c r="BN91" s="105">
        <v>12.64451172310857</v>
      </c>
      <c r="BO91" s="105">
        <v>9938.5862143633367</v>
      </c>
      <c r="BP91" s="105">
        <v>11.445463197641379</v>
      </c>
      <c r="BQ91" s="105">
        <v>8996.1340733461238</v>
      </c>
      <c r="BR91" s="105">
        <v>11.143544504178417</v>
      </c>
      <c r="BS91" s="105">
        <v>8758.8259802842349</v>
      </c>
      <c r="BT91" s="105">
        <v>13.99656041639277</v>
      </c>
      <c r="BU91" s="105">
        <v>11001.296487284717</v>
      </c>
      <c r="BV91" s="105">
        <v>9.8178376007071666</v>
      </c>
      <c r="BW91" s="105">
        <v>7716.8203541558332</v>
      </c>
      <c r="BX91" s="105">
        <v>7.9906289361311105</v>
      </c>
      <c r="BY91" s="105">
        <v>6280.6343437990527</v>
      </c>
      <c r="BZ91" s="105">
        <v>9.5930182870404614</v>
      </c>
      <c r="CA91" s="105">
        <v>7540.1123736138024</v>
      </c>
      <c r="CB91" s="105">
        <v>14.059160134119338</v>
      </c>
      <c r="CC91" s="105">
        <v>11050.4998654178</v>
      </c>
      <c r="CD91" s="105">
        <v>9.5653727011988483</v>
      </c>
      <c r="CE91" s="105">
        <v>7518.3829431422946</v>
      </c>
      <c r="CF91" s="105">
        <v>12.775921198290993</v>
      </c>
      <c r="CG91" s="105">
        <v>10041.874061856721</v>
      </c>
      <c r="CH91" s="105">
        <v>13.39319991724</v>
      </c>
      <c r="CI91" s="105">
        <v>10527.05513495064</v>
      </c>
      <c r="CJ91" s="105">
        <v>12.790691049387283</v>
      </c>
      <c r="CK91" s="105">
        <v>10053.483164818404</v>
      </c>
      <c r="CL91" s="105">
        <v>9.9675205024504496</v>
      </c>
      <c r="CM91" s="105">
        <v>7834.4711149260538</v>
      </c>
      <c r="CN91" s="105">
        <v>9.7911042103716817</v>
      </c>
      <c r="CO91" s="105">
        <v>7695.8079093521419</v>
      </c>
      <c r="CP91" s="105">
        <v>11.74516747104034</v>
      </c>
      <c r="CQ91" s="105">
        <v>9231.7016322377076</v>
      </c>
      <c r="CR91" s="105">
        <v>12.1804929442789</v>
      </c>
      <c r="CS91" s="105">
        <v>9573.8674542032149</v>
      </c>
      <c r="CT91" s="105">
        <v>9.8589633484633659</v>
      </c>
      <c r="CU91" s="105">
        <v>7749.1451918922057</v>
      </c>
    </row>
    <row r="92" spans="2:99" x14ac:dyDescent="0.2">
      <c r="C92" s="104" t="s">
        <v>258</v>
      </c>
      <c r="D92" s="105">
        <v>0</v>
      </c>
      <c r="E92" s="105">
        <v>0</v>
      </c>
      <c r="F92" s="105">
        <v>0</v>
      </c>
      <c r="G92" s="105">
        <v>0</v>
      </c>
      <c r="H92" s="105">
        <v>0</v>
      </c>
      <c r="I92" s="105">
        <v>0</v>
      </c>
      <c r="J92" s="105">
        <v>0</v>
      </c>
      <c r="K92" s="105">
        <v>0</v>
      </c>
      <c r="L92" s="105">
        <v>9.2474787228704471</v>
      </c>
      <c r="M92" s="105">
        <v>8666.737059074183</v>
      </c>
      <c r="N92" s="105">
        <v>9.3498150065239436</v>
      </c>
      <c r="O92" s="105">
        <v>8762.6466241142389</v>
      </c>
      <c r="P92" s="105">
        <v>10.025583728678317</v>
      </c>
      <c r="Q92" s="105">
        <v>9395.9770705173178</v>
      </c>
      <c r="R92" s="105">
        <v>12.293275286355554</v>
      </c>
      <c r="S92" s="105">
        <v>11521.257598372424</v>
      </c>
      <c r="T92" s="105">
        <v>11.487158874135519</v>
      </c>
      <c r="U92" s="105">
        <v>10765.765296839807</v>
      </c>
      <c r="V92" s="105">
        <v>12.525223876664151</v>
      </c>
      <c r="W92" s="105">
        <v>11738.639817209641</v>
      </c>
      <c r="X92" s="105">
        <v>8.5359834332557867</v>
      </c>
      <c r="Y92" s="105">
        <v>7999.9236736473231</v>
      </c>
      <c r="Z92" s="105">
        <v>14.059160134119338</v>
      </c>
      <c r="AA92" s="105">
        <v>13176.244877696643</v>
      </c>
      <c r="AB92" s="105">
        <v>10.954403720514852</v>
      </c>
      <c r="AC92" s="105">
        <v>10266.46716686652</v>
      </c>
      <c r="AD92" s="105">
        <v>9.5233980699362029</v>
      </c>
      <c r="AE92" s="105">
        <v>8925.3286711442088</v>
      </c>
      <c r="AF92" s="105">
        <v>7.7190333193395348</v>
      </c>
      <c r="AG92" s="105">
        <v>7234.278026885012</v>
      </c>
      <c r="AH92" s="105">
        <v>10.085099832774263</v>
      </c>
      <c r="AI92" s="105">
        <v>9451.7555632760395</v>
      </c>
      <c r="AJ92" s="105">
        <v>11.14755441583879</v>
      </c>
      <c r="AK92" s="105">
        <v>10447.487998524113</v>
      </c>
      <c r="AL92" s="105">
        <v>9.1721846696124345</v>
      </c>
      <c r="AM92" s="105">
        <v>8596.1714723607729</v>
      </c>
      <c r="AN92" s="105">
        <v>8.2899896743723342</v>
      </c>
      <c r="AO92" s="105">
        <v>7769.3783228217508</v>
      </c>
      <c r="AP92" s="105">
        <v>8.5869445283797017</v>
      </c>
      <c r="AQ92" s="105">
        <v>8047.6844119974558</v>
      </c>
      <c r="AR92" s="105">
        <v>10.329975793448648</v>
      </c>
      <c r="AS92" s="105">
        <v>9681.2533136200727</v>
      </c>
      <c r="AT92" s="105">
        <v>15.177978873406499</v>
      </c>
      <c r="AU92" s="105">
        <v>14224.801800156569</v>
      </c>
      <c r="AV92" s="105">
        <v>8.1203286295192658</v>
      </c>
      <c r="AW92" s="105">
        <v>7610.3719915854554</v>
      </c>
      <c r="AX92" s="105">
        <v>13.346984596614604</v>
      </c>
      <c r="AY92" s="105">
        <v>12508.793963947206</v>
      </c>
      <c r="AZ92" s="105">
        <v>10.654171914841481</v>
      </c>
      <c r="BA92" s="105">
        <v>9985.0899185894341</v>
      </c>
      <c r="BB92" s="105">
        <v>9.2199564647666659</v>
      </c>
      <c r="BC92" s="105">
        <v>8640.9431987793178</v>
      </c>
      <c r="BD92" s="105">
        <v>9.8834272773677405</v>
      </c>
      <c r="BE92" s="105">
        <v>9262.7480443490458</v>
      </c>
      <c r="BF92" s="105">
        <v>13.640483536915067</v>
      </c>
      <c r="BG92" s="105">
        <v>12783.861170796799</v>
      </c>
      <c r="BH92" s="105">
        <v>11.15692210862521</v>
      </c>
      <c r="BI92" s="105">
        <v>10456.267400203546</v>
      </c>
      <c r="BJ92" s="105">
        <v>13.718102341108356</v>
      </c>
      <c r="BK92" s="105">
        <v>12856.60551408675</v>
      </c>
      <c r="BL92" s="105">
        <v>9.9516990413354485</v>
      </c>
      <c r="BM92" s="105">
        <v>9326.7323415395822</v>
      </c>
      <c r="BN92" s="105">
        <v>11.380060550797714</v>
      </c>
      <c r="BO92" s="105">
        <v>10665.392748207616</v>
      </c>
      <c r="BP92" s="105">
        <v>11.445463197641379</v>
      </c>
      <c r="BQ92" s="105">
        <v>10726.688108829499</v>
      </c>
      <c r="BR92" s="105">
        <v>12.204834456957313</v>
      </c>
      <c r="BS92" s="105">
        <v>11438.370853060393</v>
      </c>
      <c r="BT92" s="105">
        <v>13.99656041639277</v>
      </c>
      <c r="BU92" s="105">
        <v>13117.576422243303</v>
      </c>
      <c r="BV92" s="105">
        <v>9.0626193237296917</v>
      </c>
      <c r="BW92" s="105">
        <v>8493.4868301994666</v>
      </c>
      <c r="BX92" s="105">
        <v>7.9906289361311105</v>
      </c>
      <c r="BY92" s="105">
        <v>7488.8174389420765</v>
      </c>
      <c r="BZ92" s="105">
        <v>9.5930182870404614</v>
      </c>
      <c r="CA92" s="105">
        <v>8990.5767386143198</v>
      </c>
      <c r="CB92" s="105">
        <v>15.281695797955802</v>
      </c>
      <c r="CC92" s="105">
        <v>14322.005301844176</v>
      </c>
      <c r="CD92" s="105">
        <v>8.2899896743723342</v>
      </c>
      <c r="CE92" s="105">
        <v>7769.3783228217508</v>
      </c>
      <c r="CF92" s="105">
        <v>13.797994894154273</v>
      </c>
      <c r="CG92" s="105">
        <v>12931.480814801384</v>
      </c>
      <c r="CH92" s="105">
        <v>12.81088687736</v>
      </c>
      <c r="CI92" s="105">
        <v>12006.363181461791</v>
      </c>
      <c r="CJ92" s="105">
        <v>12.151156496917919</v>
      </c>
      <c r="CK92" s="105">
        <v>11388.063868911473</v>
      </c>
      <c r="CL92" s="105">
        <v>10.63202186928048</v>
      </c>
      <c r="CM92" s="105">
        <v>9964.330895889665</v>
      </c>
      <c r="CN92" s="105">
        <v>8.4856236489887902</v>
      </c>
      <c r="CO92" s="105">
        <v>7952.7264838322935</v>
      </c>
      <c r="CP92" s="105">
        <v>12.684780868723568</v>
      </c>
      <c r="CQ92" s="105">
        <v>11888.176630167727</v>
      </c>
      <c r="CR92" s="105">
        <v>14.210575101658716</v>
      </c>
      <c r="CS92" s="105">
        <v>13318.150985274548</v>
      </c>
      <c r="CT92" s="105">
        <v>9.3112431624376235</v>
      </c>
      <c r="CU92" s="105">
        <v>8726.4970918365398</v>
      </c>
    </row>
    <row r="93" spans="2:99" x14ac:dyDescent="0.2">
      <c r="C93" s="104" t="s">
        <v>259</v>
      </c>
      <c r="D93" s="105">
        <v>0</v>
      </c>
      <c r="E93" s="105">
        <v>0</v>
      </c>
      <c r="F93" s="105">
        <v>0</v>
      </c>
      <c r="G93" s="105">
        <v>0</v>
      </c>
      <c r="H93" s="105">
        <v>0</v>
      </c>
      <c r="I93" s="105">
        <v>0</v>
      </c>
      <c r="J93" s="105">
        <v>0</v>
      </c>
      <c r="K93" s="105">
        <v>0</v>
      </c>
      <c r="L93" s="105">
        <v>9.9080129173611926</v>
      </c>
      <c r="M93" s="105">
        <v>5790.2427489058809</v>
      </c>
      <c r="N93" s="105">
        <v>8.5706637559802807</v>
      </c>
      <c r="O93" s="105">
        <v>5008.6958989948762</v>
      </c>
      <c r="P93" s="105">
        <v>11.457809975632363</v>
      </c>
      <c r="Q93" s="105">
        <v>6695.9441497595526</v>
      </c>
      <c r="R93" s="105">
        <v>10.616919565488887</v>
      </c>
      <c r="S93" s="105">
        <v>6204.5277940717051</v>
      </c>
      <c r="T93" s="105">
        <v>12.091746183300545</v>
      </c>
      <c r="U93" s="105">
        <v>7066.4164695208383</v>
      </c>
      <c r="V93" s="105">
        <v>12.525223876664151</v>
      </c>
      <c r="W93" s="105">
        <v>7319.74083352253</v>
      </c>
      <c r="X93" s="105">
        <v>8.5359834332557867</v>
      </c>
      <c r="Y93" s="105">
        <v>4988.4287183946817</v>
      </c>
      <c r="Z93" s="105">
        <v>14.059160134119338</v>
      </c>
      <c r="AA93" s="105">
        <v>8216.1731823793416</v>
      </c>
      <c r="AB93" s="105">
        <v>10.954403720514852</v>
      </c>
      <c r="AC93" s="105">
        <v>6401.7535342688798</v>
      </c>
      <c r="AD93" s="105">
        <v>9.5233980699362029</v>
      </c>
      <c r="AE93" s="105">
        <v>5565.4738320707165</v>
      </c>
      <c r="AF93" s="105">
        <v>7.7190333193395348</v>
      </c>
      <c r="AG93" s="105">
        <v>4511.0030718220241</v>
      </c>
      <c r="AH93" s="105">
        <v>10.085099832774263</v>
      </c>
      <c r="AI93" s="105">
        <v>5893.7323422732788</v>
      </c>
      <c r="AJ93" s="105">
        <v>12.26230985742267</v>
      </c>
      <c r="AK93" s="105">
        <v>7166.0938806778076</v>
      </c>
      <c r="AL93" s="105">
        <v>8.5989231277616582</v>
      </c>
      <c r="AM93" s="105">
        <v>5025.2106758639129</v>
      </c>
      <c r="AN93" s="105">
        <v>8.9276811877855913</v>
      </c>
      <c r="AO93" s="105">
        <v>5217.3368861418994</v>
      </c>
      <c r="AP93" s="105">
        <v>10.56854711185194</v>
      </c>
      <c r="AQ93" s="105">
        <v>6176.2589321662736</v>
      </c>
      <c r="AR93" s="105">
        <v>11.96102460294054</v>
      </c>
      <c r="AS93" s="105">
        <v>6990.0227779584511</v>
      </c>
      <c r="AT93" s="105">
        <v>13.580296886732128</v>
      </c>
      <c r="AU93" s="105">
        <v>7936.3255006062554</v>
      </c>
      <c r="AV93" s="105">
        <v>8.7970226819792039</v>
      </c>
      <c r="AW93" s="105">
        <v>5140.9800553486466</v>
      </c>
      <c r="AX93" s="105">
        <v>12.64451172310857</v>
      </c>
      <c r="AY93" s="105">
        <v>7389.4526509846482</v>
      </c>
      <c r="AZ93" s="105">
        <v>11.473723600598518</v>
      </c>
      <c r="BA93" s="105">
        <v>6705.2440721897738</v>
      </c>
      <c r="BB93" s="105">
        <v>8.6052927004488886</v>
      </c>
      <c r="BC93" s="105">
        <v>5028.9330541423305</v>
      </c>
      <c r="BD93" s="105">
        <v>9.3343479841806456</v>
      </c>
      <c r="BE93" s="105">
        <v>5454.9929619551694</v>
      </c>
      <c r="BF93" s="105">
        <v>14.398288177854793</v>
      </c>
      <c r="BG93" s="105">
        <v>8414.3596111383413</v>
      </c>
      <c r="BH93" s="105">
        <v>13.636238132764147</v>
      </c>
      <c r="BI93" s="105">
        <v>7969.0175647873675</v>
      </c>
      <c r="BJ93" s="105">
        <v>13.121663108886253</v>
      </c>
      <c r="BK93" s="105">
        <v>7668.2999208331257</v>
      </c>
      <c r="BL93" s="105">
        <v>10.537093102590475</v>
      </c>
      <c r="BM93" s="105">
        <v>6157.8772091538731</v>
      </c>
      <c r="BN93" s="105">
        <v>11.380060550797714</v>
      </c>
      <c r="BO93" s="105">
        <v>6650.5073858861833</v>
      </c>
      <c r="BP93" s="105">
        <v>11.445463197641379</v>
      </c>
      <c r="BQ93" s="105">
        <v>6688.7286927016212</v>
      </c>
      <c r="BR93" s="105">
        <v>11.674189480567865</v>
      </c>
      <c r="BS93" s="105">
        <v>6822.39633244386</v>
      </c>
      <c r="BT93" s="105">
        <v>11.997051785479519</v>
      </c>
      <c r="BU93" s="105">
        <v>7011.0770634342307</v>
      </c>
      <c r="BV93" s="105">
        <v>10.573055877684642</v>
      </c>
      <c r="BW93" s="105">
        <v>6178.8938549189043</v>
      </c>
      <c r="BX93" s="105">
        <v>8.6052927004488886</v>
      </c>
      <c r="BY93" s="105">
        <v>5028.9330541423305</v>
      </c>
      <c r="BZ93" s="105">
        <v>10.232552839509825</v>
      </c>
      <c r="CA93" s="105">
        <v>5979.9038794095413</v>
      </c>
      <c r="CB93" s="105">
        <v>14.670427966037568</v>
      </c>
      <c r="CC93" s="105">
        <v>8573.3981033523542</v>
      </c>
      <c r="CD93" s="105">
        <v>10.203064214612104</v>
      </c>
      <c r="CE93" s="105">
        <v>5962.6707270193128</v>
      </c>
      <c r="CF93" s="105">
        <v>12.775921198290993</v>
      </c>
      <c r="CG93" s="105">
        <v>7466.2483482812559</v>
      </c>
      <c r="CH93" s="105">
        <v>14.557825996999998</v>
      </c>
      <c r="CI93" s="105">
        <v>8507.5935126467994</v>
      </c>
      <c r="CJ93" s="105">
        <v>11.511621944448555</v>
      </c>
      <c r="CK93" s="105">
        <v>6727.3918643357356</v>
      </c>
      <c r="CL93" s="105">
        <v>11.296523236110511</v>
      </c>
      <c r="CM93" s="105">
        <v>6601.6881791829828</v>
      </c>
      <c r="CN93" s="105">
        <v>10.443844491063127</v>
      </c>
      <c r="CO93" s="105">
        <v>6103.3827205772905</v>
      </c>
      <c r="CP93" s="105">
        <v>13.15458756756518</v>
      </c>
      <c r="CQ93" s="105">
        <v>7687.5409744850913</v>
      </c>
      <c r="CR93" s="105">
        <v>14.210575101658716</v>
      </c>
      <c r="CS93" s="105">
        <v>8304.6600894093535</v>
      </c>
      <c r="CT93" s="105">
        <v>10.406683534489108</v>
      </c>
      <c r="CU93" s="105">
        <v>6081.6658575554347</v>
      </c>
    </row>
    <row r="94" spans="2:99" x14ac:dyDescent="0.2">
      <c r="C94" s="104" t="s">
        <v>260</v>
      </c>
      <c r="D94" s="105">
        <v>0</v>
      </c>
      <c r="E94" s="105">
        <v>0</v>
      </c>
      <c r="F94" s="105">
        <v>0</v>
      </c>
      <c r="G94" s="105">
        <v>0</v>
      </c>
      <c r="H94" s="105">
        <v>0</v>
      </c>
      <c r="I94" s="105">
        <v>0</v>
      </c>
      <c r="J94" s="105">
        <v>0</v>
      </c>
      <c r="K94" s="105">
        <v>0</v>
      </c>
      <c r="L94" s="105">
        <v>8.5869445283797017</v>
      </c>
      <c r="M94" s="105">
        <v>6883.2947339491693</v>
      </c>
      <c r="N94" s="105">
        <v>8.5706637559802807</v>
      </c>
      <c r="O94" s="105">
        <v>6870.2440667937935</v>
      </c>
      <c r="P94" s="105">
        <v>10.025583728678317</v>
      </c>
      <c r="Q94" s="105">
        <v>8036.5079169085393</v>
      </c>
      <c r="R94" s="105">
        <v>10.616919565488887</v>
      </c>
      <c r="S94" s="105">
        <v>8510.5227236958926</v>
      </c>
      <c r="T94" s="105">
        <v>10.882571564970492</v>
      </c>
      <c r="U94" s="105">
        <v>8723.4693664803472</v>
      </c>
      <c r="V94" s="105">
        <v>11.690208951553208</v>
      </c>
      <c r="W94" s="105">
        <v>9370.8714955650521</v>
      </c>
      <c r="X94" s="105">
        <v>8.5359834332557867</v>
      </c>
      <c r="Y94" s="105">
        <v>6842.4443200978385</v>
      </c>
      <c r="Z94" s="105">
        <v>15.281695797955802</v>
      </c>
      <c r="AA94" s="105">
        <v>12249.807351641371</v>
      </c>
      <c r="AB94" s="105">
        <v>11.684697301882508</v>
      </c>
      <c r="AC94" s="105">
        <v>9366.4533571890188</v>
      </c>
      <c r="AD94" s="105">
        <v>9.5233980699362029</v>
      </c>
      <c r="AE94" s="105">
        <v>7633.9558928608603</v>
      </c>
      <c r="AF94" s="105">
        <v>8.3622860959511627</v>
      </c>
      <c r="AG94" s="105">
        <v>6703.2085345144524</v>
      </c>
      <c r="AH94" s="105">
        <v>8.3053763328729211</v>
      </c>
      <c r="AI94" s="105">
        <v>6657.5896684309337</v>
      </c>
      <c r="AJ94" s="105">
        <v>10.032798974254911</v>
      </c>
      <c r="AK94" s="105">
        <v>8042.2916577627366</v>
      </c>
      <c r="AL94" s="105">
        <v>8.0256615859108802</v>
      </c>
      <c r="AM94" s="105">
        <v>6433.3703272661614</v>
      </c>
      <c r="AN94" s="105">
        <v>10.203064214612104</v>
      </c>
      <c r="AO94" s="105">
        <v>8178.7762744330621</v>
      </c>
      <c r="AP94" s="105">
        <v>9.9080129173611926</v>
      </c>
      <c r="AQ94" s="105">
        <v>7942.2631545567319</v>
      </c>
      <c r="AR94" s="105">
        <v>12.504707539437838</v>
      </c>
      <c r="AS94" s="105">
        <v>10023.773563613371</v>
      </c>
      <c r="AT94" s="105">
        <v>14.379137880069312</v>
      </c>
      <c r="AU94" s="105">
        <v>11526.316924663561</v>
      </c>
      <c r="AV94" s="105">
        <v>9.4737167344391437</v>
      </c>
      <c r="AW94" s="105">
        <v>7594.1313343264183</v>
      </c>
      <c r="AX94" s="105">
        <v>14.049457470120634</v>
      </c>
      <c r="AY94" s="105">
        <v>11262.0451080487</v>
      </c>
      <c r="AZ94" s="105">
        <v>11.473723600598518</v>
      </c>
      <c r="BA94" s="105">
        <v>9197.336838239773</v>
      </c>
      <c r="BB94" s="105">
        <v>7.9906289361311105</v>
      </c>
      <c r="BC94" s="105">
        <v>6405.2881552026984</v>
      </c>
      <c r="BD94" s="105">
        <v>10.981585863741936</v>
      </c>
      <c r="BE94" s="105">
        <v>8802.8392283755365</v>
      </c>
      <c r="BF94" s="105">
        <v>13.640483536915067</v>
      </c>
      <c r="BG94" s="105">
        <v>10934.211603191117</v>
      </c>
      <c r="BH94" s="105">
        <v>13.01640912672941</v>
      </c>
      <c r="BI94" s="105">
        <v>10433.953555986296</v>
      </c>
      <c r="BJ94" s="105">
        <v>12.525223876664151</v>
      </c>
      <c r="BK94" s="105">
        <v>10040.219459533984</v>
      </c>
      <c r="BL94" s="105">
        <v>10.537093102590475</v>
      </c>
      <c r="BM94" s="105">
        <v>8446.533831036526</v>
      </c>
      <c r="BN94" s="105">
        <v>12.64451172310857</v>
      </c>
      <c r="BO94" s="105">
        <v>10135.84059724383</v>
      </c>
      <c r="BP94" s="105">
        <v>10.68243231779862</v>
      </c>
      <c r="BQ94" s="105">
        <v>8563.037745947373</v>
      </c>
      <c r="BR94" s="105">
        <v>11.674189480567865</v>
      </c>
      <c r="BS94" s="105">
        <v>9358.0302876231999</v>
      </c>
      <c r="BT94" s="105">
        <v>13.99656041639277</v>
      </c>
      <c r="BU94" s="105">
        <v>11219.642829780445</v>
      </c>
      <c r="BV94" s="105">
        <v>10.573055877684642</v>
      </c>
      <c r="BW94" s="105">
        <v>8475.3615915520095</v>
      </c>
      <c r="BX94" s="105">
        <v>8.6052927004488886</v>
      </c>
      <c r="BY94" s="105">
        <v>6898.0026286798293</v>
      </c>
      <c r="BZ94" s="105">
        <v>10.872087391979191</v>
      </c>
      <c r="CA94" s="105">
        <v>8715.0652534105193</v>
      </c>
      <c r="CB94" s="105">
        <v>15.892963629874032</v>
      </c>
      <c r="CC94" s="105">
        <v>12739.799645707024</v>
      </c>
      <c r="CD94" s="105">
        <v>8.9276811877855913</v>
      </c>
      <c r="CE94" s="105">
        <v>7156.4292401289304</v>
      </c>
      <c r="CF94" s="105">
        <v>13.797994894154273</v>
      </c>
      <c r="CG94" s="105">
        <v>11060.472707154066</v>
      </c>
      <c r="CH94" s="105">
        <v>12.81088687736</v>
      </c>
      <c r="CI94" s="105">
        <v>10269.206920891776</v>
      </c>
      <c r="CJ94" s="105">
        <v>12.151156496917919</v>
      </c>
      <c r="CK94" s="105">
        <v>9740.3670479294033</v>
      </c>
      <c r="CL94" s="105">
        <v>9.3030191356204206</v>
      </c>
      <c r="CM94" s="105">
        <v>7457.3001391133294</v>
      </c>
      <c r="CN94" s="105">
        <v>8.4856236489887902</v>
      </c>
      <c r="CO94" s="105">
        <v>6802.0759170294141</v>
      </c>
      <c r="CP94" s="105">
        <v>12.684780868723568</v>
      </c>
      <c r="CQ94" s="105">
        <v>10168.120344368812</v>
      </c>
      <c r="CR94" s="105">
        <v>12.1804929442789</v>
      </c>
      <c r="CS94" s="105">
        <v>9763.8831441339662</v>
      </c>
      <c r="CT94" s="105">
        <v>9.8589633484633659</v>
      </c>
      <c r="CU94" s="105">
        <v>7902.9450201282343</v>
      </c>
    </row>
    <row r="95" spans="2:99" x14ac:dyDescent="0.2">
      <c r="B95" s="104" t="s">
        <v>132</v>
      </c>
      <c r="C95" s="104" t="s">
        <v>261</v>
      </c>
      <c r="D95" s="105">
        <v>0</v>
      </c>
      <c r="E95" s="105">
        <v>0</v>
      </c>
      <c r="F95" s="105">
        <v>0</v>
      </c>
      <c r="G95" s="105">
        <v>0</v>
      </c>
      <c r="H95" s="105">
        <v>0</v>
      </c>
      <c r="I95" s="105">
        <v>0</v>
      </c>
      <c r="J95" s="105">
        <v>0</v>
      </c>
      <c r="K95" s="105">
        <v>0</v>
      </c>
      <c r="L95" s="105">
        <v>16.513354862268656</v>
      </c>
      <c r="M95" s="105">
        <v>6341.128267111164</v>
      </c>
      <c r="N95" s="105">
        <v>16.362176261416902</v>
      </c>
      <c r="O95" s="105">
        <v>6283.07568438409</v>
      </c>
      <c r="P95" s="105">
        <v>15.754488716494498</v>
      </c>
      <c r="Q95" s="105">
        <v>6049.7236671338869</v>
      </c>
      <c r="R95" s="105">
        <v>14.528416247511112</v>
      </c>
      <c r="S95" s="105">
        <v>5578.9118390442673</v>
      </c>
      <c r="T95" s="105">
        <v>15.114682729125684</v>
      </c>
      <c r="U95" s="105">
        <v>5804.0381679842631</v>
      </c>
      <c r="V95" s="105">
        <v>14.195253726886037</v>
      </c>
      <c r="W95" s="105">
        <v>5450.9774311242381</v>
      </c>
      <c r="X95" s="105">
        <v>16.415352756261125</v>
      </c>
      <c r="Y95" s="105">
        <v>6303.4954584042716</v>
      </c>
      <c r="Z95" s="105">
        <v>12.225356638364641</v>
      </c>
      <c r="AA95" s="105">
        <v>4694.5369491320216</v>
      </c>
      <c r="AB95" s="105">
        <v>15.336165208720793</v>
      </c>
      <c r="AC95" s="105">
        <v>5889.0874401487845</v>
      </c>
      <c r="AD95" s="105">
        <v>15.685596821071393</v>
      </c>
      <c r="AE95" s="105">
        <v>6023.2691792914147</v>
      </c>
      <c r="AF95" s="105">
        <v>19.297583298348837</v>
      </c>
      <c r="AG95" s="105">
        <v>7410.2719865659528</v>
      </c>
      <c r="AH95" s="105">
        <v>14.831029165844503</v>
      </c>
      <c r="AI95" s="105">
        <v>5695.1151996842891</v>
      </c>
      <c r="AJ95" s="105">
        <v>15.049198461382369</v>
      </c>
      <c r="AK95" s="105">
        <v>5778.89220917083</v>
      </c>
      <c r="AL95" s="105">
        <v>17.197846255523316</v>
      </c>
      <c r="AM95" s="105">
        <v>6603.9729621209535</v>
      </c>
      <c r="AN95" s="105">
        <v>17.855362375571183</v>
      </c>
      <c r="AO95" s="105">
        <v>6856.4591522193341</v>
      </c>
      <c r="AP95" s="105">
        <v>15.192286473287163</v>
      </c>
      <c r="AQ95" s="105">
        <v>5833.838005742271</v>
      </c>
      <c r="AR95" s="105">
        <v>13.592073412432432</v>
      </c>
      <c r="AS95" s="105">
        <v>5219.3561903740538</v>
      </c>
      <c r="AT95" s="105">
        <v>11.183773906720576</v>
      </c>
      <c r="AU95" s="105">
        <v>4294.5691801807016</v>
      </c>
      <c r="AV95" s="105">
        <v>16.917351311498468</v>
      </c>
      <c r="AW95" s="105">
        <v>6496.2629036154121</v>
      </c>
      <c r="AX95" s="105">
        <v>12.64451172310857</v>
      </c>
      <c r="AY95" s="105">
        <v>4855.4925016736906</v>
      </c>
      <c r="AZ95" s="105">
        <v>15.571482029383704</v>
      </c>
      <c r="BA95" s="105">
        <v>5979.4490992833425</v>
      </c>
      <c r="BB95" s="105">
        <v>17.825249165215556</v>
      </c>
      <c r="BC95" s="105">
        <v>6844.8956794427741</v>
      </c>
      <c r="BD95" s="105">
        <v>17.021458088799999</v>
      </c>
      <c r="BE95" s="105">
        <v>6536.2399060991993</v>
      </c>
      <c r="BF95" s="105">
        <v>13.640483536915067</v>
      </c>
      <c r="BG95" s="105">
        <v>5237.9456781753852</v>
      </c>
      <c r="BH95" s="105">
        <v>14.256067138798878</v>
      </c>
      <c r="BI95" s="105">
        <v>5474.3297812987694</v>
      </c>
      <c r="BJ95" s="105">
        <v>12.525223876664151</v>
      </c>
      <c r="BK95" s="105">
        <v>4809.6859686390344</v>
      </c>
      <c r="BL95" s="105">
        <v>16.39103371514074</v>
      </c>
      <c r="BM95" s="105">
        <v>6294.1569466140445</v>
      </c>
      <c r="BN95" s="105">
        <v>13.276737309264</v>
      </c>
      <c r="BO95" s="105">
        <v>5098.267126757376</v>
      </c>
      <c r="BP95" s="105">
        <v>15.260617596855171</v>
      </c>
      <c r="BQ95" s="105">
        <v>5860.077157192386</v>
      </c>
      <c r="BR95" s="105">
        <v>13.796769386125659</v>
      </c>
      <c r="BS95" s="105">
        <v>5297.9594442722528</v>
      </c>
      <c r="BT95" s="105">
        <v>11.997051785479519</v>
      </c>
      <c r="BU95" s="105">
        <v>4606.8678856241349</v>
      </c>
      <c r="BV95" s="105">
        <v>17.37002037048191</v>
      </c>
      <c r="BW95" s="105">
        <v>6670.0878222650535</v>
      </c>
      <c r="BX95" s="105">
        <v>17.210585400897777</v>
      </c>
      <c r="BY95" s="105">
        <v>6608.8647939447465</v>
      </c>
      <c r="BZ95" s="105">
        <v>16.627898364203467</v>
      </c>
      <c r="CA95" s="105">
        <v>6385.1129718541315</v>
      </c>
      <c r="CB95" s="105">
        <v>11.002820974528175</v>
      </c>
      <c r="CC95" s="105">
        <v>4225.0832542188191</v>
      </c>
      <c r="CD95" s="105">
        <v>17.217670862157927</v>
      </c>
      <c r="CE95" s="105">
        <v>6611.5856110686436</v>
      </c>
      <c r="CF95" s="105">
        <v>13.797994894154273</v>
      </c>
      <c r="CG95" s="105">
        <v>5298.4300393552412</v>
      </c>
      <c r="CH95" s="105">
        <v>12.81088687736</v>
      </c>
      <c r="CI95" s="105">
        <v>4919.3805609062401</v>
      </c>
      <c r="CJ95" s="105">
        <v>15.348829259264738</v>
      </c>
      <c r="CK95" s="105">
        <v>5893.9504355576591</v>
      </c>
      <c r="CL95" s="105">
        <v>16.612534170750752</v>
      </c>
      <c r="CM95" s="105">
        <v>6379.2131215682894</v>
      </c>
      <c r="CN95" s="105">
        <v>15.665766736594689</v>
      </c>
      <c r="CO95" s="105">
        <v>6015.6544268523603</v>
      </c>
      <c r="CP95" s="105">
        <v>13.624394266406794</v>
      </c>
      <c r="CQ95" s="105">
        <v>5231.7673983002087</v>
      </c>
      <c r="CR95" s="105">
        <v>12.857186996738838</v>
      </c>
      <c r="CS95" s="105">
        <v>4937.1598067477134</v>
      </c>
      <c r="CT95" s="105">
        <v>15.883885394746533</v>
      </c>
      <c r="CU95" s="105">
        <v>6099.4119915826686</v>
      </c>
    </row>
    <row r="96" spans="2:99" x14ac:dyDescent="0.2">
      <c r="C96" s="104" t="s">
        <v>262</v>
      </c>
      <c r="D96" s="105">
        <v>0.70212765957446799</v>
      </c>
      <c r="E96" s="105">
        <v>587.25957446808502</v>
      </c>
      <c r="F96" s="105">
        <v>0</v>
      </c>
      <c r="G96" s="105">
        <v>0</v>
      </c>
      <c r="H96" s="105">
        <v>0</v>
      </c>
      <c r="I96" s="105">
        <v>0</v>
      </c>
      <c r="J96" s="105">
        <v>0</v>
      </c>
      <c r="K96" s="105">
        <v>0</v>
      </c>
      <c r="L96" s="105">
        <v>21.045104618084061</v>
      </c>
      <c r="M96" s="105">
        <v>17602.125502565508</v>
      </c>
      <c r="N96" s="105">
        <v>19.54382250062811</v>
      </c>
      <c r="O96" s="105">
        <v>16346.453139525351</v>
      </c>
      <c r="P96" s="105">
        <v>20.760186278639232</v>
      </c>
      <c r="Q96" s="105">
        <v>17363.819803453855</v>
      </c>
      <c r="R96" s="105">
        <v>22.415483523447673</v>
      </c>
      <c r="S96" s="105">
        <v>18748.310419011632</v>
      </c>
      <c r="T96" s="105">
        <v>16.693758038493403</v>
      </c>
      <c r="U96" s="105">
        <v>13962.659223395882</v>
      </c>
      <c r="V96" s="105">
        <v>13.584015300012643</v>
      </c>
      <c r="W96" s="105">
        <v>11361.670396930574</v>
      </c>
      <c r="X96" s="105">
        <v>15.421852664132002</v>
      </c>
      <c r="Y96" s="105">
        <v>12898.837568280007</v>
      </c>
      <c r="Z96" s="105">
        <v>17.441380989196904</v>
      </c>
      <c r="AA96" s="105">
        <v>14587.97105936429</v>
      </c>
      <c r="AB96" s="105">
        <v>13.742244948236436</v>
      </c>
      <c r="AC96" s="105">
        <v>11494.013674704955</v>
      </c>
      <c r="AD96" s="105">
        <v>18.649682291508466</v>
      </c>
      <c r="AE96" s="105">
        <v>15598.59426861768</v>
      </c>
      <c r="AF96" s="105">
        <v>26.329992353396101</v>
      </c>
      <c r="AG96" s="105">
        <v>22022.405604380499</v>
      </c>
      <c r="AH96" s="105">
        <v>19.277315830165001</v>
      </c>
      <c r="AI96" s="105">
        <v>16123.546960350006</v>
      </c>
      <c r="AJ96" s="105">
        <v>23.2620123984114</v>
      </c>
      <c r="AK96" s="105">
        <v>19456.347170031295</v>
      </c>
      <c r="AL96" s="105">
        <v>18.913592889973209</v>
      </c>
      <c r="AM96" s="105">
        <v>15819.329093173592</v>
      </c>
      <c r="AN96" s="105">
        <v>16.131645046163179</v>
      </c>
      <c r="AO96" s="105">
        <v>13492.507916610883</v>
      </c>
      <c r="AP96" s="105">
        <v>18.232732213752119</v>
      </c>
      <c r="AQ96" s="105">
        <v>15249.857223582272</v>
      </c>
      <c r="AR96" s="105">
        <v>17.206199253370414</v>
      </c>
      <c r="AS96" s="105">
        <v>14391.265055519014</v>
      </c>
      <c r="AT96" s="105">
        <v>14.019866058301819</v>
      </c>
      <c r="AU96" s="105">
        <v>11726.215971163641</v>
      </c>
      <c r="AV96" s="105">
        <v>16.233529120138947</v>
      </c>
      <c r="AW96" s="105">
        <v>13577.723756084215</v>
      </c>
      <c r="AX96" s="105">
        <v>12.215328842876833</v>
      </c>
      <c r="AY96" s="105">
        <v>10216.901044182183</v>
      </c>
      <c r="AZ96" s="105">
        <v>18.904206491516646</v>
      </c>
      <c r="BA96" s="105">
        <v>15811.478309504522</v>
      </c>
      <c r="BB96" s="105">
        <v>16.233529120138947</v>
      </c>
      <c r="BC96" s="105">
        <v>13577.723756084215</v>
      </c>
      <c r="BD96" s="105">
        <v>20.028380083288312</v>
      </c>
      <c r="BE96" s="105">
        <v>16751.737101662344</v>
      </c>
      <c r="BF96" s="105">
        <v>18</v>
      </c>
      <c r="BG96" s="105">
        <v>15055.199999999999</v>
      </c>
      <c r="BH96" s="105">
        <v>19.0124463939168</v>
      </c>
      <c r="BI96" s="105">
        <v>15902.010163872012</v>
      </c>
      <c r="BJ96" s="105">
        <v>16.964037930545203</v>
      </c>
      <c r="BK96" s="105">
        <v>14188.721325108007</v>
      </c>
      <c r="BL96" s="105">
        <v>19.191638870919824</v>
      </c>
      <c r="BM96" s="105">
        <v>16051.886751637341</v>
      </c>
      <c r="BN96" s="105">
        <v>14.972672489448545</v>
      </c>
      <c r="BO96" s="105">
        <v>12523.143270174764</v>
      </c>
      <c r="BP96" s="105">
        <v>16.064429858470834</v>
      </c>
      <c r="BQ96" s="105">
        <v>13436.289133625005</v>
      </c>
      <c r="BR96" s="105">
        <v>16.77691084800971</v>
      </c>
      <c r="BS96" s="105">
        <v>14032.20823327532</v>
      </c>
      <c r="BT96" s="105">
        <v>14.565083071680222</v>
      </c>
      <c r="BU96" s="105">
        <v>12182.235481153337</v>
      </c>
      <c r="BV96" s="105">
        <v>15.045709916226343</v>
      </c>
      <c r="BW96" s="105">
        <v>12584.231773931713</v>
      </c>
      <c r="BX96" s="105">
        <v>20.613367422354656</v>
      </c>
      <c r="BY96" s="105">
        <v>17241.020512057436</v>
      </c>
      <c r="BZ96" s="105">
        <v>18.744793293420113</v>
      </c>
      <c r="CA96" s="105">
        <v>15678.145110616582</v>
      </c>
      <c r="CB96" s="105">
        <v>10.145955700086843</v>
      </c>
      <c r="CC96" s="105">
        <v>8486.0773475526348</v>
      </c>
      <c r="CD96" s="105">
        <v>16.84740207006017</v>
      </c>
      <c r="CE96" s="105">
        <v>14091.167091398325</v>
      </c>
      <c r="CF96" s="105">
        <v>15.617065988994431</v>
      </c>
      <c r="CG96" s="105">
        <v>13062.113993194942</v>
      </c>
      <c r="CH96" s="105">
        <v>14.195847640623599</v>
      </c>
      <c r="CI96" s="105">
        <v>11873.406966617578</v>
      </c>
      <c r="CJ96" s="105">
        <v>15.214383794210942</v>
      </c>
      <c r="CK96" s="105">
        <v>12725.310605478031</v>
      </c>
      <c r="CL96" s="105">
        <v>19.382656353827105</v>
      </c>
      <c r="CM96" s="105">
        <v>16211.65377434099</v>
      </c>
      <c r="CN96" s="105">
        <v>15.158231251069916</v>
      </c>
      <c r="CO96" s="105">
        <v>12678.344618394876</v>
      </c>
      <c r="CP96" s="105">
        <v>17.794445381690771</v>
      </c>
      <c r="CQ96" s="105">
        <v>14883.274117246161</v>
      </c>
      <c r="CR96" s="105">
        <v>16.439538372932589</v>
      </c>
      <c r="CS96" s="105">
        <v>13750.029895120817</v>
      </c>
      <c r="CT96" s="105">
        <v>19.529857085582009</v>
      </c>
      <c r="CU96" s="105">
        <v>16334.772466380791</v>
      </c>
    </row>
    <row r="97" spans="2:99" x14ac:dyDescent="0.2">
      <c r="C97" s="104" t="s">
        <v>263</v>
      </c>
      <c r="D97" s="105">
        <v>0</v>
      </c>
      <c r="E97" s="105">
        <v>0</v>
      </c>
      <c r="F97" s="105">
        <v>0</v>
      </c>
      <c r="G97" s="105">
        <v>0</v>
      </c>
      <c r="H97" s="105">
        <v>0</v>
      </c>
      <c r="I97" s="105">
        <v>0</v>
      </c>
      <c r="J97" s="105">
        <v>0</v>
      </c>
      <c r="K97" s="105">
        <v>0</v>
      </c>
      <c r="L97" s="105">
        <v>16.513354862268656</v>
      </c>
      <c r="M97" s="105">
        <v>4161.3654252917013</v>
      </c>
      <c r="N97" s="105">
        <v>17.141327511960561</v>
      </c>
      <c r="O97" s="105">
        <v>4319.6145330140616</v>
      </c>
      <c r="P97" s="105">
        <v>16.470601839971522</v>
      </c>
      <c r="Q97" s="105">
        <v>4150.5916636728234</v>
      </c>
      <c r="R97" s="105">
        <v>15.087201487799998</v>
      </c>
      <c r="S97" s="105">
        <v>3801.9747749255994</v>
      </c>
      <c r="T97" s="105">
        <v>13.905508110795628</v>
      </c>
      <c r="U97" s="105">
        <v>3504.1880439204983</v>
      </c>
      <c r="V97" s="105">
        <v>14.195253726886037</v>
      </c>
      <c r="W97" s="105">
        <v>3577.2039391752814</v>
      </c>
      <c r="X97" s="105">
        <v>17.071966866511573</v>
      </c>
      <c r="Y97" s="105">
        <v>4302.1356503609168</v>
      </c>
      <c r="Z97" s="105">
        <v>14.059160134119338</v>
      </c>
      <c r="AA97" s="105">
        <v>3542.9083537980732</v>
      </c>
      <c r="AB97" s="105">
        <v>13.875578045985478</v>
      </c>
      <c r="AC97" s="105">
        <v>3496.6456675883405</v>
      </c>
      <c r="AD97" s="105">
        <v>15.125396934604558</v>
      </c>
      <c r="AE97" s="105">
        <v>3811.6000275203487</v>
      </c>
      <c r="AF97" s="105">
        <v>18.011077745125583</v>
      </c>
      <c r="AG97" s="105">
        <v>4538.7915917716473</v>
      </c>
      <c r="AH97" s="105">
        <v>17.203993832379624</v>
      </c>
      <c r="AI97" s="105">
        <v>4335.4064457596651</v>
      </c>
      <c r="AJ97" s="105">
        <v>15.049198461382369</v>
      </c>
      <c r="AK97" s="105">
        <v>3792.398012268357</v>
      </c>
      <c r="AL97" s="105">
        <v>18.344369339224869</v>
      </c>
      <c r="AM97" s="105">
        <v>4622.7810734846671</v>
      </c>
      <c r="AN97" s="105">
        <v>15.304596321918156</v>
      </c>
      <c r="AO97" s="105">
        <v>3856.7582731233751</v>
      </c>
      <c r="AP97" s="105">
        <v>16.513354862268656</v>
      </c>
      <c r="AQ97" s="105">
        <v>4161.3654252917013</v>
      </c>
      <c r="AR97" s="105">
        <v>13.592073412432432</v>
      </c>
      <c r="AS97" s="105">
        <v>3425.2024999329728</v>
      </c>
      <c r="AT97" s="105">
        <v>13.580296886732128</v>
      </c>
      <c r="AU97" s="105">
        <v>3422.2348154564961</v>
      </c>
      <c r="AV97" s="105">
        <v>16.240657259038532</v>
      </c>
      <c r="AW97" s="105">
        <v>4092.6456292777098</v>
      </c>
      <c r="AX97" s="105">
        <v>12.64451172310857</v>
      </c>
      <c r="AY97" s="105">
        <v>3186.4169542233594</v>
      </c>
      <c r="AZ97" s="105">
        <v>16.39103371514074</v>
      </c>
      <c r="BA97" s="105">
        <v>4130.5404962154662</v>
      </c>
      <c r="BB97" s="105">
        <v>17.210585400897777</v>
      </c>
      <c r="BC97" s="105">
        <v>4337.0675210262398</v>
      </c>
      <c r="BD97" s="105">
        <v>15.374220209238709</v>
      </c>
      <c r="BE97" s="105">
        <v>3874.3034927281547</v>
      </c>
      <c r="BF97" s="105">
        <v>14.398288177854793</v>
      </c>
      <c r="BG97" s="105">
        <v>3628.3686208194081</v>
      </c>
      <c r="BH97" s="105">
        <v>14.256067138798878</v>
      </c>
      <c r="BI97" s="105">
        <v>3592.5289189773171</v>
      </c>
      <c r="BJ97" s="105">
        <v>13.121663108886253</v>
      </c>
      <c r="BK97" s="105">
        <v>3306.6591034393359</v>
      </c>
      <c r="BL97" s="105">
        <v>15.805639653885713</v>
      </c>
      <c r="BM97" s="105">
        <v>3983.0211927791997</v>
      </c>
      <c r="BN97" s="105">
        <v>15.805639653885713</v>
      </c>
      <c r="BO97" s="105">
        <v>3983.0211927791997</v>
      </c>
      <c r="BP97" s="105">
        <v>15.260617596855171</v>
      </c>
      <c r="BQ97" s="105">
        <v>3845.6756344075034</v>
      </c>
      <c r="BR97" s="105">
        <v>14.327414362515107</v>
      </c>
      <c r="BS97" s="105">
        <v>3610.5084193538069</v>
      </c>
      <c r="BT97" s="105">
        <v>13.330057539421686</v>
      </c>
      <c r="BU97" s="105">
        <v>3359.174499934265</v>
      </c>
      <c r="BV97" s="105">
        <v>18.125238647459383</v>
      </c>
      <c r="BW97" s="105">
        <v>4567.5601391597647</v>
      </c>
      <c r="BX97" s="105">
        <v>19.66924045816889</v>
      </c>
      <c r="BY97" s="105">
        <v>4956.6485954585605</v>
      </c>
      <c r="BZ97" s="105">
        <v>15.988363811734105</v>
      </c>
      <c r="CA97" s="105">
        <v>4029.0676805569947</v>
      </c>
      <c r="CB97" s="105">
        <v>11.614088806446409</v>
      </c>
      <c r="CC97" s="105">
        <v>2926.7503792244952</v>
      </c>
      <c r="CD97" s="105">
        <v>17.217670862157927</v>
      </c>
      <c r="CE97" s="105">
        <v>4338.8530572637974</v>
      </c>
      <c r="CF97" s="105">
        <v>14.309031742085914</v>
      </c>
      <c r="CG97" s="105">
        <v>3605.8759990056501</v>
      </c>
      <c r="CH97" s="105">
        <v>13.975512957119999</v>
      </c>
      <c r="CI97" s="105">
        <v>3521.8292651942397</v>
      </c>
      <c r="CJ97" s="105">
        <v>14.709294706795374</v>
      </c>
      <c r="CK97" s="105">
        <v>3706.7422661124342</v>
      </c>
      <c r="CL97" s="105">
        <v>14.61903007026066</v>
      </c>
      <c r="CM97" s="105">
        <v>3683.9955777056862</v>
      </c>
      <c r="CN97" s="105">
        <v>16.318507017286134</v>
      </c>
      <c r="CO97" s="105">
        <v>4112.2637683561061</v>
      </c>
      <c r="CP97" s="105">
        <v>15.503621061773247</v>
      </c>
      <c r="CQ97" s="105">
        <v>3906.912507566858</v>
      </c>
      <c r="CR97" s="105">
        <v>12.857186996738838</v>
      </c>
      <c r="CS97" s="105">
        <v>3240.0111231781871</v>
      </c>
      <c r="CT97" s="105">
        <v>15.883885394746533</v>
      </c>
      <c r="CU97" s="105">
        <v>4002.7391194761262</v>
      </c>
    </row>
    <row r="98" spans="2:99" x14ac:dyDescent="0.2">
      <c r="C98" s="104" t="s">
        <v>264</v>
      </c>
      <c r="D98" s="105">
        <v>0</v>
      </c>
      <c r="E98" s="105">
        <v>0</v>
      </c>
      <c r="F98" s="105">
        <v>0</v>
      </c>
      <c r="G98" s="105">
        <v>0</v>
      </c>
      <c r="H98" s="105">
        <v>0</v>
      </c>
      <c r="I98" s="105">
        <v>0</v>
      </c>
      <c r="J98" s="105">
        <v>0</v>
      </c>
      <c r="K98" s="105">
        <v>0</v>
      </c>
      <c r="L98" s="105">
        <v>17.173889056759403</v>
      </c>
      <c r="M98" s="105">
        <v>13972.676136579452</v>
      </c>
      <c r="N98" s="105">
        <v>16.362176261416902</v>
      </c>
      <c r="O98" s="105">
        <v>13312.266606288791</v>
      </c>
      <c r="P98" s="105">
        <v>15.754488716494498</v>
      </c>
      <c r="Q98" s="105">
        <v>12817.852019739923</v>
      </c>
      <c r="R98" s="105">
        <v>15.087201487799998</v>
      </c>
      <c r="S98" s="105">
        <v>12274.947130474078</v>
      </c>
      <c r="T98" s="105">
        <v>15.114682729125684</v>
      </c>
      <c r="U98" s="105">
        <v>12297.305868416657</v>
      </c>
      <c r="V98" s="105">
        <v>14.195253726886037</v>
      </c>
      <c r="W98" s="105">
        <v>11549.25843219448</v>
      </c>
      <c r="X98" s="105">
        <v>17.071966866511573</v>
      </c>
      <c r="Y98" s="105">
        <v>13889.752242593817</v>
      </c>
      <c r="Z98" s="105">
        <v>11.614088806446409</v>
      </c>
      <c r="AA98" s="105">
        <v>9449.2226529247982</v>
      </c>
      <c r="AB98" s="105">
        <v>13.145284464617822</v>
      </c>
      <c r="AC98" s="105">
        <v>10695.00344041306</v>
      </c>
      <c r="AD98" s="105">
        <v>15.125396934604558</v>
      </c>
      <c r="AE98" s="105">
        <v>12306.022945994268</v>
      </c>
      <c r="AF98" s="105">
        <v>17.367824968513954</v>
      </c>
      <c r="AG98" s="105">
        <v>14130.462394382954</v>
      </c>
      <c r="AH98" s="105">
        <v>16.610752665745842</v>
      </c>
      <c r="AI98" s="105">
        <v>13514.508368850818</v>
      </c>
      <c r="AJ98" s="105">
        <v>13.934443019798488</v>
      </c>
      <c r="AK98" s="105">
        <v>11337.062840908051</v>
      </c>
      <c r="AL98" s="105">
        <v>16.62458471367254</v>
      </c>
      <c r="AM98" s="105">
        <v>13525.76212304398</v>
      </c>
      <c r="AN98" s="105">
        <v>15.942287835331411</v>
      </c>
      <c r="AO98" s="105">
        <v>12970.645382825636</v>
      </c>
      <c r="AP98" s="105">
        <v>15.852820667777911</v>
      </c>
      <c r="AQ98" s="105">
        <v>12897.854895304108</v>
      </c>
      <c r="AR98" s="105">
        <v>14.13575634892973</v>
      </c>
      <c r="AS98" s="105">
        <v>11500.851365489229</v>
      </c>
      <c r="AT98" s="105">
        <v>11.183773906720576</v>
      </c>
      <c r="AU98" s="105">
        <v>9099.1184505078618</v>
      </c>
      <c r="AV98" s="105">
        <v>15.563963206578594</v>
      </c>
      <c r="AW98" s="105">
        <v>12662.840464872344</v>
      </c>
      <c r="AX98" s="105">
        <v>11.94203884960254</v>
      </c>
      <c r="AY98" s="105">
        <v>9716.0428080366273</v>
      </c>
      <c r="AZ98" s="105">
        <v>15.571482029383704</v>
      </c>
      <c r="BA98" s="105">
        <v>12668.957779106582</v>
      </c>
      <c r="BB98" s="105">
        <v>16.595921636579998</v>
      </c>
      <c r="BC98" s="105">
        <v>13502.441843521487</v>
      </c>
      <c r="BD98" s="105">
        <v>13.726982329677419</v>
      </c>
      <c r="BE98" s="105">
        <v>11168.272823425548</v>
      </c>
      <c r="BF98" s="105">
        <v>11.36706961409589</v>
      </c>
      <c r="BG98" s="105">
        <v>9248.2478380284156</v>
      </c>
      <c r="BH98" s="105">
        <v>14.256067138798878</v>
      </c>
      <c r="BI98" s="105">
        <v>11598.736224126767</v>
      </c>
      <c r="BJ98" s="105">
        <v>12.525223876664151</v>
      </c>
      <c r="BK98" s="105">
        <v>10190.522146053954</v>
      </c>
      <c r="BL98" s="105">
        <v>16.39103371514074</v>
      </c>
      <c r="BM98" s="105">
        <v>13335.745030638505</v>
      </c>
      <c r="BN98" s="105">
        <v>13.276737309264</v>
      </c>
      <c r="BO98" s="105">
        <v>10801.95347481719</v>
      </c>
      <c r="BP98" s="105">
        <v>15.260617596855171</v>
      </c>
      <c r="BQ98" s="105">
        <v>12416.038476801368</v>
      </c>
      <c r="BR98" s="105">
        <v>13.796769386125659</v>
      </c>
      <c r="BS98" s="105">
        <v>11225.051572551836</v>
      </c>
      <c r="BT98" s="105">
        <v>12.663554662450601</v>
      </c>
      <c r="BU98" s="105">
        <v>10303.068073369808</v>
      </c>
      <c r="BV98" s="105">
        <v>15.859583816526962</v>
      </c>
      <c r="BW98" s="105">
        <v>12903.357393126336</v>
      </c>
      <c r="BX98" s="105">
        <v>15.366594107944445</v>
      </c>
      <c r="BY98" s="105">
        <v>12502.260966223601</v>
      </c>
      <c r="BZ98" s="105">
        <v>15.348829259264738</v>
      </c>
      <c r="CA98" s="105">
        <v>12487.807485337791</v>
      </c>
      <c r="CB98" s="105">
        <v>11.002820974528175</v>
      </c>
      <c r="CC98" s="105">
        <v>8951.8951448761236</v>
      </c>
      <c r="CD98" s="105">
        <v>15.942287835331411</v>
      </c>
      <c r="CE98" s="105">
        <v>12970.645382825636</v>
      </c>
      <c r="CF98" s="105">
        <v>13.286958046222633</v>
      </c>
      <c r="CG98" s="105">
        <v>10810.269066406734</v>
      </c>
      <c r="CH98" s="105">
        <v>12.81088687736</v>
      </c>
      <c r="CI98" s="105">
        <v>10422.937563420097</v>
      </c>
      <c r="CJ98" s="105">
        <v>12.151156496917919</v>
      </c>
      <c r="CK98" s="105">
        <v>9886.1809258924186</v>
      </c>
      <c r="CL98" s="105">
        <v>13.954528703430629</v>
      </c>
      <c r="CM98" s="105">
        <v>11353.404553111161</v>
      </c>
      <c r="CN98" s="105">
        <v>16.318507017286134</v>
      </c>
      <c r="CO98" s="105">
        <v>13276.737309263999</v>
      </c>
      <c r="CP98" s="105">
        <v>13.15458756756518</v>
      </c>
      <c r="CQ98" s="105">
        <v>10702.572444971031</v>
      </c>
      <c r="CR98" s="105">
        <v>12.1804929442789</v>
      </c>
      <c r="CS98" s="105">
        <v>9910.0490594653129</v>
      </c>
      <c r="CT98" s="105">
        <v>13.693004650643564</v>
      </c>
      <c r="CU98" s="105">
        <v>11140.628583763604</v>
      </c>
    </row>
    <row r="99" spans="2:99" x14ac:dyDescent="0.2">
      <c r="C99" s="104" t="s">
        <v>265</v>
      </c>
      <c r="D99" s="105">
        <v>0</v>
      </c>
      <c r="E99" s="105">
        <v>0</v>
      </c>
      <c r="F99" s="105">
        <v>0</v>
      </c>
      <c r="G99" s="105">
        <v>0</v>
      </c>
      <c r="H99" s="105">
        <v>0</v>
      </c>
      <c r="I99" s="105">
        <v>0</v>
      </c>
      <c r="J99" s="105">
        <v>0</v>
      </c>
      <c r="K99" s="105">
        <v>0</v>
      </c>
      <c r="L99" s="105">
        <v>11.229081306342685</v>
      </c>
      <c r="M99" s="105">
        <v>43604.768528789915</v>
      </c>
      <c r="N99" s="105">
        <v>11.687268758154929</v>
      </c>
      <c r="O99" s="105">
        <v>45384.00204166722</v>
      </c>
      <c r="P99" s="105">
        <v>10.025583728678317</v>
      </c>
      <c r="Q99" s="105">
        <v>38931.346735203639</v>
      </c>
      <c r="R99" s="105">
        <v>9.4993490849111115</v>
      </c>
      <c r="S99" s="105">
        <v>36887.872366526826</v>
      </c>
      <c r="T99" s="105">
        <v>10.277984255805466</v>
      </c>
      <c r="U99" s="105">
        <v>39911.468462143785</v>
      </c>
      <c r="V99" s="105">
        <v>9.1851641762203773</v>
      </c>
      <c r="W99" s="105">
        <v>35667.82952909897</v>
      </c>
      <c r="X99" s="105">
        <v>12.475668094758456</v>
      </c>
      <c r="Y99" s="105">
        <v>48445.514345566036</v>
      </c>
      <c r="Z99" s="105">
        <v>7.946481814937016</v>
      </c>
      <c r="AA99" s="105">
        <v>30857.778183763417</v>
      </c>
      <c r="AB99" s="105">
        <v>10.954403720514852</v>
      </c>
      <c r="AC99" s="105">
        <v>42538.140527503274</v>
      </c>
      <c r="AD99" s="105">
        <v>10.083597956403038</v>
      </c>
      <c r="AE99" s="105">
        <v>39156.627584304275</v>
      </c>
      <c r="AF99" s="105">
        <v>12.22180275562093</v>
      </c>
      <c r="AG99" s="105">
        <v>47459.704460627188</v>
      </c>
      <c r="AH99" s="105">
        <v>11.864823332675604</v>
      </c>
      <c r="AI99" s="105">
        <v>46073.481965445906</v>
      </c>
      <c r="AJ99" s="105">
        <v>9.4754212534629723</v>
      </c>
      <c r="AK99" s="105">
        <v>36794.955811447413</v>
      </c>
      <c r="AL99" s="105">
        <v>11.465230837015543</v>
      </c>
      <c r="AM99" s="105">
        <v>44521.784386298757</v>
      </c>
      <c r="AN99" s="105">
        <v>9.5653727011988483</v>
      </c>
      <c r="AO99" s="105">
        <v>37144.255273295363</v>
      </c>
      <c r="AP99" s="105">
        <v>9.2474787228704471</v>
      </c>
      <c r="AQ99" s="105">
        <v>35909.809376650519</v>
      </c>
      <c r="AR99" s="105">
        <v>9.7862928569513503</v>
      </c>
      <c r="AS99" s="105">
        <v>38002.132422113478</v>
      </c>
      <c r="AT99" s="105">
        <v>7.988409933371841</v>
      </c>
      <c r="AU99" s="105">
        <v>31020.593453269532</v>
      </c>
      <c r="AV99" s="105">
        <v>10.827104839359022</v>
      </c>
      <c r="AW99" s="105">
        <v>42043.813512198954</v>
      </c>
      <c r="AX99" s="105">
        <v>8.4296744820723823</v>
      </c>
      <c r="AY99" s="105">
        <v>32734.111948783473</v>
      </c>
      <c r="AZ99" s="105">
        <v>11.473723600598518</v>
      </c>
      <c r="BA99" s="105">
        <v>44554.763485844167</v>
      </c>
      <c r="BB99" s="105">
        <v>12.293275286355554</v>
      </c>
      <c r="BC99" s="105">
        <v>47737.246591975883</v>
      </c>
      <c r="BD99" s="105">
        <v>10.981585863741936</v>
      </c>
      <c r="BE99" s="105">
        <v>42643.694226082684</v>
      </c>
      <c r="BF99" s="105">
        <v>9.0936556912767124</v>
      </c>
      <c r="BG99" s="105">
        <v>35312.483780365728</v>
      </c>
      <c r="BH99" s="105">
        <v>9.9172640965557424</v>
      </c>
      <c r="BI99" s="105">
        <v>38510.719939745257</v>
      </c>
      <c r="BJ99" s="105">
        <v>8.946588483331535</v>
      </c>
      <c r="BK99" s="105">
        <v>34741.392398473014</v>
      </c>
      <c r="BL99" s="105">
        <v>10.537093102590475</v>
      </c>
      <c r="BM99" s="105">
        <v>40917.639935979329</v>
      </c>
      <c r="BN99" s="105">
        <v>9.4833837923314288</v>
      </c>
      <c r="BO99" s="105">
        <v>36825.875942381404</v>
      </c>
      <c r="BP99" s="105">
        <v>9.1563705581131032</v>
      </c>
      <c r="BQ99" s="105">
        <v>35556.018151264798</v>
      </c>
      <c r="BR99" s="105">
        <v>9.5516095750100725</v>
      </c>
      <c r="BS99" s="105">
        <v>37090.810301679114</v>
      </c>
      <c r="BT99" s="105">
        <v>7.9980345236530113</v>
      </c>
      <c r="BU99" s="105">
        <v>31057.967662249372</v>
      </c>
      <c r="BV99" s="105">
        <v>9.8178376007071666</v>
      </c>
      <c r="BW99" s="105">
        <v>38124.626971066071</v>
      </c>
      <c r="BX99" s="105">
        <v>12.907939050673333</v>
      </c>
      <c r="BY99" s="105">
        <v>50124.108921574683</v>
      </c>
      <c r="BZ99" s="105">
        <v>9.5930182870404614</v>
      </c>
      <c r="CA99" s="105">
        <v>37251.608612235519</v>
      </c>
      <c r="CB99" s="105">
        <v>7.3352139830187841</v>
      </c>
      <c r="CC99" s="105">
        <v>28484.102938858541</v>
      </c>
      <c r="CD99" s="105">
        <v>12.116138754851873</v>
      </c>
      <c r="CE99" s="105">
        <v>47049.390012840791</v>
      </c>
      <c r="CF99" s="105">
        <v>9.7097001107011547</v>
      </c>
      <c r="CG99" s="105">
        <v>37704.707469874724</v>
      </c>
      <c r="CH99" s="105">
        <v>8.7346955982000001</v>
      </c>
      <c r="CI99" s="105">
        <v>33918.569946930242</v>
      </c>
      <c r="CJ99" s="105">
        <v>9.5930182870404614</v>
      </c>
      <c r="CK99" s="105">
        <v>37251.608612235519</v>
      </c>
      <c r="CL99" s="105">
        <v>10.63202186928048</v>
      </c>
      <c r="CM99" s="105">
        <v>41286.267322789958</v>
      </c>
      <c r="CN99" s="105">
        <v>10.443844491063127</v>
      </c>
      <c r="CO99" s="105">
        <v>40555.536927696332</v>
      </c>
      <c r="CP99" s="105">
        <v>8.9263272779906568</v>
      </c>
      <c r="CQ99" s="105">
        <v>34662.71408589332</v>
      </c>
      <c r="CR99" s="105">
        <v>9.4737167344391437</v>
      </c>
      <c r="CS99" s="105">
        <v>36788.336823174082</v>
      </c>
      <c r="CT99" s="105">
        <v>10.954403720514852</v>
      </c>
      <c r="CU99" s="105">
        <v>42538.140527503274</v>
      </c>
    </row>
    <row r="100" spans="2:99" x14ac:dyDescent="0.2">
      <c r="C100" s="104" t="s">
        <v>266</v>
      </c>
      <c r="D100" s="105">
        <v>0</v>
      </c>
      <c r="E100" s="105">
        <v>0</v>
      </c>
      <c r="F100" s="105">
        <v>0</v>
      </c>
      <c r="G100" s="105">
        <v>0</v>
      </c>
      <c r="H100" s="105">
        <v>0</v>
      </c>
      <c r="I100" s="105">
        <v>0</v>
      </c>
      <c r="J100" s="105">
        <v>0</v>
      </c>
      <c r="K100" s="105">
        <v>0</v>
      </c>
      <c r="L100" s="105">
        <v>17.834423251250147</v>
      </c>
      <c r="M100" s="105">
        <v>9866.00294259158</v>
      </c>
      <c r="N100" s="105">
        <v>17.141327511960561</v>
      </c>
      <c r="O100" s="105">
        <v>9482.5823796165823</v>
      </c>
      <c r="P100" s="105">
        <v>15.754488716494498</v>
      </c>
      <c r="Q100" s="105">
        <v>8715.3831579647558</v>
      </c>
      <c r="R100" s="105">
        <v>13.969631007222223</v>
      </c>
      <c r="S100" s="105">
        <v>7727.9998731953328</v>
      </c>
      <c r="T100" s="105">
        <v>12.696333492465573</v>
      </c>
      <c r="U100" s="105">
        <v>7023.6116880319541</v>
      </c>
      <c r="V100" s="105">
        <v>15.03026865199698</v>
      </c>
      <c r="W100" s="105">
        <v>8314.7446182847289</v>
      </c>
      <c r="X100" s="105">
        <v>15.758738646010682</v>
      </c>
      <c r="Y100" s="105">
        <v>8717.734218973108</v>
      </c>
      <c r="Z100" s="105">
        <v>11.614088806446409</v>
      </c>
      <c r="AA100" s="105">
        <v>6424.9139277261529</v>
      </c>
      <c r="AB100" s="105">
        <v>14.605871627353133</v>
      </c>
      <c r="AC100" s="105">
        <v>8079.9681842517521</v>
      </c>
      <c r="AD100" s="105">
        <v>17.366196480471899</v>
      </c>
      <c r="AE100" s="105">
        <v>9606.979892997053</v>
      </c>
      <c r="AF100" s="105">
        <v>18.654330521737208</v>
      </c>
      <c r="AG100" s="105">
        <v>10319.575644625022</v>
      </c>
      <c r="AH100" s="105">
        <v>14.831029165844503</v>
      </c>
      <c r="AI100" s="105">
        <v>8204.5253345451783</v>
      </c>
      <c r="AJ100" s="105">
        <v>15.606576182174308</v>
      </c>
      <c r="AK100" s="105">
        <v>8633.5579439788253</v>
      </c>
      <c r="AL100" s="105">
        <v>16.62458471367254</v>
      </c>
      <c r="AM100" s="105">
        <v>9196.7202636036473</v>
      </c>
      <c r="AN100" s="105">
        <v>17.217670862157927</v>
      </c>
      <c r="AO100" s="105">
        <v>9524.8155209457636</v>
      </c>
      <c r="AP100" s="105">
        <v>16.513354862268656</v>
      </c>
      <c r="AQ100" s="105">
        <v>9135.1879098070203</v>
      </c>
      <c r="AR100" s="105">
        <v>13.592073412432432</v>
      </c>
      <c r="AS100" s="105">
        <v>7519.1350117576203</v>
      </c>
      <c r="AT100" s="105">
        <v>11.982614900057762</v>
      </c>
      <c r="AU100" s="105">
        <v>6628.7825627119528</v>
      </c>
      <c r="AV100" s="105">
        <v>14.887269154118654</v>
      </c>
      <c r="AW100" s="105">
        <v>8235.6372960584376</v>
      </c>
      <c r="AX100" s="105">
        <v>14.049457470120634</v>
      </c>
      <c r="AY100" s="105">
        <v>7772.1598724707337</v>
      </c>
      <c r="AZ100" s="105">
        <v>15.571482029383704</v>
      </c>
      <c r="BA100" s="105">
        <v>8614.1438586550648</v>
      </c>
      <c r="BB100" s="105">
        <v>16.595921636579998</v>
      </c>
      <c r="BC100" s="105">
        <v>9180.8638493560538</v>
      </c>
      <c r="BD100" s="105">
        <v>15.374220209238709</v>
      </c>
      <c r="BE100" s="105">
        <v>8505.0186197508538</v>
      </c>
      <c r="BF100" s="105">
        <v>12.124874255035616</v>
      </c>
      <c r="BG100" s="105">
        <v>6707.4804378857016</v>
      </c>
      <c r="BH100" s="105">
        <v>13.01640912672941</v>
      </c>
      <c r="BI100" s="105">
        <v>7200.6775289067091</v>
      </c>
      <c r="BJ100" s="105">
        <v>13.718102341108356</v>
      </c>
      <c r="BK100" s="105">
        <v>7588.8542151011416</v>
      </c>
      <c r="BL100" s="105">
        <v>16.39103371514074</v>
      </c>
      <c r="BM100" s="105">
        <v>9067.5198512158568</v>
      </c>
      <c r="BN100" s="105">
        <v>13.90896289541943</v>
      </c>
      <c r="BO100" s="105">
        <v>7694.4382737460273</v>
      </c>
      <c r="BP100" s="105">
        <v>13.734555837169655</v>
      </c>
      <c r="BQ100" s="105">
        <v>7597.9562891222522</v>
      </c>
      <c r="BR100" s="105">
        <v>13.266124409736211</v>
      </c>
      <c r="BS100" s="105">
        <v>7338.8200234660708</v>
      </c>
      <c r="BT100" s="105">
        <v>11.330548908508433</v>
      </c>
      <c r="BU100" s="105">
        <v>6268.0596561868642</v>
      </c>
      <c r="BV100" s="105">
        <v>15.104365539549487</v>
      </c>
      <c r="BW100" s="105">
        <v>8355.7350164787749</v>
      </c>
      <c r="BX100" s="105">
        <v>19.054576693851111</v>
      </c>
      <c r="BY100" s="105">
        <v>10540.991827038433</v>
      </c>
      <c r="BZ100" s="105">
        <v>15.988363811734105</v>
      </c>
      <c r="CA100" s="105">
        <v>8844.7628606513063</v>
      </c>
      <c r="CB100" s="105">
        <v>10.391553142609943</v>
      </c>
      <c r="CC100" s="105">
        <v>5748.6071984918199</v>
      </c>
      <c r="CD100" s="105">
        <v>15.942287835331411</v>
      </c>
      <c r="CE100" s="105">
        <v>8819.2736305053349</v>
      </c>
      <c r="CF100" s="105">
        <v>12.775921198290993</v>
      </c>
      <c r="CG100" s="105">
        <v>7067.639606894576</v>
      </c>
      <c r="CH100" s="105">
        <v>12.81088687736</v>
      </c>
      <c r="CI100" s="105">
        <v>7086.982620555551</v>
      </c>
      <c r="CJ100" s="105">
        <v>12.790691049387283</v>
      </c>
      <c r="CK100" s="105">
        <v>7075.8102885210437</v>
      </c>
      <c r="CL100" s="105">
        <v>16.612534170750752</v>
      </c>
      <c r="CM100" s="105">
        <v>9190.0539032593151</v>
      </c>
      <c r="CN100" s="105">
        <v>16.318507017286134</v>
      </c>
      <c r="CO100" s="105">
        <v>9027.3980819626886</v>
      </c>
      <c r="CP100" s="105">
        <v>13.15458756756518</v>
      </c>
      <c r="CQ100" s="105">
        <v>7277.1178423770571</v>
      </c>
      <c r="CR100" s="105">
        <v>12.857186996738838</v>
      </c>
      <c r="CS100" s="105">
        <v>7112.5958465959238</v>
      </c>
      <c r="CT100" s="105">
        <v>16.431605580772278</v>
      </c>
      <c r="CU100" s="105">
        <v>9089.964207283223</v>
      </c>
    </row>
    <row r="101" spans="2:99" x14ac:dyDescent="0.2">
      <c r="C101" s="104" t="s">
        <v>267</v>
      </c>
      <c r="D101" s="105">
        <v>0.70212765957446799</v>
      </c>
      <c r="E101" s="105">
        <v>598.21276595744678</v>
      </c>
      <c r="F101" s="105">
        <v>0</v>
      </c>
      <c r="G101" s="105">
        <v>0</v>
      </c>
      <c r="H101" s="105">
        <v>0</v>
      </c>
      <c r="I101" s="105">
        <v>0</v>
      </c>
      <c r="J101" s="105">
        <v>0</v>
      </c>
      <c r="K101" s="105">
        <v>0</v>
      </c>
      <c r="L101" s="105">
        <v>21.886908802807422</v>
      </c>
      <c r="M101" s="105">
        <v>18647.646299991924</v>
      </c>
      <c r="N101" s="105">
        <v>16.878755795997005</v>
      </c>
      <c r="O101" s="105">
        <v>14380.699938189447</v>
      </c>
      <c r="P101" s="105">
        <v>20.760186278639232</v>
      </c>
      <c r="Q101" s="105">
        <v>17687.678709400625</v>
      </c>
      <c r="R101" s="105">
        <v>20.62224484157186</v>
      </c>
      <c r="S101" s="105">
        <v>17570.152605019226</v>
      </c>
      <c r="T101" s="105">
        <v>18.283639756445154</v>
      </c>
      <c r="U101" s="105">
        <v>15577.661072491272</v>
      </c>
      <c r="V101" s="105">
        <v>14.3830750235428</v>
      </c>
      <c r="W101" s="105">
        <v>12254.379920058465</v>
      </c>
      <c r="X101" s="105">
        <v>15.421852664132002</v>
      </c>
      <c r="Y101" s="105">
        <v>13139.418469840466</v>
      </c>
      <c r="Z101" s="105">
        <v>16.523413568712858</v>
      </c>
      <c r="AA101" s="105">
        <v>14077.948360543354</v>
      </c>
      <c r="AB101" s="105">
        <v>16.032619106275842</v>
      </c>
      <c r="AC101" s="105">
        <v>13659.791478547017</v>
      </c>
      <c r="AD101" s="105">
        <v>20.084273237009118</v>
      </c>
      <c r="AE101" s="105">
        <v>17111.80079793177</v>
      </c>
      <c r="AF101" s="105">
        <v>23.50892174410366</v>
      </c>
      <c r="AG101" s="105">
        <v>20029.601325976317</v>
      </c>
      <c r="AH101" s="105">
        <v>19.277315830165001</v>
      </c>
      <c r="AI101" s="105">
        <v>16424.273087300582</v>
      </c>
      <c r="AJ101" s="105">
        <v>20.677344354143464</v>
      </c>
      <c r="AK101" s="105">
        <v>17617.097389730232</v>
      </c>
      <c r="AL101" s="105">
        <v>21.095930531123962</v>
      </c>
      <c r="AM101" s="105">
        <v>17973.732812517614</v>
      </c>
      <c r="AN101" s="105">
        <v>15.486379244316653</v>
      </c>
      <c r="AO101" s="105">
        <v>13194.395116157788</v>
      </c>
      <c r="AP101" s="105">
        <v>18.232732213752119</v>
      </c>
      <c r="AQ101" s="105">
        <v>15534.287846116806</v>
      </c>
      <c r="AR101" s="105">
        <v>16.568932614356697</v>
      </c>
      <c r="AS101" s="105">
        <v>14116.730587431906</v>
      </c>
      <c r="AT101" s="105">
        <v>12.267382801014092</v>
      </c>
      <c r="AU101" s="105">
        <v>10451.810146464006</v>
      </c>
      <c r="AV101" s="105">
        <v>15.557132073466491</v>
      </c>
      <c r="AW101" s="105">
        <v>13254.67652659345</v>
      </c>
      <c r="AX101" s="105">
        <v>12.215328842876833</v>
      </c>
      <c r="AY101" s="105">
        <v>10407.460174131062</v>
      </c>
      <c r="AZ101" s="105">
        <v>17.909248255121035</v>
      </c>
      <c r="BA101" s="105">
        <v>15258.679513363122</v>
      </c>
      <c r="BB101" s="105">
        <v>15.609162615518219</v>
      </c>
      <c r="BC101" s="105">
        <v>13299.006548421523</v>
      </c>
      <c r="BD101" s="105">
        <v>17.35792940551654</v>
      </c>
      <c r="BE101" s="105">
        <v>14788.955853500092</v>
      </c>
      <c r="BF101" s="105">
        <v>18</v>
      </c>
      <c r="BG101" s="105">
        <v>15336</v>
      </c>
      <c r="BH101" s="105">
        <v>18.107091803730288</v>
      </c>
      <c r="BI101" s="105">
        <v>15427.242216778206</v>
      </c>
      <c r="BJ101" s="105">
        <v>14.650760030925401</v>
      </c>
      <c r="BK101" s="105">
        <v>12482.447546348441</v>
      </c>
      <c r="BL101" s="105">
        <v>18.506223196958402</v>
      </c>
      <c r="BM101" s="105">
        <v>15767.302163808559</v>
      </c>
      <c r="BN101" s="105">
        <v>17.218573362865829</v>
      </c>
      <c r="BO101" s="105">
        <v>14670.224505161686</v>
      </c>
      <c r="BP101" s="105">
        <v>15.261208365547292</v>
      </c>
      <c r="BQ101" s="105">
        <v>13002.549527446292</v>
      </c>
      <c r="BR101" s="105">
        <v>17.422176649856237</v>
      </c>
      <c r="BS101" s="105">
        <v>14843.694505677513</v>
      </c>
      <c r="BT101" s="105">
        <v>14.565083071680222</v>
      </c>
      <c r="BU101" s="105">
        <v>12409.45077707155</v>
      </c>
      <c r="BV101" s="105">
        <v>14.293424420415025</v>
      </c>
      <c r="BW101" s="105">
        <v>12177.997606193601</v>
      </c>
      <c r="BX101" s="105">
        <v>19.086451316995049</v>
      </c>
      <c r="BY101" s="105">
        <v>16261.656522079782</v>
      </c>
      <c r="BZ101" s="105">
        <v>22.152937528587405</v>
      </c>
      <c r="CA101" s="105">
        <v>18874.302774356467</v>
      </c>
      <c r="CB101" s="105">
        <v>11.498749793431754</v>
      </c>
      <c r="CC101" s="105">
        <v>9796.9348240038544</v>
      </c>
      <c r="CD101" s="105">
        <v>17.49537907275479</v>
      </c>
      <c r="CE101" s="105">
        <v>14906.062969987081</v>
      </c>
      <c r="CF101" s="105">
        <v>16.918488154743969</v>
      </c>
      <c r="CG101" s="105">
        <v>14414.551907841862</v>
      </c>
      <c r="CH101" s="105">
        <v>13.55058183877707</v>
      </c>
      <c r="CI101" s="105">
        <v>11545.095726638065</v>
      </c>
      <c r="CJ101" s="105">
        <v>15.905946693947804</v>
      </c>
      <c r="CK101" s="105">
        <v>13551.866583243529</v>
      </c>
      <c r="CL101" s="105">
        <v>19.382656353827105</v>
      </c>
      <c r="CM101" s="105">
        <v>16514.023213460692</v>
      </c>
      <c r="CN101" s="105">
        <v>16.476338316380343</v>
      </c>
      <c r="CO101" s="105">
        <v>14037.840245556052</v>
      </c>
      <c r="CP101" s="105">
        <v>18.453498914345985</v>
      </c>
      <c r="CQ101" s="105">
        <v>15722.38107502278</v>
      </c>
      <c r="CR101" s="105">
        <v>14.873868051700914</v>
      </c>
      <c r="CS101" s="105">
        <v>12672.535580049178</v>
      </c>
      <c r="CT101" s="105">
        <v>20.203300433360699</v>
      </c>
      <c r="CU101" s="105">
        <v>17213.211969223317</v>
      </c>
    </row>
    <row r="102" spans="2:99" x14ac:dyDescent="0.2">
      <c r="C102" s="104" t="s">
        <v>268</v>
      </c>
      <c r="D102" s="105">
        <v>0</v>
      </c>
      <c r="E102" s="105">
        <v>0</v>
      </c>
      <c r="F102" s="105">
        <v>0</v>
      </c>
      <c r="G102" s="105">
        <v>0</v>
      </c>
      <c r="H102" s="105">
        <v>0</v>
      </c>
      <c r="I102" s="105">
        <v>0</v>
      </c>
      <c r="J102" s="105">
        <v>0</v>
      </c>
      <c r="K102" s="105">
        <v>0</v>
      </c>
      <c r="L102" s="105">
        <v>16.513354862268656</v>
      </c>
      <c r="M102" s="105">
        <v>1010.6173175708417</v>
      </c>
      <c r="N102" s="105">
        <v>17.920478762504224</v>
      </c>
      <c r="O102" s="105">
        <v>1096.7333002652585</v>
      </c>
      <c r="P102" s="105">
        <v>15.754488716494498</v>
      </c>
      <c r="Q102" s="105">
        <v>964.17470944946319</v>
      </c>
      <c r="R102" s="105">
        <v>16.763557208666668</v>
      </c>
      <c r="S102" s="105">
        <v>1025.9297011704</v>
      </c>
      <c r="T102" s="105">
        <v>14.510095419960656</v>
      </c>
      <c r="U102" s="105">
        <v>888.01783970159215</v>
      </c>
      <c r="V102" s="105">
        <v>14.195253726886037</v>
      </c>
      <c r="W102" s="105">
        <v>868.74952808542537</v>
      </c>
      <c r="X102" s="105">
        <v>17.071966866511573</v>
      </c>
      <c r="Y102" s="105">
        <v>1044.8043722305083</v>
      </c>
      <c r="Z102" s="105">
        <v>13.447892302201105</v>
      </c>
      <c r="AA102" s="105">
        <v>823.01100889470752</v>
      </c>
      <c r="AB102" s="105">
        <v>17.527045952823762</v>
      </c>
      <c r="AC102" s="105">
        <v>1072.6552123128142</v>
      </c>
      <c r="AD102" s="105">
        <v>17.926396366938736</v>
      </c>
      <c r="AE102" s="105">
        <v>1097.0954576566505</v>
      </c>
      <c r="AF102" s="105">
        <v>20.584088851572091</v>
      </c>
      <c r="AG102" s="105">
        <v>1259.7462377162119</v>
      </c>
      <c r="AH102" s="105">
        <v>17.797234999013405</v>
      </c>
      <c r="AI102" s="105">
        <v>1089.1907819396204</v>
      </c>
      <c r="AJ102" s="105">
        <v>16.721331623758186</v>
      </c>
      <c r="AK102" s="105">
        <v>1023.3454953740008</v>
      </c>
      <c r="AL102" s="105">
        <v>17.771107797374093</v>
      </c>
      <c r="AM102" s="105">
        <v>1087.5917971992944</v>
      </c>
      <c r="AN102" s="105">
        <v>18.493053888984438</v>
      </c>
      <c r="AO102" s="105">
        <v>1131.7748980058475</v>
      </c>
      <c r="AP102" s="105">
        <v>16.513354862268656</v>
      </c>
      <c r="AQ102" s="105">
        <v>1010.6173175708417</v>
      </c>
      <c r="AR102" s="105">
        <v>16.310488094918917</v>
      </c>
      <c r="AS102" s="105">
        <v>998.20187140903761</v>
      </c>
      <c r="AT102" s="105">
        <v>12.781455893394947</v>
      </c>
      <c r="AU102" s="105">
        <v>782.2251006757707</v>
      </c>
      <c r="AV102" s="105">
        <v>18.947433468878287</v>
      </c>
      <c r="AW102" s="105">
        <v>1159.5829282953512</v>
      </c>
      <c r="AX102" s="105">
        <v>12.64451172310857</v>
      </c>
      <c r="AY102" s="105">
        <v>773.84411745424438</v>
      </c>
      <c r="AZ102" s="105">
        <v>14.751930343626666</v>
      </c>
      <c r="BA102" s="105">
        <v>902.81813702995191</v>
      </c>
      <c r="BB102" s="105">
        <v>17.825249165215556</v>
      </c>
      <c r="BC102" s="105">
        <v>1090.9052489111921</v>
      </c>
      <c r="BD102" s="105">
        <v>17.021458088799999</v>
      </c>
      <c r="BE102" s="105">
        <v>1041.7132350345598</v>
      </c>
      <c r="BF102" s="105">
        <v>13.640483536915067</v>
      </c>
      <c r="BG102" s="105">
        <v>834.79759245920206</v>
      </c>
      <c r="BH102" s="105">
        <v>14.875896144833613</v>
      </c>
      <c r="BI102" s="105">
        <v>910.404844063817</v>
      </c>
      <c r="BJ102" s="105">
        <v>14.910980805552558</v>
      </c>
      <c r="BK102" s="105">
        <v>912.55202529981648</v>
      </c>
      <c r="BL102" s="105">
        <v>16.976427776395767</v>
      </c>
      <c r="BM102" s="105">
        <v>1038.9573799154209</v>
      </c>
      <c r="BN102" s="105">
        <v>15.173414067730286</v>
      </c>
      <c r="BO102" s="105">
        <v>928.61294094509344</v>
      </c>
      <c r="BP102" s="105">
        <v>15.260617596855171</v>
      </c>
      <c r="BQ102" s="105">
        <v>933.94979692753645</v>
      </c>
      <c r="BR102" s="105">
        <v>16.449994268072899</v>
      </c>
      <c r="BS102" s="105">
        <v>1006.7396492060614</v>
      </c>
      <c r="BT102" s="105">
        <v>13.330057539421686</v>
      </c>
      <c r="BU102" s="105">
        <v>815.79952141260708</v>
      </c>
      <c r="BV102" s="105">
        <v>18.125238647459383</v>
      </c>
      <c r="BW102" s="105">
        <v>1109.2646052245143</v>
      </c>
      <c r="BX102" s="105">
        <v>18.439912929533332</v>
      </c>
      <c r="BY102" s="105">
        <v>1128.5226712874398</v>
      </c>
      <c r="BZ102" s="105">
        <v>17.267432916672831</v>
      </c>
      <c r="CA102" s="105">
        <v>1056.7668945003772</v>
      </c>
      <c r="CB102" s="105">
        <v>12.225356638364641</v>
      </c>
      <c r="CC102" s="105">
        <v>748.19182626791599</v>
      </c>
      <c r="CD102" s="105">
        <v>16.579979348744668</v>
      </c>
      <c r="CE102" s="105">
        <v>1014.6947361431736</v>
      </c>
      <c r="CF102" s="105">
        <v>14.309031742085914</v>
      </c>
      <c r="CG102" s="105">
        <v>875.71274261565782</v>
      </c>
      <c r="CH102" s="105">
        <v>13.975512957119999</v>
      </c>
      <c r="CI102" s="105">
        <v>855.30139297574385</v>
      </c>
      <c r="CJ102" s="105">
        <v>15.988363811734105</v>
      </c>
      <c r="CK102" s="105">
        <v>978.48786527812717</v>
      </c>
      <c r="CL102" s="105">
        <v>17.27703553758078</v>
      </c>
      <c r="CM102" s="105">
        <v>1057.3545748999436</v>
      </c>
      <c r="CN102" s="105">
        <v>17.623987578669027</v>
      </c>
      <c r="CO102" s="105">
        <v>1078.5880398145443</v>
      </c>
      <c r="CP102" s="105">
        <v>14.56400766409002</v>
      </c>
      <c r="CQ102" s="105">
        <v>891.31726904230914</v>
      </c>
      <c r="CR102" s="105">
        <v>13.533881049198776</v>
      </c>
      <c r="CS102" s="105">
        <v>828.27352021096499</v>
      </c>
      <c r="CT102" s="105">
        <v>16.431605580772278</v>
      </c>
      <c r="CU102" s="105">
        <v>1005.6142615432633</v>
      </c>
    </row>
    <row r="103" spans="2:99" x14ac:dyDescent="0.2">
      <c r="C103" s="104" t="s">
        <v>269</v>
      </c>
      <c r="D103" s="105">
        <v>0</v>
      </c>
      <c r="E103" s="105">
        <v>0</v>
      </c>
      <c r="F103" s="105">
        <v>0</v>
      </c>
      <c r="G103" s="105">
        <v>0</v>
      </c>
      <c r="H103" s="105">
        <v>0</v>
      </c>
      <c r="I103" s="105">
        <v>0</v>
      </c>
      <c r="J103" s="105">
        <v>0</v>
      </c>
      <c r="K103" s="105">
        <v>0</v>
      </c>
      <c r="L103" s="105">
        <v>18.494957445740894</v>
      </c>
      <c r="M103" s="105">
        <v>2308.1706892284637</v>
      </c>
      <c r="N103" s="105">
        <v>16.362176261416902</v>
      </c>
      <c r="O103" s="105">
        <v>2041.9995974248293</v>
      </c>
      <c r="P103" s="105">
        <v>17.186714963448541</v>
      </c>
      <c r="Q103" s="105">
        <v>2144.9020274383779</v>
      </c>
      <c r="R103" s="105">
        <v>14.528416247511112</v>
      </c>
      <c r="S103" s="105">
        <v>1813.1463476893866</v>
      </c>
      <c r="T103" s="105">
        <v>15.114682729125684</v>
      </c>
      <c r="U103" s="105">
        <v>1886.3124045948853</v>
      </c>
      <c r="V103" s="105">
        <v>14.195253726886037</v>
      </c>
      <c r="W103" s="105">
        <v>1771.5676651153774</v>
      </c>
      <c r="X103" s="105">
        <v>19.041809197262907</v>
      </c>
      <c r="Y103" s="105">
        <v>2376.4177878184109</v>
      </c>
      <c r="Z103" s="105">
        <v>11.614088806446409</v>
      </c>
      <c r="AA103" s="105">
        <v>1449.4382830445118</v>
      </c>
      <c r="AB103" s="105">
        <v>17.527045952823762</v>
      </c>
      <c r="AC103" s="105">
        <v>2187.3753349124054</v>
      </c>
      <c r="AD103" s="105">
        <v>16.245796707538229</v>
      </c>
      <c r="AE103" s="105">
        <v>2027.475429100771</v>
      </c>
      <c r="AF103" s="105">
        <v>17.367824968513954</v>
      </c>
      <c r="AG103" s="105">
        <v>2167.5045560705416</v>
      </c>
      <c r="AH103" s="105">
        <v>17.797234999013405</v>
      </c>
      <c r="AI103" s="105">
        <v>2221.094927876873</v>
      </c>
      <c r="AJ103" s="105">
        <v>13.934443019798488</v>
      </c>
      <c r="AK103" s="105">
        <v>1739.0184888708513</v>
      </c>
      <c r="AL103" s="105">
        <v>18.344369339224869</v>
      </c>
      <c r="AM103" s="105">
        <v>2289.3772935352636</v>
      </c>
      <c r="AN103" s="105">
        <v>17.217670862157927</v>
      </c>
      <c r="AO103" s="105">
        <v>2148.7653235973094</v>
      </c>
      <c r="AP103" s="105">
        <v>17.173889056759403</v>
      </c>
      <c r="AQ103" s="105">
        <v>2143.3013542835733</v>
      </c>
      <c r="AR103" s="105">
        <v>15.766805158421622</v>
      </c>
      <c r="AS103" s="105">
        <v>1967.6972837710184</v>
      </c>
      <c r="AT103" s="105">
        <v>11.982614900057762</v>
      </c>
      <c r="AU103" s="105">
        <v>1495.4303395272086</v>
      </c>
      <c r="AV103" s="105">
        <v>18.270739416418348</v>
      </c>
      <c r="AW103" s="105">
        <v>2280.1882791690095</v>
      </c>
      <c r="AX103" s="105">
        <v>11.94203884960254</v>
      </c>
      <c r="AY103" s="105">
        <v>1490.366448430397</v>
      </c>
      <c r="AZ103" s="105">
        <v>14.751930343626666</v>
      </c>
      <c r="BA103" s="105">
        <v>1841.0409068846079</v>
      </c>
      <c r="BB103" s="105">
        <v>17.210585400897777</v>
      </c>
      <c r="BC103" s="105">
        <v>2147.8810580320423</v>
      </c>
      <c r="BD103" s="105">
        <v>18.668695968361291</v>
      </c>
      <c r="BE103" s="105">
        <v>2329.8532568514893</v>
      </c>
      <c r="BF103" s="105">
        <v>14.398288177854793</v>
      </c>
      <c r="BG103" s="105">
        <v>1796.9063645962781</v>
      </c>
      <c r="BH103" s="105">
        <v>13.636238132764147</v>
      </c>
      <c r="BI103" s="105">
        <v>1701.8025189689654</v>
      </c>
      <c r="BJ103" s="105">
        <v>12.525223876664151</v>
      </c>
      <c r="BK103" s="105">
        <v>1563.147939807686</v>
      </c>
      <c r="BL103" s="105">
        <v>16.976427776395767</v>
      </c>
      <c r="BM103" s="105">
        <v>2118.6581864941918</v>
      </c>
      <c r="BN103" s="105">
        <v>15.173414067730286</v>
      </c>
      <c r="BO103" s="105">
        <v>1893.6420756527398</v>
      </c>
      <c r="BP103" s="105">
        <v>14.497586717012414</v>
      </c>
      <c r="BQ103" s="105">
        <v>1809.2988222831493</v>
      </c>
      <c r="BR103" s="105">
        <v>14.327414362515107</v>
      </c>
      <c r="BS103" s="105">
        <v>1788.0613124418853</v>
      </c>
      <c r="BT103" s="105">
        <v>13.99656041639277</v>
      </c>
      <c r="BU103" s="105">
        <v>1746.7707399658177</v>
      </c>
      <c r="BV103" s="105">
        <v>15.859583816526962</v>
      </c>
      <c r="BW103" s="105">
        <v>1979.2760603025649</v>
      </c>
      <c r="BX103" s="105">
        <v>17.825249165215556</v>
      </c>
      <c r="BY103" s="105">
        <v>2224.5910958189015</v>
      </c>
      <c r="BZ103" s="105">
        <v>15.988363811734105</v>
      </c>
      <c r="CA103" s="105">
        <v>1995.3478037044163</v>
      </c>
      <c r="CB103" s="105">
        <v>11.002820974528175</v>
      </c>
      <c r="CC103" s="105">
        <v>1373.1520576211162</v>
      </c>
      <c r="CD103" s="105">
        <v>17.217670862157927</v>
      </c>
      <c r="CE103" s="105">
        <v>2148.7653235973094</v>
      </c>
      <c r="CF103" s="105">
        <v>13.797994894154273</v>
      </c>
      <c r="CG103" s="105">
        <v>1721.9897627904534</v>
      </c>
      <c r="CH103" s="105">
        <v>12.81088687736</v>
      </c>
      <c r="CI103" s="105">
        <v>1598.7986822945279</v>
      </c>
      <c r="CJ103" s="105">
        <v>13.430225601856646</v>
      </c>
      <c r="CK103" s="105">
        <v>1676.0921551117094</v>
      </c>
      <c r="CL103" s="105">
        <v>15.283531437090689</v>
      </c>
      <c r="CM103" s="105">
        <v>1907.384723348918</v>
      </c>
      <c r="CN103" s="105">
        <v>18.929468140051917</v>
      </c>
      <c r="CO103" s="105">
        <v>2362.397623878479</v>
      </c>
      <c r="CP103" s="105">
        <v>14.094200965248406</v>
      </c>
      <c r="CQ103" s="105">
        <v>1758.9562804630011</v>
      </c>
      <c r="CR103" s="105">
        <v>12.857186996738838</v>
      </c>
      <c r="CS103" s="105">
        <v>1604.5769371930069</v>
      </c>
      <c r="CT103" s="105">
        <v>18.074766138849505</v>
      </c>
      <c r="CU103" s="105">
        <v>2255.7308141284179</v>
      </c>
    </row>
    <row r="104" spans="2:99" x14ac:dyDescent="0.2">
      <c r="C104" s="104" t="s">
        <v>270</v>
      </c>
      <c r="D104" s="105">
        <v>0</v>
      </c>
      <c r="E104" s="105">
        <v>0</v>
      </c>
      <c r="F104" s="105">
        <v>0</v>
      </c>
      <c r="G104" s="105">
        <v>0</v>
      </c>
      <c r="H104" s="105">
        <v>0</v>
      </c>
      <c r="I104" s="105">
        <v>0</v>
      </c>
      <c r="J104" s="105">
        <v>0</v>
      </c>
      <c r="K104" s="105">
        <v>0</v>
      </c>
      <c r="L104" s="105">
        <v>17.173889056759403</v>
      </c>
      <c r="M104" s="105">
        <v>4080.5160398860339</v>
      </c>
      <c r="N104" s="105">
        <v>17.920478762504224</v>
      </c>
      <c r="O104" s="105">
        <v>4257.9057539710038</v>
      </c>
      <c r="P104" s="105">
        <v>15.038375593017475</v>
      </c>
      <c r="Q104" s="105">
        <v>3573.1180409009521</v>
      </c>
      <c r="R104" s="105">
        <v>14.528416247511112</v>
      </c>
      <c r="S104" s="105">
        <v>3451.9517004086401</v>
      </c>
      <c r="T104" s="105">
        <v>15.719270038290709</v>
      </c>
      <c r="U104" s="105">
        <v>3734.8985610978725</v>
      </c>
      <c r="V104" s="105">
        <v>15.865283577107924</v>
      </c>
      <c r="W104" s="105">
        <v>3769.5913779208427</v>
      </c>
      <c r="X104" s="105">
        <v>18.385195087012463</v>
      </c>
      <c r="Y104" s="105">
        <v>4368.3223526741613</v>
      </c>
      <c r="Z104" s="105">
        <v>12.225356638364641</v>
      </c>
      <c r="AA104" s="105">
        <v>2904.7447372754386</v>
      </c>
      <c r="AB104" s="105">
        <v>16.066458790088451</v>
      </c>
      <c r="AC104" s="105">
        <v>3817.390608525016</v>
      </c>
      <c r="AD104" s="105">
        <v>15.685596821071393</v>
      </c>
      <c r="AE104" s="105">
        <v>3726.8978046865627</v>
      </c>
      <c r="AF104" s="105">
        <v>16.724572191902325</v>
      </c>
      <c r="AG104" s="105">
        <v>3973.7583527959923</v>
      </c>
      <c r="AH104" s="105">
        <v>16.610752665745842</v>
      </c>
      <c r="AI104" s="105">
        <v>3946.714833381212</v>
      </c>
      <c r="AJ104" s="105">
        <v>15.049198461382369</v>
      </c>
      <c r="AK104" s="105">
        <v>3575.6895544244508</v>
      </c>
      <c r="AL104" s="105">
        <v>18.917630881075645</v>
      </c>
      <c r="AM104" s="105">
        <v>4494.8290973435733</v>
      </c>
      <c r="AN104" s="105">
        <v>18.493053888984438</v>
      </c>
      <c r="AO104" s="105">
        <v>4393.9496040227023</v>
      </c>
      <c r="AP104" s="105">
        <v>16.513354862268656</v>
      </c>
      <c r="AQ104" s="105">
        <v>3923.5731152750327</v>
      </c>
      <c r="AR104" s="105">
        <v>14.679439285427025</v>
      </c>
      <c r="AS104" s="105">
        <v>3487.834774217461</v>
      </c>
      <c r="AT104" s="105">
        <v>12.781455893394947</v>
      </c>
      <c r="AU104" s="105">
        <v>3036.8739202706392</v>
      </c>
      <c r="AV104" s="105">
        <v>18.270739416418348</v>
      </c>
      <c r="AW104" s="105">
        <v>4341.1276853409991</v>
      </c>
      <c r="AX104" s="105">
        <v>13.346984596614604</v>
      </c>
      <c r="AY104" s="105">
        <v>3171.2435401556299</v>
      </c>
      <c r="AZ104" s="105">
        <v>14.751930343626666</v>
      </c>
      <c r="BA104" s="105">
        <v>3505.0586496456958</v>
      </c>
      <c r="BB104" s="105">
        <v>15.981257872262221</v>
      </c>
      <c r="BC104" s="105">
        <v>3797.1468704495037</v>
      </c>
      <c r="BD104" s="105">
        <v>18.119616675174193</v>
      </c>
      <c r="BE104" s="105">
        <v>4305.2209220213881</v>
      </c>
      <c r="BF104" s="105">
        <v>13.640483536915067</v>
      </c>
      <c r="BG104" s="105">
        <v>3240.9788883710198</v>
      </c>
      <c r="BH104" s="105">
        <v>13.636238132764147</v>
      </c>
      <c r="BI104" s="105">
        <v>3239.970180344761</v>
      </c>
      <c r="BJ104" s="105">
        <v>12.525223876664151</v>
      </c>
      <c r="BK104" s="105">
        <v>2975.9931930954021</v>
      </c>
      <c r="BL104" s="105">
        <v>18.14721589890582</v>
      </c>
      <c r="BM104" s="105">
        <v>4311.7784975800223</v>
      </c>
      <c r="BN104" s="105">
        <v>15.805639653885713</v>
      </c>
      <c r="BO104" s="105">
        <v>3755.4199817632452</v>
      </c>
      <c r="BP104" s="105">
        <v>16.023648476697932</v>
      </c>
      <c r="BQ104" s="105">
        <v>3807.2188780634287</v>
      </c>
      <c r="BR104" s="105">
        <v>14.858059338904555</v>
      </c>
      <c r="BS104" s="105">
        <v>3530.274898923722</v>
      </c>
      <c r="BT104" s="105">
        <v>13.330057539421686</v>
      </c>
      <c r="BU104" s="105">
        <v>3167.2216713665925</v>
      </c>
      <c r="BV104" s="105">
        <v>16.614802093504437</v>
      </c>
      <c r="BW104" s="105">
        <v>3947.6769774166542</v>
      </c>
      <c r="BX104" s="105">
        <v>18.439912929533332</v>
      </c>
      <c r="BY104" s="105">
        <v>4381.3233120571194</v>
      </c>
      <c r="BZ104" s="105">
        <v>15.348829259264738</v>
      </c>
      <c r="CA104" s="105">
        <v>3646.8818320013015</v>
      </c>
      <c r="CB104" s="105">
        <v>11.614088806446409</v>
      </c>
      <c r="CC104" s="105">
        <v>2759.5075004116666</v>
      </c>
      <c r="CD104" s="105">
        <v>15.942287835331411</v>
      </c>
      <c r="CE104" s="105">
        <v>3787.8875896747431</v>
      </c>
      <c r="CF104" s="105">
        <v>12.775921198290993</v>
      </c>
      <c r="CG104" s="105">
        <v>3035.5588767139398</v>
      </c>
      <c r="CH104" s="105">
        <v>12.228573837479999</v>
      </c>
      <c r="CI104" s="105">
        <v>2905.5091437852475</v>
      </c>
      <c r="CJ104" s="105">
        <v>14.06976015432601</v>
      </c>
      <c r="CK104" s="105">
        <v>3342.97501266786</v>
      </c>
      <c r="CL104" s="105">
        <v>14.61903007026066</v>
      </c>
      <c r="CM104" s="105">
        <v>3473.4815446939328</v>
      </c>
      <c r="CN104" s="105">
        <v>16.318507017286134</v>
      </c>
      <c r="CO104" s="105">
        <v>3877.2772673071854</v>
      </c>
      <c r="CP104" s="105">
        <v>14.094200965248406</v>
      </c>
      <c r="CQ104" s="105">
        <v>3348.7821493430215</v>
      </c>
      <c r="CR104" s="105">
        <v>13.533881049198776</v>
      </c>
      <c r="CS104" s="105">
        <v>3215.6501372896291</v>
      </c>
      <c r="CT104" s="105">
        <v>15.883885394746533</v>
      </c>
      <c r="CU104" s="105">
        <v>3774.0111697917764</v>
      </c>
    </row>
    <row r="105" spans="2:99" x14ac:dyDescent="0.2">
      <c r="C105" s="104" t="s">
        <v>271</v>
      </c>
      <c r="D105" s="105">
        <v>0</v>
      </c>
      <c r="E105" s="105">
        <v>0</v>
      </c>
      <c r="F105" s="105">
        <v>0</v>
      </c>
      <c r="G105" s="105">
        <v>0</v>
      </c>
      <c r="H105" s="105">
        <v>0</v>
      </c>
      <c r="I105" s="105">
        <v>0</v>
      </c>
      <c r="J105" s="105">
        <v>0</v>
      </c>
      <c r="K105" s="105">
        <v>0</v>
      </c>
      <c r="L105" s="105">
        <v>15.852820667777911</v>
      </c>
      <c r="M105" s="105">
        <v>2739.3674113920229</v>
      </c>
      <c r="N105" s="105">
        <v>18.699630013047887</v>
      </c>
      <c r="O105" s="105">
        <v>3231.2960662546748</v>
      </c>
      <c r="P105" s="105">
        <v>15.754488716494498</v>
      </c>
      <c r="Q105" s="105">
        <v>2722.3756502102488</v>
      </c>
      <c r="R105" s="105">
        <v>15.645986728088888</v>
      </c>
      <c r="S105" s="105">
        <v>2703.6265066137594</v>
      </c>
      <c r="T105" s="105">
        <v>15.719270038290709</v>
      </c>
      <c r="U105" s="105">
        <v>2716.2898626166343</v>
      </c>
      <c r="V105" s="105">
        <v>15.03026865199698</v>
      </c>
      <c r="W105" s="105">
        <v>2597.230423065078</v>
      </c>
      <c r="X105" s="105">
        <v>17.728580976762018</v>
      </c>
      <c r="Y105" s="105">
        <v>3063.4987927844763</v>
      </c>
      <c r="Z105" s="105">
        <v>13.447892302201105</v>
      </c>
      <c r="AA105" s="105">
        <v>2323.7957898203508</v>
      </c>
      <c r="AB105" s="105">
        <v>14.605871627353133</v>
      </c>
      <c r="AC105" s="105">
        <v>2523.8946172066212</v>
      </c>
      <c r="AD105" s="105">
        <v>18.486596253405569</v>
      </c>
      <c r="AE105" s="105">
        <v>3194.4838325884821</v>
      </c>
      <c r="AF105" s="105">
        <v>18.011077745125583</v>
      </c>
      <c r="AG105" s="105">
        <v>3112.3142343577006</v>
      </c>
      <c r="AH105" s="105">
        <v>17.797234999013405</v>
      </c>
      <c r="AI105" s="105">
        <v>3075.3622078295161</v>
      </c>
      <c r="AJ105" s="105">
        <v>16.163953902966245</v>
      </c>
      <c r="AK105" s="105">
        <v>2793.131234432567</v>
      </c>
      <c r="AL105" s="105">
        <v>18.344369339224869</v>
      </c>
      <c r="AM105" s="105">
        <v>3169.9070218180573</v>
      </c>
      <c r="AN105" s="105">
        <v>16.579979348744668</v>
      </c>
      <c r="AO105" s="105">
        <v>2865.0204314630782</v>
      </c>
      <c r="AP105" s="105">
        <v>17.173889056759403</v>
      </c>
      <c r="AQ105" s="105">
        <v>2967.6480290080244</v>
      </c>
      <c r="AR105" s="105">
        <v>15.766805158421622</v>
      </c>
      <c r="AS105" s="105">
        <v>2724.5039313752559</v>
      </c>
      <c r="AT105" s="105">
        <v>12.781455893394947</v>
      </c>
      <c r="AU105" s="105">
        <v>2208.6355783786466</v>
      </c>
      <c r="AV105" s="105">
        <v>18.270739416418348</v>
      </c>
      <c r="AW105" s="105">
        <v>3157.1837711570902</v>
      </c>
      <c r="AX105" s="105">
        <v>14.049457470120634</v>
      </c>
      <c r="AY105" s="105">
        <v>2427.7462508368453</v>
      </c>
      <c r="AZ105" s="105">
        <v>17.210585400897777</v>
      </c>
      <c r="BA105" s="105">
        <v>2973.9891572751358</v>
      </c>
      <c r="BB105" s="105">
        <v>17.210585400897777</v>
      </c>
      <c r="BC105" s="105">
        <v>2973.9891572751358</v>
      </c>
      <c r="BD105" s="105">
        <v>15.374220209238709</v>
      </c>
      <c r="BE105" s="105">
        <v>2656.6652521564488</v>
      </c>
      <c r="BF105" s="105">
        <v>12.124874255035616</v>
      </c>
      <c r="BG105" s="105">
        <v>2095.1782712701543</v>
      </c>
      <c r="BH105" s="105">
        <v>14.875896144833613</v>
      </c>
      <c r="BI105" s="105">
        <v>2570.5548538272478</v>
      </c>
      <c r="BJ105" s="105">
        <v>14.314541573330459</v>
      </c>
      <c r="BK105" s="105">
        <v>2473.5527838715029</v>
      </c>
      <c r="BL105" s="105">
        <v>15.805639653885713</v>
      </c>
      <c r="BM105" s="105">
        <v>2731.2145321914509</v>
      </c>
      <c r="BN105" s="105">
        <v>15.173414067730286</v>
      </c>
      <c r="BO105" s="105">
        <v>2621.9659509037933</v>
      </c>
      <c r="BP105" s="105">
        <v>16.023648476697932</v>
      </c>
      <c r="BQ105" s="105">
        <v>2768.8864567734026</v>
      </c>
      <c r="BR105" s="105">
        <v>16.449994268072899</v>
      </c>
      <c r="BS105" s="105">
        <v>2842.5590095229968</v>
      </c>
      <c r="BT105" s="105">
        <v>13.330057539421686</v>
      </c>
      <c r="BU105" s="105">
        <v>2303.433942812067</v>
      </c>
      <c r="BV105" s="105">
        <v>15.859583816526962</v>
      </c>
      <c r="BW105" s="105">
        <v>2740.5360834958587</v>
      </c>
      <c r="BX105" s="105">
        <v>17.210585400897777</v>
      </c>
      <c r="BY105" s="105">
        <v>2973.9891572751358</v>
      </c>
      <c r="BZ105" s="105">
        <v>17.267432916672831</v>
      </c>
      <c r="CA105" s="105">
        <v>2983.8124080010648</v>
      </c>
      <c r="CB105" s="105">
        <v>11.614088806446409</v>
      </c>
      <c r="CC105" s="105">
        <v>2006.9145457539394</v>
      </c>
      <c r="CD105" s="105">
        <v>18.493053888984438</v>
      </c>
      <c r="CE105" s="105">
        <v>3195.5997120165107</v>
      </c>
      <c r="CF105" s="105">
        <v>13.286958046222633</v>
      </c>
      <c r="CG105" s="105">
        <v>2295.9863503872707</v>
      </c>
      <c r="CH105" s="105">
        <v>13.975512957119999</v>
      </c>
      <c r="CI105" s="105">
        <v>2414.9686389903359</v>
      </c>
      <c r="CJ105" s="105">
        <v>14.709294706795374</v>
      </c>
      <c r="CK105" s="105">
        <v>2541.7661253342403</v>
      </c>
      <c r="CL105" s="105">
        <v>17.27703553758078</v>
      </c>
      <c r="CM105" s="105">
        <v>2985.4717408939582</v>
      </c>
      <c r="CN105" s="105">
        <v>15.665766736594689</v>
      </c>
      <c r="CO105" s="105">
        <v>2707.0444920835621</v>
      </c>
      <c r="CP105" s="105">
        <v>15.033814362931635</v>
      </c>
      <c r="CQ105" s="105">
        <v>2597.8431219145864</v>
      </c>
      <c r="CR105" s="105">
        <v>14.887269154118654</v>
      </c>
      <c r="CS105" s="105">
        <v>2572.5201098317029</v>
      </c>
      <c r="CT105" s="105">
        <v>17.527045952823762</v>
      </c>
      <c r="CU105" s="105">
        <v>3028.6735406479456</v>
      </c>
    </row>
    <row r="107" spans="2:99" x14ac:dyDescent="0.2">
      <c r="B107" s="109" t="s">
        <v>276</v>
      </c>
    </row>
    <row r="108" spans="2:99" x14ac:dyDescent="0.2">
      <c r="C108" s="104" t="s">
        <v>277</v>
      </c>
      <c r="D108" s="104" t="s">
        <v>92</v>
      </c>
      <c r="E108" s="104" t="s">
        <v>93</v>
      </c>
      <c r="F108" s="104" t="s">
        <v>94</v>
      </c>
      <c r="G108" s="104" t="s">
        <v>95</v>
      </c>
      <c r="H108" s="104" t="s">
        <v>96</v>
      </c>
      <c r="I108" s="104" t="s">
        <v>97</v>
      </c>
      <c r="J108" s="104" t="s">
        <v>98</v>
      </c>
      <c r="K108" s="104" t="s">
        <v>99</v>
      </c>
      <c r="L108" s="104" t="s">
        <v>100</v>
      </c>
      <c r="M108" s="104" t="s">
        <v>101</v>
      </c>
      <c r="N108" s="104" t="s">
        <v>102</v>
      </c>
      <c r="O108" s="104" t="s">
        <v>103</v>
      </c>
    </row>
    <row r="109" spans="2:99" x14ac:dyDescent="0.2">
      <c r="C109" s="104" t="s">
        <v>126</v>
      </c>
      <c r="D109" s="105">
        <f>SUM(D$6:D$19)+SUM(F$6:F$19)+SUM(H$6:H$19)+SUM(J$6:J$19)</f>
        <v>0</v>
      </c>
      <c r="E109" s="105">
        <f>SUM(L$6:L$19)+SUM(N$6:N$19)+SUM(P$6:P$19)+SUM(R$6:R$19)</f>
        <v>897.74252006764004</v>
      </c>
      <c r="F109" s="105">
        <f>SUM(T$6:T$19)+SUM(V$6:V$19)+SUM(X$6:X$19)+SUM(Z$6:Z$19)</f>
        <v>740.44247436741944</v>
      </c>
      <c r="G109" s="105">
        <f>SUM(AB$6:AB$19)+SUM(AD$6:AD$19)+SUM(AF$6:AF$19)+SUM(AH$6:AH$19)</f>
        <v>895.00270185991076</v>
      </c>
      <c r="H109" s="105">
        <f>SUM(AJ$6:AJ$19)+SUM(AL$6:AL$19)+SUM(AN$6:AN$19)+SUM(AP$6:AP$19)</f>
        <v>700.60560091120294</v>
      </c>
      <c r="I109" s="105">
        <f>SUM(AR$6:AR$19)+SUM(AT$6:AT$19)+SUM(AV$6:AV$19)+SUM(AX$6:AX$19)</f>
        <v>733.03511404463472</v>
      </c>
      <c r="J109" s="105">
        <f>SUM(AZ$6:AZ$19)+SUM(BB$6:BB$19)+SUM(BD$6:BD$19)+SUM(BF$6:BF$19)</f>
        <v>783.75813077486043</v>
      </c>
      <c r="K109" s="105">
        <f>SUM(BH$6:BH$19)+SUM(BJ$6:BJ$19)+SUM(BL$6:BL$19)+SUM(BN$6:BN$19)</f>
        <v>713.3118211904897</v>
      </c>
      <c r="L109" s="105">
        <f>SUM(BP$6:BP$19)+SUM(BR$6:BR$19)+SUM(BT$6:BT$19)+SUM(BV$6:BV$19)</f>
        <v>820.43686861637798</v>
      </c>
      <c r="M109" s="105">
        <f>SUM(BX$6:BX$19)+SUM(BZ$6:BZ$19)+SUM(CB$6:CB$19)+SUM(CD$6:CD$19)</f>
        <v>885.04214349137533</v>
      </c>
      <c r="N109" s="105">
        <f>SUM(CF$6:CF$19)+SUM(CH$6:CH$19)+SUM(CJ$6:CJ$19)+SUM(CL$6:CL$19)</f>
        <v>686.59911243189106</v>
      </c>
      <c r="O109" s="105">
        <f>SUM(CN$6:CN$19)+SUM(CP$6:CP$19)+SUM(CR$6:CR$19)+SUM(CT$6:CT$19)</f>
        <v>897.46601466884601</v>
      </c>
    </row>
    <row r="110" spans="2:99" x14ac:dyDescent="0.2">
      <c r="C110" s="104" t="s">
        <v>127</v>
      </c>
      <c r="D110" s="105">
        <f>SUM(D$20:D$36)+SUM(F$20:F$36)+SUM(H$20:H$36)+SUM(J$20:J$36)</f>
        <v>0</v>
      </c>
      <c r="E110" s="105">
        <f>SUM(L$20:L$36)+SUM(N$20:N$36)+SUM(P$20:P$36)+SUM(R$20:R$36)</f>
        <v>928.93872025824783</v>
      </c>
      <c r="F110" s="105">
        <f>SUM(T$20:T$36)+SUM(V$20:V$36)+SUM(X$20:X$36)+SUM(Z$20:Z$36)</f>
        <v>831.2071272102213</v>
      </c>
      <c r="G110" s="105">
        <f>SUM(AB$20:AB$36)+SUM(AD$20:AD$36)+SUM(AF$20:AF$36)+SUM(AH$20:AH$36)</f>
        <v>1086.8322626957242</v>
      </c>
      <c r="H110" s="105">
        <f>SUM(AJ$20:AJ$36)+SUM(AL$20:AL$36)+SUM(AN$20:AN$36)+SUM(AP$20:AP$36)</f>
        <v>1068.7509556120474</v>
      </c>
      <c r="I110" s="105">
        <f>SUM(AR$20:AR$36)+SUM(AT$20:AT$36)+SUM(AV$20:AV$36)+SUM(AX$20:AX$36)</f>
        <v>1010.005381735635</v>
      </c>
      <c r="J110" s="105">
        <f>SUM(AZ$20:AZ$36)+SUM(BB$20:BB$36)+SUM(BD$20:BD$36)+SUM(BF$20:BF$36)</f>
        <v>1079.3345247627472</v>
      </c>
      <c r="K110" s="105">
        <f>SUM(BH$20:BH$36)+SUM(BJ$20:BJ$36)+SUM(BL$20:BL$36)+SUM(BN$20:BN$36)</f>
        <v>918.02037065741786</v>
      </c>
      <c r="L110" s="105">
        <f>SUM(BP$20:BP$36)+SUM(BR$20:BR$36)+SUM(BT$20:BT$36)+SUM(BV$20:BV$36)</f>
        <v>1033.114753290113</v>
      </c>
      <c r="M110" s="105">
        <f>SUM(BX$20:BX$36)+SUM(BZ$20:BZ$36)+SUM(CB$20:CB$36)+SUM(CD$20:CD$36)</f>
        <v>994.06473357588391</v>
      </c>
      <c r="N110" s="105">
        <f>SUM(CF$20:CF$36)+SUM(CH$20:CH$36)+SUM(CJ$20:CJ$36)+SUM(CL$20:CL$36)</f>
        <v>979.82848260780804</v>
      </c>
      <c r="O110" s="105">
        <f>SUM(CN$20:CN$36)+SUM(CP$20:CP$36)+SUM(CR$20:CR$36)+SUM(CT$20:CT$36)</f>
        <v>909.37614677389342</v>
      </c>
    </row>
    <row r="111" spans="2:99" x14ac:dyDescent="0.2">
      <c r="C111" s="104" t="s">
        <v>128</v>
      </c>
      <c r="D111" s="105">
        <f>SUM(D$37:D$48)+SUM(F$37:F$48)+SUM(H$37:H$48)+SUM(J$37:J$48)</f>
        <v>0</v>
      </c>
      <c r="E111" s="105">
        <f>SUM(L$37:L$48)+SUM(N$37:N$48)+SUM(P$37:P$48)+SUM(R$37:R$48)</f>
        <v>563.74543583591139</v>
      </c>
      <c r="F111" s="105">
        <f>SUM(T$37:T$48)+SUM(V$37:V$48)+SUM(X$37:X$48)+SUM(Z$37:Z$48)</f>
        <v>472.73066363444366</v>
      </c>
      <c r="G111" s="105">
        <f>SUM(AB$37:AB$48)+SUM(AD$37:AD$48)+SUM(AF$37:AF$48)+SUM(AH$37:AH$48)</f>
        <v>488.82354404533146</v>
      </c>
      <c r="H111" s="105">
        <f>SUM(AJ$37:AJ$48)+SUM(AL$37:AL$48)+SUM(AN$37:AN$48)+SUM(AP$37:AP$48)</f>
        <v>555.41619340993759</v>
      </c>
      <c r="I111" s="105">
        <f>SUM(AR$37:AR$48)+SUM(AT$37:AT$48)+SUM(AV$37:AV$48)+SUM(AX$37:AX$48)</f>
        <v>488.23575773259745</v>
      </c>
      <c r="J111" s="105">
        <f>SUM(AZ$37:AZ$48)+SUM(BB$37:BB$48)+SUM(BD$37:BD$48)+SUM(BF$37:BF$48)</f>
        <v>399.99719958127633</v>
      </c>
      <c r="K111" s="105">
        <f>SUM(BH$37:BH$48)+SUM(BJ$37:BJ$48)+SUM(BL$37:BL$48)+SUM(BN$37:BN$48)</f>
        <v>467.05684967668418</v>
      </c>
      <c r="L111" s="105">
        <f>SUM(BP$37:BP$48)+SUM(BR$37:BR$48)+SUM(BT$37:BT$48)+SUM(BV$37:BV$48)</f>
        <v>457.76095265522872</v>
      </c>
      <c r="M111" s="105">
        <f>SUM(BX$37:BX$48)+SUM(BZ$37:BZ$48)+SUM(CB$37:CB$48)+SUM(CD$37:CD$48)</f>
        <v>427.58261536747034</v>
      </c>
      <c r="N111" s="105">
        <f>SUM(CF$37:CF$48)+SUM(CH$37:CH$48)+SUM(CJ$37:CJ$48)+SUM(CL$37:CL$48)</f>
        <v>425.20347400598985</v>
      </c>
      <c r="O111" s="105">
        <f>SUM(CN$37:CN$48)+SUM(CP$37:CP$48)+SUM(CR$37:CR$48)+SUM(CT$37:CT$48)</f>
        <v>502.8534458139095</v>
      </c>
    </row>
    <row r="112" spans="2:99" x14ac:dyDescent="0.2">
      <c r="C112" s="104" t="s">
        <v>129</v>
      </c>
      <c r="D112" s="105">
        <f>SUM(D$49:D$70)+SUM(F$49:F$70)+SUM(H$49:H$70)+SUM(J$49:J$70)</f>
        <v>5.6170212765957448</v>
      </c>
      <c r="E112" s="105">
        <f>SUM(L$49:L$70)+SUM(N$49:N$70)+SUM(P$49:P$70)+SUM(R$49:R$70)</f>
        <v>1003.4025336365214</v>
      </c>
      <c r="F112" s="105">
        <f>SUM(T$49:T$70)+SUM(V$49:V$70)+SUM(X$49:X$70)+SUM(Z$49:Z$70)</f>
        <v>1086.2715827325992</v>
      </c>
      <c r="G112" s="105">
        <f>SUM(AB$49:AB$70)+SUM(AD$49:AD$70)+SUM(AF$49:AF$70)+SUM(AH$49:AH$70)</f>
        <v>846.60988346426143</v>
      </c>
      <c r="H112" s="105">
        <f>SUM(AJ$49:AJ$70)+SUM(AL$49:AL$70)+SUM(AN$49:AN$70)+SUM(AP$49:AP$70)</f>
        <v>1054.2379790251266</v>
      </c>
      <c r="I112" s="105">
        <f>SUM(AR$49:AR$70)+SUM(AT$49:AT$70)+SUM(AV$49:AV$70)+SUM(AX$49:AX$70)</f>
        <v>1016.510657565418</v>
      </c>
      <c r="J112" s="105">
        <f>SUM(AZ$49:AZ$70)+SUM(BB$49:BB$70)+SUM(BD$49:BD$70)+SUM(BF$49:BF$70)</f>
        <v>935.21956689034891</v>
      </c>
      <c r="K112" s="105">
        <f>SUM(BH$49:BH$70)+SUM(BJ$49:BJ$70)+SUM(BL$49:BL$70)+SUM(BN$49:BN$70)</f>
        <v>982.33701805695966</v>
      </c>
      <c r="L112" s="105">
        <f>SUM(BP$49:BP$70)+SUM(BR$49:BR$70)+SUM(BT$49:BT$70)+SUM(BV$49:BV$70)</f>
        <v>1028.1099222032033</v>
      </c>
      <c r="M112" s="105">
        <f>SUM(BX$49:BX$70)+SUM(BZ$49:BZ$70)+SUM(CB$49:CB$70)+SUM(CD$49:CD$70)</f>
        <v>1033.5022604705346</v>
      </c>
      <c r="N112" s="105">
        <f>SUM(CF$49:CF$70)+SUM(CH$49:CH$70)+SUM(CJ$49:CJ$70)+SUM(CL$49:CL$70)</f>
        <v>958.13722761254314</v>
      </c>
      <c r="O112" s="105">
        <f>SUM(CN$49:CN$70)+SUM(CP$49:CP$70)+SUM(CR$49:CR$70)+SUM(CT$49:CT$70)</f>
        <v>991.16927704158036</v>
      </c>
    </row>
    <row r="113" spans="2:15" x14ac:dyDescent="0.2">
      <c r="C113" s="104" t="s">
        <v>130</v>
      </c>
      <c r="D113" s="105">
        <f>SUM(D$71:D$86)+SUM(F$71:F$86)+SUM(H$71:H$86)+SUM(J$71:J$86)</f>
        <v>14.978723404255327</v>
      </c>
      <c r="E113" s="105">
        <f>SUM(L$71:L$86)+SUM(N$71:N$86)+SUM(P$71:P$86)+SUM(R$71:R$86)</f>
        <v>467.70188822493606</v>
      </c>
      <c r="F113" s="105">
        <f>SUM(T$71:T$86)+SUM(V$71:V$86)+SUM(X$71:X$86)+SUM(Z$71:Z$86)</f>
        <v>340.16373145886593</v>
      </c>
      <c r="G113" s="105">
        <f>SUM(AB$71:AB$86)+SUM(AD$71:AD$86)+SUM(AF$71:AF$86)+SUM(AH$71:AH$86)</f>
        <v>365.7402010582806</v>
      </c>
      <c r="H113" s="105">
        <f>SUM(AJ$71:AJ$86)+SUM(AL$71:AL$86)+SUM(AN$71:AN$86)+SUM(AP$71:AP$86)</f>
        <v>332.27397601650182</v>
      </c>
      <c r="I113" s="105">
        <f>SUM(AR$71:AR$86)+SUM(AT$71:AT$86)+SUM(AV$71:AV$86)+SUM(AX$71:AX$86)</f>
        <v>379.7012603879985</v>
      </c>
      <c r="J113" s="105">
        <f>SUM(AZ$71:AZ$86)+SUM(BB$71:BB$86)+SUM(BD$71:BD$86)+SUM(BF$71:BF$86)</f>
        <v>361.12407475214593</v>
      </c>
      <c r="K113" s="105">
        <f>SUM(BH$71:BH$86)+SUM(BJ$71:BJ$86)+SUM(BL$71:BL$86)+SUM(BN$71:BN$86)</f>
        <v>366.53399504061065</v>
      </c>
      <c r="L113" s="105">
        <f>SUM(BP$71:BP$86)+SUM(BR$71:BR$86)+SUM(BT$71:BT$86)+SUM(BV$71:BV$86)</f>
        <v>347.24785677781898</v>
      </c>
      <c r="M113" s="105">
        <f>SUM(BX$71:BX$86)+SUM(BZ$71:BZ$86)+SUM(CB$71:CB$86)+SUM(CD$71:CD$86)</f>
        <v>354.94729490368422</v>
      </c>
      <c r="N113" s="105">
        <f>SUM(CF$71:CF$86)+SUM(CH$71:CH$86)+SUM(CJ$71:CJ$86)+SUM(CL$71:CL$86)</f>
        <v>374.31821927714435</v>
      </c>
      <c r="O113" s="105">
        <f>SUM(CN$71:CN$86)+SUM(CP$71:CP$86)+SUM(CR$71:CR$86)+SUM(CT$71:CT$86)</f>
        <v>364.16644060606677</v>
      </c>
    </row>
    <row r="114" spans="2:15" x14ac:dyDescent="0.2">
      <c r="C114" s="104" t="s">
        <v>131</v>
      </c>
      <c r="D114" s="105">
        <f>SUM(D$87:D$94)+SUM(F$87:F$94)+SUM(H$87:H$94)+SUM(J$87:J$94)</f>
        <v>0</v>
      </c>
      <c r="E114" s="105">
        <f>SUM(L$87:L$94)+SUM(N$87:N$94)+SUM(P$87:P$94)+SUM(R$87:R$94)</f>
        <v>321.08775968716986</v>
      </c>
      <c r="F114" s="105">
        <f>SUM(T$87:T$94)+SUM(V$87:V$94)+SUM(X$87:X$94)+SUM(Z$87:Z$94)</f>
        <v>371.64040577573235</v>
      </c>
      <c r="G114" s="105">
        <f>SUM(AB$87:AB$94)+SUM(AD$87:AD$94)+SUM(AF$87:AF$94)+SUM(AH$87:AH$94)</f>
        <v>306.15725507947286</v>
      </c>
      <c r="H114" s="105">
        <f>SUM(AJ$87:AJ$94)+SUM(AL$87:AL$94)+SUM(AN$87:AN$94)+SUM(AP$87:AP$94)</f>
        <v>313.13513150390799</v>
      </c>
      <c r="I114" s="105">
        <f>SUM(AR$87:AR$94)+SUM(AT$87:AT$94)+SUM(AV$87:AV$94)+SUM(AX$87:AX$94)</f>
        <v>391.75897698720121</v>
      </c>
      <c r="J114" s="105">
        <f>SUM(AZ$87:AZ$94)+SUM(BB$87:BB$94)+SUM(BD$87:BD$94)+SUM(BF$87:BF$94)</f>
        <v>344.23065139286001</v>
      </c>
      <c r="K114" s="105">
        <f>SUM(BH$87:BH$94)+SUM(BJ$87:BJ$94)+SUM(BL$87:BL$94)+SUM(BN$87:BN$94)</f>
        <v>376.7780177791343</v>
      </c>
      <c r="L114" s="105">
        <f>SUM(BP$87:BP$94)+SUM(BR$87:BR$94)+SUM(BT$87:BT$94)+SUM(BV$87:BV$94)</f>
        <v>373.77115600449628</v>
      </c>
      <c r="M114" s="105">
        <f>SUM(BX$87:BX$94)+SUM(BZ$87:BZ$94)+SUM(CB$87:CB$94)+SUM(CD$87:CD$94)</f>
        <v>345.10079085059692</v>
      </c>
      <c r="N114" s="105">
        <f>SUM(CF$87:CF$94)+SUM(CH$87:CH$94)+SUM(CJ$87:CJ$94)+SUM(CL$87:CL$94)</f>
        <v>393.25503728780711</v>
      </c>
      <c r="O114" s="105">
        <f>SUM(CN$87:CN$94)+SUM(CP$87:CP$94)+SUM(CR$87:CR$94)+SUM(CT$87:CT$94)</f>
        <v>363.56114043985696</v>
      </c>
    </row>
    <row r="115" spans="2:15" x14ac:dyDescent="0.2">
      <c r="C115" s="104" t="s">
        <v>132</v>
      </c>
      <c r="D115" s="105">
        <f>SUM(D$95:D$105)+SUM(F$95:F$105)+SUM(H$95:H$105)+SUM(J$95:J$105)</f>
        <v>1.404255319148936</v>
      </c>
      <c r="E115" s="105">
        <f>SUM(L$95:L$105)+SUM(N$95:N$105)+SUM(P$95:P$105)+SUM(R$95:R$105)</f>
        <v>727.94075357024462</v>
      </c>
      <c r="F115" s="105">
        <f>SUM(T$95:T$105)+SUM(V$95:V$105)+SUM(X$95:X$105)+SUM(Z$95:Z$105)</f>
        <v>641.22840284653557</v>
      </c>
      <c r="G115" s="105">
        <f>SUM(AB$95:AB$105)+SUM(AD$95:AD$105)+SUM(AF$95:AF$105)+SUM(AH$95:AH$105)</f>
        <v>735.86093087898678</v>
      </c>
      <c r="H115" s="105">
        <f>SUM(AJ$95:AJ$105)+SUM(AL$95:AL$105)+SUM(AN$95:AN$105)+SUM(AP$95:AP$105)</f>
        <v>724.01305800532816</v>
      </c>
      <c r="I115" s="105">
        <f>SUM(AR$95:AR$105)+SUM(AT$95:AT$105)+SUM(AV$95:AV$105)+SUM(AX$95:AX$105)</f>
        <v>609.6405432368008</v>
      </c>
      <c r="J115" s="105">
        <f>SUM(AZ$95:AZ$105)+SUM(BB$95:BB$105)+SUM(BD$95:BD$105)+SUM(BF$95:BF$105)</f>
        <v>682.9276251958396</v>
      </c>
      <c r="K115" s="105">
        <f>SUM(BH$95:BH$105)+SUM(BJ$95:BJ$105)+SUM(BL$95:BL$105)+SUM(BN$95:BN$105)</f>
        <v>646.96124691777595</v>
      </c>
      <c r="L115" s="105">
        <f>SUM(BP$95:BP$105)+SUM(BR$95:BR$105)+SUM(BT$95:BT$105)+SUM(BV$95:BV$105)</f>
        <v>635.33869081498949</v>
      </c>
      <c r="M115" s="105">
        <f>SUM(BX$95:BX$105)+SUM(BZ$95:BZ$105)+SUM(CB$95:CB$105)+SUM(CD$95:CD$105)</f>
        <v>676.60006596469373</v>
      </c>
      <c r="N115" s="105">
        <f>SUM(CF$95:CF$105)+SUM(CH$95:CH$105)+SUM(CJ$95:CJ$105)+SUM(CL$95:CL$105)</f>
        <v>622.02841014874491</v>
      </c>
      <c r="O115" s="105">
        <f>SUM(CN$95:CN$105)+SUM(CP$95:CP$105)+SUM(CR$95:CR$105)+SUM(CT$95:CT$105)</f>
        <v>660.48375798480606</v>
      </c>
    </row>
    <row r="116" spans="2:15" x14ac:dyDescent="0.2">
      <c r="C116" s="104" t="s">
        <v>278</v>
      </c>
      <c r="D116" s="105">
        <f t="shared" ref="D116:O116" si="0">SUM(D$109:D$115)</f>
        <v>22.000000000000007</v>
      </c>
      <c r="E116" s="105">
        <f t="shared" si="0"/>
        <v>4910.5596112806707</v>
      </c>
      <c r="F116" s="105">
        <f t="shared" si="0"/>
        <v>4483.6843880258175</v>
      </c>
      <c r="G116" s="105">
        <f t="shared" si="0"/>
        <v>4725.026779081968</v>
      </c>
      <c r="H116" s="105">
        <f t="shared" si="0"/>
        <v>4748.4328944840518</v>
      </c>
      <c r="I116" s="105">
        <f t="shared" si="0"/>
        <v>4628.8876916902855</v>
      </c>
      <c r="J116" s="105">
        <f t="shared" si="0"/>
        <v>4586.5917733500783</v>
      </c>
      <c r="K116" s="105">
        <f t="shared" si="0"/>
        <v>4470.9993193190721</v>
      </c>
      <c r="L116" s="105">
        <f t="shared" si="0"/>
        <v>4695.7802003622282</v>
      </c>
      <c r="M116" s="105">
        <f t="shared" si="0"/>
        <v>4716.8399046242384</v>
      </c>
      <c r="N116" s="105">
        <f t="shared" si="0"/>
        <v>4439.369963371928</v>
      </c>
      <c r="O116" s="105">
        <f t="shared" si="0"/>
        <v>4689.0762233289588</v>
      </c>
    </row>
    <row r="118" spans="2:15" x14ac:dyDescent="0.2">
      <c r="B118" s="108" t="s">
        <v>279</v>
      </c>
    </row>
    <row r="119" spans="2:15" x14ac:dyDescent="0.2">
      <c r="C119" s="104" t="s">
        <v>277</v>
      </c>
      <c r="D119" s="104" t="s">
        <v>92</v>
      </c>
      <c r="E119" s="104" t="s">
        <v>93</v>
      </c>
      <c r="F119" s="104" t="s">
        <v>94</v>
      </c>
      <c r="G119" s="104" t="s">
        <v>95</v>
      </c>
      <c r="H119" s="104" t="s">
        <v>96</v>
      </c>
      <c r="I119" s="104" t="s">
        <v>97</v>
      </c>
      <c r="J119" s="104" t="s">
        <v>98</v>
      </c>
      <c r="K119" s="104" t="s">
        <v>99</v>
      </c>
      <c r="L119" s="104" t="s">
        <v>100</v>
      </c>
      <c r="M119" s="104" t="s">
        <v>101</v>
      </c>
      <c r="N119" s="104" t="s">
        <v>102</v>
      </c>
      <c r="O119" s="104" t="s">
        <v>103</v>
      </c>
    </row>
    <row r="120" spans="2:15" x14ac:dyDescent="0.2">
      <c r="C120" s="104" t="s">
        <v>126</v>
      </c>
      <c r="D120" s="105">
        <f>D109*pricing!D6*2000</f>
        <v>0</v>
      </c>
      <c r="E120" s="105">
        <f>E109*pricing!E6*2000</f>
        <v>3411421.5762570319</v>
      </c>
      <c r="F120" s="105">
        <f>F109*pricing!F6*2000</f>
        <v>2813681.4025961938</v>
      </c>
      <c r="G120" s="105">
        <f>G109*pricing!G6*2000</f>
        <v>3401010.2670676606</v>
      </c>
      <c r="H120" s="105">
        <f>H109*pricing!H6*2000</f>
        <v>2662301.283462571</v>
      </c>
      <c r="I120" s="105">
        <f>I109*pricing!I6*2000</f>
        <v>2785533.4333696119</v>
      </c>
      <c r="J120" s="105">
        <f>J109*pricing!J6*2000</f>
        <v>2978280.8969444693</v>
      </c>
      <c r="K120" s="105">
        <f>K109*pricing!K6*2000</f>
        <v>2710584.9205238605</v>
      </c>
      <c r="L120" s="105">
        <f>L109*pricing!L6*2000</f>
        <v>3117660.1007422358</v>
      </c>
      <c r="M120" s="105">
        <f>M109*pricing!M6*2000</f>
        <v>3363160.1452672263</v>
      </c>
      <c r="N120" s="105">
        <f>N109*pricing!N6*2000</f>
        <v>2609076.6272411859</v>
      </c>
      <c r="O120" s="105">
        <f>O109*pricing!O6*2000</f>
        <v>3410370.8557416149</v>
      </c>
    </row>
    <row r="121" spans="2:15" x14ac:dyDescent="0.2">
      <c r="C121" s="104" t="s">
        <v>127</v>
      </c>
      <c r="D121" s="105">
        <f>D110*pricing!D7*2000</f>
        <v>0</v>
      </c>
      <c r="E121" s="105">
        <f>E110*pricing!E7*2000</f>
        <v>4273118.1131879389</v>
      </c>
      <c r="F121" s="105">
        <f>F110*pricing!F7*2000</f>
        <v>3823552.7851670175</v>
      </c>
      <c r="G121" s="105">
        <f>G110*pricing!G7*2000</f>
        <v>4999428.4084003307</v>
      </c>
      <c r="H121" s="105">
        <f>H110*pricing!H7*2000</f>
        <v>4916254.3958154172</v>
      </c>
      <c r="I121" s="105">
        <f>I110*pricing!I7*2000</f>
        <v>4646024.7559839208</v>
      </c>
      <c r="J121" s="105">
        <f>J110*pricing!J7*2000</f>
        <v>4964938.8139086366</v>
      </c>
      <c r="K121" s="105">
        <f>K110*pricing!K7*2000</f>
        <v>4222893.7050241223</v>
      </c>
      <c r="L121" s="105">
        <f>L110*pricing!L7*2000</f>
        <v>4752327.8651345186</v>
      </c>
      <c r="M121" s="105">
        <f>M110*pricing!M7*2000</f>
        <v>4572697.7744490663</v>
      </c>
      <c r="N121" s="105">
        <f>N110*pricing!N7*2000</f>
        <v>4507211.0199959166</v>
      </c>
      <c r="O121" s="105">
        <f>O110*pricing!O7*2000</f>
        <v>4183130.2751599094</v>
      </c>
    </row>
    <row r="122" spans="2:15" x14ac:dyDescent="0.2">
      <c r="C122" s="104" t="s">
        <v>128</v>
      </c>
      <c r="D122" s="105">
        <f>D111*pricing!D8*2000</f>
        <v>0</v>
      </c>
      <c r="E122" s="105">
        <f>E111*pricing!E8*2000</f>
        <v>2705978.0920123742</v>
      </c>
      <c r="F122" s="105">
        <f>F111*pricing!F8*2000</f>
        <v>2269107.1854453292</v>
      </c>
      <c r="G122" s="105">
        <f>G111*pricing!G8*2000</f>
        <v>2346353.011417591</v>
      </c>
      <c r="H122" s="105">
        <f>H111*pricing!H8*2000</f>
        <v>2665997.7283677002</v>
      </c>
      <c r="I122" s="105">
        <f>I111*pricing!I8*2000</f>
        <v>2343531.6371164676</v>
      </c>
      <c r="J122" s="105">
        <f>J111*pricing!J8*2000</f>
        <v>1919986.5579901263</v>
      </c>
      <c r="K122" s="105">
        <f>K111*pricing!K8*2000</f>
        <v>2241872.878448084</v>
      </c>
      <c r="L122" s="105">
        <f>L111*pricing!L8*2000</f>
        <v>2197252.5727450978</v>
      </c>
      <c r="M122" s="105">
        <f>M111*pricing!M8*2000</f>
        <v>2052396.5537638573</v>
      </c>
      <c r="N122" s="105">
        <f>N111*pricing!N8*2000</f>
        <v>2040976.6752287513</v>
      </c>
      <c r="O122" s="105">
        <f>O111*pricing!O8*2000</f>
        <v>2413696.5399067653</v>
      </c>
    </row>
    <row r="123" spans="2:15" x14ac:dyDescent="0.2">
      <c r="C123" s="104" t="s">
        <v>129</v>
      </c>
      <c r="D123" s="105">
        <f>D112*pricing!D9*2000</f>
        <v>34825.531914893618</v>
      </c>
      <c r="E123" s="105">
        <f>E112*pricing!E9*2000</f>
        <v>4414971.1480006948</v>
      </c>
      <c r="F123" s="105">
        <f>F112*pricing!F9*2000</f>
        <v>4779594.9640234364</v>
      </c>
      <c r="G123" s="105">
        <f>G112*pricing!G9*2000</f>
        <v>3725083.4872427504</v>
      </c>
      <c r="H123" s="105">
        <f>H112*pricing!H9*2000</f>
        <v>4638647.1077105571</v>
      </c>
      <c r="I123" s="105">
        <f>I112*pricing!I9*2000</f>
        <v>4472646.8932878394</v>
      </c>
      <c r="J123" s="105">
        <f>J112*pricing!J9*2000</f>
        <v>4114966.0943175359</v>
      </c>
      <c r="K123" s="105">
        <f>K112*pricing!K9*2000</f>
        <v>4322282.8794506229</v>
      </c>
      <c r="L123" s="105">
        <f>L112*pricing!L9*2000</f>
        <v>4523683.6576940948</v>
      </c>
      <c r="M123" s="105">
        <f>M112*pricing!M9*2000</f>
        <v>4547409.9460703526</v>
      </c>
      <c r="N123" s="105">
        <f>N112*pricing!N9*2000</f>
        <v>4215803.8014951898</v>
      </c>
      <c r="O123" s="105">
        <f>O112*pricing!O9*2000</f>
        <v>4361144.8189829541</v>
      </c>
    </row>
    <row r="124" spans="2:15" x14ac:dyDescent="0.2">
      <c r="C124" s="104" t="s">
        <v>130</v>
      </c>
      <c r="D124" s="105">
        <f>D113*pricing!D10*2000</f>
        <v>92868.08510638302</v>
      </c>
      <c r="E124" s="105">
        <f>E113*pricing!E10*2000</f>
        <v>2385279.6299471739</v>
      </c>
      <c r="F124" s="105">
        <f>F113*pricing!F10*2000</f>
        <v>1734835.0304402162</v>
      </c>
      <c r="G124" s="105">
        <f>G113*pricing!G10*2000</f>
        <v>1865275.0253972311</v>
      </c>
      <c r="H124" s="105">
        <f>H113*pricing!H10*2000</f>
        <v>1694597.2776841591</v>
      </c>
      <c r="I124" s="105">
        <f>I113*pricing!I10*2000</f>
        <v>1936476.4279787922</v>
      </c>
      <c r="J124" s="105">
        <f>J113*pricing!J10*2000</f>
        <v>1841732.781235944</v>
      </c>
      <c r="K124" s="105">
        <f>K113*pricing!K10*2000</f>
        <v>1869323.3747071142</v>
      </c>
      <c r="L124" s="105">
        <f>L113*pricing!L10*2000</f>
        <v>1770964.0695668769</v>
      </c>
      <c r="M124" s="105">
        <f>M113*pricing!M10*2000</f>
        <v>1810231.2040087895</v>
      </c>
      <c r="N124" s="105">
        <f>N113*pricing!N10*2000</f>
        <v>1909022.9183134362</v>
      </c>
      <c r="O124" s="105">
        <f>O113*pricing!O10*2000</f>
        <v>1857248.8470909405</v>
      </c>
    </row>
    <row r="125" spans="2:15" x14ac:dyDescent="0.2">
      <c r="C125" s="104" t="s">
        <v>131</v>
      </c>
      <c r="D125" s="105">
        <f>D114*pricing!D11*2000</f>
        <v>0</v>
      </c>
      <c r="E125" s="105">
        <f>E114*pricing!E11*2000</f>
        <v>1226555.2420049889</v>
      </c>
      <c r="F125" s="105">
        <f>F114*pricing!F11*2000</f>
        <v>1419666.3500632977</v>
      </c>
      <c r="G125" s="105">
        <f>G114*pricing!G11*2000</f>
        <v>1169520.7144035862</v>
      </c>
      <c r="H125" s="105">
        <f>H114*pricing!H11*2000</f>
        <v>1196176.2023449284</v>
      </c>
      <c r="I125" s="105">
        <f>I114*pricing!I11*2000</f>
        <v>1496519.2920911086</v>
      </c>
      <c r="J125" s="105">
        <f>J114*pricing!J11*2000</f>
        <v>1314961.0883207251</v>
      </c>
      <c r="K125" s="105">
        <f>K114*pricing!K11*2000</f>
        <v>1439292.0279162929</v>
      </c>
      <c r="L125" s="105">
        <f>L114*pricing!L11*2000</f>
        <v>1427805.8159371759</v>
      </c>
      <c r="M125" s="105">
        <f>M114*pricing!M11*2000</f>
        <v>1318285.0210492802</v>
      </c>
      <c r="N125" s="105">
        <f>N114*pricing!N11*2000</f>
        <v>1502234.242439423</v>
      </c>
      <c r="O125" s="105">
        <f>O114*pricing!O11*2000</f>
        <v>1388803.5564802536</v>
      </c>
    </row>
    <row r="126" spans="2:15" x14ac:dyDescent="0.2">
      <c r="C126" s="104" t="s">
        <v>132</v>
      </c>
      <c r="D126" s="105">
        <f>D115*pricing!D12*2000</f>
        <v>11234.042553191488</v>
      </c>
      <c r="E126" s="105">
        <f>E115*pricing!E12*2000</f>
        <v>2591469.082710071</v>
      </c>
      <c r="F126" s="105">
        <f>F115*pricing!F12*2000</f>
        <v>2282773.1141336667</v>
      </c>
      <c r="G126" s="105">
        <f>G115*pricing!G12*2000</f>
        <v>2619664.9139291933</v>
      </c>
      <c r="H126" s="105">
        <f>H115*pricing!H12*2000</f>
        <v>2577486.4864989682</v>
      </c>
      <c r="I126" s="105">
        <f>I115*pricing!I12*2000</f>
        <v>2170320.3339230106</v>
      </c>
      <c r="J126" s="105">
        <f>J115*pricing!J12*2000</f>
        <v>2431222.3456971892</v>
      </c>
      <c r="K126" s="105">
        <f>K115*pricing!K12*2000</f>
        <v>2303182.0390272825</v>
      </c>
      <c r="L126" s="105">
        <f>L115*pricing!L12*2000</f>
        <v>2261805.739301363</v>
      </c>
      <c r="M126" s="105">
        <f>M115*pricing!M12*2000</f>
        <v>2408696.2348343097</v>
      </c>
      <c r="N126" s="105">
        <f>N115*pricing!N12*2000</f>
        <v>2214421.1401295322</v>
      </c>
      <c r="O126" s="105">
        <f>O115*pricing!O12*2000</f>
        <v>2351322.1784259095</v>
      </c>
    </row>
    <row r="127" spans="2:15" x14ac:dyDescent="0.2">
      <c r="C127" s="104" t="s">
        <v>278</v>
      </c>
      <c r="D127" s="105">
        <f t="shared" ref="D127:O127" si="1">SUM(D$120:D$126)</f>
        <v>138927.65957446813</v>
      </c>
      <c r="E127" s="105">
        <f t="shared" si="1"/>
        <v>21008792.884120274</v>
      </c>
      <c r="F127" s="105">
        <f t="shared" si="1"/>
        <v>19123210.831869159</v>
      </c>
      <c r="G127" s="105">
        <f t="shared" si="1"/>
        <v>20126335.827858344</v>
      </c>
      <c r="H127" s="105">
        <f t="shared" si="1"/>
        <v>20351460.481884301</v>
      </c>
      <c r="I127" s="105">
        <f t="shared" si="1"/>
        <v>19851052.773750752</v>
      </c>
      <c r="J127" s="105">
        <f t="shared" si="1"/>
        <v>19566088.578414626</v>
      </c>
      <c r="K127" s="105">
        <f t="shared" si="1"/>
        <v>19109431.825097378</v>
      </c>
      <c r="L127" s="105">
        <f t="shared" si="1"/>
        <v>20051499.821121365</v>
      </c>
      <c r="M127" s="105">
        <f t="shared" si="1"/>
        <v>20072876.879442882</v>
      </c>
      <c r="N127" s="105">
        <f t="shared" si="1"/>
        <v>18998746.424843434</v>
      </c>
      <c r="O127" s="105">
        <f t="shared" si="1"/>
        <v>19965717.071788348</v>
      </c>
    </row>
    <row r="129" spans="2:15" x14ac:dyDescent="0.2">
      <c r="B129" s="108" t="s">
        <v>280</v>
      </c>
    </row>
    <row r="130" spans="2:15" x14ac:dyDescent="0.2">
      <c r="C130" s="110" t="s">
        <v>277</v>
      </c>
      <c r="D130" s="110" t="s">
        <v>92</v>
      </c>
      <c r="E130" s="110" t="s">
        <v>93</v>
      </c>
      <c r="F130" s="110" t="s">
        <v>94</v>
      </c>
      <c r="G130" s="110" t="s">
        <v>95</v>
      </c>
      <c r="H130" s="110" t="s">
        <v>96</v>
      </c>
      <c r="I130" s="110" t="s">
        <v>97</v>
      </c>
      <c r="J130" s="110" t="s">
        <v>98</v>
      </c>
      <c r="K130" s="110" t="s">
        <v>99</v>
      </c>
      <c r="L130" s="110" t="s">
        <v>100</v>
      </c>
      <c r="M130" s="110" t="s">
        <v>101</v>
      </c>
      <c r="N130" s="110" t="s">
        <v>102</v>
      </c>
      <c r="O130" s="110" t="s">
        <v>103</v>
      </c>
    </row>
    <row r="131" spans="2:15" x14ac:dyDescent="0.2">
      <c r="C131" s="110" t="s">
        <v>126</v>
      </c>
      <c r="D131" s="111">
        <f>SUM(E$6:E$19)+SUM(G$6:G$19)+SUM(I$6:I$19)+SUM(K$6:K$19)</f>
        <v>0</v>
      </c>
      <c r="E131" s="111">
        <f>SUM(M$6:M$19)+SUM(O$6:O$19)+SUM(Q$6:Q$19)+SUM(S$6:S$19)</f>
        <v>510490.61695165886</v>
      </c>
      <c r="F131" s="111">
        <f>SUM(U$6:U$19)+SUM(W$6:W$19)+SUM(Y$6:Y$19)+SUM(AA$6:AA$19)</f>
        <v>420131.85263458523</v>
      </c>
      <c r="G131" s="111">
        <f>SUM(AC$6:AC$19)+SUM(AE$6:AE$19)+SUM(AG$6:AG$19)+SUM(AI$6:AI$19)</f>
        <v>514511.85087669571</v>
      </c>
      <c r="H131" s="111">
        <f>SUM(AK$6:AK$19)+SUM(AM$6:AM$19)+SUM(AO$6:AO$19)+SUM(AQ$6:AQ$19)</f>
        <v>399333.88351622503</v>
      </c>
      <c r="I131" s="111">
        <f>SUM(AS$6:AS$19)+SUM(AU$6:AU$19)+SUM(AW$6:AW$19)+SUM(AY$6:AY$19)</f>
        <v>419528.96466631559</v>
      </c>
      <c r="J131" s="111">
        <f>SUM(BA$6:BA$19)+SUM(BC$6:BC$19)+SUM(BE$6:BE$19)+SUM(BG$6:BG$19)</f>
        <v>446525.00742337335</v>
      </c>
      <c r="K131" s="111">
        <f>SUM(BI$6:BI$19)+SUM(BK$6:BK$19)+SUM(BM$6:BM$19)+SUM(BO$6:BO$19)</f>
        <v>404858.4354052085</v>
      </c>
      <c r="L131" s="111">
        <f>SUM(BQ$6:BQ$19)+SUM(BS$6:BS$19)+SUM(BU$6:BU$19)+SUM(BW$6:BW$19)</f>
        <v>469891.41275356314</v>
      </c>
      <c r="M131" s="111">
        <f>SUM(BY$6:BY$19)+SUM(CA$6:CA$19)+SUM(CC$6:CC$19)+SUM(CE$6:CE$19)</f>
        <v>506299.29672898701</v>
      </c>
      <c r="N131" s="111">
        <f>SUM(CG$6:CG$19)+SUM(CI$6:CI$19)+SUM(CK$6:CK$19)+SUM(CM$6:CM$19)</f>
        <v>392420.50573393778</v>
      </c>
      <c r="O131" s="111">
        <f>SUM(CO$6:CO$19)+SUM(CQ$6:CQ$19)+SUM(CS$6:CS$19)+SUM(CU$6:CU$19)</f>
        <v>511537.18072559778</v>
      </c>
    </row>
    <row r="132" spans="2:15" x14ac:dyDescent="0.2">
      <c r="C132" s="110" t="s">
        <v>127</v>
      </c>
      <c r="D132" s="111">
        <f>SUM(E$20:E$36)+SUM(G$20:G$36)+SUM(I$20:I$36)+SUM(K$20:K$36)</f>
        <v>0</v>
      </c>
      <c r="E132" s="111">
        <f>SUM(M$20:M$36)+SUM(O$20:O$36)+SUM(Q$20:Q$36)+SUM(S$20:S$36)</f>
        <v>290336.35387059464</v>
      </c>
      <c r="F132" s="111">
        <f>SUM(U$20:U$36)+SUM(W$20:W$36)+SUM(Y$20:Y$36)+SUM(AA$20:AA$36)</f>
        <v>259037.56613096484</v>
      </c>
      <c r="G132" s="111">
        <f>SUM(AC$20:AC$36)+SUM(AE$20:AE$36)+SUM(AG$20:AG$36)+SUM(AI$20:AI$36)</f>
        <v>346319.03105196217</v>
      </c>
      <c r="H132" s="111">
        <f>SUM(AK$20:AK$36)+SUM(AM$20:AM$36)+SUM(AO$20:AO$36)+SUM(AQ$20:AQ$36)</f>
        <v>335918.859969893</v>
      </c>
      <c r="I132" s="111">
        <f>SUM(AS$20:AS$36)+SUM(AU$20:AU$36)+SUM(AW$20:AW$36)+SUM(AY$20:AY$36)</f>
        <v>313450.83661318582</v>
      </c>
      <c r="J132" s="111">
        <f>SUM(BA$20:BA$36)+SUM(BC$20:BC$36)+SUM(BE$20:BE$36)+SUM(BG$20:BG$36)</f>
        <v>342125.81386028964</v>
      </c>
      <c r="K132" s="111">
        <f>SUM(BI$20:BI$36)+SUM(BK$20:BK$36)+SUM(BM$20:BM$36)+SUM(BO$20:BO$36)</f>
        <v>289274.41225458321</v>
      </c>
      <c r="L132" s="111">
        <f>SUM(BQ$20:BQ$36)+SUM(BS$20:BS$36)+SUM(BU$20:BU$36)+SUM(BW$20:BW$36)</f>
        <v>321140.26730450476</v>
      </c>
      <c r="M132" s="111">
        <f>SUM(BY$20:BY$36)+SUM(CA$20:CA$36)+SUM(CC$20:CC$36)+SUM(CE$20:CE$36)</f>
        <v>307350.73595909763</v>
      </c>
      <c r="N132" s="111">
        <f>SUM(CG$20:CG$36)+SUM(CI$20:CI$36)+SUM(CK$20:CK$36)+SUM(CM$20:CM$36)</f>
        <v>313484.64555348054</v>
      </c>
      <c r="O132" s="111">
        <f>SUM(CO$20:CO$36)+SUM(CQ$20:CQ$36)+SUM(CS$20:CS$36)+SUM(CU$20:CU$36)</f>
        <v>289026.11203153303</v>
      </c>
    </row>
    <row r="133" spans="2:15" x14ac:dyDescent="0.2">
      <c r="C133" s="110" t="s">
        <v>128</v>
      </c>
      <c r="D133" s="111">
        <f>SUM(E$37:E$48)+SUM(G$37:G$48)+SUM(I$37:I$48)+SUM(K$37:K$48)</f>
        <v>0</v>
      </c>
      <c r="E133" s="111">
        <f>SUM(M$37:M$48)+SUM(O$37:O$48)+SUM(Q$37:Q$48)+SUM(S$37:S$48)</f>
        <v>476278.59674195037</v>
      </c>
      <c r="F133" s="111">
        <f>SUM(U$37:U$48)+SUM(W$37:W$48)+SUM(Y$37:Y$48)+SUM(AA$37:AA$48)</f>
        <v>400990.5946326605</v>
      </c>
      <c r="G133" s="111">
        <f>SUM(AC$37:AC$48)+SUM(AE$37:AE$48)+SUM(AG$37:AG$48)+SUM(AI$37:AI$48)</f>
        <v>414857.16716285149</v>
      </c>
      <c r="H133" s="111">
        <f>SUM(AK$37:AK$48)+SUM(AM$37:AM$48)+SUM(AO$37:AO$48)+SUM(AQ$37:AQ$48)</f>
        <v>474005.08618644823</v>
      </c>
      <c r="I133" s="111">
        <f>SUM(AS$37:AS$48)+SUM(AU$37:AU$48)+SUM(AW$37:AW$48)+SUM(AY$37:AY$48)</f>
        <v>414186.66896524571</v>
      </c>
      <c r="J133" s="111">
        <f>SUM(BA$37:BA$48)+SUM(BC$37:BC$48)+SUM(BE$37:BE$48)+SUM(BG$37:BG$48)</f>
        <v>340182.74624523846</v>
      </c>
      <c r="K133" s="111">
        <f>SUM(BI$37:BI$48)+SUM(BK$37:BK$48)+SUM(BM$37:BM$48)+SUM(BO$37:BO$48)</f>
        <v>393309.43074788287</v>
      </c>
      <c r="L133" s="111">
        <f>SUM(BQ$37:BQ$48)+SUM(BS$37:BS$48)+SUM(BU$37:BU$48)+SUM(BW$37:BW$48)</f>
        <v>387580.25643363234</v>
      </c>
      <c r="M133" s="111">
        <f>SUM(BY$37:BY$48)+SUM(CA$37:CA$48)+SUM(CC$37:CC$48)+SUM(CE$37:CE$48)</f>
        <v>362771.90517886472</v>
      </c>
      <c r="N133" s="111">
        <f>SUM(CG$37:CG$48)+SUM(CI$37:CI$48)+SUM(CK$37:CK$48)+SUM(CM$37:CM$48)</f>
        <v>360795.65019753436</v>
      </c>
      <c r="O133" s="111">
        <f>SUM(CO$37:CO$48)+SUM(CQ$37:CQ$48)+SUM(CS$37:CS$48)+SUM(CU$37:CU$48)</f>
        <v>428380.26994271995</v>
      </c>
    </row>
    <row r="134" spans="2:15" x14ac:dyDescent="0.2">
      <c r="C134" s="110" t="s">
        <v>129</v>
      </c>
      <c r="D134" s="111">
        <f>SUM(E$49:E$70)+SUM(G$49:G$70)+SUM(I$49:I$70)+SUM(K$49:K$70)</f>
        <v>3943.1489361702133</v>
      </c>
      <c r="E134" s="111">
        <f>SUM(M$49:M$70)+SUM(O$49:O$70)+SUM(Q$49:Q$70)+SUM(S$49:S$70)</f>
        <v>407230.5312535101</v>
      </c>
      <c r="F134" s="111">
        <f>SUM(U$49:U$70)+SUM(W$49:W$70)+SUM(Y$49:Y$70)+SUM(AA$49:AA$70)</f>
        <v>439556.4411257623</v>
      </c>
      <c r="G134" s="111">
        <f>SUM(AC$49:AC$70)+SUM(AE$49:AE$70)+SUM(AG$49:AG$70)+SUM(AI$49:AI$70)</f>
        <v>333998.76306844992</v>
      </c>
      <c r="H134" s="111">
        <f>SUM(AK$49:AK$70)+SUM(AM$49:AM$70)+SUM(AO$49:AO$70)+SUM(AQ$49:AQ$70)</f>
        <v>422762.87083609897</v>
      </c>
      <c r="I134" s="111">
        <f>SUM(AS$49:AS$70)+SUM(AU$49:AU$70)+SUM(AW$49:AW$70)+SUM(AY$49:AY$70)</f>
        <v>404429.92373133614</v>
      </c>
      <c r="J134" s="111">
        <f>SUM(BA$49:BA$70)+SUM(BC$49:BC$70)+SUM(BE$49:BE$70)+SUM(BG$49:BG$70)</f>
        <v>368383.84428940155</v>
      </c>
      <c r="K134" s="111">
        <f>SUM(BI$49:BI$70)+SUM(BK$49:BK$70)+SUM(BM$49:BM$70)+SUM(BO$49:BO$70)</f>
        <v>390279.47751895071</v>
      </c>
      <c r="L134" s="111">
        <f>SUM(BQ$49:BQ$70)+SUM(BS$49:BS$70)+SUM(BU$49:BU$70)+SUM(BW$49:BW$70)</f>
        <v>415423.07641986903</v>
      </c>
      <c r="M134" s="111">
        <f>SUM(BY$49:BY$70)+SUM(CA$49:CA$70)+SUM(CC$49:CC$70)+SUM(CE$49:CE$70)</f>
        <v>412290.14701291028</v>
      </c>
      <c r="N134" s="111">
        <f>SUM(CG$49:CG$70)+SUM(CI$49:CI$70)+SUM(CK$49:CK$70)+SUM(CM$49:CM$70)</f>
        <v>379030.59087597061</v>
      </c>
      <c r="O134" s="111">
        <f>SUM(CO$49:CO$70)+SUM(CQ$49:CQ$70)+SUM(CS$49:CS$70)+SUM(CU$49:CU$70)</f>
        <v>391027.74287102418</v>
      </c>
    </row>
    <row r="135" spans="2:15" x14ac:dyDescent="0.2">
      <c r="C135" s="110" t="s">
        <v>130</v>
      </c>
      <c r="D135" s="111">
        <f>SUM(E$71:E$86)+SUM(G$71:G$86)+SUM(I$71:I$86)+SUM(K$71:K$86)</f>
        <v>7430.195744680851</v>
      </c>
      <c r="E135" s="111">
        <f>SUM(M$71:M$86)+SUM(O$71:O$86)+SUM(Q$71:Q$86)+SUM(S$71:S$86)</f>
        <v>230149.61645931084</v>
      </c>
      <c r="F135" s="111">
        <f>SUM(U$71:U$86)+SUM(W$71:W$86)+SUM(Y$71:Y$86)+SUM(AA$71:AA$86)</f>
        <v>168878.2108794619</v>
      </c>
      <c r="G135" s="111">
        <f>SUM(AC$71:AC$86)+SUM(AE$71:AE$86)+SUM(AG$71:AG$86)+SUM(AI$71:AI$86)</f>
        <v>180665.11159419632</v>
      </c>
      <c r="H135" s="111">
        <f>SUM(AK$71:AK$86)+SUM(AM$71:AM$86)+SUM(AO$71:AO$86)+SUM(AQ$71:AQ$86)</f>
        <v>163573.5626862093</v>
      </c>
      <c r="I135" s="111">
        <f>SUM(AS$71:AS$86)+SUM(AU$71:AU$86)+SUM(AW$71:AW$86)+SUM(AY$71:AY$86)</f>
        <v>186966.54270849435</v>
      </c>
      <c r="J135" s="111">
        <f>SUM(BA$71:BA$86)+SUM(BC$71:BC$86)+SUM(BE$71:BE$86)+SUM(BG$71:BG$86)</f>
        <v>178622.66080221423</v>
      </c>
      <c r="K135" s="111">
        <f>SUM(BI$71:BI$86)+SUM(BK$71:BK$86)+SUM(BM$71:BM$86)+SUM(BO$71:BO$86)</f>
        <v>180692.64634876623</v>
      </c>
      <c r="L135" s="111">
        <f>SUM(BQ$71:BQ$86)+SUM(BS$71:BS$86)+SUM(BU$71:BU$86)+SUM(BW$71:BW$86)</f>
        <v>170622.57980011337</v>
      </c>
      <c r="M135" s="111">
        <f>SUM(BY$71:BY$86)+SUM(CA$71:CA$86)+SUM(CC$71:CC$86)+SUM(CE$71:CE$86)</f>
        <v>175508.09575394035</v>
      </c>
      <c r="N135" s="111">
        <f>SUM(CG$71:CG$86)+SUM(CI$71:CI$86)+SUM(CK$71:CK$86)+SUM(CM$71:CM$86)</f>
        <v>184352.70813089568</v>
      </c>
      <c r="O135" s="111">
        <f>SUM(CO$71:CO$86)+SUM(CQ$71:CQ$86)+SUM(CS$71:CS$86)+SUM(CU$71:CU$86)</f>
        <v>179374.68234802602</v>
      </c>
    </row>
    <row r="136" spans="2:15" x14ac:dyDescent="0.2">
      <c r="C136" s="110" t="s">
        <v>131</v>
      </c>
      <c r="D136" s="111">
        <f>SUM(E$87:E$94)+SUM(G$87:G$94)+SUM(I$87:I$94)+SUM(K$87:K$94)</f>
        <v>0</v>
      </c>
      <c r="E136" s="111">
        <f>SUM(M$87:M$94)+SUM(O$87:O$94)+SUM(Q$87:Q$94)+SUM(S$87:S$94)</f>
        <v>253645.724193562</v>
      </c>
      <c r="F136" s="111">
        <f>SUM(U$87:U$94)+SUM(W$87:W$94)+SUM(Y$87:Y$94)+SUM(AA$87:AA$94)</f>
        <v>293329.9957697161</v>
      </c>
      <c r="G136" s="111">
        <f>SUM(AC$87:AC$94)+SUM(AE$87:AE$94)+SUM(AG$87:AG$94)+SUM(AI$87:AI$94)</f>
        <v>242020.66813491005</v>
      </c>
      <c r="H136" s="111">
        <f>SUM(AK$87:AK$94)+SUM(AM$87:AM$94)+SUM(AO$87:AO$94)+SUM(AQ$87:AQ$94)</f>
        <v>246672.6781338054</v>
      </c>
      <c r="I136" s="111">
        <f>SUM(AS$87:AS$94)+SUM(AU$87:AU$94)+SUM(AW$87:AW$94)+SUM(AY$87:AY$94)</f>
        <v>308977.43796707754</v>
      </c>
      <c r="J136" s="111">
        <f>SUM(BA$87:BA$94)+SUM(BC$87:BC$94)+SUM(BE$87:BE$94)+SUM(BG$87:BG$94)</f>
        <v>272350.28962346527</v>
      </c>
      <c r="K136" s="111">
        <f>SUM(BI$87:BI$94)+SUM(BK$87:BK$94)+SUM(BM$87:BM$94)+SUM(BO$87:BO$94)</f>
        <v>297028.95774156455</v>
      </c>
      <c r="L136" s="111">
        <f>SUM(BQ$87:BQ$94)+SUM(BS$87:BS$94)+SUM(BU$87:BU$94)+SUM(BW$87:BW$94)</f>
        <v>296092.69852539449</v>
      </c>
      <c r="M136" s="111">
        <f>SUM(BY$87:BY$94)+SUM(CA$87:CA$94)+SUM(CC$87:CC$94)+SUM(CE$87:CE$94)</f>
        <v>272050.85299580521</v>
      </c>
      <c r="N136" s="111">
        <f>SUM(CG$87:CG$94)+SUM(CI$87:CI$94)+SUM(CK$87:CK$94)+SUM(CM$87:CM$94)</f>
        <v>311143.97039960837</v>
      </c>
      <c r="O136" s="111">
        <f>SUM(CO$87:CO$94)+SUM(CQ$87:CQ$94)+SUM(CS$87:CS$94)+SUM(CU$87:CU$94)</f>
        <v>287111.58456878376</v>
      </c>
    </row>
    <row r="137" spans="2:15" x14ac:dyDescent="0.2">
      <c r="C137" s="110" t="s">
        <v>132</v>
      </c>
      <c r="D137" s="111">
        <f>SUM(E$95:E$105)+SUM(G$95:G$105)+SUM(I$95:I$105)+SUM(K$95:K$105)</f>
        <v>1185.4723404255319</v>
      </c>
      <c r="E137" s="111">
        <f>SUM(M$95:M$105)+SUM(O$95:O$105)+SUM(Q$95:Q$105)+SUM(S$95:S$105)</f>
        <v>471176.8030502476</v>
      </c>
      <c r="F137" s="111">
        <f>SUM(U$95:U$105)+SUM(W$95:W$105)+SUM(Y$95:Y$105)+SUM(AA$95:AA$105)</f>
        <v>414175.85502126208</v>
      </c>
      <c r="G137" s="111">
        <f>SUM(AC$95:AC$105)+SUM(AE$95:AE$105)+SUM(AG$95:AG$105)+SUM(AI$95:AI$105)</f>
        <v>476242.16990903701</v>
      </c>
      <c r="H137" s="111">
        <f>SUM(AK$95:AK$105)+SUM(AM$95:AM$105)+SUM(AO$95:AO$105)+SUM(AQ$95:AQ$105)</f>
        <v>452193.97146567551</v>
      </c>
      <c r="I137" s="111">
        <f>SUM(AS$95:AS$105)+SUM(AU$95:AU$105)+SUM(AW$95:AW$105)+SUM(AY$95:AY$105)</f>
        <v>385572.86892503873</v>
      </c>
      <c r="J137" s="111">
        <f>SUM(BA$95:BA$105)+SUM(BC$95:BC$105)+SUM(BE$95:BE$105)+SUM(BG$95:BG$105)</f>
        <v>447825.34967858775</v>
      </c>
      <c r="K137" s="111">
        <f>SUM(BI$95:BI$105)+SUM(BK$95:BK$105)+SUM(BM$95:BM$105)+SUM(BO$95:BO$105)</f>
        <v>417776.95102008362</v>
      </c>
      <c r="L137" s="111">
        <f>SUM(BQ$95:BQ$105)+SUM(BS$95:BS$105)+SUM(BU$95:BU$105)+SUM(BW$95:BW$105)</f>
        <v>397021.04605408502</v>
      </c>
      <c r="M137" s="111">
        <f>SUM(BY$95:BY$105)+SUM(CA$95:CA$105)+SUM(CC$95:CC$105)+SUM(CE$95:CE$105)</f>
        <v>436618.73694323405</v>
      </c>
      <c r="N137" s="111">
        <f>SUM(CG$95:CG$105)+SUM(CI$95:CI$105)+SUM(CK$95:CK$105)+SUM(CM$95:CM$105)</f>
        <v>403628.71124889434</v>
      </c>
      <c r="O137" s="111">
        <f>SUM(CO$95:CO$105)+SUM(CQ$95:CQ$105)+SUM(CS$95:CS$105)+SUM(CU$95:CU$105)</f>
        <v>423827.35858348745</v>
      </c>
    </row>
    <row r="138" spans="2:15" x14ac:dyDescent="0.2">
      <c r="C138" s="110" t="s">
        <v>278</v>
      </c>
      <c r="D138" s="105">
        <f t="shared" ref="D138:O138" si="2">SUM(D$131:D$137)</f>
        <v>12558.817021276594</v>
      </c>
      <c r="E138" s="105">
        <f t="shared" si="2"/>
        <v>2639308.2425208343</v>
      </c>
      <c r="F138" s="105">
        <f t="shared" si="2"/>
        <v>2396100.5161944125</v>
      </c>
      <c r="G138" s="105">
        <f t="shared" si="2"/>
        <v>2508614.7617981029</v>
      </c>
      <c r="H138" s="105">
        <f t="shared" si="2"/>
        <v>2494460.9127943553</v>
      </c>
      <c r="I138" s="105">
        <f t="shared" si="2"/>
        <v>2433113.2435766943</v>
      </c>
      <c r="J138" s="105">
        <f t="shared" si="2"/>
        <v>2396015.7119225701</v>
      </c>
      <c r="K138" s="105">
        <f t="shared" si="2"/>
        <v>2373220.3110370398</v>
      </c>
      <c r="L138" s="105">
        <f t="shared" si="2"/>
        <v>2457771.3372911625</v>
      </c>
      <c r="M138" s="105">
        <f t="shared" si="2"/>
        <v>2472889.7705728393</v>
      </c>
      <c r="N138" s="105">
        <f t="shared" si="2"/>
        <v>2344856.7821403216</v>
      </c>
      <c r="O138" s="105">
        <f t="shared" si="2"/>
        <v>2510284.931071172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5"/>
  </cols>
  <sheetData>
    <row r="2" spans="1:99" x14ac:dyDescent="0.2">
      <c r="B2" s="107" t="s">
        <v>272</v>
      </c>
    </row>
    <row r="3" spans="1:99" x14ac:dyDescent="0.2">
      <c r="B3" s="108" t="s">
        <v>282</v>
      </c>
    </row>
    <row r="4" spans="1:99" x14ac:dyDescent="0.2">
      <c r="A4" s="106"/>
      <c r="B4" s="106"/>
      <c r="C4" s="104" t="s">
        <v>274</v>
      </c>
      <c r="D4" s="104" t="s">
        <v>92</v>
      </c>
      <c r="E4" s="106"/>
      <c r="F4" s="106"/>
      <c r="G4" s="106"/>
      <c r="H4" s="106"/>
      <c r="I4" s="106"/>
      <c r="J4" s="106"/>
      <c r="K4" s="106"/>
      <c r="L4" s="104" t="s">
        <v>93</v>
      </c>
      <c r="M4" s="106"/>
      <c r="N4" s="106"/>
      <c r="O4" s="106"/>
      <c r="P4" s="106"/>
      <c r="Q4" s="106"/>
      <c r="R4" s="106"/>
      <c r="S4" s="106"/>
      <c r="T4" s="104" t="s">
        <v>94</v>
      </c>
      <c r="U4" s="106"/>
      <c r="V4" s="106"/>
      <c r="W4" s="106"/>
      <c r="X4" s="106"/>
      <c r="Y4" s="106"/>
      <c r="Z4" s="106"/>
      <c r="AA4" s="106"/>
      <c r="AB4" s="104" t="s">
        <v>95</v>
      </c>
      <c r="AC4" s="106"/>
      <c r="AD4" s="106"/>
      <c r="AE4" s="106"/>
      <c r="AF4" s="106"/>
      <c r="AG4" s="106"/>
      <c r="AH4" s="106"/>
      <c r="AI4" s="106"/>
      <c r="AJ4" s="104" t="s">
        <v>96</v>
      </c>
      <c r="AK4" s="106"/>
      <c r="AL4" s="106"/>
      <c r="AM4" s="106"/>
      <c r="AN4" s="106"/>
      <c r="AO4" s="106"/>
      <c r="AP4" s="106"/>
      <c r="AQ4" s="106"/>
      <c r="AR4" s="104" t="s">
        <v>97</v>
      </c>
      <c r="AS4" s="106"/>
      <c r="AT4" s="106"/>
      <c r="AU4" s="106"/>
      <c r="AV4" s="106"/>
      <c r="AW4" s="106"/>
      <c r="AX4" s="106"/>
      <c r="AY4" s="106"/>
      <c r="AZ4" s="104" t="s">
        <v>98</v>
      </c>
      <c r="BA4" s="106"/>
      <c r="BB4" s="106"/>
      <c r="BC4" s="106"/>
      <c r="BD4" s="106"/>
      <c r="BE4" s="106"/>
      <c r="BF4" s="106"/>
      <c r="BG4" s="106"/>
      <c r="BH4" s="104" t="s">
        <v>99</v>
      </c>
      <c r="BI4" s="106"/>
      <c r="BJ4" s="106"/>
      <c r="BK4" s="106"/>
      <c r="BL4" s="106"/>
      <c r="BM4" s="106"/>
      <c r="BN4" s="106"/>
      <c r="BO4" s="106"/>
      <c r="BP4" s="104" t="s">
        <v>100</v>
      </c>
      <c r="BQ4" s="106"/>
      <c r="BR4" s="106"/>
      <c r="BS4" s="106"/>
      <c r="BT4" s="106"/>
      <c r="BU4" s="106"/>
      <c r="BV4" s="106"/>
      <c r="BW4" s="106"/>
      <c r="BX4" s="104" t="s">
        <v>101</v>
      </c>
      <c r="BY4" s="106"/>
      <c r="BZ4" s="106"/>
      <c r="CA4" s="106"/>
      <c r="CB4" s="106"/>
      <c r="CC4" s="106"/>
      <c r="CD4" s="106"/>
      <c r="CE4" s="106"/>
      <c r="CF4" s="104" t="s">
        <v>102</v>
      </c>
      <c r="CG4" s="106"/>
      <c r="CH4" s="106"/>
      <c r="CI4" s="106"/>
      <c r="CJ4" s="106"/>
      <c r="CK4" s="106"/>
      <c r="CL4" s="106"/>
      <c r="CM4" s="106"/>
      <c r="CN4" s="104" t="s">
        <v>103</v>
      </c>
      <c r="CO4" s="106"/>
      <c r="CP4" s="106"/>
      <c r="CQ4" s="106"/>
      <c r="CR4" s="106"/>
      <c r="CS4" s="106"/>
      <c r="CT4" s="106"/>
      <c r="CU4" s="106"/>
    </row>
    <row r="5" spans="1:99" x14ac:dyDescent="0.2">
      <c r="B5" s="104" t="s">
        <v>167</v>
      </c>
      <c r="C5" s="104" t="s">
        <v>275</v>
      </c>
      <c r="D5" s="104">
        <v>1</v>
      </c>
      <c r="E5" s="104"/>
      <c r="F5" s="104">
        <v>2</v>
      </c>
      <c r="G5" s="104"/>
      <c r="H5" s="104">
        <v>3</v>
      </c>
      <c r="I5" s="104"/>
      <c r="J5" s="104">
        <v>4</v>
      </c>
      <c r="K5" s="104"/>
      <c r="L5" s="104">
        <v>1</v>
      </c>
      <c r="M5" s="104"/>
      <c r="N5" s="104">
        <v>2</v>
      </c>
      <c r="O5" s="104"/>
      <c r="P5" s="104">
        <v>3</v>
      </c>
      <c r="Q5" s="104"/>
      <c r="R5" s="104">
        <v>4</v>
      </c>
      <c r="S5" s="104"/>
      <c r="T5" s="104">
        <v>1</v>
      </c>
      <c r="U5" s="104"/>
      <c r="V5" s="104">
        <v>2</v>
      </c>
      <c r="W5" s="104"/>
      <c r="X5" s="104">
        <v>3</v>
      </c>
      <c r="Y5" s="104"/>
      <c r="Z5" s="104">
        <v>4</v>
      </c>
      <c r="AA5" s="104"/>
      <c r="AB5" s="104">
        <v>1</v>
      </c>
      <c r="AC5" s="104"/>
      <c r="AD5" s="104">
        <v>2</v>
      </c>
      <c r="AE5" s="104"/>
      <c r="AF5" s="104">
        <v>3</v>
      </c>
      <c r="AG5" s="104"/>
      <c r="AH5" s="104">
        <v>4</v>
      </c>
      <c r="AI5" s="104"/>
      <c r="AJ5" s="104">
        <v>1</v>
      </c>
      <c r="AK5" s="104"/>
      <c r="AL5" s="104">
        <v>2</v>
      </c>
      <c r="AM5" s="104"/>
      <c r="AN5" s="104">
        <v>3</v>
      </c>
      <c r="AO5" s="104"/>
      <c r="AP5" s="104">
        <v>4</v>
      </c>
      <c r="AQ5" s="104"/>
      <c r="AR5" s="104">
        <v>1</v>
      </c>
      <c r="AS5" s="104"/>
      <c r="AT5" s="104">
        <v>2</v>
      </c>
      <c r="AU5" s="104"/>
      <c r="AV5" s="104">
        <v>3</v>
      </c>
      <c r="AW5" s="104"/>
      <c r="AX5" s="104">
        <v>4</v>
      </c>
      <c r="AY5" s="104"/>
      <c r="AZ5" s="104">
        <v>1</v>
      </c>
      <c r="BA5" s="104"/>
      <c r="BB5" s="104">
        <v>2</v>
      </c>
      <c r="BC5" s="104"/>
      <c r="BD5" s="104">
        <v>3</v>
      </c>
      <c r="BE5" s="104"/>
      <c r="BF5" s="104">
        <v>4</v>
      </c>
      <c r="BG5" s="104"/>
      <c r="BH5" s="104">
        <v>1</v>
      </c>
      <c r="BI5" s="104"/>
      <c r="BJ5" s="104">
        <v>2</v>
      </c>
      <c r="BK5" s="104"/>
      <c r="BL5" s="104">
        <v>3</v>
      </c>
      <c r="BM5" s="104"/>
      <c r="BN5" s="104">
        <v>4</v>
      </c>
      <c r="BO5" s="104"/>
      <c r="BP5" s="104">
        <v>1</v>
      </c>
      <c r="BQ5" s="104"/>
      <c r="BR5" s="104">
        <v>2</v>
      </c>
      <c r="BS5" s="104"/>
      <c r="BT5" s="104">
        <v>3</v>
      </c>
      <c r="BU5" s="104"/>
      <c r="BV5" s="104">
        <v>4</v>
      </c>
      <c r="BW5" s="104"/>
      <c r="BX5" s="104">
        <v>1</v>
      </c>
      <c r="BY5" s="104"/>
      <c r="BZ5" s="104">
        <v>2</v>
      </c>
      <c r="CA5" s="104"/>
      <c r="CB5" s="104">
        <v>3</v>
      </c>
      <c r="CC5" s="104"/>
      <c r="CD5" s="104">
        <v>4</v>
      </c>
      <c r="CE5" s="104"/>
      <c r="CF5" s="104">
        <v>1</v>
      </c>
      <c r="CG5" s="104"/>
      <c r="CH5" s="104">
        <v>2</v>
      </c>
      <c r="CI5" s="104"/>
      <c r="CJ5" s="104">
        <v>3</v>
      </c>
      <c r="CK5" s="104"/>
      <c r="CL5" s="104">
        <v>4</v>
      </c>
      <c r="CM5" s="104"/>
      <c r="CN5" s="104">
        <v>1</v>
      </c>
      <c r="CO5" s="104"/>
      <c r="CP5" s="104">
        <v>2</v>
      </c>
      <c r="CQ5" s="104"/>
      <c r="CR5" s="104">
        <v>3</v>
      </c>
      <c r="CS5" s="104"/>
      <c r="CT5" s="104">
        <v>4</v>
      </c>
      <c r="CU5" s="104"/>
    </row>
    <row r="6" spans="1:99" x14ac:dyDescent="0.2">
      <c r="B6" s="104" t="s">
        <v>126</v>
      </c>
      <c r="C6" s="104" t="s">
        <v>172</v>
      </c>
      <c r="D6" s="105">
        <v>5</v>
      </c>
      <c r="E6" s="105">
        <v>3414</v>
      </c>
      <c r="F6" s="105">
        <v>3</v>
      </c>
      <c r="G6" s="105">
        <v>2048.3999999999996</v>
      </c>
      <c r="H6" s="105">
        <v>3.3922887147515017</v>
      </c>
      <c r="I6" s="105">
        <v>2316.2547344323252</v>
      </c>
      <c r="J6" s="105">
        <v>0</v>
      </c>
      <c r="K6" s="105">
        <v>0</v>
      </c>
      <c r="L6" s="105">
        <v>0</v>
      </c>
      <c r="M6" s="105">
        <v>0</v>
      </c>
      <c r="N6" s="105">
        <v>0</v>
      </c>
      <c r="O6" s="105">
        <v>0</v>
      </c>
      <c r="P6" s="105">
        <v>3.4580376926204721</v>
      </c>
      <c r="Q6" s="105">
        <v>2361.148136521258</v>
      </c>
      <c r="R6" s="105">
        <v>4.381768243213755</v>
      </c>
      <c r="S6" s="105">
        <v>2991.8713564663517</v>
      </c>
      <c r="T6" s="105">
        <v>3.9910756015005941</v>
      </c>
      <c r="U6" s="105">
        <v>2725.1064207046056</v>
      </c>
      <c r="V6" s="105">
        <v>0</v>
      </c>
      <c r="W6" s="105">
        <v>0</v>
      </c>
      <c r="X6" s="105">
        <v>5</v>
      </c>
      <c r="Y6" s="105">
        <v>3414</v>
      </c>
      <c r="Z6" s="105">
        <v>3.5278746945407211</v>
      </c>
      <c r="AA6" s="105">
        <v>2408.8328414324042</v>
      </c>
      <c r="AB6" s="105">
        <v>3.6172312436873995</v>
      </c>
      <c r="AC6" s="105">
        <v>2469.8454931897563</v>
      </c>
      <c r="AD6" s="105">
        <v>3.9728579109038571</v>
      </c>
      <c r="AE6" s="105">
        <v>2712.6673815651534</v>
      </c>
      <c r="AF6" s="105">
        <v>3.6927869876808699</v>
      </c>
      <c r="AG6" s="105">
        <v>2521.434955188498</v>
      </c>
      <c r="AH6" s="105">
        <v>2.8062250323051052</v>
      </c>
      <c r="AI6" s="105">
        <v>1916.0904520579256</v>
      </c>
      <c r="AJ6" s="105">
        <v>3.6339604734886257</v>
      </c>
      <c r="AK6" s="105">
        <v>2481.2682112980333</v>
      </c>
      <c r="AL6" s="105">
        <v>4.5186498922740359</v>
      </c>
      <c r="AM6" s="105">
        <v>3085.3341464447117</v>
      </c>
      <c r="AN6" s="105">
        <v>2.9888787326326565</v>
      </c>
      <c r="AO6" s="105">
        <v>2040.8063986415777</v>
      </c>
      <c r="AP6" s="105">
        <v>4.5689291983259004</v>
      </c>
      <c r="AQ6" s="105">
        <v>3119.6648566169247</v>
      </c>
      <c r="AR6" s="105">
        <v>3.8328927270508757</v>
      </c>
      <c r="AS6" s="105">
        <v>2617.0991540303376</v>
      </c>
      <c r="AT6" s="105">
        <v>3.1244567369994991</v>
      </c>
      <c r="AU6" s="105">
        <v>2133.3790600232578</v>
      </c>
      <c r="AV6" s="105">
        <v>3.8748970309089676</v>
      </c>
      <c r="AW6" s="105">
        <v>2645.7796927046429</v>
      </c>
      <c r="AX6" s="105">
        <v>3.2414150105770205</v>
      </c>
      <c r="AY6" s="105">
        <v>2213.2381692219897</v>
      </c>
      <c r="AZ6" s="105">
        <v>4.2761524301792084</v>
      </c>
      <c r="BA6" s="105">
        <v>2919.7568793263631</v>
      </c>
      <c r="BB6" s="105">
        <v>2.7452201402984726</v>
      </c>
      <c r="BC6" s="105">
        <v>1874.4363117957969</v>
      </c>
      <c r="BD6" s="105">
        <v>5.154290875662439</v>
      </c>
      <c r="BE6" s="105">
        <v>3519.3498099023132</v>
      </c>
      <c r="BF6" s="105">
        <v>5.0765879981398898</v>
      </c>
      <c r="BG6" s="105">
        <v>3466.2942851299167</v>
      </c>
      <c r="BH6" s="105">
        <v>0</v>
      </c>
      <c r="BI6" s="105">
        <v>0</v>
      </c>
      <c r="BJ6" s="105">
        <v>8.8704088826034493</v>
      </c>
      <c r="BK6" s="105">
        <v>6056.7151850416349</v>
      </c>
      <c r="BL6" s="105">
        <v>3.8855423524224539</v>
      </c>
      <c r="BM6" s="105">
        <v>2653.0483182340513</v>
      </c>
      <c r="BN6" s="105">
        <v>3.6241830013626473</v>
      </c>
      <c r="BO6" s="105">
        <v>2474.5921533304154</v>
      </c>
      <c r="BP6" s="105">
        <v>4.6987954029294787</v>
      </c>
      <c r="BQ6" s="105">
        <v>3208.3375011202479</v>
      </c>
      <c r="BR6" s="105">
        <v>4.010882428307049</v>
      </c>
      <c r="BS6" s="105">
        <v>2738.6305220480531</v>
      </c>
      <c r="BT6" s="105">
        <v>3.1084338819379633</v>
      </c>
      <c r="BU6" s="105">
        <v>2122.4386545872412</v>
      </c>
      <c r="BV6" s="105">
        <v>5.255589077843088</v>
      </c>
      <c r="BW6" s="105">
        <v>3588.5162223512602</v>
      </c>
      <c r="BX6" s="105">
        <v>3.0988988086804845</v>
      </c>
      <c r="BY6" s="105">
        <v>2115.9281065670348</v>
      </c>
      <c r="BZ6" s="105">
        <v>3.5655565116347221</v>
      </c>
      <c r="CA6" s="105">
        <v>2434.5619861441883</v>
      </c>
      <c r="CB6" s="105">
        <v>3.9424039478237578</v>
      </c>
      <c r="CC6" s="105">
        <v>2691.8734155740617</v>
      </c>
      <c r="CD6" s="105">
        <v>3.3032403650021949</v>
      </c>
      <c r="CE6" s="105">
        <v>2255.4525212234985</v>
      </c>
      <c r="CF6" s="105">
        <v>4.0320040375470247</v>
      </c>
      <c r="CG6" s="105">
        <v>2753.0523568371082</v>
      </c>
      <c r="CH6" s="105">
        <v>3.0768761775528062</v>
      </c>
      <c r="CI6" s="105">
        <v>2100.8910540330558</v>
      </c>
      <c r="CJ6" s="105">
        <v>0</v>
      </c>
      <c r="CK6" s="105">
        <v>0</v>
      </c>
      <c r="CL6" s="105">
        <v>5.3641115661761276</v>
      </c>
      <c r="CM6" s="105">
        <v>3662.6153773850597</v>
      </c>
      <c r="CN6" s="105">
        <v>4.7429155475579243</v>
      </c>
      <c r="CO6" s="105">
        <v>3238.4627358725506</v>
      </c>
      <c r="CP6" s="105">
        <v>5.0136030353838112</v>
      </c>
      <c r="CQ6" s="105">
        <v>3423.288152560066</v>
      </c>
      <c r="CR6" s="105">
        <v>4.5024669041998351</v>
      </c>
      <c r="CS6" s="105">
        <v>3074.2844021876472</v>
      </c>
      <c r="CT6" s="105">
        <v>3.2156212571772032</v>
      </c>
      <c r="CU6" s="105">
        <v>2195.6261944005942</v>
      </c>
    </row>
    <row r="7" spans="1:99" x14ac:dyDescent="0.2">
      <c r="C7" s="104" t="s">
        <v>173</v>
      </c>
      <c r="D7" s="105">
        <v>5</v>
      </c>
      <c r="E7" s="105">
        <v>4314</v>
      </c>
      <c r="F7" s="105">
        <v>4</v>
      </c>
      <c r="G7" s="105">
        <v>3451.2</v>
      </c>
      <c r="H7" s="105">
        <v>2.5442165360636264</v>
      </c>
      <c r="I7" s="105">
        <v>2195.1500273156967</v>
      </c>
      <c r="J7" s="105">
        <v>0</v>
      </c>
      <c r="K7" s="105">
        <v>0</v>
      </c>
      <c r="L7" s="105">
        <v>0</v>
      </c>
      <c r="M7" s="105">
        <v>0</v>
      </c>
      <c r="N7" s="105">
        <v>0</v>
      </c>
      <c r="O7" s="105">
        <v>0</v>
      </c>
      <c r="P7" s="105">
        <v>3.4580376926204721</v>
      </c>
      <c r="Q7" s="105">
        <v>2983.5949211929433</v>
      </c>
      <c r="R7" s="105">
        <v>3.8949051050788936</v>
      </c>
      <c r="S7" s="105">
        <v>3360.5241246620694</v>
      </c>
      <c r="T7" s="105">
        <v>3.9910756015005941</v>
      </c>
      <c r="U7" s="105">
        <v>3443.5000289747127</v>
      </c>
      <c r="V7" s="105">
        <v>0</v>
      </c>
      <c r="W7" s="105">
        <v>0</v>
      </c>
      <c r="X7" s="105">
        <v>5</v>
      </c>
      <c r="Y7" s="105">
        <v>4314</v>
      </c>
      <c r="Z7" s="105">
        <v>3.5278746945407211</v>
      </c>
      <c r="AA7" s="105">
        <v>3043.8502864497341</v>
      </c>
      <c r="AB7" s="105">
        <v>4.1339785642141713</v>
      </c>
      <c r="AC7" s="105">
        <v>3566.7967052039867</v>
      </c>
      <c r="AD7" s="105">
        <v>3.4053067807747346</v>
      </c>
      <c r="AE7" s="105">
        <v>2938.0986904524407</v>
      </c>
      <c r="AF7" s="105">
        <v>3.6927869876808699</v>
      </c>
      <c r="AG7" s="105">
        <v>3186.1366129710545</v>
      </c>
      <c r="AH7" s="105">
        <v>2.8062250323051052</v>
      </c>
      <c r="AI7" s="105">
        <v>2421.2109578728446</v>
      </c>
      <c r="AJ7" s="105">
        <v>2.9071683787909008</v>
      </c>
      <c r="AK7" s="105">
        <v>2508.304877220789</v>
      </c>
      <c r="AL7" s="105">
        <v>4.5186498922740359</v>
      </c>
      <c r="AM7" s="105">
        <v>3898.6911270540381</v>
      </c>
      <c r="AN7" s="105">
        <v>2.3911029861061253</v>
      </c>
      <c r="AO7" s="105">
        <v>2063.0436564123647</v>
      </c>
      <c r="AP7" s="105">
        <v>4.0612703985119118</v>
      </c>
      <c r="AQ7" s="105">
        <v>3504.0640998360773</v>
      </c>
      <c r="AR7" s="105">
        <v>3.8328927270508757</v>
      </c>
      <c r="AS7" s="105">
        <v>3307.0198448994952</v>
      </c>
      <c r="AT7" s="105">
        <v>3.1244567369994991</v>
      </c>
      <c r="AU7" s="105">
        <v>2695.7812726831676</v>
      </c>
      <c r="AV7" s="105">
        <v>3.8748970309089676</v>
      </c>
      <c r="AW7" s="105">
        <v>3343.2611582682571</v>
      </c>
      <c r="AX7" s="105">
        <v>3.2414150105770205</v>
      </c>
      <c r="AY7" s="105">
        <v>2796.6928711258533</v>
      </c>
      <c r="AZ7" s="105">
        <v>4.2761524301792084</v>
      </c>
      <c r="BA7" s="105">
        <v>3689.464316758621</v>
      </c>
      <c r="BB7" s="105">
        <v>2.7452201402984726</v>
      </c>
      <c r="BC7" s="105">
        <v>2368.5759370495221</v>
      </c>
      <c r="BD7" s="105">
        <v>5.154290875662439</v>
      </c>
      <c r="BE7" s="105">
        <v>4447.122167521552</v>
      </c>
      <c r="BF7" s="105">
        <v>5.0765879981398898</v>
      </c>
      <c r="BG7" s="105">
        <v>4380.0801247950967</v>
      </c>
      <c r="BH7" s="105">
        <v>0</v>
      </c>
      <c r="BI7" s="105">
        <v>0</v>
      </c>
      <c r="BJ7" s="105">
        <v>8.8704088826034493</v>
      </c>
      <c r="BK7" s="105">
        <v>7653.3887839102554</v>
      </c>
      <c r="BL7" s="105">
        <v>3.8855423524224539</v>
      </c>
      <c r="BM7" s="105">
        <v>3352.4459416700929</v>
      </c>
      <c r="BN7" s="105">
        <v>3.6241830013626473</v>
      </c>
      <c r="BO7" s="105">
        <v>3126.9450935756918</v>
      </c>
      <c r="BP7" s="105">
        <v>4.2289158626365309</v>
      </c>
      <c r="BQ7" s="105">
        <v>3648.7086062827984</v>
      </c>
      <c r="BR7" s="105">
        <v>4.5122427318454301</v>
      </c>
      <c r="BS7" s="105">
        <v>3893.1630290362368</v>
      </c>
      <c r="BT7" s="105">
        <v>3.1084338819379633</v>
      </c>
      <c r="BU7" s="105">
        <v>2681.9567533360746</v>
      </c>
      <c r="BV7" s="105">
        <v>5.255589077843088</v>
      </c>
      <c r="BW7" s="105">
        <v>4534.5222563630159</v>
      </c>
      <c r="BX7" s="105">
        <v>3.0988988086804845</v>
      </c>
      <c r="BY7" s="105">
        <v>2673.7298921295219</v>
      </c>
      <c r="BZ7" s="105">
        <v>3.5655565116347221</v>
      </c>
      <c r="CA7" s="105">
        <v>3076.362158238438</v>
      </c>
      <c r="CB7" s="105">
        <v>3.9424039478237578</v>
      </c>
      <c r="CC7" s="105">
        <v>3401.506126182338</v>
      </c>
      <c r="CD7" s="105">
        <v>3.3032403650021949</v>
      </c>
      <c r="CE7" s="105">
        <v>2850.0357869238937</v>
      </c>
      <c r="CF7" s="105">
        <v>3.5840035889306892</v>
      </c>
      <c r="CG7" s="105">
        <v>3092.2782965293986</v>
      </c>
      <c r="CH7" s="105">
        <v>2.5640634812940051</v>
      </c>
      <c r="CI7" s="105">
        <v>2212.2739716604674</v>
      </c>
      <c r="CJ7" s="105">
        <v>0</v>
      </c>
      <c r="CK7" s="105">
        <v>0</v>
      </c>
      <c r="CL7" s="105">
        <v>5.3641115661761276</v>
      </c>
      <c r="CM7" s="105">
        <v>4628.1554592967623</v>
      </c>
      <c r="CN7" s="105">
        <v>5.2172071023137176</v>
      </c>
      <c r="CO7" s="105">
        <v>4501.4062878762752</v>
      </c>
      <c r="CP7" s="105">
        <v>5.0136030353838112</v>
      </c>
      <c r="CQ7" s="105">
        <v>4325.7366989291522</v>
      </c>
      <c r="CR7" s="105">
        <v>4.5024669041998351</v>
      </c>
      <c r="CS7" s="105">
        <v>3884.7284449436174</v>
      </c>
      <c r="CT7" s="105">
        <v>3.2156212571772032</v>
      </c>
      <c r="CU7" s="105">
        <v>2774.4380206924907</v>
      </c>
    </row>
    <row r="8" spans="1:99" x14ac:dyDescent="0.2">
      <c r="C8" s="104" t="s">
        <v>174</v>
      </c>
      <c r="D8" s="105">
        <v>5</v>
      </c>
      <c r="E8" s="105">
        <v>1637.9999999999998</v>
      </c>
      <c r="F8" s="105">
        <v>4</v>
      </c>
      <c r="G8" s="105">
        <v>1310.3999999999999</v>
      </c>
      <c r="H8" s="105">
        <v>2.5442165360636264</v>
      </c>
      <c r="I8" s="105">
        <v>833.48533721444392</v>
      </c>
      <c r="J8" s="105">
        <v>0</v>
      </c>
      <c r="K8" s="105">
        <v>0</v>
      </c>
      <c r="L8" s="105">
        <v>0</v>
      </c>
      <c r="M8" s="105">
        <v>0</v>
      </c>
      <c r="N8" s="105">
        <v>0</v>
      </c>
      <c r="O8" s="105">
        <v>0</v>
      </c>
      <c r="P8" s="105">
        <v>3.4580376926204721</v>
      </c>
      <c r="Q8" s="105">
        <v>1132.8531481024665</v>
      </c>
      <c r="R8" s="105">
        <v>3.8949051050788936</v>
      </c>
      <c r="S8" s="105">
        <v>1275.9709124238454</v>
      </c>
      <c r="T8" s="105">
        <v>4.4899600516881693</v>
      </c>
      <c r="U8" s="105">
        <v>1470.9109129330441</v>
      </c>
      <c r="V8" s="105">
        <v>0</v>
      </c>
      <c r="W8" s="105">
        <v>0</v>
      </c>
      <c r="X8" s="105">
        <v>6</v>
      </c>
      <c r="Y8" s="105">
        <v>1965.6</v>
      </c>
      <c r="Z8" s="105">
        <v>4.1158538102975086</v>
      </c>
      <c r="AA8" s="105">
        <v>1348.3537082534638</v>
      </c>
      <c r="AB8" s="105">
        <v>4.1339785642141713</v>
      </c>
      <c r="AC8" s="105">
        <v>1354.2913776365624</v>
      </c>
      <c r="AD8" s="105">
        <v>4.5404090410329792</v>
      </c>
      <c r="AE8" s="105">
        <v>1487.4380018424038</v>
      </c>
      <c r="AF8" s="105">
        <v>3.6927869876808699</v>
      </c>
      <c r="AG8" s="105">
        <v>1209.7570171642528</v>
      </c>
      <c r="AH8" s="105">
        <v>2.8062250323051052</v>
      </c>
      <c r="AI8" s="105">
        <v>919.31932058315238</v>
      </c>
      <c r="AJ8" s="105">
        <v>3.6339604734886257</v>
      </c>
      <c r="AK8" s="105">
        <v>1190.4854511148737</v>
      </c>
      <c r="AL8" s="105">
        <v>4.5186498922740359</v>
      </c>
      <c r="AM8" s="105">
        <v>1480.3097047089741</v>
      </c>
      <c r="AN8" s="105">
        <v>2.9888787326326565</v>
      </c>
      <c r="AO8" s="105">
        <v>979.15667281045819</v>
      </c>
      <c r="AP8" s="105">
        <v>5.0765879981398898</v>
      </c>
      <c r="AQ8" s="105">
        <v>1663.0902281906278</v>
      </c>
      <c r="AR8" s="105">
        <v>3.2853366231864651</v>
      </c>
      <c r="AS8" s="105">
        <v>1076.2762777558858</v>
      </c>
      <c r="AT8" s="105">
        <v>3.645199526499415</v>
      </c>
      <c r="AU8" s="105">
        <v>1194.1673648812082</v>
      </c>
      <c r="AV8" s="105">
        <v>3.8748970309089676</v>
      </c>
      <c r="AW8" s="105">
        <v>1269.4162673257777</v>
      </c>
      <c r="AX8" s="105">
        <v>3.7816508456731901</v>
      </c>
      <c r="AY8" s="105">
        <v>1238.8688170425369</v>
      </c>
      <c r="AZ8" s="105">
        <v>4.8106714839516087</v>
      </c>
      <c r="BA8" s="105">
        <v>1575.9759781425469</v>
      </c>
      <c r="BB8" s="105">
        <v>2.7452201402984726</v>
      </c>
      <c r="BC8" s="105">
        <v>899.3341179617795</v>
      </c>
      <c r="BD8" s="105">
        <v>4.6388617880961949</v>
      </c>
      <c r="BE8" s="105">
        <v>1519.6911217803133</v>
      </c>
      <c r="BF8" s="105">
        <v>5.0765879981398898</v>
      </c>
      <c r="BG8" s="105">
        <v>1663.0902281906278</v>
      </c>
      <c r="BH8" s="105">
        <v>0</v>
      </c>
      <c r="BI8" s="105">
        <v>0</v>
      </c>
      <c r="BJ8" s="105">
        <v>9.8560098695593901</v>
      </c>
      <c r="BK8" s="105">
        <v>3228.8288332676557</v>
      </c>
      <c r="BL8" s="105">
        <v>3.8855423524224539</v>
      </c>
      <c r="BM8" s="105">
        <v>1272.9036746535958</v>
      </c>
      <c r="BN8" s="105">
        <v>4.0772058765329779</v>
      </c>
      <c r="BO8" s="105">
        <v>1335.6926451522033</v>
      </c>
      <c r="BP8" s="105">
        <v>4.2289158626365309</v>
      </c>
      <c r="BQ8" s="105">
        <v>1385.3928365997274</v>
      </c>
      <c r="BR8" s="105">
        <v>4.010882428307049</v>
      </c>
      <c r="BS8" s="105">
        <v>1313.9650835133891</v>
      </c>
      <c r="BT8" s="105">
        <v>3.6265061955942901</v>
      </c>
      <c r="BU8" s="105">
        <v>1188.0434296766894</v>
      </c>
      <c r="BV8" s="105">
        <v>5.8395434198256533</v>
      </c>
      <c r="BW8" s="105">
        <v>1913.0344243348839</v>
      </c>
      <c r="BX8" s="105">
        <v>3.7186785704165817</v>
      </c>
      <c r="BY8" s="105">
        <v>1218.2390996684721</v>
      </c>
      <c r="BZ8" s="105">
        <v>4.1598159302405096</v>
      </c>
      <c r="CA8" s="105">
        <v>1362.7556987467908</v>
      </c>
      <c r="CB8" s="105">
        <v>4.4352044413017273</v>
      </c>
      <c r="CC8" s="105">
        <v>1452.9729749704456</v>
      </c>
      <c r="CD8" s="105">
        <v>3.3032403650021949</v>
      </c>
      <c r="CE8" s="105">
        <v>1082.141543574719</v>
      </c>
      <c r="CF8" s="105">
        <v>4.4800044861633612</v>
      </c>
      <c r="CG8" s="105">
        <v>1467.649469667117</v>
      </c>
      <c r="CH8" s="105">
        <v>3.0768761775528062</v>
      </c>
      <c r="CI8" s="105">
        <v>1007.9846357662992</v>
      </c>
      <c r="CJ8" s="105">
        <v>0</v>
      </c>
      <c r="CK8" s="105">
        <v>0</v>
      </c>
      <c r="CL8" s="105">
        <v>5.3641115661761276</v>
      </c>
      <c r="CM8" s="105">
        <v>1757.2829490792992</v>
      </c>
      <c r="CN8" s="105">
        <v>5.2172071023137176</v>
      </c>
      <c r="CO8" s="105">
        <v>1709.1570467179738</v>
      </c>
      <c r="CP8" s="105">
        <v>4.5122427318454301</v>
      </c>
      <c r="CQ8" s="105">
        <v>1478.2107189525627</v>
      </c>
      <c r="CR8" s="105">
        <v>4.5024669041998351</v>
      </c>
      <c r="CS8" s="105">
        <v>1475.0081578158658</v>
      </c>
      <c r="CT8" s="105">
        <v>3.2156212571772032</v>
      </c>
      <c r="CU8" s="105">
        <v>1053.4375238512516</v>
      </c>
    </row>
    <row r="9" spans="1:99" x14ac:dyDescent="0.2">
      <c r="C9" s="104" t="s">
        <v>175</v>
      </c>
      <c r="D9" s="105">
        <v>5</v>
      </c>
      <c r="E9" s="105">
        <v>4014</v>
      </c>
      <c r="F9" s="105">
        <v>3</v>
      </c>
      <c r="G9" s="105">
        <v>2408.3999999999996</v>
      </c>
      <c r="H9" s="105">
        <v>2.5442165360636264</v>
      </c>
      <c r="I9" s="105">
        <v>2042.4970351518791</v>
      </c>
      <c r="J9" s="105">
        <v>0</v>
      </c>
      <c r="K9" s="105">
        <v>0</v>
      </c>
      <c r="L9" s="105">
        <v>0</v>
      </c>
      <c r="M9" s="105">
        <v>0</v>
      </c>
      <c r="N9" s="105">
        <v>0</v>
      </c>
      <c r="O9" s="105">
        <v>0</v>
      </c>
      <c r="P9" s="105">
        <v>3.9520430772805399</v>
      </c>
      <c r="Q9" s="105">
        <v>3172.7001824408171</v>
      </c>
      <c r="R9" s="105">
        <v>3.8949051050788936</v>
      </c>
      <c r="S9" s="105">
        <v>3126.8298183573356</v>
      </c>
      <c r="T9" s="105">
        <v>4.4899600516881693</v>
      </c>
      <c r="U9" s="105">
        <v>3604.5399294952622</v>
      </c>
      <c r="V9" s="105">
        <v>0</v>
      </c>
      <c r="W9" s="105">
        <v>0</v>
      </c>
      <c r="X9" s="105">
        <v>6</v>
      </c>
      <c r="Y9" s="105">
        <v>4816.7999999999993</v>
      </c>
      <c r="Z9" s="105">
        <v>3.5278746945407211</v>
      </c>
      <c r="AA9" s="105">
        <v>2832.1778047772909</v>
      </c>
      <c r="AB9" s="105">
        <v>3.6172312436873995</v>
      </c>
      <c r="AC9" s="105">
        <v>2903.9132424322443</v>
      </c>
      <c r="AD9" s="105">
        <v>3.9728579109038571</v>
      </c>
      <c r="AE9" s="105">
        <v>3189.4103308736162</v>
      </c>
      <c r="AF9" s="105">
        <v>3.6927869876808699</v>
      </c>
      <c r="AG9" s="105">
        <v>2964.5693937102023</v>
      </c>
      <c r="AH9" s="105">
        <v>2.8062250323051052</v>
      </c>
      <c r="AI9" s="105">
        <v>2252.8374559345384</v>
      </c>
      <c r="AJ9" s="105">
        <v>3.6339604734886257</v>
      </c>
      <c r="AK9" s="105">
        <v>2917.3434681166686</v>
      </c>
      <c r="AL9" s="105">
        <v>5.1641713054560405</v>
      </c>
      <c r="AM9" s="105">
        <v>4145.7967240201087</v>
      </c>
      <c r="AN9" s="105">
        <v>2.9888787326326565</v>
      </c>
      <c r="AO9" s="105">
        <v>2399.4718465574965</v>
      </c>
      <c r="AP9" s="105">
        <v>5.0765879981398898</v>
      </c>
      <c r="AQ9" s="105">
        <v>4075.4848449067035</v>
      </c>
      <c r="AR9" s="105">
        <v>3.2853366231864651</v>
      </c>
      <c r="AS9" s="105">
        <v>2637.4682410940941</v>
      </c>
      <c r="AT9" s="105">
        <v>3.645199526499415</v>
      </c>
      <c r="AU9" s="105">
        <v>2926.3661798737303</v>
      </c>
      <c r="AV9" s="105">
        <v>4.4284537496102487</v>
      </c>
      <c r="AW9" s="105">
        <v>3555.1626701871073</v>
      </c>
      <c r="AX9" s="105">
        <v>3.2414150105770205</v>
      </c>
      <c r="AY9" s="105">
        <v>2602.2079704912321</v>
      </c>
      <c r="AZ9" s="105">
        <v>4.2761524301792084</v>
      </c>
      <c r="BA9" s="105">
        <v>3432.8951709478683</v>
      </c>
      <c r="BB9" s="105">
        <v>2.7452201402984726</v>
      </c>
      <c r="BC9" s="105">
        <v>2203.8627286316137</v>
      </c>
      <c r="BD9" s="105">
        <v>4.6388617880961949</v>
      </c>
      <c r="BE9" s="105">
        <v>3724.0782434836251</v>
      </c>
      <c r="BF9" s="105">
        <v>5.0765879981398898</v>
      </c>
      <c r="BG9" s="105">
        <v>4075.4848449067035</v>
      </c>
      <c r="BH9" s="105">
        <v>0</v>
      </c>
      <c r="BI9" s="105">
        <v>0</v>
      </c>
      <c r="BJ9" s="105">
        <v>8.8704088826034493</v>
      </c>
      <c r="BK9" s="105">
        <v>7121.1642509540488</v>
      </c>
      <c r="BL9" s="105">
        <v>3.3998495583696466</v>
      </c>
      <c r="BM9" s="105">
        <v>2729.3992254591521</v>
      </c>
      <c r="BN9" s="105">
        <v>3.1711601261923166</v>
      </c>
      <c r="BO9" s="105">
        <v>2545.8073493071915</v>
      </c>
      <c r="BP9" s="105">
        <v>4.6987954029294787</v>
      </c>
      <c r="BQ9" s="105">
        <v>3772.1929494717851</v>
      </c>
      <c r="BR9" s="105">
        <v>4.010882428307049</v>
      </c>
      <c r="BS9" s="105">
        <v>3219.9364134448988</v>
      </c>
      <c r="BT9" s="105">
        <v>3.1084338819379633</v>
      </c>
      <c r="BU9" s="105">
        <v>2495.4507204197967</v>
      </c>
      <c r="BV9" s="105">
        <v>5.8395434198256533</v>
      </c>
      <c r="BW9" s="105">
        <v>4687.9854574360343</v>
      </c>
      <c r="BX9" s="105">
        <v>3.7186785704165817</v>
      </c>
      <c r="BY9" s="105">
        <v>2985.3551563304318</v>
      </c>
      <c r="BZ9" s="105">
        <v>4.1598159302405096</v>
      </c>
      <c r="CA9" s="105">
        <v>3339.500228797081</v>
      </c>
      <c r="CB9" s="105">
        <v>3.9424039478237578</v>
      </c>
      <c r="CC9" s="105">
        <v>3164.9618893129127</v>
      </c>
      <c r="CD9" s="105">
        <v>3.3032403650021949</v>
      </c>
      <c r="CE9" s="105">
        <v>2651.8413650237617</v>
      </c>
      <c r="CF9" s="105">
        <v>4.0320040375470247</v>
      </c>
      <c r="CG9" s="105">
        <v>3236.8928413427511</v>
      </c>
      <c r="CH9" s="105">
        <v>2.5640634812940051</v>
      </c>
      <c r="CI9" s="105">
        <v>2058.4301627828272</v>
      </c>
      <c r="CJ9" s="105">
        <v>0</v>
      </c>
      <c r="CK9" s="105">
        <v>0</v>
      </c>
      <c r="CL9" s="105">
        <v>4.4700929718134397</v>
      </c>
      <c r="CM9" s="105">
        <v>3588.5906377718293</v>
      </c>
      <c r="CN9" s="105">
        <v>5.2172071023137176</v>
      </c>
      <c r="CO9" s="105">
        <v>4188.373861737452</v>
      </c>
      <c r="CP9" s="105">
        <v>4.5122427318454301</v>
      </c>
      <c r="CQ9" s="105">
        <v>3622.4284651255111</v>
      </c>
      <c r="CR9" s="105">
        <v>3.9396585411748557</v>
      </c>
      <c r="CS9" s="105">
        <v>3162.7578768551739</v>
      </c>
      <c r="CT9" s="105">
        <v>2.6796843809810027</v>
      </c>
      <c r="CU9" s="105">
        <v>2151.2506210515489</v>
      </c>
    </row>
    <row r="10" spans="1:99" x14ac:dyDescent="0.2">
      <c r="C10" s="104" t="s">
        <v>176</v>
      </c>
      <c r="D10" s="105">
        <v>5</v>
      </c>
      <c r="E10" s="105">
        <v>2784</v>
      </c>
      <c r="F10" s="105">
        <v>4</v>
      </c>
      <c r="G10" s="105">
        <v>2227.1999999999998</v>
      </c>
      <c r="H10" s="105">
        <v>2.5442165360636264</v>
      </c>
      <c r="I10" s="105">
        <v>1416.6197672802271</v>
      </c>
      <c r="J10" s="105">
        <v>0</v>
      </c>
      <c r="K10" s="105">
        <v>0</v>
      </c>
      <c r="L10" s="105">
        <v>0</v>
      </c>
      <c r="M10" s="105">
        <v>0</v>
      </c>
      <c r="N10" s="105">
        <v>0</v>
      </c>
      <c r="O10" s="105">
        <v>0</v>
      </c>
      <c r="P10" s="105">
        <v>3.9520430772805399</v>
      </c>
      <c r="Q10" s="105">
        <v>2200.4975854298045</v>
      </c>
      <c r="R10" s="105">
        <v>4.381768243213755</v>
      </c>
      <c r="S10" s="105">
        <v>2439.7685578214187</v>
      </c>
      <c r="T10" s="105">
        <v>3.9910756015005941</v>
      </c>
      <c r="U10" s="105">
        <v>2222.2308949155308</v>
      </c>
      <c r="V10" s="105">
        <v>0</v>
      </c>
      <c r="W10" s="105">
        <v>0</v>
      </c>
      <c r="X10" s="105">
        <v>5</v>
      </c>
      <c r="Y10" s="105">
        <v>2784</v>
      </c>
      <c r="Z10" s="105">
        <v>4.1158538102975086</v>
      </c>
      <c r="AA10" s="105">
        <v>2291.7074015736525</v>
      </c>
      <c r="AB10" s="105">
        <v>3.6172312436873995</v>
      </c>
      <c r="AC10" s="105">
        <v>2014.0743564851439</v>
      </c>
      <c r="AD10" s="105">
        <v>3.9728579109038571</v>
      </c>
      <c r="AE10" s="105">
        <v>2212.0872847912674</v>
      </c>
      <c r="AF10" s="105">
        <v>3.6927869876808699</v>
      </c>
      <c r="AG10" s="105">
        <v>2056.143794740708</v>
      </c>
      <c r="AH10" s="105">
        <v>2.8062250323051052</v>
      </c>
      <c r="AI10" s="105">
        <v>1562.5060979874825</v>
      </c>
      <c r="AJ10" s="105">
        <v>2.9071683787909008</v>
      </c>
      <c r="AK10" s="105">
        <v>1618.7113533107733</v>
      </c>
      <c r="AL10" s="105">
        <v>5.1641713054560405</v>
      </c>
      <c r="AM10" s="105">
        <v>2875.4105828779229</v>
      </c>
      <c r="AN10" s="105">
        <v>2.9888787326326565</v>
      </c>
      <c r="AO10" s="105">
        <v>1664.207678329863</v>
      </c>
      <c r="AP10" s="105">
        <v>5.0765879981398898</v>
      </c>
      <c r="AQ10" s="105">
        <v>2826.6441973642904</v>
      </c>
      <c r="AR10" s="105">
        <v>3.8328927270508757</v>
      </c>
      <c r="AS10" s="105">
        <v>2134.1546704219272</v>
      </c>
      <c r="AT10" s="105">
        <v>3.645199526499415</v>
      </c>
      <c r="AU10" s="105">
        <v>2029.6470963548741</v>
      </c>
      <c r="AV10" s="105">
        <v>4.4284537496102487</v>
      </c>
      <c r="AW10" s="105">
        <v>2465.7630477829862</v>
      </c>
      <c r="AX10" s="105">
        <v>3.7816508456731901</v>
      </c>
      <c r="AY10" s="105">
        <v>2105.6231908708319</v>
      </c>
      <c r="AZ10" s="105">
        <v>4.2761524301792084</v>
      </c>
      <c r="BA10" s="105">
        <v>2380.9616731237829</v>
      </c>
      <c r="BB10" s="105">
        <v>2.7452201402984726</v>
      </c>
      <c r="BC10" s="105">
        <v>1528.5385741181894</v>
      </c>
      <c r="BD10" s="105">
        <v>5.154290875662439</v>
      </c>
      <c r="BE10" s="105">
        <v>2869.909159568846</v>
      </c>
      <c r="BF10" s="105">
        <v>5.0765879981398898</v>
      </c>
      <c r="BG10" s="105">
        <v>2826.6441973642904</v>
      </c>
      <c r="BH10" s="105">
        <v>0</v>
      </c>
      <c r="BI10" s="105">
        <v>0</v>
      </c>
      <c r="BJ10" s="105">
        <v>9.8560098695593901</v>
      </c>
      <c r="BK10" s="105">
        <v>5487.826295370668</v>
      </c>
      <c r="BL10" s="105">
        <v>3.8855423524224539</v>
      </c>
      <c r="BM10" s="105">
        <v>2163.4699818288223</v>
      </c>
      <c r="BN10" s="105">
        <v>3.6241830013626473</v>
      </c>
      <c r="BO10" s="105">
        <v>2017.9450951587219</v>
      </c>
      <c r="BP10" s="105">
        <v>3.759036322343583</v>
      </c>
      <c r="BQ10" s="105">
        <v>2093.0314242809068</v>
      </c>
      <c r="BR10" s="105">
        <v>4.010882428307049</v>
      </c>
      <c r="BS10" s="105">
        <v>2233.2593360813648</v>
      </c>
      <c r="BT10" s="105">
        <v>3.1084338819379633</v>
      </c>
      <c r="BU10" s="105">
        <v>1730.7759854630579</v>
      </c>
      <c r="BV10" s="105">
        <v>5.8395434198256533</v>
      </c>
      <c r="BW10" s="105">
        <v>3251.4577761589235</v>
      </c>
      <c r="BX10" s="105">
        <v>3.7186785704165817</v>
      </c>
      <c r="BY10" s="105">
        <v>2070.5602280079524</v>
      </c>
      <c r="BZ10" s="105">
        <v>4.1598159302405096</v>
      </c>
      <c r="CA10" s="105">
        <v>2316.1855099579157</v>
      </c>
      <c r="CB10" s="105">
        <v>3.9424039478237578</v>
      </c>
      <c r="CC10" s="105">
        <v>2195.130518148268</v>
      </c>
      <c r="CD10" s="105">
        <v>3.3032403650021949</v>
      </c>
      <c r="CE10" s="105">
        <v>1839.2442352332218</v>
      </c>
      <c r="CF10" s="105">
        <v>4.4800044861633612</v>
      </c>
      <c r="CG10" s="105">
        <v>2494.4664978957594</v>
      </c>
      <c r="CH10" s="105">
        <v>3.0768761775528062</v>
      </c>
      <c r="CI10" s="105">
        <v>1713.2046556614023</v>
      </c>
      <c r="CJ10" s="105">
        <v>0</v>
      </c>
      <c r="CK10" s="105">
        <v>0</v>
      </c>
      <c r="CL10" s="105">
        <v>5.3641115661761276</v>
      </c>
      <c r="CM10" s="105">
        <v>2986.7373200468678</v>
      </c>
      <c r="CN10" s="105">
        <v>5.2172071023137176</v>
      </c>
      <c r="CO10" s="105">
        <v>2904.9409145682775</v>
      </c>
      <c r="CP10" s="105">
        <v>5.5149633389221924</v>
      </c>
      <c r="CQ10" s="105">
        <v>3070.7315871118763</v>
      </c>
      <c r="CR10" s="105">
        <v>4.5024669041998351</v>
      </c>
      <c r="CS10" s="105">
        <v>2506.9735722584678</v>
      </c>
      <c r="CT10" s="105">
        <v>2.6796843809810027</v>
      </c>
      <c r="CU10" s="105">
        <v>1492.0482633302222</v>
      </c>
    </row>
    <row r="11" spans="1:99" x14ac:dyDescent="0.2">
      <c r="C11" s="104" t="s">
        <v>177</v>
      </c>
      <c r="D11" s="105">
        <v>5</v>
      </c>
      <c r="E11" s="105">
        <v>2994</v>
      </c>
      <c r="F11" s="105">
        <v>4</v>
      </c>
      <c r="G11" s="105">
        <v>2395.1999999999998</v>
      </c>
      <c r="H11" s="105">
        <v>3.3922887147515017</v>
      </c>
      <c r="I11" s="105">
        <v>2031.3024823931992</v>
      </c>
      <c r="J11" s="105">
        <v>0</v>
      </c>
      <c r="K11" s="105">
        <v>0</v>
      </c>
      <c r="L11" s="105">
        <v>0</v>
      </c>
      <c r="M11" s="105">
        <v>0</v>
      </c>
      <c r="N11" s="105">
        <v>0</v>
      </c>
      <c r="O11" s="105">
        <v>0</v>
      </c>
      <c r="P11" s="105">
        <v>3.4580376926204721</v>
      </c>
      <c r="Q11" s="105">
        <v>2070.6729703411384</v>
      </c>
      <c r="R11" s="105">
        <v>3.8949051050788936</v>
      </c>
      <c r="S11" s="105">
        <v>2332.2691769212415</v>
      </c>
      <c r="T11" s="105">
        <v>4.4899600516881693</v>
      </c>
      <c r="U11" s="105">
        <v>2688.5880789508756</v>
      </c>
      <c r="V11" s="105">
        <v>0</v>
      </c>
      <c r="W11" s="105">
        <v>0</v>
      </c>
      <c r="X11" s="105">
        <v>5</v>
      </c>
      <c r="Y11" s="105">
        <v>2994</v>
      </c>
      <c r="Z11" s="105">
        <v>3.5278746945407211</v>
      </c>
      <c r="AA11" s="105">
        <v>2112.4913670909837</v>
      </c>
      <c r="AB11" s="105">
        <v>4.1339785642141713</v>
      </c>
      <c r="AC11" s="105">
        <v>2475.4263642514456</v>
      </c>
      <c r="AD11" s="105">
        <v>3.9728579109038571</v>
      </c>
      <c r="AE11" s="105">
        <v>2378.9473170492292</v>
      </c>
      <c r="AF11" s="105">
        <v>3.6927869876808699</v>
      </c>
      <c r="AG11" s="105">
        <v>2211.2408482233045</v>
      </c>
      <c r="AH11" s="105">
        <v>3.3674700387661267</v>
      </c>
      <c r="AI11" s="105">
        <v>2016.4410592131564</v>
      </c>
      <c r="AJ11" s="105">
        <v>3.6339604734886257</v>
      </c>
      <c r="AK11" s="105">
        <v>2176.015531524989</v>
      </c>
      <c r="AL11" s="105">
        <v>4.5186498922740359</v>
      </c>
      <c r="AM11" s="105">
        <v>2705.7675554936923</v>
      </c>
      <c r="AN11" s="105">
        <v>2.9888787326326565</v>
      </c>
      <c r="AO11" s="105">
        <v>1789.7405851004346</v>
      </c>
      <c r="AP11" s="105">
        <v>5.0765879981398898</v>
      </c>
      <c r="AQ11" s="105">
        <v>3039.8608932861657</v>
      </c>
      <c r="AR11" s="105">
        <v>3.2853366231864651</v>
      </c>
      <c r="AS11" s="105">
        <v>1967.2595699640551</v>
      </c>
      <c r="AT11" s="105">
        <v>3.645199526499415</v>
      </c>
      <c r="AU11" s="105">
        <v>2182.7454764678496</v>
      </c>
      <c r="AV11" s="105">
        <v>3.8748970309089676</v>
      </c>
      <c r="AW11" s="105">
        <v>2320.2883421082897</v>
      </c>
      <c r="AX11" s="105">
        <v>3.2414150105770205</v>
      </c>
      <c r="AY11" s="105">
        <v>1940.9593083335199</v>
      </c>
      <c r="AZ11" s="105">
        <v>4.2761524301792084</v>
      </c>
      <c r="BA11" s="105">
        <v>2560.5600751913098</v>
      </c>
      <c r="BB11" s="105">
        <v>2.7452201402984726</v>
      </c>
      <c r="BC11" s="105">
        <v>1643.8378200107252</v>
      </c>
      <c r="BD11" s="105">
        <v>4.6388617880961949</v>
      </c>
      <c r="BE11" s="105">
        <v>2777.7504387120011</v>
      </c>
      <c r="BF11" s="105">
        <v>4.5689291983259004</v>
      </c>
      <c r="BG11" s="105">
        <v>2735.8748039575489</v>
      </c>
      <c r="BH11" s="105">
        <v>0</v>
      </c>
      <c r="BI11" s="105">
        <v>0</v>
      </c>
      <c r="BJ11" s="105">
        <v>9.8560098695593901</v>
      </c>
      <c r="BK11" s="105">
        <v>5901.7787098921626</v>
      </c>
      <c r="BL11" s="105">
        <v>3.3998495583696466</v>
      </c>
      <c r="BM11" s="105">
        <v>2035.8299155517443</v>
      </c>
      <c r="BN11" s="105">
        <v>3.1711601261923166</v>
      </c>
      <c r="BO11" s="105">
        <v>1898.8906835639591</v>
      </c>
      <c r="BP11" s="105">
        <v>4.6987954029294787</v>
      </c>
      <c r="BQ11" s="105">
        <v>2813.6386872741718</v>
      </c>
      <c r="BR11" s="105">
        <v>4.010882428307049</v>
      </c>
      <c r="BS11" s="105">
        <v>2401.7163980702608</v>
      </c>
      <c r="BT11" s="105">
        <v>3.1084338819379633</v>
      </c>
      <c r="BU11" s="105">
        <v>1861.3302085044522</v>
      </c>
      <c r="BV11" s="105">
        <v>5.255589077843088</v>
      </c>
      <c r="BW11" s="105">
        <v>3147.046739812441</v>
      </c>
      <c r="BX11" s="105">
        <v>3.0988988086804845</v>
      </c>
      <c r="BY11" s="105">
        <v>1855.6206066378741</v>
      </c>
      <c r="BZ11" s="105">
        <v>3.5655565116347221</v>
      </c>
      <c r="CA11" s="105">
        <v>2135.0552391668716</v>
      </c>
      <c r="CB11" s="105">
        <v>3.9424039478237578</v>
      </c>
      <c r="CC11" s="105">
        <v>2360.7114839568658</v>
      </c>
      <c r="CD11" s="105">
        <v>3.3032403650021949</v>
      </c>
      <c r="CE11" s="105">
        <v>1977.9803305633141</v>
      </c>
      <c r="CF11" s="105">
        <v>4.4800044861633612</v>
      </c>
      <c r="CG11" s="105">
        <v>2682.6266863146207</v>
      </c>
      <c r="CH11" s="105">
        <v>2.5640634812940051</v>
      </c>
      <c r="CI11" s="105">
        <v>1535.3612125988502</v>
      </c>
      <c r="CJ11" s="105">
        <v>0</v>
      </c>
      <c r="CK11" s="105">
        <v>0</v>
      </c>
      <c r="CL11" s="105">
        <v>5.3641115661761276</v>
      </c>
      <c r="CM11" s="105">
        <v>3212.0300058262651</v>
      </c>
      <c r="CN11" s="105">
        <v>4.2686239928021319</v>
      </c>
      <c r="CO11" s="105">
        <v>2556.0520468899163</v>
      </c>
      <c r="CP11" s="105">
        <v>5.0136030353838112</v>
      </c>
      <c r="CQ11" s="105">
        <v>3002.145497587826</v>
      </c>
      <c r="CR11" s="105">
        <v>4.5024669041998351</v>
      </c>
      <c r="CS11" s="105">
        <v>2696.0771822348611</v>
      </c>
      <c r="CT11" s="105">
        <v>2.6796843809810027</v>
      </c>
      <c r="CU11" s="105">
        <v>1604.5950073314243</v>
      </c>
    </row>
    <row r="12" spans="1:99" x14ac:dyDescent="0.2">
      <c r="C12" s="104" t="s">
        <v>178</v>
      </c>
      <c r="D12" s="105">
        <v>5</v>
      </c>
      <c r="E12" s="105">
        <v>3024</v>
      </c>
      <c r="F12" s="105">
        <v>3</v>
      </c>
      <c r="G12" s="105">
        <v>1814.3999999999999</v>
      </c>
      <c r="H12" s="105">
        <v>3.3922887147515017</v>
      </c>
      <c r="I12" s="105">
        <v>2051.6562146817082</v>
      </c>
      <c r="J12" s="105">
        <v>0</v>
      </c>
      <c r="K12" s="105">
        <v>0</v>
      </c>
      <c r="L12" s="105">
        <v>0</v>
      </c>
      <c r="M12" s="105">
        <v>0</v>
      </c>
      <c r="N12" s="105">
        <v>0</v>
      </c>
      <c r="O12" s="105">
        <v>0</v>
      </c>
      <c r="P12" s="105">
        <v>3.9520430772805399</v>
      </c>
      <c r="Q12" s="105">
        <v>2390.1956531392702</v>
      </c>
      <c r="R12" s="105">
        <v>4.381768243213755</v>
      </c>
      <c r="S12" s="105">
        <v>2650.0934334956787</v>
      </c>
      <c r="T12" s="105">
        <v>3.9910756015005941</v>
      </c>
      <c r="U12" s="105">
        <v>2413.802523787559</v>
      </c>
      <c r="V12" s="105">
        <v>0</v>
      </c>
      <c r="W12" s="105">
        <v>0</v>
      </c>
      <c r="X12" s="105">
        <v>5</v>
      </c>
      <c r="Y12" s="105">
        <v>3024</v>
      </c>
      <c r="Z12" s="105">
        <v>3.5278746945407211</v>
      </c>
      <c r="AA12" s="105">
        <v>2133.6586152582281</v>
      </c>
      <c r="AB12" s="105">
        <v>3.6172312436873995</v>
      </c>
      <c r="AC12" s="105">
        <v>2187.7014561821388</v>
      </c>
      <c r="AD12" s="105">
        <v>4.5404090410329792</v>
      </c>
      <c r="AE12" s="105">
        <v>2746.0393880167458</v>
      </c>
      <c r="AF12" s="105">
        <v>3.6927869876808699</v>
      </c>
      <c r="AG12" s="105">
        <v>2233.39757014939</v>
      </c>
      <c r="AH12" s="105">
        <v>3.3674700387661267</v>
      </c>
      <c r="AI12" s="105">
        <v>2036.6458794457533</v>
      </c>
      <c r="AJ12" s="105">
        <v>3.6339604734886257</v>
      </c>
      <c r="AK12" s="105">
        <v>2197.8192943659205</v>
      </c>
      <c r="AL12" s="105">
        <v>5.1641713054560405</v>
      </c>
      <c r="AM12" s="105">
        <v>3123.2908055398129</v>
      </c>
      <c r="AN12" s="105">
        <v>2.9888787326326565</v>
      </c>
      <c r="AO12" s="105">
        <v>1807.6738574962305</v>
      </c>
      <c r="AP12" s="105">
        <v>5.0765879981398898</v>
      </c>
      <c r="AQ12" s="105">
        <v>3070.3204212750052</v>
      </c>
      <c r="AR12" s="105">
        <v>3.2853366231864651</v>
      </c>
      <c r="AS12" s="105">
        <v>1986.971589703174</v>
      </c>
      <c r="AT12" s="105">
        <v>3.1244567369994991</v>
      </c>
      <c r="AU12" s="105">
        <v>1889.6714345372968</v>
      </c>
      <c r="AV12" s="105">
        <v>4.4284537496102487</v>
      </c>
      <c r="AW12" s="105">
        <v>2678.3288277642782</v>
      </c>
      <c r="AX12" s="105">
        <v>3.7816508456731901</v>
      </c>
      <c r="AY12" s="105">
        <v>2287.1424314631454</v>
      </c>
      <c r="AZ12" s="105">
        <v>4.2761524301792084</v>
      </c>
      <c r="BA12" s="105">
        <v>2586.2169897723852</v>
      </c>
      <c r="BB12" s="105">
        <v>2.7452201402984726</v>
      </c>
      <c r="BC12" s="105">
        <v>1660.3091408525161</v>
      </c>
      <c r="BD12" s="105">
        <v>5.154290875662439</v>
      </c>
      <c r="BE12" s="105">
        <v>3117.3151216006431</v>
      </c>
      <c r="BF12" s="105">
        <v>5.0765879981398898</v>
      </c>
      <c r="BG12" s="105">
        <v>3070.3204212750052</v>
      </c>
      <c r="BH12" s="105">
        <v>0</v>
      </c>
      <c r="BI12" s="105">
        <v>0</v>
      </c>
      <c r="BJ12" s="105">
        <v>9.8560098695593901</v>
      </c>
      <c r="BK12" s="105">
        <v>5960.9147691095186</v>
      </c>
      <c r="BL12" s="105">
        <v>3.8855423524224539</v>
      </c>
      <c r="BM12" s="105">
        <v>2349.9760147450997</v>
      </c>
      <c r="BN12" s="105">
        <v>4.0772058765329779</v>
      </c>
      <c r="BO12" s="105">
        <v>2465.8941141271448</v>
      </c>
      <c r="BP12" s="105">
        <v>3.759036322343583</v>
      </c>
      <c r="BQ12" s="105">
        <v>2273.4651677533989</v>
      </c>
      <c r="BR12" s="105">
        <v>4.5122427318454301</v>
      </c>
      <c r="BS12" s="105">
        <v>2729.0044042201162</v>
      </c>
      <c r="BT12" s="105">
        <v>3.1084338819379633</v>
      </c>
      <c r="BU12" s="105">
        <v>1879.9808117960802</v>
      </c>
      <c r="BV12" s="105">
        <v>5.255589077843088</v>
      </c>
      <c r="BW12" s="105">
        <v>3178.5802742794995</v>
      </c>
      <c r="BX12" s="105">
        <v>3.7186785704165817</v>
      </c>
      <c r="BY12" s="105">
        <v>2249.0567993879486</v>
      </c>
      <c r="BZ12" s="105">
        <v>4.1598159302405096</v>
      </c>
      <c r="CA12" s="105">
        <v>2515.8566746094598</v>
      </c>
      <c r="CB12" s="105">
        <v>3.9424039478237578</v>
      </c>
      <c r="CC12" s="105">
        <v>2384.3659076438084</v>
      </c>
      <c r="CD12" s="105">
        <v>3.3032403650021949</v>
      </c>
      <c r="CE12" s="105">
        <v>1997.7997727533273</v>
      </c>
      <c r="CF12" s="105">
        <v>4.0320040375470247</v>
      </c>
      <c r="CG12" s="105">
        <v>2438.5560419084404</v>
      </c>
      <c r="CH12" s="105">
        <v>3.0768761775528062</v>
      </c>
      <c r="CI12" s="105">
        <v>1860.8947121839371</v>
      </c>
      <c r="CJ12" s="105">
        <v>0</v>
      </c>
      <c r="CK12" s="105">
        <v>0</v>
      </c>
      <c r="CL12" s="105">
        <v>4.4700929718134397</v>
      </c>
      <c r="CM12" s="105">
        <v>2703.5122293527679</v>
      </c>
      <c r="CN12" s="105">
        <v>4.2686239928021319</v>
      </c>
      <c r="CO12" s="105">
        <v>2581.6637908467292</v>
      </c>
      <c r="CP12" s="105">
        <v>5.5149633389221924</v>
      </c>
      <c r="CQ12" s="105">
        <v>3335.4498273801419</v>
      </c>
      <c r="CR12" s="105">
        <v>3.9396585411748557</v>
      </c>
      <c r="CS12" s="105">
        <v>2382.7054857025523</v>
      </c>
      <c r="CT12" s="105">
        <v>3.2156212571772032</v>
      </c>
      <c r="CU12" s="105">
        <v>1944.8077363407724</v>
      </c>
    </row>
    <row r="13" spans="1:99" x14ac:dyDescent="0.2">
      <c r="C13" s="104" t="s">
        <v>179</v>
      </c>
      <c r="D13" s="105">
        <v>5</v>
      </c>
      <c r="E13" s="105">
        <v>833.99999999999989</v>
      </c>
      <c r="F13" s="105">
        <v>4</v>
      </c>
      <c r="G13" s="105">
        <v>667.19999999999993</v>
      </c>
      <c r="H13" s="105">
        <v>3.3922887147515017</v>
      </c>
      <c r="I13" s="105">
        <v>565.83375762055039</v>
      </c>
      <c r="J13" s="105">
        <v>0</v>
      </c>
      <c r="K13" s="105">
        <v>0</v>
      </c>
      <c r="L13" s="105">
        <v>0</v>
      </c>
      <c r="M13" s="105">
        <v>0</v>
      </c>
      <c r="N13" s="105">
        <v>0</v>
      </c>
      <c r="O13" s="105">
        <v>0</v>
      </c>
      <c r="P13" s="105">
        <v>3.9520430772805399</v>
      </c>
      <c r="Q13" s="105">
        <v>659.20078529039404</v>
      </c>
      <c r="R13" s="105">
        <v>3.8949051050788936</v>
      </c>
      <c r="S13" s="105">
        <v>649.67017152715937</v>
      </c>
      <c r="T13" s="105">
        <v>4.4899600516881693</v>
      </c>
      <c r="U13" s="105">
        <v>748.92533662158655</v>
      </c>
      <c r="V13" s="105">
        <v>0</v>
      </c>
      <c r="W13" s="105">
        <v>0</v>
      </c>
      <c r="X13" s="105">
        <v>5</v>
      </c>
      <c r="Y13" s="105">
        <v>833.99999999999989</v>
      </c>
      <c r="Z13" s="105">
        <v>3.5278746945407211</v>
      </c>
      <c r="AA13" s="105">
        <v>588.44949904939222</v>
      </c>
      <c r="AB13" s="105">
        <v>4.1339785642141713</v>
      </c>
      <c r="AC13" s="105">
        <v>689.5476245109237</v>
      </c>
      <c r="AD13" s="105">
        <v>3.9728579109038571</v>
      </c>
      <c r="AE13" s="105">
        <v>662.67269953876325</v>
      </c>
      <c r="AF13" s="105">
        <v>4.2203279859209939</v>
      </c>
      <c r="AG13" s="105">
        <v>703.95070805162175</v>
      </c>
      <c r="AH13" s="105">
        <v>3.3674700387661267</v>
      </c>
      <c r="AI13" s="105">
        <v>561.69400246618989</v>
      </c>
      <c r="AJ13" s="105">
        <v>3.6339604734886257</v>
      </c>
      <c r="AK13" s="105">
        <v>606.14460697790275</v>
      </c>
      <c r="AL13" s="105">
        <v>5.1641713054560405</v>
      </c>
      <c r="AM13" s="105">
        <v>861.38377375006746</v>
      </c>
      <c r="AN13" s="105">
        <v>2.9888787326326565</v>
      </c>
      <c r="AO13" s="105">
        <v>498.54497260312706</v>
      </c>
      <c r="AP13" s="105">
        <v>5.0765879981398898</v>
      </c>
      <c r="AQ13" s="105">
        <v>846.77487808973353</v>
      </c>
      <c r="AR13" s="105">
        <v>3.8328927270508757</v>
      </c>
      <c r="AS13" s="105">
        <v>639.32650687208604</v>
      </c>
      <c r="AT13" s="105">
        <v>3.645199526499415</v>
      </c>
      <c r="AU13" s="105">
        <v>608.01928102010231</v>
      </c>
      <c r="AV13" s="105">
        <v>3.8748970309089676</v>
      </c>
      <c r="AW13" s="105">
        <v>646.33282475561577</v>
      </c>
      <c r="AX13" s="105">
        <v>3.7816508456731901</v>
      </c>
      <c r="AY13" s="105">
        <v>630.77936105828803</v>
      </c>
      <c r="AZ13" s="105">
        <v>4.2761524301792084</v>
      </c>
      <c r="BA13" s="105">
        <v>713.26222535389195</v>
      </c>
      <c r="BB13" s="105">
        <v>3.294264168358167</v>
      </c>
      <c r="BC13" s="105">
        <v>549.48326328214216</v>
      </c>
      <c r="BD13" s="105">
        <v>4.6388617880961949</v>
      </c>
      <c r="BE13" s="105">
        <v>773.76214625444527</v>
      </c>
      <c r="BF13" s="105">
        <v>4.5689291983259004</v>
      </c>
      <c r="BG13" s="105">
        <v>762.09739028076012</v>
      </c>
      <c r="BH13" s="105">
        <v>0</v>
      </c>
      <c r="BI13" s="105">
        <v>0</v>
      </c>
      <c r="BJ13" s="105">
        <v>8.8704088826034493</v>
      </c>
      <c r="BK13" s="105">
        <v>1479.5842016182553</v>
      </c>
      <c r="BL13" s="105">
        <v>3.3998495583696466</v>
      </c>
      <c r="BM13" s="105">
        <v>567.09490633605697</v>
      </c>
      <c r="BN13" s="105">
        <v>3.6241830013626473</v>
      </c>
      <c r="BO13" s="105">
        <v>604.51372462728955</v>
      </c>
      <c r="BP13" s="105">
        <v>4.6987954029294787</v>
      </c>
      <c r="BQ13" s="105">
        <v>783.75907320863701</v>
      </c>
      <c r="BR13" s="105">
        <v>4.010882428307049</v>
      </c>
      <c r="BS13" s="105">
        <v>669.01518904161571</v>
      </c>
      <c r="BT13" s="105">
        <v>3.1084338819379633</v>
      </c>
      <c r="BU13" s="105">
        <v>518.48677150725223</v>
      </c>
      <c r="BV13" s="105">
        <v>5.8395434198256533</v>
      </c>
      <c r="BW13" s="105">
        <v>974.03584242691886</v>
      </c>
      <c r="BX13" s="105">
        <v>3.7186785704165817</v>
      </c>
      <c r="BY13" s="105">
        <v>620.2755855454858</v>
      </c>
      <c r="BZ13" s="105">
        <v>4.1598159302405096</v>
      </c>
      <c r="CA13" s="105">
        <v>693.85729716411697</v>
      </c>
      <c r="CB13" s="105">
        <v>3.9424039478237578</v>
      </c>
      <c r="CC13" s="105">
        <v>657.59297849700272</v>
      </c>
      <c r="CD13" s="105">
        <v>3.3032403650021949</v>
      </c>
      <c r="CE13" s="105">
        <v>550.98049288236609</v>
      </c>
      <c r="CF13" s="105">
        <v>4.0320040375470247</v>
      </c>
      <c r="CG13" s="105">
        <v>672.53827346284368</v>
      </c>
      <c r="CH13" s="105">
        <v>2.5640634812940051</v>
      </c>
      <c r="CI13" s="105">
        <v>427.68578867984002</v>
      </c>
      <c r="CJ13" s="105">
        <v>0</v>
      </c>
      <c r="CK13" s="105">
        <v>0</v>
      </c>
      <c r="CL13" s="105">
        <v>5.3641115661761276</v>
      </c>
      <c r="CM13" s="105">
        <v>894.73380923817797</v>
      </c>
      <c r="CN13" s="105">
        <v>4.7429155475579243</v>
      </c>
      <c r="CO13" s="105">
        <v>791.11831333266173</v>
      </c>
      <c r="CP13" s="105">
        <v>5.0136030353838112</v>
      </c>
      <c r="CQ13" s="105">
        <v>836.26898630201958</v>
      </c>
      <c r="CR13" s="105">
        <v>4.5024669041998351</v>
      </c>
      <c r="CS13" s="105">
        <v>751.01147962053244</v>
      </c>
      <c r="CT13" s="105">
        <v>3.2156212571772032</v>
      </c>
      <c r="CU13" s="105">
        <v>536.36562569715738</v>
      </c>
    </row>
    <row r="14" spans="1:99" x14ac:dyDescent="0.2">
      <c r="C14" s="104" t="s">
        <v>180</v>
      </c>
      <c r="D14" s="105">
        <v>5</v>
      </c>
      <c r="E14" s="105">
        <v>2496</v>
      </c>
      <c r="F14" s="105">
        <v>4</v>
      </c>
      <c r="G14" s="105">
        <v>1996.8</v>
      </c>
      <c r="H14" s="105">
        <v>2.5442165360636264</v>
      </c>
      <c r="I14" s="105">
        <v>1270.0728948029623</v>
      </c>
      <c r="J14" s="105">
        <v>0</v>
      </c>
      <c r="K14" s="105">
        <v>0</v>
      </c>
      <c r="L14" s="105">
        <v>0</v>
      </c>
      <c r="M14" s="105">
        <v>0</v>
      </c>
      <c r="N14" s="105">
        <v>0</v>
      </c>
      <c r="O14" s="105">
        <v>0</v>
      </c>
      <c r="P14" s="105">
        <v>3.4580376926204721</v>
      </c>
      <c r="Q14" s="105">
        <v>1726.2524161561396</v>
      </c>
      <c r="R14" s="105">
        <v>3.8949051050788936</v>
      </c>
      <c r="S14" s="105">
        <v>1944.3366284553836</v>
      </c>
      <c r="T14" s="105">
        <v>3.9910756015005941</v>
      </c>
      <c r="U14" s="105">
        <v>1992.3449402690965</v>
      </c>
      <c r="V14" s="105">
        <v>0</v>
      </c>
      <c r="W14" s="105">
        <v>0</v>
      </c>
      <c r="X14" s="105">
        <v>5</v>
      </c>
      <c r="Y14" s="105">
        <v>2496</v>
      </c>
      <c r="Z14" s="105">
        <v>4.1158538102975086</v>
      </c>
      <c r="AA14" s="105">
        <v>2054.6342221005161</v>
      </c>
      <c r="AB14" s="105">
        <v>3.6172312436873995</v>
      </c>
      <c r="AC14" s="105">
        <v>1805.7218368487497</v>
      </c>
      <c r="AD14" s="105">
        <v>3.9728579109038571</v>
      </c>
      <c r="AE14" s="105">
        <v>1983.2506691232054</v>
      </c>
      <c r="AF14" s="105">
        <v>3.6927869876808699</v>
      </c>
      <c r="AG14" s="105">
        <v>1843.4392642502903</v>
      </c>
      <c r="AH14" s="105">
        <v>2.8062250323051052</v>
      </c>
      <c r="AI14" s="105">
        <v>1400.8675361267085</v>
      </c>
      <c r="AJ14" s="105">
        <v>3.6339604734886257</v>
      </c>
      <c r="AK14" s="105">
        <v>1814.073068365522</v>
      </c>
      <c r="AL14" s="105">
        <v>5.1641713054560405</v>
      </c>
      <c r="AM14" s="105">
        <v>2577.9543156836553</v>
      </c>
      <c r="AN14" s="105">
        <v>2.9888787326326565</v>
      </c>
      <c r="AO14" s="105">
        <v>1492.048263330222</v>
      </c>
      <c r="AP14" s="105">
        <v>5.0765879981398898</v>
      </c>
      <c r="AQ14" s="105">
        <v>2534.2327286714331</v>
      </c>
      <c r="AR14" s="105">
        <v>3.2853366231864651</v>
      </c>
      <c r="AS14" s="105">
        <v>1640.0400422946834</v>
      </c>
      <c r="AT14" s="105">
        <v>3.645199526499415</v>
      </c>
      <c r="AU14" s="105">
        <v>1819.6836036285079</v>
      </c>
      <c r="AV14" s="105">
        <v>4.4284537496102487</v>
      </c>
      <c r="AW14" s="105">
        <v>2210.6841118054363</v>
      </c>
      <c r="AX14" s="105">
        <v>3.2414150105770205</v>
      </c>
      <c r="AY14" s="105">
        <v>1618.1143732800485</v>
      </c>
      <c r="AZ14" s="105">
        <v>4.2761524301792084</v>
      </c>
      <c r="BA14" s="105">
        <v>2134.6552931454607</v>
      </c>
      <c r="BB14" s="105">
        <v>2.7452201402984726</v>
      </c>
      <c r="BC14" s="105">
        <v>1370.4138940369976</v>
      </c>
      <c r="BD14" s="105">
        <v>4.6388617880961949</v>
      </c>
      <c r="BE14" s="105">
        <v>2315.7198046176204</v>
      </c>
      <c r="BF14" s="105">
        <v>4.5689291983259004</v>
      </c>
      <c r="BG14" s="105">
        <v>2280.8094558042894</v>
      </c>
      <c r="BH14" s="105">
        <v>0</v>
      </c>
      <c r="BI14" s="105">
        <v>0</v>
      </c>
      <c r="BJ14" s="105">
        <v>8.8704088826034493</v>
      </c>
      <c r="BK14" s="105">
        <v>4428.108114195642</v>
      </c>
      <c r="BL14" s="105">
        <v>3.3998495583696466</v>
      </c>
      <c r="BM14" s="105">
        <v>1697.2048995381276</v>
      </c>
      <c r="BN14" s="105">
        <v>3.6241830013626473</v>
      </c>
      <c r="BO14" s="105">
        <v>1809.1921542802336</v>
      </c>
      <c r="BP14" s="105">
        <v>4.6987954029294787</v>
      </c>
      <c r="BQ14" s="105">
        <v>2345.6386651423959</v>
      </c>
      <c r="BR14" s="105">
        <v>4.5122427318454301</v>
      </c>
      <c r="BS14" s="105">
        <v>2252.5115717372387</v>
      </c>
      <c r="BT14" s="105">
        <v>3.1084338819379633</v>
      </c>
      <c r="BU14" s="105">
        <v>1551.7301938634312</v>
      </c>
      <c r="BV14" s="105">
        <v>5.255589077843088</v>
      </c>
      <c r="BW14" s="105">
        <v>2623.5900676592696</v>
      </c>
      <c r="BX14" s="105">
        <v>3.0988988086804845</v>
      </c>
      <c r="BY14" s="105">
        <v>1546.9702852932978</v>
      </c>
      <c r="BZ14" s="105">
        <v>3.5655565116347221</v>
      </c>
      <c r="CA14" s="105">
        <v>1779.9258106080533</v>
      </c>
      <c r="CB14" s="105">
        <v>3.9424039478237578</v>
      </c>
      <c r="CC14" s="105">
        <v>1968.0480507536199</v>
      </c>
      <c r="CD14" s="105">
        <v>3.3032403650021949</v>
      </c>
      <c r="CE14" s="105">
        <v>1648.9775902090958</v>
      </c>
      <c r="CF14" s="105">
        <v>4.4800044861633612</v>
      </c>
      <c r="CG14" s="105">
        <v>2236.4182394927498</v>
      </c>
      <c r="CH14" s="105">
        <v>2.5640634812940051</v>
      </c>
      <c r="CI14" s="105">
        <v>1279.9804898619673</v>
      </c>
      <c r="CJ14" s="105">
        <v>0</v>
      </c>
      <c r="CK14" s="105">
        <v>0</v>
      </c>
      <c r="CL14" s="105">
        <v>5.3641115661761276</v>
      </c>
      <c r="CM14" s="105">
        <v>2677.7644938351227</v>
      </c>
      <c r="CN14" s="105">
        <v>5.2172071023137176</v>
      </c>
      <c r="CO14" s="105">
        <v>2604.429785475008</v>
      </c>
      <c r="CP14" s="105">
        <v>5.5149633389221924</v>
      </c>
      <c r="CQ14" s="105">
        <v>2753.0696987899582</v>
      </c>
      <c r="CR14" s="105">
        <v>4.5024669041998351</v>
      </c>
      <c r="CS14" s="105">
        <v>2247.6314785765576</v>
      </c>
      <c r="CT14" s="105">
        <v>3.2156212571772032</v>
      </c>
      <c r="CU14" s="105">
        <v>1605.2381315828598</v>
      </c>
    </row>
    <row r="15" spans="1:99" x14ac:dyDescent="0.2">
      <c r="C15" s="104" t="s">
        <v>181</v>
      </c>
      <c r="D15" s="105">
        <v>5</v>
      </c>
      <c r="E15" s="105">
        <v>4122</v>
      </c>
      <c r="F15" s="105">
        <v>3</v>
      </c>
      <c r="G15" s="105">
        <v>2473.1999999999998</v>
      </c>
      <c r="H15" s="105">
        <v>2.5442165360636264</v>
      </c>
      <c r="I15" s="105">
        <v>2097.4521123308537</v>
      </c>
      <c r="J15" s="105">
        <v>0</v>
      </c>
      <c r="K15" s="105">
        <v>0</v>
      </c>
      <c r="L15" s="105">
        <v>0</v>
      </c>
      <c r="M15" s="105">
        <v>0</v>
      </c>
      <c r="N15" s="105">
        <v>0</v>
      </c>
      <c r="O15" s="105">
        <v>0</v>
      </c>
      <c r="P15" s="105">
        <v>3.4580376926204721</v>
      </c>
      <c r="Q15" s="105">
        <v>2850.8062737963173</v>
      </c>
      <c r="R15" s="105">
        <v>3.8949051050788936</v>
      </c>
      <c r="S15" s="105">
        <v>3210.9597686270399</v>
      </c>
      <c r="T15" s="105">
        <v>4.4899600516881693</v>
      </c>
      <c r="U15" s="105">
        <v>3701.5230666117268</v>
      </c>
      <c r="V15" s="105">
        <v>0</v>
      </c>
      <c r="W15" s="105">
        <v>0</v>
      </c>
      <c r="X15" s="105">
        <v>5</v>
      </c>
      <c r="Y15" s="105">
        <v>4122</v>
      </c>
      <c r="Z15" s="105">
        <v>4.1158538102975086</v>
      </c>
      <c r="AA15" s="105">
        <v>3393.109881209266</v>
      </c>
      <c r="AB15" s="105">
        <v>3.6172312436873995</v>
      </c>
      <c r="AC15" s="105">
        <v>2982.045437295892</v>
      </c>
      <c r="AD15" s="105">
        <v>4.5404090410329792</v>
      </c>
      <c r="AE15" s="105">
        <v>3743.1132134275881</v>
      </c>
      <c r="AF15" s="105">
        <v>3.6927869876808699</v>
      </c>
      <c r="AG15" s="105">
        <v>3044.3335926441091</v>
      </c>
      <c r="AH15" s="105">
        <v>2.8062250323051052</v>
      </c>
      <c r="AI15" s="105">
        <v>2313.4519166323289</v>
      </c>
      <c r="AJ15" s="105">
        <v>2.9071683787909008</v>
      </c>
      <c r="AK15" s="105">
        <v>2396.6696114752185</v>
      </c>
      <c r="AL15" s="105">
        <v>5.1641713054560405</v>
      </c>
      <c r="AM15" s="105">
        <v>4257.3428242179598</v>
      </c>
      <c r="AN15" s="105">
        <v>2.9888787326326565</v>
      </c>
      <c r="AO15" s="105">
        <v>2464.0316271823617</v>
      </c>
      <c r="AP15" s="105">
        <v>5.0765879981398898</v>
      </c>
      <c r="AQ15" s="105">
        <v>4185.1391456665251</v>
      </c>
      <c r="AR15" s="105">
        <v>3.8328927270508757</v>
      </c>
      <c r="AS15" s="105">
        <v>3159.8367641807417</v>
      </c>
      <c r="AT15" s="105">
        <v>3.645199526499415</v>
      </c>
      <c r="AU15" s="105">
        <v>3005.1024896461176</v>
      </c>
      <c r="AV15" s="105">
        <v>3.8748970309089676</v>
      </c>
      <c r="AW15" s="105">
        <v>3194.465112281353</v>
      </c>
      <c r="AX15" s="105">
        <v>3.7816508456731901</v>
      </c>
      <c r="AY15" s="105">
        <v>3117.592957172978</v>
      </c>
      <c r="AZ15" s="105">
        <v>4.2761524301792084</v>
      </c>
      <c r="BA15" s="105">
        <v>3525.2600634397395</v>
      </c>
      <c r="BB15" s="105">
        <v>2.7452201402984726</v>
      </c>
      <c r="BC15" s="105">
        <v>2263.1594836620607</v>
      </c>
      <c r="BD15" s="105">
        <v>5.154290875662439</v>
      </c>
      <c r="BE15" s="105">
        <v>4249.197397896115</v>
      </c>
      <c r="BF15" s="105">
        <v>4.5689291983259004</v>
      </c>
      <c r="BG15" s="105">
        <v>3766.6252310998721</v>
      </c>
      <c r="BH15" s="105">
        <v>0</v>
      </c>
      <c r="BI15" s="105">
        <v>0</v>
      </c>
      <c r="BJ15" s="105">
        <v>8.8704088826034493</v>
      </c>
      <c r="BK15" s="105">
        <v>7312.7650828182832</v>
      </c>
      <c r="BL15" s="105">
        <v>3.8855423524224539</v>
      </c>
      <c r="BM15" s="105">
        <v>3203.2411153370708</v>
      </c>
      <c r="BN15" s="105">
        <v>3.6241830013626473</v>
      </c>
      <c r="BO15" s="105">
        <v>2987.7764663233661</v>
      </c>
      <c r="BP15" s="105">
        <v>4.2289158626365309</v>
      </c>
      <c r="BQ15" s="105">
        <v>3486.3182371575558</v>
      </c>
      <c r="BR15" s="105">
        <v>4.010882428307049</v>
      </c>
      <c r="BS15" s="105">
        <v>3306.5714738963311</v>
      </c>
      <c r="BT15" s="105">
        <v>3.1084338819379633</v>
      </c>
      <c r="BU15" s="105">
        <v>2562.5928922696571</v>
      </c>
      <c r="BV15" s="105">
        <v>5.255589077843088</v>
      </c>
      <c r="BW15" s="105">
        <v>4332.7076357738415</v>
      </c>
      <c r="BX15" s="105">
        <v>3.7186785704165817</v>
      </c>
      <c r="BY15" s="105">
        <v>3065.67861345143</v>
      </c>
      <c r="BZ15" s="105">
        <v>3.5655565116347221</v>
      </c>
      <c r="CA15" s="105">
        <v>2939.4447881916649</v>
      </c>
      <c r="CB15" s="105">
        <v>3.4496034543457883</v>
      </c>
      <c r="CC15" s="105">
        <v>2843.8530877626677</v>
      </c>
      <c r="CD15" s="105">
        <v>3.3032403650021949</v>
      </c>
      <c r="CE15" s="105">
        <v>2723.1913569078092</v>
      </c>
      <c r="CF15" s="105">
        <v>4.4800044861633612</v>
      </c>
      <c r="CG15" s="105">
        <v>3693.3156983930749</v>
      </c>
      <c r="CH15" s="105">
        <v>3.0768761775528062</v>
      </c>
      <c r="CI15" s="105">
        <v>2536.5767207745334</v>
      </c>
      <c r="CJ15" s="105">
        <v>0</v>
      </c>
      <c r="CK15" s="105">
        <v>0</v>
      </c>
      <c r="CL15" s="105">
        <v>4.4700929718134397</v>
      </c>
      <c r="CM15" s="105">
        <v>3685.1446459629997</v>
      </c>
      <c r="CN15" s="105">
        <v>4.7429155475579243</v>
      </c>
      <c r="CO15" s="105">
        <v>3910.0595774067529</v>
      </c>
      <c r="CP15" s="105">
        <v>5.5149633389221924</v>
      </c>
      <c r="CQ15" s="105">
        <v>4546.5357766074549</v>
      </c>
      <c r="CR15" s="105">
        <v>4.5024669041998351</v>
      </c>
      <c r="CS15" s="105">
        <v>3711.8337158223439</v>
      </c>
      <c r="CT15" s="105">
        <v>3.2156212571772032</v>
      </c>
      <c r="CU15" s="105">
        <v>2650.9581644168861</v>
      </c>
    </row>
    <row r="16" spans="1:99" x14ac:dyDescent="0.2">
      <c r="C16" s="104" t="s">
        <v>182</v>
      </c>
      <c r="D16" s="105">
        <v>5</v>
      </c>
      <c r="E16" s="105">
        <v>2543.9999999999995</v>
      </c>
      <c r="F16" s="105">
        <v>4</v>
      </c>
      <c r="G16" s="105">
        <v>2035.1999999999996</v>
      </c>
      <c r="H16" s="105">
        <v>3.3922887147515017</v>
      </c>
      <c r="I16" s="105">
        <v>1725.9964980655636</v>
      </c>
      <c r="J16" s="105">
        <v>0</v>
      </c>
      <c r="K16" s="105">
        <v>0</v>
      </c>
      <c r="L16" s="105">
        <v>0</v>
      </c>
      <c r="M16" s="105">
        <v>0</v>
      </c>
      <c r="N16" s="105">
        <v>0</v>
      </c>
      <c r="O16" s="105">
        <v>0</v>
      </c>
      <c r="P16" s="105">
        <v>3.9520430772805399</v>
      </c>
      <c r="Q16" s="105">
        <v>2010.7995177203384</v>
      </c>
      <c r="R16" s="105">
        <v>4.381768243213755</v>
      </c>
      <c r="S16" s="105">
        <v>2229.4436821471581</v>
      </c>
      <c r="T16" s="105">
        <v>3.9910756015005941</v>
      </c>
      <c r="U16" s="105">
        <v>2030.6592660435019</v>
      </c>
      <c r="V16" s="105">
        <v>0</v>
      </c>
      <c r="W16" s="105">
        <v>0</v>
      </c>
      <c r="X16" s="105">
        <v>5</v>
      </c>
      <c r="Y16" s="105">
        <v>2543.9999999999995</v>
      </c>
      <c r="Z16" s="105">
        <v>3.5278746945407211</v>
      </c>
      <c r="AA16" s="105">
        <v>1794.9826445823185</v>
      </c>
      <c r="AB16" s="105">
        <v>4.1339785642141713</v>
      </c>
      <c r="AC16" s="105">
        <v>2103.3682934721701</v>
      </c>
      <c r="AD16" s="105">
        <v>3.9728579109038571</v>
      </c>
      <c r="AE16" s="105">
        <v>2021.3901050678821</v>
      </c>
      <c r="AF16" s="105">
        <v>3.1652459894407454</v>
      </c>
      <c r="AG16" s="105">
        <v>1610.4771594274509</v>
      </c>
      <c r="AH16" s="105">
        <v>3.3674700387661267</v>
      </c>
      <c r="AI16" s="105">
        <v>1713.3687557242049</v>
      </c>
      <c r="AJ16" s="105">
        <v>2.9071683787909008</v>
      </c>
      <c r="AK16" s="105">
        <v>1479.1672711288099</v>
      </c>
      <c r="AL16" s="105">
        <v>5.1641713054560405</v>
      </c>
      <c r="AM16" s="105">
        <v>2627.5303602160329</v>
      </c>
      <c r="AN16" s="105">
        <v>2.9888787326326565</v>
      </c>
      <c r="AO16" s="105">
        <v>1520.7414991634953</v>
      </c>
      <c r="AP16" s="105">
        <v>4.5689291983259004</v>
      </c>
      <c r="AQ16" s="105">
        <v>2324.6711761082174</v>
      </c>
      <c r="AR16" s="105">
        <v>3.2853366231864651</v>
      </c>
      <c r="AS16" s="105">
        <v>1671.5792738772732</v>
      </c>
      <c r="AT16" s="105">
        <v>3.645199526499415</v>
      </c>
      <c r="AU16" s="105">
        <v>1854.6775190829021</v>
      </c>
      <c r="AV16" s="105">
        <v>4.4284537496102487</v>
      </c>
      <c r="AW16" s="105">
        <v>2253.1972678016941</v>
      </c>
      <c r="AX16" s="105">
        <v>3.2414150105770205</v>
      </c>
      <c r="AY16" s="105">
        <v>1649.2319573815878</v>
      </c>
      <c r="AZ16" s="105">
        <v>4.8106714839516087</v>
      </c>
      <c r="BA16" s="105">
        <v>2447.6696510345782</v>
      </c>
      <c r="BB16" s="105">
        <v>2.7452201402984726</v>
      </c>
      <c r="BC16" s="105">
        <v>1396.7680073838626</v>
      </c>
      <c r="BD16" s="105">
        <v>4.6388617880961949</v>
      </c>
      <c r="BE16" s="105">
        <v>2360.2528777833436</v>
      </c>
      <c r="BF16" s="105">
        <v>5.0765879981398898</v>
      </c>
      <c r="BG16" s="105">
        <v>2582.9679734535753</v>
      </c>
      <c r="BH16" s="105">
        <v>0</v>
      </c>
      <c r="BI16" s="105">
        <v>0</v>
      </c>
      <c r="BJ16" s="105">
        <v>8.8704088826034493</v>
      </c>
      <c r="BK16" s="105">
        <v>4513.2640394686341</v>
      </c>
      <c r="BL16" s="105">
        <v>3.8855423524224539</v>
      </c>
      <c r="BM16" s="105">
        <v>1976.9639489125441</v>
      </c>
      <c r="BN16" s="105">
        <v>4.0772058765329779</v>
      </c>
      <c r="BO16" s="105">
        <v>2074.4823499799786</v>
      </c>
      <c r="BP16" s="105">
        <v>4.2289158626365309</v>
      </c>
      <c r="BQ16" s="105">
        <v>2151.6723909094667</v>
      </c>
      <c r="BR16" s="105">
        <v>4.5122427318454301</v>
      </c>
      <c r="BS16" s="105">
        <v>2295.8291019629546</v>
      </c>
      <c r="BT16" s="105">
        <v>3.6265061955942901</v>
      </c>
      <c r="BU16" s="105">
        <v>1845.1663523183745</v>
      </c>
      <c r="BV16" s="105">
        <v>5.255589077843088</v>
      </c>
      <c r="BW16" s="105">
        <v>2674.0437228065625</v>
      </c>
      <c r="BX16" s="105">
        <v>3.0988988086804845</v>
      </c>
      <c r="BY16" s="105">
        <v>1576.7197138566303</v>
      </c>
      <c r="BZ16" s="105">
        <v>4.1598159302405096</v>
      </c>
      <c r="CA16" s="105">
        <v>2116.5143453063706</v>
      </c>
      <c r="CB16" s="105">
        <v>3.9424039478237578</v>
      </c>
      <c r="CC16" s="105">
        <v>2005.8951286527276</v>
      </c>
      <c r="CD16" s="105">
        <v>3.3032403650021949</v>
      </c>
      <c r="CE16" s="105">
        <v>1680.6886977131164</v>
      </c>
      <c r="CF16" s="105">
        <v>4.4800044861633612</v>
      </c>
      <c r="CG16" s="105">
        <v>2279.4262825599176</v>
      </c>
      <c r="CH16" s="105">
        <v>2.5640634812940051</v>
      </c>
      <c r="CI16" s="105">
        <v>1304.5954992823895</v>
      </c>
      <c r="CJ16" s="105">
        <v>0</v>
      </c>
      <c r="CK16" s="105">
        <v>0</v>
      </c>
      <c r="CL16" s="105">
        <v>5.3641115661761276</v>
      </c>
      <c r="CM16" s="105">
        <v>2729.2599648704131</v>
      </c>
      <c r="CN16" s="105">
        <v>4.7429155475579243</v>
      </c>
      <c r="CO16" s="105">
        <v>2413.1954305974714</v>
      </c>
      <c r="CP16" s="105">
        <v>5.5149633389221924</v>
      </c>
      <c r="CQ16" s="105">
        <v>2806.0133468436111</v>
      </c>
      <c r="CR16" s="105">
        <v>4.5024669041998351</v>
      </c>
      <c r="CS16" s="105">
        <v>2290.8551608568755</v>
      </c>
      <c r="CT16" s="105">
        <v>3.2156212571772032</v>
      </c>
      <c r="CU16" s="105">
        <v>1636.1080956517606</v>
      </c>
    </row>
    <row r="17" spans="2:99" x14ac:dyDescent="0.2">
      <c r="C17" s="104" t="s">
        <v>183</v>
      </c>
      <c r="D17" s="105">
        <v>5</v>
      </c>
      <c r="E17" s="105">
        <v>2484</v>
      </c>
      <c r="F17" s="105">
        <v>4</v>
      </c>
      <c r="G17" s="105">
        <v>1987.1999999999998</v>
      </c>
      <c r="H17" s="105">
        <v>3.3922887147515017</v>
      </c>
      <c r="I17" s="105">
        <v>1685.289033488546</v>
      </c>
      <c r="J17" s="105">
        <v>0</v>
      </c>
      <c r="K17" s="105">
        <v>0</v>
      </c>
      <c r="L17" s="105">
        <v>0</v>
      </c>
      <c r="M17" s="105">
        <v>0</v>
      </c>
      <c r="N17" s="105">
        <v>0</v>
      </c>
      <c r="O17" s="105">
        <v>0</v>
      </c>
      <c r="P17" s="105">
        <v>3.9520430772805399</v>
      </c>
      <c r="Q17" s="105">
        <v>1963.3750007929721</v>
      </c>
      <c r="R17" s="105">
        <v>3.8949051050788936</v>
      </c>
      <c r="S17" s="105">
        <v>1934.9888562031942</v>
      </c>
      <c r="T17" s="105">
        <v>4.4899600516881693</v>
      </c>
      <c r="U17" s="105">
        <v>2230.6121536786823</v>
      </c>
      <c r="V17" s="105">
        <v>0</v>
      </c>
      <c r="W17" s="105">
        <v>0</v>
      </c>
      <c r="X17" s="105">
        <v>6</v>
      </c>
      <c r="Y17" s="105">
        <v>2980.7999999999997</v>
      </c>
      <c r="Z17" s="105">
        <v>4.1158538102975086</v>
      </c>
      <c r="AA17" s="105">
        <v>2044.7561729558022</v>
      </c>
      <c r="AB17" s="105">
        <v>4.1339785642141713</v>
      </c>
      <c r="AC17" s="105">
        <v>2053.7605507016001</v>
      </c>
      <c r="AD17" s="105">
        <v>4.5404090410329792</v>
      </c>
      <c r="AE17" s="105">
        <v>2255.6752115851837</v>
      </c>
      <c r="AF17" s="105">
        <v>4.2203279859209939</v>
      </c>
      <c r="AG17" s="105">
        <v>2096.6589434055495</v>
      </c>
      <c r="AH17" s="105">
        <v>2.8062250323051052</v>
      </c>
      <c r="AI17" s="105">
        <v>1394.1325960491761</v>
      </c>
      <c r="AJ17" s="105">
        <v>2.9071683787909008</v>
      </c>
      <c r="AK17" s="105">
        <v>1444.2812505833194</v>
      </c>
      <c r="AL17" s="105">
        <v>4.5186498922740359</v>
      </c>
      <c r="AM17" s="105">
        <v>2244.8652664817409</v>
      </c>
      <c r="AN17" s="105">
        <v>2.9888787326326565</v>
      </c>
      <c r="AO17" s="105">
        <v>1484.8749543719036</v>
      </c>
      <c r="AP17" s="105">
        <v>5.0765879981398898</v>
      </c>
      <c r="AQ17" s="105">
        <v>2522.0489174758968</v>
      </c>
      <c r="AR17" s="105">
        <v>3.2853366231864651</v>
      </c>
      <c r="AS17" s="105">
        <v>1632.1552343990356</v>
      </c>
      <c r="AT17" s="105">
        <v>3.645199526499415</v>
      </c>
      <c r="AU17" s="105">
        <v>1810.9351247649092</v>
      </c>
      <c r="AV17" s="105">
        <v>3.8748970309089676</v>
      </c>
      <c r="AW17" s="105">
        <v>1925.0488449555749</v>
      </c>
      <c r="AX17" s="105">
        <v>3.7816508456731901</v>
      </c>
      <c r="AY17" s="105">
        <v>1878.7241401304407</v>
      </c>
      <c r="AZ17" s="105">
        <v>4.2761524301792084</v>
      </c>
      <c r="BA17" s="105">
        <v>2124.3925273130308</v>
      </c>
      <c r="BB17" s="105">
        <v>2.7452201402984726</v>
      </c>
      <c r="BC17" s="105">
        <v>1363.8253657002811</v>
      </c>
      <c r="BD17" s="105">
        <v>5.154290875662439</v>
      </c>
      <c r="BE17" s="105">
        <v>2560.6517070290993</v>
      </c>
      <c r="BF17" s="105">
        <v>5.0765879981398898</v>
      </c>
      <c r="BG17" s="105">
        <v>2522.0489174758968</v>
      </c>
      <c r="BH17" s="105">
        <v>0</v>
      </c>
      <c r="BI17" s="105">
        <v>0</v>
      </c>
      <c r="BJ17" s="105">
        <v>8.8704088826034493</v>
      </c>
      <c r="BK17" s="105">
        <v>4406.8191328773928</v>
      </c>
      <c r="BL17" s="105">
        <v>3.3998495583696466</v>
      </c>
      <c r="BM17" s="105">
        <v>1689.0452605980404</v>
      </c>
      <c r="BN17" s="105">
        <v>3.6241830013626473</v>
      </c>
      <c r="BO17" s="105">
        <v>1800.494115076963</v>
      </c>
      <c r="BP17" s="105">
        <v>4.2289158626365309</v>
      </c>
      <c r="BQ17" s="105">
        <v>2100.9254005578282</v>
      </c>
      <c r="BR17" s="105">
        <v>4.010882428307049</v>
      </c>
      <c r="BS17" s="105">
        <v>1992.6063903829418</v>
      </c>
      <c r="BT17" s="105">
        <v>3.1084338819379633</v>
      </c>
      <c r="BU17" s="105">
        <v>1544.2699525467801</v>
      </c>
      <c r="BV17" s="105">
        <v>5.8395434198256533</v>
      </c>
      <c r="BW17" s="105">
        <v>2901.0851709693843</v>
      </c>
      <c r="BX17" s="105">
        <v>3.7186785704165817</v>
      </c>
      <c r="BY17" s="105">
        <v>1847.4395137829576</v>
      </c>
      <c r="BZ17" s="105">
        <v>4.1598159302405096</v>
      </c>
      <c r="CA17" s="105">
        <v>2066.5965541434848</v>
      </c>
      <c r="CB17" s="105">
        <v>3.4496034543457883</v>
      </c>
      <c r="CC17" s="105">
        <v>1713.7629961189875</v>
      </c>
      <c r="CD17" s="105">
        <v>3.3032403650021949</v>
      </c>
      <c r="CE17" s="105">
        <v>1641.0498133330902</v>
      </c>
      <c r="CF17" s="105">
        <v>4.4800044861633612</v>
      </c>
      <c r="CG17" s="105">
        <v>2225.6662287259578</v>
      </c>
      <c r="CH17" s="105">
        <v>3.0768761775528062</v>
      </c>
      <c r="CI17" s="105">
        <v>1528.5920850082339</v>
      </c>
      <c r="CJ17" s="105">
        <v>0</v>
      </c>
      <c r="CK17" s="105">
        <v>0</v>
      </c>
      <c r="CL17" s="105">
        <v>5.3641115661761276</v>
      </c>
      <c r="CM17" s="105">
        <v>2664.8906260763001</v>
      </c>
      <c r="CN17" s="105">
        <v>4.7429155475579243</v>
      </c>
      <c r="CO17" s="105">
        <v>2356.2804440267764</v>
      </c>
      <c r="CP17" s="105">
        <v>5.0136030353838112</v>
      </c>
      <c r="CQ17" s="105">
        <v>2490.7579879786772</v>
      </c>
      <c r="CR17" s="105">
        <v>4.5024669041998351</v>
      </c>
      <c r="CS17" s="105">
        <v>2236.8255580064779</v>
      </c>
      <c r="CT17" s="105">
        <v>3.2156212571772032</v>
      </c>
      <c r="CU17" s="105">
        <v>1597.5206405656343</v>
      </c>
    </row>
    <row r="18" spans="2:99" x14ac:dyDescent="0.2">
      <c r="C18" s="104" t="s">
        <v>184</v>
      </c>
      <c r="D18" s="105">
        <v>5</v>
      </c>
      <c r="E18" s="105">
        <v>3654</v>
      </c>
      <c r="F18" s="105">
        <v>3</v>
      </c>
      <c r="G18" s="105">
        <v>2192.3999999999996</v>
      </c>
      <c r="H18" s="105">
        <v>3.3922887147515017</v>
      </c>
      <c r="I18" s="105">
        <v>2479.0845927403975</v>
      </c>
      <c r="J18" s="105">
        <v>0</v>
      </c>
      <c r="K18" s="105">
        <v>0</v>
      </c>
      <c r="L18" s="105">
        <v>0</v>
      </c>
      <c r="M18" s="105">
        <v>0</v>
      </c>
      <c r="N18" s="105">
        <v>0</v>
      </c>
      <c r="O18" s="105">
        <v>0</v>
      </c>
      <c r="P18" s="105">
        <v>3.4580376926204721</v>
      </c>
      <c r="Q18" s="105">
        <v>2527.133945767041</v>
      </c>
      <c r="R18" s="105">
        <v>3.8949051050788936</v>
      </c>
      <c r="S18" s="105">
        <v>2846.3966507916552</v>
      </c>
      <c r="T18" s="105">
        <v>3.9910756015005941</v>
      </c>
      <c r="U18" s="105">
        <v>2916.6780495766338</v>
      </c>
      <c r="V18" s="105">
        <v>0</v>
      </c>
      <c r="W18" s="105">
        <v>0</v>
      </c>
      <c r="X18" s="105">
        <v>6</v>
      </c>
      <c r="Y18" s="105">
        <v>4384.7999999999993</v>
      </c>
      <c r="Z18" s="105">
        <v>3.5278746945407211</v>
      </c>
      <c r="AA18" s="105">
        <v>2578.1708267703589</v>
      </c>
      <c r="AB18" s="105">
        <v>3.6172312436873995</v>
      </c>
      <c r="AC18" s="105">
        <v>2643.4725928867515</v>
      </c>
      <c r="AD18" s="105">
        <v>3.9728579109038571</v>
      </c>
      <c r="AE18" s="105">
        <v>2903.3645612885384</v>
      </c>
      <c r="AF18" s="105">
        <v>3.6927869876808699</v>
      </c>
      <c r="AG18" s="105">
        <v>2698.6887305971795</v>
      </c>
      <c r="AH18" s="105">
        <v>2.8062250323051052</v>
      </c>
      <c r="AI18" s="105">
        <v>2050.7892536085706</v>
      </c>
      <c r="AJ18" s="105">
        <v>3.6339604734886257</v>
      </c>
      <c r="AK18" s="105">
        <v>2655.6983140254874</v>
      </c>
      <c r="AL18" s="105">
        <v>5.1641713054560405</v>
      </c>
      <c r="AM18" s="105">
        <v>3773.9763900272742</v>
      </c>
      <c r="AN18" s="105">
        <v>2.3911029861061253</v>
      </c>
      <c r="AO18" s="105">
        <v>1747.4180622463562</v>
      </c>
      <c r="AP18" s="105">
        <v>4.5689291983259004</v>
      </c>
      <c r="AQ18" s="105">
        <v>3338.9734581365678</v>
      </c>
      <c r="AR18" s="105">
        <v>3.2853366231864651</v>
      </c>
      <c r="AS18" s="105">
        <v>2400.9240042246684</v>
      </c>
      <c r="AT18" s="105">
        <v>3.645199526499415</v>
      </c>
      <c r="AU18" s="105">
        <v>2663.9118139657721</v>
      </c>
      <c r="AV18" s="105">
        <v>4.4284537496102487</v>
      </c>
      <c r="AW18" s="105">
        <v>3236.3140002151695</v>
      </c>
      <c r="AX18" s="105">
        <v>3.7816508456731901</v>
      </c>
      <c r="AY18" s="105">
        <v>2763.6304380179672</v>
      </c>
      <c r="AZ18" s="105">
        <v>4.2761524301792084</v>
      </c>
      <c r="BA18" s="105">
        <v>3125.0121959749654</v>
      </c>
      <c r="BB18" s="105">
        <v>2.7452201402984726</v>
      </c>
      <c r="BC18" s="105">
        <v>2006.2068785301237</v>
      </c>
      <c r="BD18" s="105">
        <v>4.6388617880961949</v>
      </c>
      <c r="BE18" s="105">
        <v>3390.080194740699</v>
      </c>
      <c r="BF18" s="105">
        <v>4.5689291983259004</v>
      </c>
      <c r="BG18" s="105">
        <v>3338.9734581365678</v>
      </c>
      <c r="BH18" s="105">
        <v>0</v>
      </c>
      <c r="BI18" s="105">
        <v>0</v>
      </c>
      <c r="BJ18" s="105">
        <v>9.8560098695593901</v>
      </c>
      <c r="BK18" s="105">
        <v>7202.7720126740014</v>
      </c>
      <c r="BL18" s="105">
        <v>3.8855423524224539</v>
      </c>
      <c r="BM18" s="105">
        <v>2839.5543511503292</v>
      </c>
      <c r="BN18" s="105">
        <v>3.6241830013626473</v>
      </c>
      <c r="BO18" s="105">
        <v>2648.5529373958225</v>
      </c>
      <c r="BP18" s="105">
        <v>4.2289158626365309</v>
      </c>
      <c r="BQ18" s="105">
        <v>3090.4917124147764</v>
      </c>
      <c r="BR18" s="105">
        <v>4.010882428307049</v>
      </c>
      <c r="BS18" s="105">
        <v>2931.1528786067911</v>
      </c>
      <c r="BT18" s="105">
        <v>3.1084338819379633</v>
      </c>
      <c r="BU18" s="105">
        <v>2271.6434809202633</v>
      </c>
      <c r="BV18" s="105">
        <v>5.255589077843088</v>
      </c>
      <c r="BW18" s="105">
        <v>3840.7844980877285</v>
      </c>
      <c r="BX18" s="105">
        <v>3.0988988086804845</v>
      </c>
      <c r="BY18" s="105">
        <v>2264.675249383698</v>
      </c>
      <c r="BZ18" s="105">
        <v>3.5655565116347221</v>
      </c>
      <c r="CA18" s="105">
        <v>2605.7086987026546</v>
      </c>
      <c r="CB18" s="105">
        <v>3.9424039478237578</v>
      </c>
      <c r="CC18" s="105">
        <v>2881.1088050696021</v>
      </c>
      <c r="CD18" s="105">
        <v>2.7527003041684956</v>
      </c>
      <c r="CE18" s="105">
        <v>2011.6733822863364</v>
      </c>
      <c r="CF18" s="105">
        <v>4.0320040375470247</v>
      </c>
      <c r="CG18" s="105">
        <v>2946.5885506393656</v>
      </c>
      <c r="CH18" s="105">
        <v>3.0768761775528062</v>
      </c>
      <c r="CI18" s="105">
        <v>2248.5811105555908</v>
      </c>
      <c r="CJ18" s="105">
        <v>0</v>
      </c>
      <c r="CK18" s="105">
        <v>0</v>
      </c>
      <c r="CL18" s="105">
        <v>5.3641115661761276</v>
      </c>
      <c r="CM18" s="105">
        <v>3920.0927325615139</v>
      </c>
      <c r="CN18" s="105">
        <v>5.2172071023137176</v>
      </c>
      <c r="CO18" s="105">
        <v>3812.7349503708647</v>
      </c>
      <c r="CP18" s="105">
        <v>5.5149633389221924</v>
      </c>
      <c r="CQ18" s="105">
        <v>4030.3352080843379</v>
      </c>
      <c r="CR18" s="105">
        <v>4.5024669041998351</v>
      </c>
      <c r="CS18" s="105">
        <v>3290.4028135892395</v>
      </c>
      <c r="CT18" s="105">
        <v>3.2156212571772032</v>
      </c>
      <c r="CU18" s="105">
        <v>2349.9760147450997</v>
      </c>
    </row>
    <row r="19" spans="2:99" x14ac:dyDescent="0.2">
      <c r="C19" s="104" t="s">
        <v>185</v>
      </c>
      <c r="D19" s="105">
        <v>5</v>
      </c>
      <c r="E19" s="105">
        <v>1932</v>
      </c>
      <c r="F19" s="105">
        <v>4</v>
      </c>
      <c r="G19" s="105">
        <v>1545.6</v>
      </c>
      <c r="H19" s="105">
        <v>2.5442165360636264</v>
      </c>
      <c r="I19" s="105">
        <v>983.08526953498517</v>
      </c>
      <c r="J19" s="105">
        <v>0</v>
      </c>
      <c r="K19" s="105">
        <v>0</v>
      </c>
      <c r="L19" s="105">
        <v>0</v>
      </c>
      <c r="M19" s="105">
        <v>0</v>
      </c>
      <c r="N19" s="105">
        <v>0</v>
      </c>
      <c r="O19" s="105">
        <v>0</v>
      </c>
      <c r="P19" s="105">
        <v>3.4580376926204721</v>
      </c>
      <c r="Q19" s="105">
        <v>1336.1857644285503</v>
      </c>
      <c r="R19" s="105">
        <v>4.381768243213755</v>
      </c>
      <c r="S19" s="105">
        <v>1693.1152491777948</v>
      </c>
      <c r="T19" s="105">
        <v>3.9910756015005941</v>
      </c>
      <c r="U19" s="105">
        <v>1542.1516124198295</v>
      </c>
      <c r="V19" s="105">
        <v>0</v>
      </c>
      <c r="W19" s="105">
        <v>0</v>
      </c>
      <c r="X19" s="105">
        <v>5</v>
      </c>
      <c r="Y19" s="105">
        <v>1932</v>
      </c>
      <c r="Z19" s="105">
        <v>3.5278746945407211</v>
      </c>
      <c r="AA19" s="105">
        <v>1363.1707819705346</v>
      </c>
      <c r="AB19" s="105">
        <v>3.6172312436873995</v>
      </c>
      <c r="AC19" s="105">
        <v>1397.698152560811</v>
      </c>
      <c r="AD19" s="105">
        <v>4.5404090410329792</v>
      </c>
      <c r="AE19" s="105">
        <v>1754.4140534551429</v>
      </c>
      <c r="AF19" s="105">
        <v>3.6927869876808699</v>
      </c>
      <c r="AG19" s="105">
        <v>1426.892892039888</v>
      </c>
      <c r="AH19" s="105">
        <v>2.8062250323051052</v>
      </c>
      <c r="AI19" s="105">
        <v>1084.3253524826926</v>
      </c>
      <c r="AJ19" s="105">
        <v>3.6339604734886257</v>
      </c>
      <c r="AK19" s="105">
        <v>1404.1623269560048</v>
      </c>
      <c r="AL19" s="105">
        <v>5.1641713054560405</v>
      </c>
      <c r="AM19" s="105">
        <v>1995.435792428214</v>
      </c>
      <c r="AN19" s="105">
        <v>2.9888787326326565</v>
      </c>
      <c r="AO19" s="105">
        <v>1154.9027422892584</v>
      </c>
      <c r="AP19" s="105">
        <v>4.5689291983259004</v>
      </c>
      <c r="AQ19" s="105">
        <v>1765.4342422331279</v>
      </c>
      <c r="AR19" s="105">
        <v>3.2853366231864651</v>
      </c>
      <c r="AS19" s="105">
        <v>1269.4540711992502</v>
      </c>
      <c r="AT19" s="105">
        <v>3.1244567369994991</v>
      </c>
      <c r="AU19" s="105">
        <v>1207.2900831766065</v>
      </c>
      <c r="AV19" s="105">
        <v>3.8748970309089676</v>
      </c>
      <c r="AW19" s="105">
        <v>1497.2602127432251</v>
      </c>
      <c r="AX19" s="105">
        <v>3.2414150105770205</v>
      </c>
      <c r="AY19" s="105">
        <v>1252.4827600869608</v>
      </c>
      <c r="AZ19" s="105">
        <v>4.2761524301792084</v>
      </c>
      <c r="BA19" s="105">
        <v>1652.3052990212461</v>
      </c>
      <c r="BB19" s="105">
        <v>3.294264168358167</v>
      </c>
      <c r="BC19" s="105">
        <v>1272.9036746535958</v>
      </c>
      <c r="BD19" s="105">
        <v>4.6388617880961949</v>
      </c>
      <c r="BE19" s="105">
        <v>1792.4561949203696</v>
      </c>
      <c r="BF19" s="105">
        <v>5.0765879981398898</v>
      </c>
      <c r="BG19" s="105">
        <v>1961.5936024812534</v>
      </c>
      <c r="BH19" s="105">
        <v>0</v>
      </c>
      <c r="BI19" s="105">
        <v>0</v>
      </c>
      <c r="BJ19" s="105">
        <v>9.8560098695593901</v>
      </c>
      <c r="BK19" s="105">
        <v>3808.362213597748</v>
      </c>
      <c r="BL19" s="105">
        <v>3.8855423524224539</v>
      </c>
      <c r="BM19" s="105">
        <v>1501.3735649760361</v>
      </c>
      <c r="BN19" s="105">
        <v>3.6241830013626473</v>
      </c>
      <c r="BO19" s="105">
        <v>1400.3843117265269</v>
      </c>
      <c r="BP19" s="105">
        <v>4.2289158626365309</v>
      </c>
      <c r="BQ19" s="105">
        <v>1634.0530893227553</v>
      </c>
      <c r="BR19" s="105">
        <v>4.010882428307049</v>
      </c>
      <c r="BS19" s="105">
        <v>1549.8049702978437</v>
      </c>
      <c r="BT19" s="105">
        <v>3.1084338819379633</v>
      </c>
      <c r="BU19" s="105">
        <v>1201.0988519808291</v>
      </c>
      <c r="BV19" s="105">
        <v>5.8395434198256533</v>
      </c>
      <c r="BW19" s="105">
        <v>2256.3995774206323</v>
      </c>
      <c r="BX19" s="105">
        <v>3.7186785704165817</v>
      </c>
      <c r="BY19" s="105">
        <v>1436.8973996089671</v>
      </c>
      <c r="BZ19" s="105">
        <v>3.5655565116347221</v>
      </c>
      <c r="CA19" s="105">
        <v>1377.7310360956565</v>
      </c>
      <c r="CB19" s="105">
        <v>3.9424039478237578</v>
      </c>
      <c r="CC19" s="105">
        <v>1523.3448854390999</v>
      </c>
      <c r="CD19" s="105">
        <v>3.3032403650021949</v>
      </c>
      <c r="CE19" s="105">
        <v>1276.3720770368479</v>
      </c>
      <c r="CF19" s="105">
        <v>4.4800044861633612</v>
      </c>
      <c r="CG19" s="105">
        <v>1731.0737334535227</v>
      </c>
      <c r="CH19" s="105">
        <v>3.0768761775528062</v>
      </c>
      <c r="CI19" s="105">
        <v>1188.9049550064042</v>
      </c>
      <c r="CJ19" s="105">
        <v>0</v>
      </c>
      <c r="CK19" s="105">
        <v>0</v>
      </c>
      <c r="CL19" s="105">
        <v>5.3641115661761276</v>
      </c>
      <c r="CM19" s="105">
        <v>2072.6927091704556</v>
      </c>
      <c r="CN19" s="105">
        <v>5.2172071023137176</v>
      </c>
      <c r="CO19" s="105">
        <v>2015.9288243340204</v>
      </c>
      <c r="CP19" s="105">
        <v>5.5149633389221924</v>
      </c>
      <c r="CQ19" s="105">
        <v>2130.9818341595351</v>
      </c>
      <c r="CR19" s="105">
        <v>4.5024669041998351</v>
      </c>
      <c r="CS19" s="105">
        <v>1739.7532117828162</v>
      </c>
      <c r="CT19" s="105">
        <v>3.2156212571772032</v>
      </c>
      <c r="CU19" s="105">
        <v>1242.5160537732713</v>
      </c>
    </row>
    <row r="20" spans="2:99" x14ac:dyDescent="0.2">
      <c r="B20" s="104" t="s">
        <v>127</v>
      </c>
      <c r="C20" s="104" t="s">
        <v>186</v>
      </c>
      <c r="D20" s="105">
        <v>11</v>
      </c>
      <c r="E20" s="105">
        <v>1056</v>
      </c>
      <c r="F20" s="105">
        <v>11</v>
      </c>
      <c r="G20" s="105">
        <v>1056</v>
      </c>
      <c r="H20" s="105">
        <v>7.6326496081908788</v>
      </c>
      <c r="I20" s="105">
        <v>732.73436238632439</v>
      </c>
      <c r="J20" s="105">
        <v>0</v>
      </c>
      <c r="K20" s="105">
        <v>0</v>
      </c>
      <c r="L20" s="105">
        <v>0</v>
      </c>
      <c r="M20" s="105">
        <v>0</v>
      </c>
      <c r="N20" s="105">
        <v>0</v>
      </c>
      <c r="O20" s="105">
        <v>0</v>
      </c>
      <c r="P20" s="105">
        <v>6.4220700005808773</v>
      </c>
      <c r="Q20" s="105">
        <v>616.51872005576422</v>
      </c>
      <c r="R20" s="105">
        <v>6.8160839338880637</v>
      </c>
      <c r="S20" s="105">
        <v>654.34405765325414</v>
      </c>
      <c r="T20" s="105">
        <v>5.4877289520633177</v>
      </c>
      <c r="U20" s="105">
        <v>526.8219793980785</v>
      </c>
      <c r="V20" s="105">
        <v>0</v>
      </c>
      <c r="W20" s="105">
        <v>0</v>
      </c>
      <c r="X20" s="105">
        <v>14</v>
      </c>
      <c r="Y20" s="105">
        <v>1344</v>
      </c>
      <c r="Z20" s="105">
        <v>7.0557493890814422</v>
      </c>
      <c r="AA20" s="105">
        <v>677.35194135181848</v>
      </c>
      <c r="AB20" s="105">
        <v>6.2009678463212561</v>
      </c>
      <c r="AC20" s="105">
        <v>595.29291324684061</v>
      </c>
      <c r="AD20" s="105">
        <v>6.2430624314203467</v>
      </c>
      <c r="AE20" s="105">
        <v>599.33399341635322</v>
      </c>
      <c r="AF20" s="105">
        <v>5.2754099824012428</v>
      </c>
      <c r="AG20" s="105">
        <v>506.43935831051931</v>
      </c>
      <c r="AH20" s="105">
        <v>6.7349400775322534</v>
      </c>
      <c r="AI20" s="105">
        <v>646.5542474430963</v>
      </c>
      <c r="AJ20" s="105">
        <v>6.5411288522795266</v>
      </c>
      <c r="AK20" s="105">
        <v>627.94836981883452</v>
      </c>
      <c r="AL20" s="105">
        <v>5.1641713054560405</v>
      </c>
      <c r="AM20" s="105">
        <v>495.76044532377989</v>
      </c>
      <c r="AN20" s="105">
        <v>7.7710847048449079</v>
      </c>
      <c r="AO20" s="105">
        <v>746.0241316651111</v>
      </c>
      <c r="AP20" s="105">
        <v>4.5689291983259004</v>
      </c>
      <c r="AQ20" s="105">
        <v>438.61720303928644</v>
      </c>
      <c r="AR20" s="105">
        <v>6.5706732463729303</v>
      </c>
      <c r="AS20" s="105">
        <v>630.78463165180131</v>
      </c>
      <c r="AT20" s="105">
        <v>7.8111418424987473</v>
      </c>
      <c r="AU20" s="105">
        <v>749.86961687987969</v>
      </c>
      <c r="AV20" s="105">
        <v>6.089123905714092</v>
      </c>
      <c r="AW20" s="105">
        <v>584.5558949485528</v>
      </c>
      <c r="AX20" s="105">
        <v>5.4023583509617001</v>
      </c>
      <c r="AY20" s="105">
        <v>518.62640169232327</v>
      </c>
      <c r="AZ20" s="105">
        <v>5.879709591496411</v>
      </c>
      <c r="BA20" s="105">
        <v>564.45212078365546</v>
      </c>
      <c r="BB20" s="105">
        <v>6.0394843086566405</v>
      </c>
      <c r="BC20" s="105">
        <v>579.79049363103752</v>
      </c>
      <c r="BD20" s="105">
        <v>6.7005781383611707</v>
      </c>
      <c r="BE20" s="105">
        <v>643.25550128267241</v>
      </c>
      <c r="BF20" s="105">
        <v>5.0765879981398898</v>
      </c>
      <c r="BG20" s="105">
        <v>487.35244782142945</v>
      </c>
      <c r="BH20" s="105">
        <v>0</v>
      </c>
      <c r="BI20" s="105">
        <v>0</v>
      </c>
      <c r="BJ20" s="105">
        <v>12.812812830427207</v>
      </c>
      <c r="BK20" s="105">
        <v>1230.0300317210119</v>
      </c>
      <c r="BL20" s="105">
        <v>6.3140063226864873</v>
      </c>
      <c r="BM20" s="105">
        <v>606.14460697790275</v>
      </c>
      <c r="BN20" s="105">
        <v>4.9832516268736402</v>
      </c>
      <c r="BO20" s="105">
        <v>478.39215617986946</v>
      </c>
      <c r="BP20" s="105">
        <v>5.6385544835153745</v>
      </c>
      <c r="BQ20" s="105">
        <v>541.30123041747595</v>
      </c>
      <c r="BR20" s="105">
        <v>7.0190442495373357</v>
      </c>
      <c r="BS20" s="105">
        <v>673.82824795558417</v>
      </c>
      <c r="BT20" s="105">
        <v>6.2168677638759267</v>
      </c>
      <c r="BU20" s="105">
        <v>596.81930533208902</v>
      </c>
      <c r="BV20" s="105">
        <v>5.255589077843088</v>
      </c>
      <c r="BW20" s="105">
        <v>504.53655147293648</v>
      </c>
      <c r="BX20" s="105">
        <v>5.5780178556248723</v>
      </c>
      <c r="BY20" s="105">
        <v>535.48971413998777</v>
      </c>
      <c r="BZ20" s="105">
        <v>5.3483347674520836</v>
      </c>
      <c r="CA20" s="105">
        <v>513.44013767540002</v>
      </c>
      <c r="CB20" s="105">
        <v>6.8992069086915766</v>
      </c>
      <c r="CC20" s="105">
        <v>662.32386323439141</v>
      </c>
      <c r="CD20" s="105">
        <v>7.1570207908380894</v>
      </c>
      <c r="CE20" s="105">
        <v>687.07399592045658</v>
      </c>
      <c r="CF20" s="105">
        <v>6.2720062806287062</v>
      </c>
      <c r="CG20" s="105">
        <v>602.11260294035583</v>
      </c>
      <c r="CH20" s="105">
        <v>5.6409396588468113</v>
      </c>
      <c r="CI20" s="105">
        <v>541.53020724929388</v>
      </c>
      <c r="CJ20" s="105">
        <v>0</v>
      </c>
      <c r="CK20" s="105">
        <v>0</v>
      </c>
      <c r="CL20" s="105">
        <v>13.410278915440321</v>
      </c>
      <c r="CM20" s="105">
        <v>1287.3867758822707</v>
      </c>
      <c r="CN20" s="105">
        <v>4.7429155475579243</v>
      </c>
      <c r="CO20" s="105">
        <v>455.31989256556074</v>
      </c>
      <c r="CP20" s="105">
        <v>5.0136030353838112</v>
      </c>
      <c r="CQ20" s="105">
        <v>481.30589139684588</v>
      </c>
      <c r="CR20" s="105">
        <v>5.0652752672248145</v>
      </c>
      <c r="CS20" s="105">
        <v>486.26642565358219</v>
      </c>
      <c r="CT20" s="105">
        <v>7.5031162667468072</v>
      </c>
      <c r="CU20" s="105">
        <v>720.29916160769346</v>
      </c>
    </row>
    <row r="21" spans="2:99" x14ac:dyDescent="0.2">
      <c r="C21" s="104" t="s">
        <v>187</v>
      </c>
      <c r="D21" s="105">
        <v>11</v>
      </c>
      <c r="E21" s="105">
        <v>2666.3999999999996</v>
      </c>
      <c r="F21" s="105">
        <v>11</v>
      </c>
      <c r="G21" s="105">
        <v>2666.3999999999996</v>
      </c>
      <c r="H21" s="105">
        <v>7.6326496081908788</v>
      </c>
      <c r="I21" s="105">
        <v>1850.1542650254689</v>
      </c>
      <c r="J21" s="105">
        <v>0</v>
      </c>
      <c r="K21" s="105">
        <v>0</v>
      </c>
      <c r="L21" s="105">
        <v>0</v>
      </c>
      <c r="M21" s="105">
        <v>0</v>
      </c>
      <c r="N21" s="105">
        <v>0</v>
      </c>
      <c r="O21" s="105">
        <v>0</v>
      </c>
      <c r="P21" s="105">
        <v>6.9160753852409442</v>
      </c>
      <c r="Q21" s="105">
        <v>1676.4566733824047</v>
      </c>
      <c r="R21" s="105">
        <v>6.8160839338880637</v>
      </c>
      <c r="S21" s="105">
        <v>1652.2187455744665</v>
      </c>
      <c r="T21" s="105">
        <v>4.988844501875743</v>
      </c>
      <c r="U21" s="105">
        <v>1209.2959072546801</v>
      </c>
      <c r="V21" s="105">
        <v>0</v>
      </c>
      <c r="W21" s="105">
        <v>0</v>
      </c>
      <c r="X21" s="105">
        <v>13</v>
      </c>
      <c r="Y21" s="105">
        <v>3151.2</v>
      </c>
      <c r="Z21" s="105">
        <v>7.6437285048382302</v>
      </c>
      <c r="AA21" s="105">
        <v>1852.8397895727869</v>
      </c>
      <c r="AB21" s="105">
        <v>5.1674732052677133</v>
      </c>
      <c r="AC21" s="105">
        <v>1252.5955049568936</v>
      </c>
      <c r="AD21" s="105">
        <v>6.2430624314203467</v>
      </c>
      <c r="AE21" s="105">
        <v>1513.318333376292</v>
      </c>
      <c r="AF21" s="105">
        <v>4.7478689841611184</v>
      </c>
      <c r="AG21" s="105">
        <v>1150.8834417606549</v>
      </c>
      <c r="AH21" s="105">
        <v>6.1736950710712319</v>
      </c>
      <c r="AI21" s="105">
        <v>1496.5036852276664</v>
      </c>
      <c r="AJ21" s="105">
        <v>5.8143367575818017</v>
      </c>
      <c r="AK21" s="105">
        <v>1409.3952300378287</v>
      </c>
      <c r="AL21" s="105">
        <v>5.1641713054560405</v>
      </c>
      <c r="AM21" s="105">
        <v>1251.7951244425442</v>
      </c>
      <c r="AN21" s="105">
        <v>7.7710847048449079</v>
      </c>
      <c r="AO21" s="105">
        <v>1883.7109324544056</v>
      </c>
      <c r="AP21" s="105">
        <v>5.0765879981398898</v>
      </c>
      <c r="AQ21" s="105">
        <v>1230.5649307491092</v>
      </c>
      <c r="AR21" s="105">
        <v>6.5706732463729303</v>
      </c>
      <c r="AS21" s="105">
        <v>1592.7311949207981</v>
      </c>
      <c r="AT21" s="105">
        <v>6.7696562634989137</v>
      </c>
      <c r="AU21" s="105">
        <v>1640.9646782721366</v>
      </c>
      <c r="AV21" s="105">
        <v>6.6426806244153722</v>
      </c>
      <c r="AW21" s="105">
        <v>1610.185783358286</v>
      </c>
      <c r="AX21" s="105">
        <v>4.8621225158655301</v>
      </c>
      <c r="AY21" s="105">
        <v>1178.5784978458043</v>
      </c>
      <c r="AZ21" s="105">
        <v>5.879709591496411</v>
      </c>
      <c r="BA21" s="105">
        <v>1425.2416049787298</v>
      </c>
      <c r="BB21" s="105">
        <v>6.5885283367163341</v>
      </c>
      <c r="BC21" s="105">
        <v>1597.0592688200393</v>
      </c>
      <c r="BD21" s="105">
        <v>6.1851490507949265</v>
      </c>
      <c r="BE21" s="105">
        <v>1499.28012991269</v>
      </c>
      <c r="BF21" s="105">
        <v>5.0765879981398898</v>
      </c>
      <c r="BG21" s="105">
        <v>1230.5649307491092</v>
      </c>
      <c r="BH21" s="105">
        <v>0</v>
      </c>
      <c r="BI21" s="105">
        <v>0</v>
      </c>
      <c r="BJ21" s="105">
        <v>11.827211843471268</v>
      </c>
      <c r="BK21" s="105">
        <v>2866.9161508574352</v>
      </c>
      <c r="BL21" s="105">
        <v>6.7996991167392933</v>
      </c>
      <c r="BM21" s="105">
        <v>1648.2470658976044</v>
      </c>
      <c r="BN21" s="105">
        <v>4.9832516268736402</v>
      </c>
      <c r="BO21" s="105">
        <v>1207.9401943541702</v>
      </c>
      <c r="BP21" s="105">
        <v>5.6385544835153745</v>
      </c>
      <c r="BQ21" s="105">
        <v>1366.7856068041267</v>
      </c>
      <c r="BR21" s="105">
        <v>6.0163236424605735</v>
      </c>
      <c r="BS21" s="105">
        <v>1458.356850932443</v>
      </c>
      <c r="BT21" s="105">
        <v>6.2168677638759267</v>
      </c>
      <c r="BU21" s="105">
        <v>1506.9687459635245</v>
      </c>
      <c r="BV21" s="105">
        <v>4.6716347358605219</v>
      </c>
      <c r="BW21" s="105">
        <v>1132.4042599725904</v>
      </c>
      <c r="BX21" s="105">
        <v>6.197797617360969</v>
      </c>
      <c r="BY21" s="105">
        <v>1502.3461424482987</v>
      </c>
      <c r="BZ21" s="105">
        <v>5.3483347674520836</v>
      </c>
      <c r="CA21" s="105">
        <v>1296.4363476303849</v>
      </c>
      <c r="CB21" s="105">
        <v>6.4064064152136071</v>
      </c>
      <c r="CC21" s="105">
        <v>1552.9129150477781</v>
      </c>
      <c r="CD21" s="105">
        <v>6.6064807300043897</v>
      </c>
      <c r="CE21" s="105">
        <v>1601.4109289530638</v>
      </c>
      <c r="CF21" s="105">
        <v>5.3760053833960333</v>
      </c>
      <c r="CG21" s="105">
        <v>1303.1437049351985</v>
      </c>
      <c r="CH21" s="105">
        <v>5.6409396588468113</v>
      </c>
      <c r="CI21" s="105">
        <v>1367.363773304467</v>
      </c>
      <c r="CJ21" s="105">
        <v>0</v>
      </c>
      <c r="CK21" s="105">
        <v>0</v>
      </c>
      <c r="CL21" s="105">
        <v>14.304297509803007</v>
      </c>
      <c r="CM21" s="105">
        <v>3467.3617163762488</v>
      </c>
      <c r="CN21" s="105">
        <v>4.2686239928021319</v>
      </c>
      <c r="CO21" s="105">
        <v>1034.7144558552366</v>
      </c>
      <c r="CP21" s="105">
        <v>4.5122427318454301</v>
      </c>
      <c r="CQ21" s="105">
        <v>1093.7676381993322</v>
      </c>
      <c r="CR21" s="105">
        <v>5.0652752672248145</v>
      </c>
      <c r="CS21" s="105">
        <v>1227.822724775295</v>
      </c>
      <c r="CT21" s="105">
        <v>7.5031162667468072</v>
      </c>
      <c r="CU21" s="105">
        <v>1818.7553830594259</v>
      </c>
    </row>
    <row r="22" spans="2:99" x14ac:dyDescent="0.2">
      <c r="C22" s="104" t="s">
        <v>188</v>
      </c>
      <c r="D22" s="105">
        <v>10</v>
      </c>
      <c r="E22" s="105">
        <v>624</v>
      </c>
      <c r="F22" s="105">
        <v>11</v>
      </c>
      <c r="G22" s="105">
        <v>686.4</v>
      </c>
      <c r="H22" s="105">
        <v>8.480721786878755</v>
      </c>
      <c r="I22" s="105">
        <v>529.19703950123426</v>
      </c>
      <c r="J22" s="105">
        <v>0</v>
      </c>
      <c r="K22" s="105">
        <v>0</v>
      </c>
      <c r="L22" s="105">
        <v>0</v>
      </c>
      <c r="M22" s="105">
        <v>0</v>
      </c>
      <c r="N22" s="105">
        <v>0</v>
      </c>
      <c r="O22" s="105">
        <v>0</v>
      </c>
      <c r="P22" s="105">
        <v>7.4100807699010129</v>
      </c>
      <c r="Q22" s="105">
        <v>462.38904004182319</v>
      </c>
      <c r="R22" s="105">
        <v>6.3292207957532023</v>
      </c>
      <c r="S22" s="105">
        <v>394.94337765499984</v>
      </c>
      <c r="T22" s="105">
        <v>5.9866134022508923</v>
      </c>
      <c r="U22" s="105">
        <v>373.56467630045569</v>
      </c>
      <c r="V22" s="105">
        <v>0</v>
      </c>
      <c r="W22" s="105">
        <v>0</v>
      </c>
      <c r="X22" s="105">
        <v>15</v>
      </c>
      <c r="Y22" s="105">
        <v>936</v>
      </c>
      <c r="Z22" s="105">
        <v>7.6437285048382302</v>
      </c>
      <c r="AA22" s="105">
        <v>476.96865870190555</v>
      </c>
      <c r="AB22" s="105">
        <v>5.6842205257944842</v>
      </c>
      <c r="AC22" s="105">
        <v>354.69536080957579</v>
      </c>
      <c r="AD22" s="105">
        <v>6.8106135615494692</v>
      </c>
      <c r="AE22" s="105">
        <v>424.98228624068685</v>
      </c>
      <c r="AF22" s="105">
        <v>5.2754099824012428</v>
      </c>
      <c r="AG22" s="105">
        <v>329.18558290183756</v>
      </c>
      <c r="AH22" s="105">
        <v>6.1736950710712319</v>
      </c>
      <c r="AI22" s="105">
        <v>385.23857243484485</v>
      </c>
      <c r="AJ22" s="105">
        <v>5.8143367575818017</v>
      </c>
      <c r="AK22" s="105">
        <v>362.81461367310442</v>
      </c>
      <c r="AL22" s="105">
        <v>4.5186498922740359</v>
      </c>
      <c r="AM22" s="105">
        <v>281.96375327789985</v>
      </c>
      <c r="AN22" s="105">
        <v>6.5755332117918446</v>
      </c>
      <c r="AO22" s="105">
        <v>410.31327241581107</v>
      </c>
      <c r="AP22" s="105">
        <v>5.0765879981398898</v>
      </c>
      <c r="AQ22" s="105">
        <v>316.77909108392913</v>
      </c>
      <c r="AR22" s="105">
        <v>7.1182293502373399</v>
      </c>
      <c r="AS22" s="105">
        <v>444.17751145480997</v>
      </c>
      <c r="AT22" s="105">
        <v>6.7696562634989137</v>
      </c>
      <c r="AU22" s="105">
        <v>422.42655084233223</v>
      </c>
      <c r="AV22" s="105">
        <v>6.089123905714092</v>
      </c>
      <c r="AW22" s="105">
        <v>379.96133171655936</v>
      </c>
      <c r="AX22" s="105">
        <v>4.8621225158655301</v>
      </c>
      <c r="AY22" s="105">
        <v>303.39644499000906</v>
      </c>
      <c r="AZ22" s="105">
        <v>5.3451905377240099</v>
      </c>
      <c r="BA22" s="105">
        <v>333.53988955397818</v>
      </c>
      <c r="BB22" s="105">
        <v>5.4904402805969452</v>
      </c>
      <c r="BC22" s="105">
        <v>342.6034735092494</v>
      </c>
      <c r="BD22" s="105">
        <v>6.1851490507949265</v>
      </c>
      <c r="BE22" s="105">
        <v>385.9533007696034</v>
      </c>
      <c r="BF22" s="105">
        <v>5.5842467979538783</v>
      </c>
      <c r="BG22" s="105">
        <v>348.45700019232203</v>
      </c>
      <c r="BH22" s="105">
        <v>0</v>
      </c>
      <c r="BI22" s="105">
        <v>0</v>
      </c>
      <c r="BJ22" s="105">
        <v>12.812812830427207</v>
      </c>
      <c r="BK22" s="105">
        <v>799.51952061865768</v>
      </c>
      <c r="BL22" s="105">
        <v>6.3140063226864873</v>
      </c>
      <c r="BM22" s="105">
        <v>393.99399453563677</v>
      </c>
      <c r="BN22" s="105">
        <v>5.4362745020439718</v>
      </c>
      <c r="BO22" s="105">
        <v>339.22352892754384</v>
      </c>
      <c r="BP22" s="105">
        <v>6.1084340238083223</v>
      </c>
      <c r="BQ22" s="105">
        <v>381.16628308563929</v>
      </c>
      <c r="BR22" s="105">
        <v>6.0163236424605735</v>
      </c>
      <c r="BS22" s="105">
        <v>375.41859528953978</v>
      </c>
      <c r="BT22" s="105">
        <v>7.2530123911885802</v>
      </c>
      <c r="BU22" s="105">
        <v>452.58797321016738</v>
      </c>
      <c r="BV22" s="105">
        <v>4.0876803938779576</v>
      </c>
      <c r="BW22" s="105">
        <v>255.07125657798454</v>
      </c>
      <c r="BX22" s="105">
        <v>5.5780178556248723</v>
      </c>
      <c r="BY22" s="105">
        <v>348.068314190992</v>
      </c>
      <c r="BZ22" s="105">
        <v>5.3483347674520836</v>
      </c>
      <c r="CA22" s="105">
        <v>333.73608948901</v>
      </c>
      <c r="CB22" s="105">
        <v>6.4064064152136071</v>
      </c>
      <c r="CC22" s="105">
        <v>399.75976030932907</v>
      </c>
      <c r="CD22" s="105">
        <v>7.7075608516717882</v>
      </c>
      <c r="CE22" s="105">
        <v>480.95179714431958</v>
      </c>
      <c r="CF22" s="105">
        <v>5.8240058320123698</v>
      </c>
      <c r="CG22" s="105">
        <v>363.41796391757185</v>
      </c>
      <c r="CH22" s="105">
        <v>6.1537523551056124</v>
      </c>
      <c r="CI22" s="105">
        <v>383.99414695859019</v>
      </c>
      <c r="CJ22" s="105">
        <v>0</v>
      </c>
      <c r="CK22" s="105">
        <v>0</v>
      </c>
      <c r="CL22" s="105">
        <v>13.410278915440321</v>
      </c>
      <c r="CM22" s="105">
        <v>836.80140432347605</v>
      </c>
      <c r="CN22" s="105">
        <v>3.7943324380463399</v>
      </c>
      <c r="CO22" s="105">
        <v>236.76634413409161</v>
      </c>
      <c r="CP22" s="105">
        <v>4.5122427318454301</v>
      </c>
      <c r="CQ22" s="105">
        <v>281.56394646715484</v>
      </c>
      <c r="CR22" s="105">
        <v>5.0652752672248145</v>
      </c>
      <c r="CS22" s="105">
        <v>316.0731766748284</v>
      </c>
      <c r="CT22" s="105">
        <v>7.5031162667468072</v>
      </c>
      <c r="CU22" s="105">
        <v>468.19445504500078</v>
      </c>
    </row>
    <row r="23" spans="2:99" x14ac:dyDescent="0.2">
      <c r="C23" s="104" t="s">
        <v>189</v>
      </c>
      <c r="D23" s="105">
        <v>12</v>
      </c>
      <c r="E23" s="105">
        <v>3355.2</v>
      </c>
      <c r="F23" s="105">
        <v>10</v>
      </c>
      <c r="G23" s="105">
        <v>2795.9999999999995</v>
      </c>
      <c r="H23" s="105">
        <v>8.480721786878755</v>
      </c>
      <c r="I23" s="105">
        <v>2371.2098116112998</v>
      </c>
      <c r="J23" s="105">
        <v>0</v>
      </c>
      <c r="K23" s="105">
        <v>0</v>
      </c>
      <c r="L23" s="105">
        <v>0</v>
      </c>
      <c r="M23" s="105">
        <v>0</v>
      </c>
      <c r="N23" s="105">
        <v>0</v>
      </c>
      <c r="O23" s="105">
        <v>0</v>
      </c>
      <c r="P23" s="105">
        <v>7.4100807699010129</v>
      </c>
      <c r="Q23" s="105">
        <v>2071.858583264323</v>
      </c>
      <c r="R23" s="105">
        <v>5.84235765761834</v>
      </c>
      <c r="S23" s="105">
        <v>1633.5232010700877</v>
      </c>
      <c r="T23" s="105">
        <v>4.988844501875743</v>
      </c>
      <c r="U23" s="105">
        <v>1394.8809227244576</v>
      </c>
      <c r="V23" s="105">
        <v>0</v>
      </c>
      <c r="W23" s="105">
        <v>0</v>
      </c>
      <c r="X23" s="105">
        <v>13</v>
      </c>
      <c r="Y23" s="105">
        <v>3634.7999999999997</v>
      </c>
      <c r="Z23" s="105">
        <v>6.467770273324656</v>
      </c>
      <c r="AA23" s="105">
        <v>1808.3885684215736</v>
      </c>
      <c r="AB23" s="105">
        <v>5.6842205257944842</v>
      </c>
      <c r="AC23" s="105">
        <v>1589.3080590121376</v>
      </c>
      <c r="AD23" s="105">
        <v>7.3781646916785917</v>
      </c>
      <c r="AE23" s="105">
        <v>2062.934847793334</v>
      </c>
      <c r="AF23" s="105">
        <v>5.2754099824012428</v>
      </c>
      <c r="AG23" s="105">
        <v>1475.0046310793873</v>
      </c>
      <c r="AH23" s="105">
        <v>6.1736950710712319</v>
      </c>
      <c r="AI23" s="105">
        <v>1726.1651418715162</v>
      </c>
      <c r="AJ23" s="105">
        <v>6.5411288522795266</v>
      </c>
      <c r="AK23" s="105">
        <v>1828.8996270973555</v>
      </c>
      <c r="AL23" s="105">
        <v>5.1641713054560405</v>
      </c>
      <c r="AM23" s="105">
        <v>1443.9022970055087</v>
      </c>
      <c r="AN23" s="105">
        <v>6.5755332117918446</v>
      </c>
      <c r="AO23" s="105">
        <v>1838.5190860169996</v>
      </c>
      <c r="AP23" s="105">
        <v>4.5689291983259004</v>
      </c>
      <c r="AQ23" s="105">
        <v>1277.4726038519216</v>
      </c>
      <c r="AR23" s="105">
        <v>7.1182293502373399</v>
      </c>
      <c r="AS23" s="105">
        <v>1990.2569263263599</v>
      </c>
      <c r="AT23" s="105">
        <v>7.2903990529988301</v>
      </c>
      <c r="AU23" s="105">
        <v>2038.3955752184727</v>
      </c>
      <c r="AV23" s="105">
        <v>7.1962373431166542</v>
      </c>
      <c r="AW23" s="105">
        <v>2012.0679611354162</v>
      </c>
      <c r="AX23" s="105">
        <v>4.3218866807693601</v>
      </c>
      <c r="AY23" s="105">
        <v>1208.3995159431129</v>
      </c>
      <c r="AZ23" s="105">
        <v>5.3451905377240099</v>
      </c>
      <c r="BA23" s="105">
        <v>1494.5152743476331</v>
      </c>
      <c r="BB23" s="105">
        <v>6.0394843086566405</v>
      </c>
      <c r="BC23" s="105">
        <v>1688.6398127003965</v>
      </c>
      <c r="BD23" s="105">
        <v>6.7005781383611707</v>
      </c>
      <c r="BE23" s="105">
        <v>1873.481647485783</v>
      </c>
      <c r="BF23" s="105">
        <v>5.5842467979538783</v>
      </c>
      <c r="BG23" s="105">
        <v>1561.3554047079042</v>
      </c>
      <c r="BH23" s="105">
        <v>0</v>
      </c>
      <c r="BI23" s="105">
        <v>0</v>
      </c>
      <c r="BJ23" s="105">
        <v>12.812812830427207</v>
      </c>
      <c r="BK23" s="105">
        <v>3582.4624673874468</v>
      </c>
      <c r="BL23" s="105">
        <v>7.2853919107921001</v>
      </c>
      <c r="BM23" s="105">
        <v>2036.9955782574709</v>
      </c>
      <c r="BN23" s="105">
        <v>5.4362745020439718</v>
      </c>
      <c r="BO23" s="105">
        <v>1519.9823507714943</v>
      </c>
      <c r="BP23" s="105">
        <v>5.6385544835153745</v>
      </c>
      <c r="BQ23" s="105">
        <v>1576.5398335908985</v>
      </c>
      <c r="BR23" s="105">
        <v>6.0163236424605735</v>
      </c>
      <c r="BS23" s="105">
        <v>1682.1640904319761</v>
      </c>
      <c r="BT23" s="105">
        <v>7.2530123911885802</v>
      </c>
      <c r="BU23" s="105">
        <v>2027.9422645763268</v>
      </c>
      <c r="BV23" s="105">
        <v>4.6716347358605219</v>
      </c>
      <c r="BW23" s="105">
        <v>1306.1890721466018</v>
      </c>
      <c r="BX23" s="105">
        <v>5.5780178556248723</v>
      </c>
      <c r="BY23" s="105">
        <v>1559.613792432714</v>
      </c>
      <c r="BZ23" s="105">
        <v>5.3483347674520836</v>
      </c>
      <c r="CA23" s="105">
        <v>1495.3944009796023</v>
      </c>
      <c r="CB23" s="105">
        <v>5.9136059217356376</v>
      </c>
      <c r="CC23" s="105">
        <v>1653.4442157172841</v>
      </c>
      <c r="CD23" s="105">
        <v>7.1570207908380894</v>
      </c>
      <c r="CE23" s="105">
        <v>2001.1030131183295</v>
      </c>
      <c r="CF23" s="105">
        <v>6.2720062806287062</v>
      </c>
      <c r="CG23" s="105">
        <v>1753.652956063786</v>
      </c>
      <c r="CH23" s="105">
        <v>6.1537523551056124</v>
      </c>
      <c r="CI23" s="105">
        <v>1720.5891584875289</v>
      </c>
      <c r="CJ23" s="105">
        <v>0</v>
      </c>
      <c r="CK23" s="105">
        <v>0</v>
      </c>
      <c r="CL23" s="105">
        <v>13.410278915440321</v>
      </c>
      <c r="CM23" s="105">
        <v>3749.5139847571131</v>
      </c>
      <c r="CN23" s="105">
        <v>4.7429155475579243</v>
      </c>
      <c r="CO23" s="105">
        <v>1326.1191870971954</v>
      </c>
      <c r="CP23" s="105">
        <v>4.5122427318454301</v>
      </c>
      <c r="CQ23" s="105">
        <v>1261.6230678239822</v>
      </c>
      <c r="CR23" s="105">
        <v>4.5024669041998351</v>
      </c>
      <c r="CS23" s="105">
        <v>1258.8897464142738</v>
      </c>
      <c r="CT23" s="105">
        <v>6.9671793905506068</v>
      </c>
      <c r="CU23" s="105">
        <v>1948.0233575979494</v>
      </c>
    </row>
    <row r="24" spans="2:99" x14ac:dyDescent="0.2">
      <c r="C24" s="104" t="s">
        <v>190</v>
      </c>
      <c r="D24" s="105">
        <v>11</v>
      </c>
      <c r="E24" s="105">
        <v>3352.8</v>
      </c>
      <c r="F24" s="105">
        <v>11</v>
      </c>
      <c r="G24" s="105">
        <v>3352.8</v>
      </c>
      <c r="H24" s="105">
        <v>7.6326496081908788</v>
      </c>
      <c r="I24" s="105">
        <v>2326.43160057658</v>
      </c>
      <c r="J24" s="105">
        <v>0</v>
      </c>
      <c r="K24" s="105">
        <v>0</v>
      </c>
      <c r="L24" s="105">
        <v>0</v>
      </c>
      <c r="M24" s="105">
        <v>0</v>
      </c>
      <c r="N24" s="105">
        <v>0</v>
      </c>
      <c r="O24" s="105">
        <v>0</v>
      </c>
      <c r="P24" s="105">
        <v>6.4220700005808773</v>
      </c>
      <c r="Q24" s="105">
        <v>1957.4469361770514</v>
      </c>
      <c r="R24" s="105">
        <v>6.3292207957532023</v>
      </c>
      <c r="S24" s="105">
        <v>1929.1464985455762</v>
      </c>
      <c r="T24" s="105">
        <v>5.9866134022508923</v>
      </c>
      <c r="U24" s="105">
        <v>1824.7197650060721</v>
      </c>
      <c r="V24" s="105">
        <v>0</v>
      </c>
      <c r="W24" s="105">
        <v>0</v>
      </c>
      <c r="X24" s="105">
        <v>14</v>
      </c>
      <c r="Y24" s="105">
        <v>4267.2</v>
      </c>
      <c r="Z24" s="105">
        <v>6.467770273324656</v>
      </c>
      <c r="AA24" s="105">
        <v>1971.3763793093553</v>
      </c>
      <c r="AB24" s="105">
        <v>5.6842205257944842</v>
      </c>
      <c r="AC24" s="105">
        <v>1732.5504162621589</v>
      </c>
      <c r="AD24" s="105">
        <v>6.8106135615494692</v>
      </c>
      <c r="AE24" s="105">
        <v>2075.8750135602781</v>
      </c>
      <c r="AF24" s="105">
        <v>4.7478689841611184</v>
      </c>
      <c r="AG24" s="105">
        <v>1447.150466372309</v>
      </c>
      <c r="AH24" s="105">
        <v>6.1736950710712319</v>
      </c>
      <c r="AI24" s="105">
        <v>1881.7422576625115</v>
      </c>
      <c r="AJ24" s="105">
        <v>6.5411288522795266</v>
      </c>
      <c r="AK24" s="105">
        <v>1993.7360741747998</v>
      </c>
      <c r="AL24" s="105">
        <v>5.1641713054560405</v>
      </c>
      <c r="AM24" s="105">
        <v>1574.0394139030011</v>
      </c>
      <c r="AN24" s="105">
        <v>6.5755332117918446</v>
      </c>
      <c r="AO24" s="105">
        <v>2004.2225229541543</v>
      </c>
      <c r="AP24" s="105">
        <v>5.0765879981398898</v>
      </c>
      <c r="AQ24" s="105">
        <v>1547.3440218330384</v>
      </c>
      <c r="AR24" s="105">
        <v>6.0231171425085188</v>
      </c>
      <c r="AS24" s="105">
        <v>1835.8461050365966</v>
      </c>
      <c r="AT24" s="105">
        <v>7.2903990529988301</v>
      </c>
      <c r="AU24" s="105">
        <v>2222.1136313540433</v>
      </c>
      <c r="AV24" s="105">
        <v>6.089123905714092</v>
      </c>
      <c r="AW24" s="105">
        <v>1855.9649664616554</v>
      </c>
      <c r="AX24" s="105">
        <v>4.3218866807693601</v>
      </c>
      <c r="AY24" s="105">
        <v>1317.3110602985009</v>
      </c>
      <c r="AZ24" s="105">
        <v>5.3451905377240099</v>
      </c>
      <c r="BA24" s="105">
        <v>1629.2140758982782</v>
      </c>
      <c r="BB24" s="105">
        <v>5.4904402805969452</v>
      </c>
      <c r="BC24" s="105">
        <v>1673.4861975259489</v>
      </c>
      <c r="BD24" s="105">
        <v>6.1851490507949265</v>
      </c>
      <c r="BE24" s="105">
        <v>1885.2334306822936</v>
      </c>
      <c r="BF24" s="105">
        <v>5.5842467979538783</v>
      </c>
      <c r="BG24" s="105">
        <v>1702.0784240163423</v>
      </c>
      <c r="BH24" s="105">
        <v>0</v>
      </c>
      <c r="BI24" s="105">
        <v>0</v>
      </c>
      <c r="BJ24" s="105">
        <v>11.827211843471268</v>
      </c>
      <c r="BK24" s="105">
        <v>3604.9341698900425</v>
      </c>
      <c r="BL24" s="105">
        <v>7.2853919107921001</v>
      </c>
      <c r="BM24" s="105">
        <v>2220.5874544094322</v>
      </c>
      <c r="BN24" s="105">
        <v>4.9832516268736402</v>
      </c>
      <c r="BO24" s="105">
        <v>1518.8950958710857</v>
      </c>
      <c r="BP24" s="105">
        <v>6.1084340238083223</v>
      </c>
      <c r="BQ24" s="105">
        <v>1861.8506904567766</v>
      </c>
      <c r="BR24" s="105">
        <v>7.0190442495373357</v>
      </c>
      <c r="BS24" s="105">
        <v>2139.4046872589802</v>
      </c>
      <c r="BT24" s="105">
        <v>6.7349400775322534</v>
      </c>
      <c r="BU24" s="105">
        <v>2052.8097356318308</v>
      </c>
      <c r="BV24" s="105">
        <v>5.255589077843088</v>
      </c>
      <c r="BW24" s="105">
        <v>1601.9035509265732</v>
      </c>
      <c r="BX24" s="105">
        <v>6.197797617360969</v>
      </c>
      <c r="BY24" s="105">
        <v>1889.0887137716234</v>
      </c>
      <c r="BZ24" s="105">
        <v>4.7540753488462961</v>
      </c>
      <c r="CA24" s="105">
        <v>1449.0421663283512</v>
      </c>
      <c r="CB24" s="105">
        <v>6.8992069086915766</v>
      </c>
      <c r="CC24" s="105">
        <v>2102.8782657691927</v>
      </c>
      <c r="CD24" s="105">
        <v>7.1570207908380894</v>
      </c>
      <c r="CE24" s="105">
        <v>2181.4599370474498</v>
      </c>
      <c r="CF24" s="105">
        <v>5.8240058320123698</v>
      </c>
      <c r="CG24" s="105">
        <v>1775.1569775973703</v>
      </c>
      <c r="CH24" s="105">
        <v>5.6409396588468113</v>
      </c>
      <c r="CI24" s="105">
        <v>1719.3584080165081</v>
      </c>
      <c r="CJ24" s="105">
        <v>0</v>
      </c>
      <c r="CK24" s="105">
        <v>0</v>
      </c>
      <c r="CL24" s="105">
        <v>13.410278915440321</v>
      </c>
      <c r="CM24" s="105">
        <v>4087.45301342621</v>
      </c>
      <c r="CN24" s="105">
        <v>3.7943324380463399</v>
      </c>
      <c r="CO24" s="105">
        <v>1156.5125271165246</v>
      </c>
      <c r="CP24" s="105">
        <v>4.5122427318454301</v>
      </c>
      <c r="CQ24" s="105">
        <v>1375.3315846664871</v>
      </c>
      <c r="CR24" s="105">
        <v>5.0652752672248145</v>
      </c>
      <c r="CS24" s="105">
        <v>1543.8959014501236</v>
      </c>
      <c r="CT24" s="105">
        <v>7.5031162667468072</v>
      </c>
      <c r="CU24" s="105">
        <v>2286.9498381044268</v>
      </c>
    </row>
    <row r="25" spans="2:99" x14ac:dyDescent="0.2">
      <c r="C25" s="104" t="s">
        <v>191</v>
      </c>
      <c r="D25" s="105">
        <v>12</v>
      </c>
      <c r="E25" s="105">
        <v>3902.3999999999996</v>
      </c>
      <c r="F25" s="105">
        <v>11</v>
      </c>
      <c r="G25" s="105">
        <v>3577.2</v>
      </c>
      <c r="H25" s="105">
        <v>7.6326496081908788</v>
      </c>
      <c r="I25" s="105">
        <v>2482.1376525836736</v>
      </c>
      <c r="J25" s="105">
        <v>0</v>
      </c>
      <c r="K25" s="105">
        <v>0</v>
      </c>
      <c r="L25" s="105">
        <v>0</v>
      </c>
      <c r="M25" s="105">
        <v>0</v>
      </c>
      <c r="N25" s="105">
        <v>0</v>
      </c>
      <c r="O25" s="105">
        <v>0</v>
      </c>
      <c r="P25" s="105">
        <v>7.4100807699010129</v>
      </c>
      <c r="Q25" s="105">
        <v>2409.7582663718094</v>
      </c>
      <c r="R25" s="105">
        <v>5.84235765761834</v>
      </c>
      <c r="S25" s="105">
        <v>1899.9347102574841</v>
      </c>
      <c r="T25" s="105">
        <v>5.9866134022508923</v>
      </c>
      <c r="U25" s="105">
        <v>1946.8466784119901</v>
      </c>
      <c r="V25" s="105">
        <v>0</v>
      </c>
      <c r="W25" s="105">
        <v>0</v>
      </c>
      <c r="X25" s="105">
        <v>13</v>
      </c>
      <c r="Y25" s="105">
        <v>4227.5999999999995</v>
      </c>
      <c r="Z25" s="105">
        <v>7.0557493890814422</v>
      </c>
      <c r="AA25" s="105">
        <v>2294.5297013292848</v>
      </c>
      <c r="AB25" s="105">
        <v>5.1674732052677133</v>
      </c>
      <c r="AC25" s="105">
        <v>1680.4622863530603</v>
      </c>
      <c r="AD25" s="105">
        <v>6.2430624314203467</v>
      </c>
      <c r="AE25" s="105">
        <v>2030.2439026978966</v>
      </c>
      <c r="AF25" s="105">
        <v>5.2754099824012428</v>
      </c>
      <c r="AG25" s="105">
        <v>1715.563326276884</v>
      </c>
      <c r="AH25" s="105">
        <v>7.2961850839932731</v>
      </c>
      <c r="AI25" s="105">
        <v>2372.7193893146123</v>
      </c>
      <c r="AJ25" s="105">
        <v>5.8143367575818017</v>
      </c>
      <c r="AK25" s="105">
        <v>1890.8223135656019</v>
      </c>
      <c r="AL25" s="105">
        <v>4.5186498922740359</v>
      </c>
      <c r="AM25" s="105">
        <v>1469.4649449675164</v>
      </c>
      <c r="AN25" s="105">
        <v>7.7710847048449079</v>
      </c>
      <c r="AO25" s="105">
        <v>2527.1567460155638</v>
      </c>
      <c r="AP25" s="105">
        <v>5.0765879981398898</v>
      </c>
      <c r="AQ25" s="105">
        <v>1650.9064169950921</v>
      </c>
      <c r="AR25" s="105">
        <v>6.5706732463729303</v>
      </c>
      <c r="AS25" s="105">
        <v>2136.7829397204769</v>
      </c>
      <c r="AT25" s="105">
        <v>7.8111418424987473</v>
      </c>
      <c r="AU25" s="105">
        <v>2540.1833271805926</v>
      </c>
      <c r="AV25" s="105">
        <v>7.1962373431166542</v>
      </c>
      <c r="AW25" s="105">
        <v>2340.2163839815357</v>
      </c>
      <c r="AX25" s="105">
        <v>4.8621225158655301</v>
      </c>
      <c r="AY25" s="105">
        <v>1581.1622421594705</v>
      </c>
      <c r="AZ25" s="105">
        <v>5.879709591496411</v>
      </c>
      <c r="BA25" s="105">
        <v>1912.0815591546327</v>
      </c>
      <c r="BB25" s="105">
        <v>6.0394843086566405</v>
      </c>
      <c r="BC25" s="105">
        <v>1964.0402971751394</v>
      </c>
      <c r="BD25" s="105">
        <v>6.1851490507949265</v>
      </c>
      <c r="BE25" s="105">
        <v>2011.41047131851</v>
      </c>
      <c r="BF25" s="105">
        <v>5.0765879981398898</v>
      </c>
      <c r="BG25" s="105">
        <v>1650.9064169950921</v>
      </c>
      <c r="BH25" s="105">
        <v>0</v>
      </c>
      <c r="BI25" s="105">
        <v>0</v>
      </c>
      <c r="BJ25" s="105">
        <v>11.827211843471268</v>
      </c>
      <c r="BK25" s="105">
        <v>3846.2092914968562</v>
      </c>
      <c r="BL25" s="105">
        <v>5.8283135286336814</v>
      </c>
      <c r="BM25" s="105">
        <v>1895.3675595116731</v>
      </c>
      <c r="BN25" s="105">
        <v>5.4362745020439718</v>
      </c>
      <c r="BO25" s="105">
        <v>1767.8764680646996</v>
      </c>
      <c r="BP25" s="105">
        <v>5.6385544835153745</v>
      </c>
      <c r="BQ25" s="105">
        <v>1833.6579180391998</v>
      </c>
      <c r="BR25" s="105">
        <v>6.5176839459989546</v>
      </c>
      <c r="BS25" s="105">
        <v>2119.5508192388602</v>
      </c>
      <c r="BT25" s="105">
        <v>6.7349400775322534</v>
      </c>
      <c r="BU25" s="105">
        <v>2190.2025132134886</v>
      </c>
      <c r="BV25" s="105">
        <v>4.6716347358605219</v>
      </c>
      <c r="BW25" s="105">
        <v>1519.2156161018418</v>
      </c>
      <c r="BX25" s="105">
        <v>5.5780178556248723</v>
      </c>
      <c r="BY25" s="105">
        <v>1813.9714066492083</v>
      </c>
      <c r="BZ25" s="105">
        <v>5.3483347674520836</v>
      </c>
      <c r="CA25" s="105">
        <v>1739.2784663754176</v>
      </c>
      <c r="CB25" s="105">
        <v>6.4064064152136071</v>
      </c>
      <c r="CC25" s="105">
        <v>2083.3633662274651</v>
      </c>
      <c r="CD25" s="105">
        <v>6.6064807300043897</v>
      </c>
      <c r="CE25" s="105">
        <v>2148.4275333974274</v>
      </c>
      <c r="CF25" s="105">
        <v>5.3760053833960333</v>
      </c>
      <c r="CG25" s="105">
        <v>1748.27695068039</v>
      </c>
      <c r="CH25" s="105">
        <v>6.6665650513644135</v>
      </c>
      <c r="CI25" s="105">
        <v>2167.966954703707</v>
      </c>
      <c r="CJ25" s="105">
        <v>0</v>
      </c>
      <c r="CK25" s="105">
        <v>0</v>
      </c>
      <c r="CL25" s="105">
        <v>13.410278915440321</v>
      </c>
      <c r="CM25" s="105">
        <v>4361.0227033011925</v>
      </c>
      <c r="CN25" s="105">
        <v>4.2686239928021319</v>
      </c>
      <c r="CO25" s="105">
        <v>1388.1565224592532</v>
      </c>
      <c r="CP25" s="105">
        <v>5.0136030353838112</v>
      </c>
      <c r="CQ25" s="105">
        <v>1630.4237071068153</v>
      </c>
      <c r="CR25" s="105">
        <v>5.0652752672248145</v>
      </c>
      <c r="CS25" s="105">
        <v>1647.2275169015097</v>
      </c>
      <c r="CT25" s="105">
        <v>7.5031162667468072</v>
      </c>
      <c r="CU25" s="105">
        <v>2440.0134099460615</v>
      </c>
    </row>
    <row r="26" spans="2:99" x14ac:dyDescent="0.2">
      <c r="C26" s="104" t="s">
        <v>192</v>
      </c>
      <c r="D26" s="105">
        <v>10</v>
      </c>
      <c r="E26" s="105">
        <v>2868</v>
      </c>
      <c r="F26" s="105">
        <v>10</v>
      </c>
      <c r="G26" s="105">
        <v>2868</v>
      </c>
      <c r="H26" s="105">
        <v>7.6326496081908788</v>
      </c>
      <c r="I26" s="105">
        <v>2189.0439076291441</v>
      </c>
      <c r="J26" s="105">
        <v>0</v>
      </c>
      <c r="K26" s="105">
        <v>0</v>
      </c>
      <c r="L26" s="105">
        <v>0</v>
      </c>
      <c r="M26" s="105">
        <v>0</v>
      </c>
      <c r="N26" s="105">
        <v>0</v>
      </c>
      <c r="O26" s="105">
        <v>0</v>
      </c>
      <c r="P26" s="105">
        <v>6.9160753852409442</v>
      </c>
      <c r="Q26" s="105">
        <v>1983.5304204871029</v>
      </c>
      <c r="R26" s="105">
        <v>6.3292207957532023</v>
      </c>
      <c r="S26" s="105">
        <v>1815.2205242220184</v>
      </c>
      <c r="T26" s="105">
        <v>4.988844501875743</v>
      </c>
      <c r="U26" s="105">
        <v>1430.8006031379632</v>
      </c>
      <c r="V26" s="105">
        <v>0</v>
      </c>
      <c r="W26" s="105">
        <v>0</v>
      </c>
      <c r="X26" s="105">
        <v>14</v>
      </c>
      <c r="Y26" s="105">
        <v>4015.2000000000003</v>
      </c>
      <c r="Z26" s="105">
        <v>7.0557493890814422</v>
      </c>
      <c r="AA26" s="105">
        <v>2023.5889247885577</v>
      </c>
      <c r="AB26" s="105">
        <v>6.2009678463212561</v>
      </c>
      <c r="AC26" s="105">
        <v>1778.4375783249363</v>
      </c>
      <c r="AD26" s="105">
        <v>6.2430624314203467</v>
      </c>
      <c r="AE26" s="105">
        <v>1790.5103053313555</v>
      </c>
      <c r="AF26" s="105">
        <v>5.8029509806413673</v>
      </c>
      <c r="AG26" s="105">
        <v>1664.2863412479442</v>
      </c>
      <c r="AH26" s="105">
        <v>6.1736950710712319</v>
      </c>
      <c r="AI26" s="105">
        <v>1770.6157463832294</v>
      </c>
      <c r="AJ26" s="105">
        <v>5.8143367575818017</v>
      </c>
      <c r="AK26" s="105">
        <v>1667.5517820744608</v>
      </c>
      <c r="AL26" s="105">
        <v>5.1641713054560405</v>
      </c>
      <c r="AM26" s="105">
        <v>1481.0843304047926</v>
      </c>
      <c r="AN26" s="105">
        <v>7.1733089583183762</v>
      </c>
      <c r="AO26" s="105">
        <v>2057.3050092457106</v>
      </c>
      <c r="AP26" s="105">
        <v>4.5689291983259004</v>
      </c>
      <c r="AQ26" s="105">
        <v>1310.3688940798684</v>
      </c>
      <c r="AR26" s="105">
        <v>7.1182293502373399</v>
      </c>
      <c r="AS26" s="105">
        <v>2041.5081776480692</v>
      </c>
      <c r="AT26" s="105">
        <v>6.7696562634989137</v>
      </c>
      <c r="AU26" s="105">
        <v>1941.5374163714885</v>
      </c>
      <c r="AV26" s="105">
        <v>6.6426806244153722</v>
      </c>
      <c r="AW26" s="105">
        <v>1905.1208030823288</v>
      </c>
      <c r="AX26" s="105">
        <v>4.3218866807693601</v>
      </c>
      <c r="AY26" s="105">
        <v>1239.5171000446526</v>
      </c>
      <c r="AZ26" s="105">
        <v>5.3451905377240099</v>
      </c>
      <c r="BA26" s="105">
        <v>1533.0006462192462</v>
      </c>
      <c r="BB26" s="105">
        <v>6.5885283367163341</v>
      </c>
      <c r="BC26" s="105">
        <v>1889.5899269702447</v>
      </c>
      <c r="BD26" s="105">
        <v>6.7005781383611707</v>
      </c>
      <c r="BE26" s="105">
        <v>1921.7258100819838</v>
      </c>
      <c r="BF26" s="105">
        <v>5.0765879981398898</v>
      </c>
      <c r="BG26" s="105">
        <v>1455.9654378665205</v>
      </c>
      <c r="BH26" s="105">
        <v>0</v>
      </c>
      <c r="BI26" s="105">
        <v>0</v>
      </c>
      <c r="BJ26" s="105">
        <v>12.812812830427207</v>
      </c>
      <c r="BK26" s="105">
        <v>3674.7147197665231</v>
      </c>
      <c r="BL26" s="105">
        <v>7.2853919107921001</v>
      </c>
      <c r="BM26" s="105">
        <v>2089.4504000151742</v>
      </c>
      <c r="BN26" s="105">
        <v>5.4362745020439718</v>
      </c>
      <c r="BO26" s="105">
        <v>1559.1235271862113</v>
      </c>
      <c r="BP26" s="105">
        <v>5.1686749432224266</v>
      </c>
      <c r="BQ26" s="105">
        <v>1482.375973716192</v>
      </c>
      <c r="BR26" s="105">
        <v>6.0163236424605735</v>
      </c>
      <c r="BS26" s="105">
        <v>1725.4816206576925</v>
      </c>
      <c r="BT26" s="105">
        <v>6.7349400775322534</v>
      </c>
      <c r="BU26" s="105">
        <v>1931.5808142362503</v>
      </c>
      <c r="BV26" s="105">
        <v>4.0876803938779576</v>
      </c>
      <c r="BW26" s="105">
        <v>1172.3467369641983</v>
      </c>
      <c r="BX26" s="105">
        <v>6.8175773790970657</v>
      </c>
      <c r="BY26" s="105">
        <v>1955.2811923250385</v>
      </c>
      <c r="BZ26" s="105">
        <v>4.7540753488462961</v>
      </c>
      <c r="CA26" s="105">
        <v>1363.4688100491178</v>
      </c>
      <c r="CB26" s="105">
        <v>6.4064064152136071</v>
      </c>
      <c r="CC26" s="105">
        <v>1837.3573598832627</v>
      </c>
      <c r="CD26" s="105">
        <v>6.6064807300043897</v>
      </c>
      <c r="CE26" s="105">
        <v>1894.738673365259</v>
      </c>
      <c r="CF26" s="105">
        <v>6.2720062806287062</v>
      </c>
      <c r="CG26" s="105">
        <v>1798.811401284313</v>
      </c>
      <c r="CH26" s="105">
        <v>5.6409396588468113</v>
      </c>
      <c r="CI26" s="105">
        <v>1617.8214941572655</v>
      </c>
      <c r="CJ26" s="105">
        <v>0</v>
      </c>
      <c r="CK26" s="105">
        <v>0</v>
      </c>
      <c r="CL26" s="105">
        <v>13.410278915440321</v>
      </c>
      <c r="CM26" s="105">
        <v>3846.067992948284</v>
      </c>
      <c r="CN26" s="105">
        <v>4.2686239928021319</v>
      </c>
      <c r="CO26" s="105">
        <v>1224.2413611356515</v>
      </c>
      <c r="CP26" s="105">
        <v>4.5122427318454301</v>
      </c>
      <c r="CQ26" s="105">
        <v>1294.1112154932694</v>
      </c>
      <c r="CR26" s="105">
        <v>5.6280836302497939</v>
      </c>
      <c r="CS26" s="105">
        <v>1614.134385155641</v>
      </c>
      <c r="CT26" s="105">
        <v>6.4312425143544063</v>
      </c>
      <c r="CU26" s="105">
        <v>1844.4803531168438</v>
      </c>
    </row>
    <row r="27" spans="2:99" x14ac:dyDescent="0.2">
      <c r="C27" s="104" t="s">
        <v>193</v>
      </c>
      <c r="D27" s="105">
        <v>11</v>
      </c>
      <c r="E27" s="105">
        <v>3471.5999999999995</v>
      </c>
      <c r="F27" s="105">
        <v>10</v>
      </c>
      <c r="G27" s="105">
        <v>3155.9999999999995</v>
      </c>
      <c r="H27" s="105">
        <v>8.480721786878755</v>
      </c>
      <c r="I27" s="105">
        <v>2676.5157959389348</v>
      </c>
      <c r="J27" s="105">
        <v>0</v>
      </c>
      <c r="K27" s="105">
        <v>0</v>
      </c>
      <c r="L27" s="105">
        <v>0</v>
      </c>
      <c r="M27" s="105">
        <v>0</v>
      </c>
      <c r="N27" s="105">
        <v>0</v>
      </c>
      <c r="O27" s="105">
        <v>0</v>
      </c>
      <c r="P27" s="105">
        <v>6.4220700005808773</v>
      </c>
      <c r="Q27" s="105">
        <v>2026.8052921833246</v>
      </c>
      <c r="R27" s="105">
        <v>6.3292207957532023</v>
      </c>
      <c r="S27" s="105">
        <v>1997.5020831397105</v>
      </c>
      <c r="T27" s="105">
        <v>5.9866134022508923</v>
      </c>
      <c r="U27" s="105">
        <v>1889.3751897503814</v>
      </c>
      <c r="V27" s="105">
        <v>0</v>
      </c>
      <c r="W27" s="105">
        <v>0</v>
      </c>
      <c r="X27" s="105">
        <v>14</v>
      </c>
      <c r="Y27" s="105">
        <v>4418.3999999999996</v>
      </c>
      <c r="Z27" s="105">
        <v>6.467770273324656</v>
      </c>
      <c r="AA27" s="105">
        <v>2041.2282982612612</v>
      </c>
      <c r="AB27" s="105">
        <v>5.6842205257944842</v>
      </c>
      <c r="AC27" s="105">
        <v>1793.939997940739</v>
      </c>
      <c r="AD27" s="105">
        <v>6.2430624314203467</v>
      </c>
      <c r="AE27" s="105">
        <v>1970.3105033562613</v>
      </c>
      <c r="AF27" s="105">
        <v>4.7478689841611184</v>
      </c>
      <c r="AG27" s="105">
        <v>1498.4274514012488</v>
      </c>
      <c r="AH27" s="105">
        <v>7.2961850839932731</v>
      </c>
      <c r="AI27" s="105">
        <v>2302.6760125082769</v>
      </c>
      <c r="AJ27" s="105">
        <v>6.5411288522795266</v>
      </c>
      <c r="AK27" s="105">
        <v>2064.3802657794186</v>
      </c>
      <c r="AL27" s="105">
        <v>5.1641713054560405</v>
      </c>
      <c r="AM27" s="105">
        <v>1629.8124640019262</v>
      </c>
      <c r="AN27" s="105">
        <v>6.5755332117918446</v>
      </c>
      <c r="AO27" s="105">
        <v>2075.2382816415061</v>
      </c>
      <c r="AP27" s="105">
        <v>5.0765879981398898</v>
      </c>
      <c r="AQ27" s="105">
        <v>1602.1711722129492</v>
      </c>
      <c r="AR27" s="105">
        <v>6.0231171425085188</v>
      </c>
      <c r="AS27" s="105">
        <v>1900.8957701756883</v>
      </c>
      <c r="AT27" s="105">
        <v>7.2903990529988301</v>
      </c>
      <c r="AU27" s="105">
        <v>2300.8499411264306</v>
      </c>
      <c r="AV27" s="105">
        <v>6.6426806244153722</v>
      </c>
      <c r="AW27" s="105">
        <v>2096.4300050654911</v>
      </c>
      <c r="AX27" s="105">
        <v>4.3218866807693601</v>
      </c>
      <c r="AY27" s="105">
        <v>1363.9874364508098</v>
      </c>
      <c r="AZ27" s="105">
        <v>5.3451905377240099</v>
      </c>
      <c r="BA27" s="105">
        <v>1686.9421337056974</v>
      </c>
      <c r="BB27" s="105">
        <v>6.5885283367163341</v>
      </c>
      <c r="BC27" s="105">
        <v>2079.3395430676746</v>
      </c>
      <c r="BD27" s="105">
        <v>6.1851490507949265</v>
      </c>
      <c r="BE27" s="105">
        <v>1952.0330404308786</v>
      </c>
      <c r="BF27" s="105">
        <v>5.0765879981398898</v>
      </c>
      <c r="BG27" s="105">
        <v>1602.1711722129492</v>
      </c>
      <c r="BH27" s="105">
        <v>0</v>
      </c>
      <c r="BI27" s="105">
        <v>0</v>
      </c>
      <c r="BJ27" s="105">
        <v>12.812812830427207</v>
      </c>
      <c r="BK27" s="105">
        <v>4043.7237292828263</v>
      </c>
      <c r="BL27" s="105">
        <v>6.7996991167392933</v>
      </c>
      <c r="BM27" s="105">
        <v>2145.9850412429209</v>
      </c>
      <c r="BN27" s="105">
        <v>4.9832516268736402</v>
      </c>
      <c r="BO27" s="105">
        <v>1572.7142134413207</v>
      </c>
      <c r="BP27" s="105">
        <v>5.1686749432224266</v>
      </c>
      <c r="BQ27" s="105">
        <v>1631.2338120809977</v>
      </c>
      <c r="BR27" s="105">
        <v>6.0163236424605735</v>
      </c>
      <c r="BS27" s="105">
        <v>1898.7517415605569</v>
      </c>
      <c r="BT27" s="105">
        <v>6.2168677638759267</v>
      </c>
      <c r="BU27" s="105">
        <v>1962.0434662792422</v>
      </c>
      <c r="BV27" s="105">
        <v>4.6716347358605219</v>
      </c>
      <c r="BW27" s="105">
        <v>1474.3679226375805</v>
      </c>
      <c r="BX27" s="105">
        <v>6.8175773790970657</v>
      </c>
      <c r="BY27" s="105">
        <v>2151.6274208430336</v>
      </c>
      <c r="BZ27" s="105">
        <v>5.3483347674520836</v>
      </c>
      <c r="CA27" s="105">
        <v>1687.9344526078773</v>
      </c>
      <c r="CB27" s="105">
        <v>5.9136059217356376</v>
      </c>
      <c r="CC27" s="105">
        <v>1866.334028899767</v>
      </c>
      <c r="CD27" s="105">
        <v>7.1570207908380894</v>
      </c>
      <c r="CE27" s="105">
        <v>2258.7557615885007</v>
      </c>
      <c r="CF27" s="105">
        <v>5.3760053833960333</v>
      </c>
      <c r="CG27" s="105">
        <v>1696.6672989997878</v>
      </c>
      <c r="CH27" s="105">
        <v>5.6409396588468113</v>
      </c>
      <c r="CI27" s="105">
        <v>1780.2805563320535</v>
      </c>
      <c r="CJ27" s="105">
        <v>0</v>
      </c>
      <c r="CK27" s="105">
        <v>0</v>
      </c>
      <c r="CL27" s="105">
        <v>13.410278915440321</v>
      </c>
      <c r="CM27" s="105">
        <v>4232.2840257129646</v>
      </c>
      <c r="CN27" s="105">
        <v>3.7943324380463399</v>
      </c>
      <c r="CO27" s="105">
        <v>1197.4913174474248</v>
      </c>
      <c r="CP27" s="105">
        <v>5.0136030353838112</v>
      </c>
      <c r="CQ27" s="105">
        <v>1582.2931179671307</v>
      </c>
      <c r="CR27" s="105">
        <v>5.0652752672248145</v>
      </c>
      <c r="CS27" s="105">
        <v>1598.6008743361513</v>
      </c>
      <c r="CT27" s="105">
        <v>6.4312425143544063</v>
      </c>
      <c r="CU27" s="105">
        <v>2029.7001375302505</v>
      </c>
    </row>
    <row r="28" spans="2:99" x14ac:dyDescent="0.2">
      <c r="C28" s="104" t="s">
        <v>194</v>
      </c>
      <c r="D28" s="105">
        <v>12</v>
      </c>
      <c r="E28" s="105">
        <v>6883.2000000000007</v>
      </c>
      <c r="F28" s="105">
        <v>11</v>
      </c>
      <c r="G28" s="105">
        <v>6309.6</v>
      </c>
      <c r="H28" s="105">
        <v>1.6362211404381828</v>
      </c>
      <c r="I28" s="105">
        <v>938.53644615534165</v>
      </c>
      <c r="J28" s="105">
        <v>0</v>
      </c>
      <c r="K28" s="105">
        <v>0</v>
      </c>
      <c r="L28" s="105">
        <v>0</v>
      </c>
      <c r="M28" s="105">
        <v>0</v>
      </c>
      <c r="N28" s="105">
        <v>0</v>
      </c>
      <c r="O28" s="105">
        <v>0</v>
      </c>
      <c r="P28" s="105">
        <v>5.7975664932459727</v>
      </c>
      <c r="Q28" s="105">
        <v>3325.4841405258899</v>
      </c>
      <c r="R28" s="105">
        <v>5.5147583716242181</v>
      </c>
      <c r="S28" s="105">
        <v>3163.2654019636516</v>
      </c>
      <c r="T28" s="105">
        <v>4.4733022043210831</v>
      </c>
      <c r="U28" s="105">
        <v>2565.8861443985734</v>
      </c>
      <c r="V28" s="105">
        <v>5.0924570548782198</v>
      </c>
      <c r="W28" s="105">
        <v>2921.0333666781471</v>
      </c>
      <c r="X28" s="105">
        <v>5.9501340325419196</v>
      </c>
      <c r="Y28" s="105">
        <v>3412.9968810660453</v>
      </c>
      <c r="Z28" s="105">
        <v>4.9743120512050449</v>
      </c>
      <c r="AA28" s="105">
        <v>2853.2653925712139</v>
      </c>
      <c r="AB28" s="105">
        <v>4.1260053510327177</v>
      </c>
      <c r="AC28" s="105">
        <v>2366.6766693523668</v>
      </c>
      <c r="AD28" s="105">
        <v>5.3144359521421416</v>
      </c>
      <c r="AE28" s="105">
        <v>3048.3604621487325</v>
      </c>
      <c r="AF28" s="105">
        <v>5.0023250716060383</v>
      </c>
      <c r="AG28" s="105">
        <v>2869.3336610732235</v>
      </c>
      <c r="AH28" s="105">
        <v>5.1387521190134766</v>
      </c>
      <c r="AI28" s="105">
        <v>2947.5882154661304</v>
      </c>
      <c r="AJ28" s="105">
        <v>4.0018600572848309</v>
      </c>
      <c r="AK28" s="105">
        <v>2295.4669288585792</v>
      </c>
      <c r="AL28" s="105">
        <v>0</v>
      </c>
      <c r="AM28" s="105">
        <v>0</v>
      </c>
      <c r="AN28" s="105">
        <v>10.516515964492694</v>
      </c>
      <c r="AO28" s="105">
        <v>6032.2735572330093</v>
      </c>
      <c r="AP28" s="105">
        <v>4.1871313562332029</v>
      </c>
      <c r="AQ28" s="105">
        <v>2401.7385459353654</v>
      </c>
      <c r="AR28" s="105">
        <v>5.3834546008712607</v>
      </c>
      <c r="AS28" s="105">
        <v>3087.9495590597553</v>
      </c>
      <c r="AT28" s="105">
        <v>7.1942529666188655</v>
      </c>
      <c r="AU28" s="105">
        <v>4126.6235016525816</v>
      </c>
      <c r="AV28" s="105">
        <v>4.7105227757623531</v>
      </c>
      <c r="AW28" s="105">
        <v>2701.955864177286</v>
      </c>
      <c r="AX28" s="105">
        <v>4.005798895923891</v>
      </c>
      <c r="AY28" s="105">
        <v>2297.7262467019441</v>
      </c>
      <c r="AZ28" s="105">
        <v>5.5905105470586163</v>
      </c>
      <c r="BA28" s="105">
        <v>3206.7168497928224</v>
      </c>
      <c r="BB28" s="105">
        <v>4.3149826953548276</v>
      </c>
      <c r="BC28" s="105">
        <v>2475.0740740555293</v>
      </c>
      <c r="BD28" s="105">
        <v>7.8174633299885867</v>
      </c>
      <c r="BE28" s="105">
        <v>4484.0969660814535</v>
      </c>
      <c r="BF28" s="105">
        <v>5.3144359521421416</v>
      </c>
      <c r="BG28" s="105">
        <v>3048.3604621487325</v>
      </c>
      <c r="BH28" s="105">
        <v>4.8729545956162275</v>
      </c>
      <c r="BI28" s="105">
        <v>2795.126756045468</v>
      </c>
      <c r="BJ28" s="105">
        <v>7.2756589407814563</v>
      </c>
      <c r="BK28" s="105">
        <v>4173.3179684322431</v>
      </c>
      <c r="BL28" s="105">
        <v>5.6059114025601557</v>
      </c>
      <c r="BM28" s="105">
        <v>3215.5507805085053</v>
      </c>
      <c r="BN28" s="105">
        <v>4.5719779882399312</v>
      </c>
      <c r="BO28" s="105">
        <v>2622.4865740544246</v>
      </c>
      <c r="BP28" s="105">
        <v>5.1387521190134766</v>
      </c>
      <c r="BQ28" s="105">
        <v>2947.5882154661304</v>
      </c>
      <c r="BR28" s="105">
        <v>6.650149801076263</v>
      </c>
      <c r="BS28" s="105">
        <v>3814.5259258973447</v>
      </c>
      <c r="BT28" s="105">
        <v>7.3484155301892713</v>
      </c>
      <c r="BU28" s="105">
        <v>4215.0511481165659</v>
      </c>
      <c r="BV28" s="105">
        <v>4.1360687787181636</v>
      </c>
      <c r="BW28" s="105">
        <v>2372.4490514727386</v>
      </c>
      <c r="BX28" s="105">
        <v>4.6333010909137897</v>
      </c>
      <c r="BY28" s="105">
        <v>2657.6615057481499</v>
      </c>
      <c r="BZ28" s="105">
        <v>4.7545463531059262</v>
      </c>
      <c r="CA28" s="105">
        <v>2727.2077881415594</v>
      </c>
      <c r="CB28" s="105">
        <v>5.9501340325419196</v>
      </c>
      <c r="CC28" s="105">
        <v>3412.9968810660453</v>
      </c>
      <c r="CD28" s="105">
        <v>5.7975664932459727</v>
      </c>
      <c r="CE28" s="105">
        <v>3325.4841405258899</v>
      </c>
      <c r="CF28" s="105">
        <v>6.0874448179082723</v>
      </c>
      <c r="CG28" s="105">
        <v>3491.7583475521851</v>
      </c>
      <c r="CH28" s="105">
        <v>4.2298571863988474</v>
      </c>
      <c r="CI28" s="105">
        <v>2426.246082118379</v>
      </c>
      <c r="CJ28" s="105">
        <v>5.7290141867379978</v>
      </c>
      <c r="CK28" s="105">
        <v>3286.1625375129156</v>
      </c>
      <c r="CL28" s="105">
        <v>6.4338847668949208</v>
      </c>
      <c r="CM28" s="105">
        <v>3690.4763022909269</v>
      </c>
      <c r="CN28" s="105">
        <v>3.5607101297101251</v>
      </c>
      <c r="CO28" s="105">
        <v>2042.4233304017278</v>
      </c>
      <c r="CP28" s="105">
        <v>4.5422898194851262</v>
      </c>
      <c r="CQ28" s="105">
        <v>2605.4574404566683</v>
      </c>
      <c r="CR28" s="105">
        <v>4.7903621448430709</v>
      </c>
      <c r="CS28" s="105">
        <v>2747.7517262819856</v>
      </c>
      <c r="CT28" s="105">
        <v>4.8799660410775463</v>
      </c>
      <c r="CU28" s="105">
        <v>2799.1485211620807</v>
      </c>
    </row>
    <row r="29" spans="2:99" x14ac:dyDescent="0.2">
      <c r="C29" s="104" t="s">
        <v>195</v>
      </c>
      <c r="D29" s="105">
        <v>12</v>
      </c>
      <c r="E29" s="105">
        <v>2822.3999999999996</v>
      </c>
      <c r="F29" s="105">
        <v>11</v>
      </c>
      <c r="G29" s="105">
        <v>2587.1999999999998</v>
      </c>
      <c r="H29" s="105">
        <v>7.6326496081908788</v>
      </c>
      <c r="I29" s="105">
        <v>1795.1991878464946</v>
      </c>
      <c r="J29" s="105">
        <v>0</v>
      </c>
      <c r="K29" s="105">
        <v>0</v>
      </c>
      <c r="L29" s="105">
        <v>0</v>
      </c>
      <c r="M29" s="105">
        <v>0</v>
      </c>
      <c r="N29" s="105">
        <v>0</v>
      </c>
      <c r="O29" s="105">
        <v>0</v>
      </c>
      <c r="P29" s="105">
        <v>6.4220700005808773</v>
      </c>
      <c r="Q29" s="105">
        <v>1510.4708641366224</v>
      </c>
      <c r="R29" s="105">
        <v>5.84235765761834</v>
      </c>
      <c r="S29" s="105">
        <v>1374.1225210718335</v>
      </c>
      <c r="T29" s="105">
        <v>5.4877289520633177</v>
      </c>
      <c r="U29" s="105">
        <v>1290.7138495252923</v>
      </c>
      <c r="V29" s="105">
        <v>0</v>
      </c>
      <c r="W29" s="105">
        <v>0</v>
      </c>
      <c r="X29" s="105">
        <v>14</v>
      </c>
      <c r="Y29" s="105">
        <v>3292.7999999999997</v>
      </c>
      <c r="Z29" s="105">
        <v>7.0557493890814422</v>
      </c>
      <c r="AA29" s="105">
        <v>1659.5122563119551</v>
      </c>
      <c r="AB29" s="105">
        <v>5.6842205257944842</v>
      </c>
      <c r="AC29" s="105">
        <v>1336.9286676668626</v>
      </c>
      <c r="AD29" s="105">
        <v>6.8106135615494692</v>
      </c>
      <c r="AE29" s="105">
        <v>1601.8563096764351</v>
      </c>
      <c r="AF29" s="105">
        <v>5.2754099824012428</v>
      </c>
      <c r="AG29" s="105">
        <v>1240.7764278607722</v>
      </c>
      <c r="AH29" s="105">
        <v>6.1736950710712319</v>
      </c>
      <c r="AI29" s="105">
        <v>1452.0530807159537</v>
      </c>
      <c r="AJ29" s="105">
        <v>5.8143367575818017</v>
      </c>
      <c r="AK29" s="105">
        <v>1367.5320053832397</v>
      </c>
      <c r="AL29" s="105">
        <v>5.1641713054560405</v>
      </c>
      <c r="AM29" s="105">
        <v>1214.6130910432607</v>
      </c>
      <c r="AN29" s="105">
        <v>7.1733089583183762</v>
      </c>
      <c r="AO29" s="105">
        <v>1687.162266996482</v>
      </c>
      <c r="AP29" s="105">
        <v>5.0765879981398898</v>
      </c>
      <c r="AQ29" s="105">
        <v>1194.0134971625021</v>
      </c>
      <c r="AR29" s="105">
        <v>6.5706732463729303</v>
      </c>
      <c r="AS29" s="105">
        <v>1545.4223475469132</v>
      </c>
      <c r="AT29" s="105">
        <v>7.2903990529988301</v>
      </c>
      <c r="AU29" s="105">
        <v>1714.7018572653249</v>
      </c>
      <c r="AV29" s="105">
        <v>6.089123905714092</v>
      </c>
      <c r="AW29" s="105">
        <v>1432.1619426239545</v>
      </c>
      <c r="AX29" s="105">
        <v>4.8621225158655301</v>
      </c>
      <c r="AY29" s="105">
        <v>1143.5712157315727</v>
      </c>
      <c r="AZ29" s="105">
        <v>5.879709591496411</v>
      </c>
      <c r="BA29" s="105">
        <v>1382.9076959199558</v>
      </c>
      <c r="BB29" s="105">
        <v>6.5885283367163341</v>
      </c>
      <c r="BC29" s="105">
        <v>1549.6218647956816</v>
      </c>
      <c r="BD29" s="105">
        <v>6.7005781383611707</v>
      </c>
      <c r="BE29" s="105">
        <v>1575.9759781425473</v>
      </c>
      <c r="BF29" s="105">
        <v>5.0765879981398898</v>
      </c>
      <c r="BG29" s="105">
        <v>1194.0134971625021</v>
      </c>
      <c r="BH29" s="105">
        <v>0</v>
      </c>
      <c r="BI29" s="105">
        <v>0</v>
      </c>
      <c r="BJ29" s="105">
        <v>11.827211843471268</v>
      </c>
      <c r="BK29" s="105">
        <v>2781.7602255844422</v>
      </c>
      <c r="BL29" s="105">
        <v>6.3140063226864873</v>
      </c>
      <c r="BM29" s="105">
        <v>1485.0542870958618</v>
      </c>
      <c r="BN29" s="105">
        <v>5.4362745020439718</v>
      </c>
      <c r="BO29" s="105">
        <v>1278.6117628807422</v>
      </c>
      <c r="BP29" s="105">
        <v>5.1686749432224266</v>
      </c>
      <c r="BQ29" s="105">
        <v>1215.6723466459148</v>
      </c>
      <c r="BR29" s="105">
        <v>7.0190442495373357</v>
      </c>
      <c r="BS29" s="105">
        <v>1650.8792074911812</v>
      </c>
      <c r="BT29" s="105">
        <v>6.7349400775322534</v>
      </c>
      <c r="BU29" s="105">
        <v>1584.057906235586</v>
      </c>
      <c r="BV29" s="105">
        <v>4.6716347358605219</v>
      </c>
      <c r="BW29" s="105">
        <v>1098.7684898743946</v>
      </c>
      <c r="BX29" s="105">
        <v>6.8175773790970657</v>
      </c>
      <c r="BY29" s="105">
        <v>1603.4941995636298</v>
      </c>
      <c r="BZ29" s="105">
        <v>4.7540753488462961</v>
      </c>
      <c r="CA29" s="105">
        <v>1118.1585220486488</v>
      </c>
      <c r="CB29" s="105">
        <v>6.8992069086915766</v>
      </c>
      <c r="CC29" s="105">
        <v>1622.6934649242587</v>
      </c>
      <c r="CD29" s="105">
        <v>7.1570207908380894</v>
      </c>
      <c r="CE29" s="105">
        <v>1683.3312900051185</v>
      </c>
      <c r="CF29" s="105">
        <v>5.8240058320123698</v>
      </c>
      <c r="CG29" s="105">
        <v>1369.8061716893094</v>
      </c>
      <c r="CH29" s="105">
        <v>6.1537523551056124</v>
      </c>
      <c r="CI29" s="105">
        <v>1447.3625539208399</v>
      </c>
      <c r="CJ29" s="105">
        <v>0</v>
      </c>
      <c r="CK29" s="105">
        <v>0</v>
      </c>
      <c r="CL29" s="105">
        <v>15.198316104165697</v>
      </c>
      <c r="CM29" s="105">
        <v>3574.6439476997716</v>
      </c>
      <c r="CN29" s="105">
        <v>3.7943324380463399</v>
      </c>
      <c r="CO29" s="105">
        <v>892.42698942849916</v>
      </c>
      <c r="CP29" s="105">
        <v>4.5122427318454301</v>
      </c>
      <c r="CQ29" s="105">
        <v>1061.2794905300452</v>
      </c>
      <c r="CR29" s="105">
        <v>4.5024669041998351</v>
      </c>
      <c r="CS29" s="105">
        <v>1058.9802158678012</v>
      </c>
      <c r="CT29" s="105">
        <v>6.9671793905506068</v>
      </c>
      <c r="CU29" s="105">
        <v>1638.6805926575025</v>
      </c>
    </row>
    <row r="30" spans="2:99" x14ac:dyDescent="0.2">
      <c r="C30" s="104" t="s">
        <v>196</v>
      </c>
      <c r="D30" s="105">
        <v>11</v>
      </c>
      <c r="E30" s="105">
        <v>2547.6</v>
      </c>
      <c r="F30" s="105">
        <v>10</v>
      </c>
      <c r="G30" s="105">
        <v>2316</v>
      </c>
      <c r="H30" s="105">
        <v>6.7845774295030035</v>
      </c>
      <c r="I30" s="105">
        <v>1571.3081326728955</v>
      </c>
      <c r="J30" s="105">
        <v>0</v>
      </c>
      <c r="K30" s="105">
        <v>0</v>
      </c>
      <c r="L30" s="105">
        <v>0</v>
      </c>
      <c r="M30" s="105">
        <v>0</v>
      </c>
      <c r="N30" s="105">
        <v>0</v>
      </c>
      <c r="O30" s="105">
        <v>0</v>
      </c>
      <c r="P30" s="105">
        <v>7.4100807699010129</v>
      </c>
      <c r="Q30" s="105">
        <v>1716.1747063090745</v>
      </c>
      <c r="R30" s="105">
        <v>5.84235765761834</v>
      </c>
      <c r="S30" s="105">
        <v>1353.0900335044075</v>
      </c>
      <c r="T30" s="105">
        <v>5.4877289520633177</v>
      </c>
      <c r="U30" s="105">
        <v>1270.9580252978644</v>
      </c>
      <c r="V30" s="105">
        <v>0</v>
      </c>
      <c r="W30" s="105">
        <v>0</v>
      </c>
      <c r="X30" s="105">
        <v>14</v>
      </c>
      <c r="Y30" s="105">
        <v>3242.4</v>
      </c>
      <c r="Z30" s="105">
        <v>7.6437285048382302</v>
      </c>
      <c r="AA30" s="105">
        <v>1770.287521720534</v>
      </c>
      <c r="AB30" s="105">
        <v>5.1674732052677133</v>
      </c>
      <c r="AC30" s="105">
        <v>1196.7867943400024</v>
      </c>
      <c r="AD30" s="105">
        <v>6.8106135615494692</v>
      </c>
      <c r="AE30" s="105">
        <v>1577.338100854857</v>
      </c>
      <c r="AF30" s="105">
        <v>4.7478689841611184</v>
      </c>
      <c r="AG30" s="105">
        <v>1099.6064567317151</v>
      </c>
      <c r="AH30" s="105">
        <v>6.1736950710712319</v>
      </c>
      <c r="AI30" s="105">
        <v>1429.8277784600973</v>
      </c>
      <c r="AJ30" s="105">
        <v>6.5411288522795266</v>
      </c>
      <c r="AK30" s="105">
        <v>1514.9254421879384</v>
      </c>
      <c r="AL30" s="105">
        <v>5.1641713054560405</v>
      </c>
      <c r="AM30" s="105">
        <v>1196.0220743436189</v>
      </c>
      <c r="AN30" s="105">
        <v>6.5755332117918446</v>
      </c>
      <c r="AO30" s="105">
        <v>1522.8934918509913</v>
      </c>
      <c r="AP30" s="105">
        <v>4.5689291983259004</v>
      </c>
      <c r="AQ30" s="105">
        <v>1058.1640023322784</v>
      </c>
      <c r="AR30" s="105">
        <v>6.0231171425085188</v>
      </c>
      <c r="AS30" s="105">
        <v>1394.9539302049729</v>
      </c>
      <c r="AT30" s="105">
        <v>7.2903990529988301</v>
      </c>
      <c r="AU30" s="105">
        <v>1688.456420674529</v>
      </c>
      <c r="AV30" s="105">
        <v>6.6426806244153722</v>
      </c>
      <c r="AW30" s="105">
        <v>1538.4448326146003</v>
      </c>
      <c r="AX30" s="105">
        <v>4.8621225158655301</v>
      </c>
      <c r="AY30" s="105">
        <v>1126.0675746744566</v>
      </c>
      <c r="AZ30" s="105">
        <v>5.3451905377240099</v>
      </c>
      <c r="BA30" s="105">
        <v>1237.9461285368807</v>
      </c>
      <c r="BB30" s="105">
        <v>6.0394843086566405</v>
      </c>
      <c r="BC30" s="105">
        <v>1398.7445658848778</v>
      </c>
      <c r="BD30" s="105">
        <v>6.7005781383611707</v>
      </c>
      <c r="BE30" s="105">
        <v>1551.853896844447</v>
      </c>
      <c r="BF30" s="105">
        <v>5.0765879981398898</v>
      </c>
      <c r="BG30" s="105">
        <v>1175.7377803691984</v>
      </c>
      <c r="BH30" s="105">
        <v>0</v>
      </c>
      <c r="BI30" s="105">
        <v>0</v>
      </c>
      <c r="BJ30" s="105">
        <v>12.812812830427207</v>
      </c>
      <c r="BK30" s="105">
        <v>2967.4474515269412</v>
      </c>
      <c r="BL30" s="105">
        <v>6.7996991167392933</v>
      </c>
      <c r="BM30" s="105">
        <v>1574.8103154368202</v>
      </c>
      <c r="BN30" s="105">
        <v>5.8892973772143025</v>
      </c>
      <c r="BO30" s="105">
        <v>1363.9612725628324</v>
      </c>
      <c r="BP30" s="105">
        <v>5.6385544835153745</v>
      </c>
      <c r="BQ30" s="105">
        <v>1305.8892183821606</v>
      </c>
      <c r="BR30" s="105">
        <v>6.0163236424605735</v>
      </c>
      <c r="BS30" s="105">
        <v>1393.3805555938688</v>
      </c>
      <c r="BT30" s="105">
        <v>6.2168677638759267</v>
      </c>
      <c r="BU30" s="105">
        <v>1439.8265741136645</v>
      </c>
      <c r="BV30" s="105">
        <v>5.255589077843088</v>
      </c>
      <c r="BW30" s="105">
        <v>1217.1944304284591</v>
      </c>
      <c r="BX30" s="105">
        <v>6.8175773790970657</v>
      </c>
      <c r="BY30" s="105">
        <v>1578.9509209988803</v>
      </c>
      <c r="BZ30" s="105">
        <v>4.7540753488462961</v>
      </c>
      <c r="CA30" s="105">
        <v>1101.0438507928022</v>
      </c>
      <c r="CB30" s="105">
        <v>6.8992069086915766</v>
      </c>
      <c r="CC30" s="105">
        <v>1597.8563200529691</v>
      </c>
      <c r="CD30" s="105">
        <v>6.6064807300043897</v>
      </c>
      <c r="CE30" s="105">
        <v>1530.0609370690165</v>
      </c>
      <c r="CF30" s="105">
        <v>5.3760053833960333</v>
      </c>
      <c r="CG30" s="105">
        <v>1245.0828467945212</v>
      </c>
      <c r="CH30" s="105">
        <v>6.1537523551056124</v>
      </c>
      <c r="CI30" s="105">
        <v>1425.2090454424597</v>
      </c>
      <c r="CJ30" s="105">
        <v>0</v>
      </c>
      <c r="CK30" s="105">
        <v>0</v>
      </c>
      <c r="CL30" s="105">
        <v>13.410278915440321</v>
      </c>
      <c r="CM30" s="105">
        <v>3105.8205968159782</v>
      </c>
      <c r="CN30" s="105">
        <v>3.7943324380463399</v>
      </c>
      <c r="CO30" s="105">
        <v>878.7673926515323</v>
      </c>
      <c r="CP30" s="105">
        <v>4.5122427318454301</v>
      </c>
      <c r="CQ30" s="105">
        <v>1045.0354166954016</v>
      </c>
      <c r="CR30" s="105">
        <v>5.0652752672248145</v>
      </c>
      <c r="CS30" s="105">
        <v>1173.1177518892671</v>
      </c>
      <c r="CT30" s="105">
        <v>6.4312425143544063</v>
      </c>
      <c r="CU30" s="105">
        <v>1489.4757663244804</v>
      </c>
    </row>
    <row r="31" spans="2:99" x14ac:dyDescent="0.2">
      <c r="C31" s="104" t="s">
        <v>197</v>
      </c>
      <c r="D31" s="105">
        <v>12</v>
      </c>
      <c r="E31" s="105">
        <v>2131.1999999999998</v>
      </c>
      <c r="F31" s="105">
        <v>10</v>
      </c>
      <c r="G31" s="105">
        <v>1776</v>
      </c>
      <c r="H31" s="105">
        <v>7.6326496081908788</v>
      </c>
      <c r="I31" s="105">
        <v>1355.5585704146999</v>
      </c>
      <c r="J31" s="105">
        <v>0</v>
      </c>
      <c r="K31" s="105">
        <v>0</v>
      </c>
      <c r="L31" s="105">
        <v>0</v>
      </c>
      <c r="M31" s="105">
        <v>0</v>
      </c>
      <c r="N31" s="105">
        <v>0</v>
      </c>
      <c r="O31" s="105">
        <v>0</v>
      </c>
      <c r="P31" s="105">
        <v>7.4100807699010129</v>
      </c>
      <c r="Q31" s="105">
        <v>1316.0303447344199</v>
      </c>
      <c r="R31" s="105">
        <v>6.3292207957532023</v>
      </c>
      <c r="S31" s="105">
        <v>1124.0696133257686</v>
      </c>
      <c r="T31" s="105">
        <v>4.988844501875743</v>
      </c>
      <c r="U31" s="105">
        <v>886.01878353313191</v>
      </c>
      <c r="V31" s="105">
        <v>0</v>
      </c>
      <c r="W31" s="105">
        <v>0</v>
      </c>
      <c r="X31" s="105">
        <v>14</v>
      </c>
      <c r="Y31" s="105">
        <v>2486.4</v>
      </c>
      <c r="Z31" s="105">
        <v>7.0557493890814422</v>
      </c>
      <c r="AA31" s="105">
        <v>1253.1010915008642</v>
      </c>
      <c r="AB31" s="105">
        <v>6.2009678463212561</v>
      </c>
      <c r="AC31" s="105">
        <v>1101.291889506655</v>
      </c>
      <c r="AD31" s="105">
        <v>6.2430624314203467</v>
      </c>
      <c r="AE31" s="105">
        <v>1108.7678878202535</v>
      </c>
      <c r="AF31" s="105">
        <v>4.7478689841611184</v>
      </c>
      <c r="AG31" s="105">
        <v>843.22153158701462</v>
      </c>
      <c r="AH31" s="105">
        <v>6.7349400775322534</v>
      </c>
      <c r="AI31" s="105">
        <v>1196.1253577697282</v>
      </c>
      <c r="AJ31" s="105">
        <v>6.5411288522795266</v>
      </c>
      <c r="AK31" s="105">
        <v>1161.704484164844</v>
      </c>
      <c r="AL31" s="105">
        <v>5.1641713054560405</v>
      </c>
      <c r="AM31" s="105">
        <v>917.15682384899276</v>
      </c>
      <c r="AN31" s="105">
        <v>7.7710847048449079</v>
      </c>
      <c r="AO31" s="105">
        <v>1380.1446435804555</v>
      </c>
      <c r="AP31" s="105">
        <v>4.5689291983259004</v>
      </c>
      <c r="AQ31" s="105">
        <v>811.44182562267986</v>
      </c>
      <c r="AR31" s="105">
        <v>6.5706732463729303</v>
      </c>
      <c r="AS31" s="105">
        <v>1166.9515685558324</v>
      </c>
      <c r="AT31" s="105">
        <v>7.8111418424987473</v>
      </c>
      <c r="AU31" s="105">
        <v>1387.2587912277775</v>
      </c>
      <c r="AV31" s="105">
        <v>6.089123905714092</v>
      </c>
      <c r="AW31" s="105">
        <v>1081.4284056548227</v>
      </c>
      <c r="AX31" s="105">
        <v>4.3218866807693601</v>
      </c>
      <c r="AY31" s="105">
        <v>767.5670745046383</v>
      </c>
      <c r="AZ31" s="105">
        <v>5.879709591496411</v>
      </c>
      <c r="BA31" s="105">
        <v>1044.2364234497625</v>
      </c>
      <c r="BB31" s="105">
        <v>6.0394843086566405</v>
      </c>
      <c r="BC31" s="105">
        <v>1072.6124132174193</v>
      </c>
      <c r="BD31" s="105">
        <v>6.1851490507949265</v>
      </c>
      <c r="BE31" s="105">
        <v>1098.4824714211788</v>
      </c>
      <c r="BF31" s="105">
        <v>5.5842467979538783</v>
      </c>
      <c r="BG31" s="105">
        <v>991.76223131660879</v>
      </c>
      <c r="BH31" s="105">
        <v>0</v>
      </c>
      <c r="BI31" s="105">
        <v>0</v>
      </c>
      <c r="BJ31" s="105">
        <v>12.812812830427207</v>
      </c>
      <c r="BK31" s="105">
        <v>2275.5555586838718</v>
      </c>
      <c r="BL31" s="105">
        <v>6.7996991167392933</v>
      </c>
      <c r="BM31" s="105">
        <v>1207.6265631328984</v>
      </c>
      <c r="BN31" s="105">
        <v>5.4362745020439718</v>
      </c>
      <c r="BO31" s="105">
        <v>965.48235156300939</v>
      </c>
      <c r="BP31" s="105">
        <v>5.1686749432224266</v>
      </c>
      <c r="BQ31" s="105">
        <v>917.95666991630299</v>
      </c>
      <c r="BR31" s="105">
        <v>6.5176839459989546</v>
      </c>
      <c r="BS31" s="105">
        <v>1157.5406688094142</v>
      </c>
      <c r="BT31" s="105">
        <v>6.2168677638759267</v>
      </c>
      <c r="BU31" s="105">
        <v>1104.1157148643645</v>
      </c>
      <c r="BV31" s="105">
        <v>4.0876803938779576</v>
      </c>
      <c r="BW31" s="105">
        <v>725.97203795272526</v>
      </c>
      <c r="BX31" s="105">
        <v>6.197797617360969</v>
      </c>
      <c r="BY31" s="105">
        <v>1100.728856843308</v>
      </c>
      <c r="BZ31" s="105">
        <v>5.3483347674520836</v>
      </c>
      <c r="CA31" s="105">
        <v>949.86425469949006</v>
      </c>
      <c r="CB31" s="105">
        <v>5.9136059217356376</v>
      </c>
      <c r="CC31" s="105">
        <v>1050.2564117002491</v>
      </c>
      <c r="CD31" s="105">
        <v>7.1570207908380894</v>
      </c>
      <c r="CE31" s="105">
        <v>1271.0868924528447</v>
      </c>
      <c r="CF31" s="105">
        <v>6.2720062806287062</v>
      </c>
      <c r="CG31" s="105">
        <v>1113.9083154396583</v>
      </c>
      <c r="CH31" s="105">
        <v>6.6665650513644135</v>
      </c>
      <c r="CI31" s="105">
        <v>1183.9819531223197</v>
      </c>
      <c r="CJ31" s="105">
        <v>0</v>
      </c>
      <c r="CK31" s="105">
        <v>0</v>
      </c>
      <c r="CL31" s="105">
        <v>14.304297509803007</v>
      </c>
      <c r="CM31" s="105">
        <v>2540.4432377410139</v>
      </c>
      <c r="CN31" s="105">
        <v>3.7943324380463399</v>
      </c>
      <c r="CO31" s="105">
        <v>673.87344099703</v>
      </c>
      <c r="CP31" s="105">
        <v>5.0136030353838112</v>
      </c>
      <c r="CQ31" s="105">
        <v>890.41589908416483</v>
      </c>
      <c r="CR31" s="105">
        <v>5.0652752672248145</v>
      </c>
      <c r="CS31" s="105">
        <v>899.59288745912704</v>
      </c>
      <c r="CT31" s="105">
        <v>6.9671793905506068</v>
      </c>
      <c r="CU31" s="105">
        <v>1237.3710597617878</v>
      </c>
    </row>
    <row r="32" spans="2:99" x14ac:dyDescent="0.2">
      <c r="C32" s="104" t="s">
        <v>198</v>
      </c>
      <c r="D32" s="105">
        <v>10</v>
      </c>
      <c r="E32" s="105">
        <v>6636</v>
      </c>
      <c r="F32" s="105">
        <v>11</v>
      </c>
      <c r="G32" s="105">
        <v>7299.6</v>
      </c>
      <c r="H32" s="105">
        <v>1.6362211404381828</v>
      </c>
      <c r="I32" s="105">
        <v>1085.7963487947782</v>
      </c>
      <c r="J32" s="105">
        <v>0</v>
      </c>
      <c r="K32" s="105">
        <v>0</v>
      </c>
      <c r="L32" s="105">
        <v>0</v>
      </c>
      <c r="M32" s="105">
        <v>0</v>
      </c>
      <c r="N32" s="105">
        <v>0</v>
      </c>
      <c r="O32" s="105">
        <v>0</v>
      </c>
      <c r="P32" s="105">
        <v>6.2806970343498039</v>
      </c>
      <c r="Q32" s="105">
        <v>4167.8705519945297</v>
      </c>
      <c r="R32" s="105">
        <v>5.0551951739888672</v>
      </c>
      <c r="S32" s="105">
        <v>3354.6275174590123</v>
      </c>
      <c r="T32" s="105">
        <v>4.0666383675646216</v>
      </c>
      <c r="U32" s="105">
        <v>2698.6212207158828</v>
      </c>
      <c r="V32" s="105">
        <v>5.6017027603660416</v>
      </c>
      <c r="W32" s="105">
        <v>3717.2899517789056</v>
      </c>
      <c r="X32" s="105">
        <v>5.525124458788925</v>
      </c>
      <c r="Y32" s="105">
        <v>3666.4725908523305</v>
      </c>
      <c r="Z32" s="105">
        <v>5.4265222376782312</v>
      </c>
      <c r="AA32" s="105">
        <v>3601.0401569232745</v>
      </c>
      <c r="AB32" s="105">
        <v>4.5386058861359899</v>
      </c>
      <c r="AC32" s="105">
        <v>3011.8188660398432</v>
      </c>
      <c r="AD32" s="105">
        <v>5.3144359521421416</v>
      </c>
      <c r="AE32" s="105">
        <v>3526.6596978415255</v>
      </c>
      <c r="AF32" s="105">
        <v>5.5025575787666421</v>
      </c>
      <c r="AG32" s="105">
        <v>3651.4972092695439</v>
      </c>
      <c r="AH32" s="105">
        <v>4.3481748699344802</v>
      </c>
      <c r="AI32" s="105">
        <v>2885.4488436885213</v>
      </c>
      <c r="AJ32" s="105">
        <v>4.5020925644454346</v>
      </c>
      <c r="AK32" s="105">
        <v>2987.5886257659904</v>
      </c>
      <c r="AL32" s="105">
        <v>0</v>
      </c>
      <c r="AM32" s="105">
        <v>0</v>
      </c>
      <c r="AN32" s="105">
        <v>9.6401396341183023</v>
      </c>
      <c r="AO32" s="105">
        <v>6397.1966612009055</v>
      </c>
      <c r="AP32" s="105">
        <v>4.1871313562332029</v>
      </c>
      <c r="AQ32" s="105">
        <v>2778.5803679963537</v>
      </c>
      <c r="AR32" s="105">
        <v>5.8320758176105318</v>
      </c>
      <c r="AS32" s="105">
        <v>3870.1655125663492</v>
      </c>
      <c r="AT32" s="105">
        <v>7.1942529666188655</v>
      </c>
      <c r="AU32" s="105">
        <v>4774.1062686482792</v>
      </c>
      <c r="AV32" s="105">
        <v>4.7105227757623531</v>
      </c>
      <c r="AW32" s="105">
        <v>3125.9029139958975</v>
      </c>
      <c r="AX32" s="105">
        <v>3.5607101297101251</v>
      </c>
      <c r="AY32" s="105">
        <v>2362.8872420756393</v>
      </c>
      <c r="AZ32" s="105">
        <v>6.2116783856206856</v>
      </c>
      <c r="BA32" s="105">
        <v>4122.0697766978874</v>
      </c>
      <c r="BB32" s="105">
        <v>4.3149826953548276</v>
      </c>
      <c r="BC32" s="105">
        <v>2863.4225166374636</v>
      </c>
      <c r="BD32" s="105">
        <v>7.21611999691254</v>
      </c>
      <c r="BE32" s="105">
        <v>4788.6172299511618</v>
      </c>
      <c r="BF32" s="105">
        <v>4.8313054110383113</v>
      </c>
      <c r="BG32" s="105">
        <v>3206.0542707650234</v>
      </c>
      <c r="BH32" s="105">
        <v>5.3602500551778496</v>
      </c>
      <c r="BI32" s="105">
        <v>3557.0619366160213</v>
      </c>
      <c r="BJ32" s="105">
        <v>6.7159928684136521</v>
      </c>
      <c r="BK32" s="105">
        <v>4456.7328674792998</v>
      </c>
      <c r="BL32" s="105">
        <v>6.5402299696535149</v>
      </c>
      <c r="BM32" s="105">
        <v>4340.0966078620722</v>
      </c>
      <c r="BN32" s="105">
        <v>4.5719779882399312</v>
      </c>
      <c r="BO32" s="105">
        <v>3033.9645929960184</v>
      </c>
      <c r="BP32" s="105">
        <v>5.5669814622645992</v>
      </c>
      <c r="BQ32" s="105">
        <v>3694.2488983587882</v>
      </c>
      <c r="BR32" s="105">
        <v>6.650149801076263</v>
      </c>
      <c r="BS32" s="105">
        <v>4413.039407994208</v>
      </c>
      <c r="BT32" s="105">
        <v>6.2178900640063057</v>
      </c>
      <c r="BU32" s="105">
        <v>4126.191846474585</v>
      </c>
      <c r="BV32" s="105">
        <v>3.6765055810828127</v>
      </c>
      <c r="BW32" s="105">
        <v>2439.7291036065544</v>
      </c>
      <c r="BX32" s="105">
        <v>4.6333010909137897</v>
      </c>
      <c r="BY32" s="105">
        <v>3074.6586039303911</v>
      </c>
      <c r="BZ32" s="105">
        <v>4.2262634249830455</v>
      </c>
      <c r="CA32" s="105">
        <v>2804.5484088187491</v>
      </c>
      <c r="CB32" s="105">
        <v>5.9501340325419196</v>
      </c>
      <c r="CC32" s="105">
        <v>3948.5089439948179</v>
      </c>
      <c r="CD32" s="105">
        <v>6.2806970343498039</v>
      </c>
      <c r="CE32" s="105">
        <v>4167.8705519945297</v>
      </c>
      <c r="CF32" s="105">
        <v>5.2178098439213763</v>
      </c>
      <c r="CG32" s="105">
        <v>3462.5386124262254</v>
      </c>
      <c r="CH32" s="105">
        <v>4.2298571863988474</v>
      </c>
      <c r="CI32" s="105">
        <v>2806.9332288942751</v>
      </c>
      <c r="CJ32" s="105">
        <v>5.7290141867379978</v>
      </c>
      <c r="CK32" s="105">
        <v>3801.7738143193355</v>
      </c>
      <c r="CL32" s="105">
        <v>6.8934479645302726</v>
      </c>
      <c r="CM32" s="105">
        <v>4574.4920692622891</v>
      </c>
      <c r="CN32" s="105">
        <v>3.5607101297101251</v>
      </c>
      <c r="CO32" s="105">
        <v>2362.8872420756393</v>
      </c>
      <c r="CP32" s="105">
        <v>4.5422898194851262</v>
      </c>
      <c r="CQ32" s="105">
        <v>3014.2635242103297</v>
      </c>
      <c r="CR32" s="105">
        <v>4.3113259303587643</v>
      </c>
      <c r="CS32" s="105">
        <v>2860.995887386076</v>
      </c>
      <c r="CT32" s="105">
        <v>5.2866298778340077</v>
      </c>
      <c r="CU32" s="105">
        <v>3508.2075869306477</v>
      </c>
    </row>
    <row r="33" spans="2:99" x14ac:dyDescent="0.2">
      <c r="C33" s="104" t="s">
        <v>199</v>
      </c>
      <c r="D33" s="105">
        <v>11</v>
      </c>
      <c r="E33" s="105">
        <v>3682.8</v>
      </c>
      <c r="F33" s="105">
        <v>10</v>
      </c>
      <c r="G33" s="105">
        <v>3348</v>
      </c>
      <c r="H33" s="105">
        <v>6.7845774295030035</v>
      </c>
      <c r="I33" s="105">
        <v>2271.4765233976054</v>
      </c>
      <c r="J33" s="105">
        <v>0</v>
      </c>
      <c r="K33" s="105">
        <v>0</v>
      </c>
      <c r="L33" s="105">
        <v>0</v>
      </c>
      <c r="M33" s="105">
        <v>0</v>
      </c>
      <c r="N33" s="105">
        <v>0</v>
      </c>
      <c r="O33" s="105">
        <v>0</v>
      </c>
      <c r="P33" s="105">
        <v>6.4220700005808773</v>
      </c>
      <c r="Q33" s="105">
        <v>2150.109036194478</v>
      </c>
      <c r="R33" s="105">
        <v>5.84235765761834</v>
      </c>
      <c r="S33" s="105">
        <v>1956.0213437706202</v>
      </c>
      <c r="T33" s="105">
        <v>5.9866134022508923</v>
      </c>
      <c r="U33" s="105">
        <v>2004.3181670735987</v>
      </c>
      <c r="V33" s="105">
        <v>0</v>
      </c>
      <c r="W33" s="105">
        <v>0</v>
      </c>
      <c r="X33" s="105">
        <v>15</v>
      </c>
      <c r="Y33" s="105">
        <v>5022</v>
      </c>
      <c r="Z33" s="105">
        <v>7.0557493890814422</v>
      </c>
      <c r="AA33" s="105">
        <v>2362.2648954644669</v>
      </c>
      <c r="AB33" s="105">
        <v>5.6842205257944842</v>
      </c>
      <c r="AC33" s="105">
        <v>1903.0770320359934</v>
      </c>
      <c r="AD33" s="105">
        <v>6.2430624314203467</v>
      </c>
      <c r="AE33" s="105">
        <v>2090.1773020395322</v>
      </c>
      <c r="AF33" s="105">
        <v>4.7478689841611184</v>
      </c>
      <c r="AG33" s="105">
        <v>1589.5865358971425</v>
      </c>
      <c r="AH33" s="105">
        <v>6.7349400775322534</v>
      </c>
      <c r="AI33" s="105">
        <v>2254.8579379577986</v>
      </c>
      <c r="AJ33" s="105">
        <v>5.8143367575818017</v>
      </c>
      <c r="AK33" s="105">
        <v>1946.6399464383874</v>
      </c>
      <c r="AL33" s="105">
        <v>5.1641713054560405</v>
      </c>
      <c r="AM33" s="105">
        <v>1728.9645530666824</v>
      </c>
      <c r="AN33" s="105">
        <v>7.1733089583183762</v>
      </c>
      <c r="AO33" s="105">
        <v>2401.6238392449923</v>
      </c>
      <c r="AP33" s="105">
        <v>4.5689291983259004</v>
      </c>
      <c r="AQ33" s="105">
        <v>1529.6774955995115</v>
      </c>
      <c r="AR33" s="105">
        <v>6.0231171425085188</v>
      </c>
      <c r="AS33" s="105">
        <v>2016.5396193118522</v>
      </c>
      <c r="AT33" s="105">
        <v>7.8111418424987473</v>
      </c>
      <c r="AU33" s="105">
        <v>2615.1702888685809</v>
      </c>
      <c r="AV33" s="105">
        <v>6.6426806244153722</v>
      </c>
      <c r="AW33" s="105">
        <v>2223.9694730542665</v>
      </c>
      <c r="AX33" s="105">
        <v>4.3218866807693601</v>
      </c>
      <c r="AY33" s="105">
        <v>1446.9676607215818</v>
      </c>
      <c r="AZ33" s="105">
        <v>5.879709591496411</v>
      </c>
      <c r="BA33" s="105">
        <v>1968.5267712329985</v>
      </c>
      <c r="BB33" s="105">
        <v>6.0394843086566405</v>
      </c>
      <c r="BC33" s="105">
        <v>2022.0193465382433</v>
      </c>
      <c r="BD33" s="105">
        <v>6.7005781383611707</v>
      </c>
      <c r="BE33" s="105">
        <v>2243.3535607233198</v>
      </c>
      <c r="BF33" s="105">
        <v>5.5842467979538783</v>
      </c>
      <c r="BG33" s="105">
        <v>1869.6058279549586</v>
      </c>
      <c r="BH33" s="105">
        <v>0</v>
      </c>
      <c r="BI33" s="105">
        <v>0</v>
      </c>
      <c r="BJ33" s="105">
        <v>11.827211843471268</v>
      </c>
      <c r="BK33" s="105">
        <v>3959.7505251941807</v>
      </c>
      <c r="BL33" s="105">
        <v>6.7996991167392933</v>
      </c>
      <c r="BM33" s="105">
        <v>2276.5392642843153</v>
      </c>
      <c r="BN33" s="105">
        <v>5.4362745020439718</v>
      </c>
      <c r="BO33" s="105">
        <v>1820.0647032843219</v>
      </c>
      <c r="BP33" s="105">
        <v>6.1084340238083223</v>
      </c>
      <c r="BQ33" s="105">
        <v>2045.1037111710264</v>
      </c>
      <c r="BR33" s="105">
        <v>6.0163236424605735</v>
      </c>
      <c r="BS33" s="105">
        <v>2014.2651554958002</v>
      </c>
      <c r="BT33" s="105">
        <v>6.2168677638759267</v>
      </c>
      <c r="BU33" s="105">
        <v>2081.4073273456602</v>
      </c>
      <c r="BV33" s="105">
        <v>4.6716347358605219</v>
      </c>
      <c r="BW33" s="105">
        <v>1564.0633095661028</v>
      </c>
      <c r="BX33" s="105">
        <v>6.197797617360969</v>
      </c>
      <c r="BY33" s="105">
        <v>2075.0226422924525</v>
      </c>
      <c r="BZ33" s="105">
        <v>4.7540753488462961</v>
      </c>
      <c r="CA33" s="105">
        <v>1591.6644267937399</v>
      </c>
      <c r="CB33" s="105">
        <v>6.8992069086915766</v>
      </c>
      <c r="CC33" s="105">
        <v>2309.85447302994</v>
      </c>
      <c r="CD33" s="105">
        <v>6.6064807300043897</v>
      </c>
      <c r="CE33" s="105">
        <v>2211.8497484054697</v>
      </c>
      <c r="CF33" s="105">
        <v>6.2720062806287062</v>
      </c>
      <c r="CG33" s="105">
        <v>2099.8677027544909</v>
      </c>
      <c r="CH33" s="105">
        <v>6.1537523551056124</v>
      </c>
      <c r="CI33" s="105">
        <v>2060.2762884893591</v>
      </c>
      <c r="CJ33" s="105">
        <v>0</v>
      </c>
      <c r="CK33" s="105">
        <v>0</v>
      </c>
      <c r="CL33" s="105">
        <v>12.516260321077631</v>
      </c>
      <c r="CM33" s="105">
        <v>4190.4439554967912</v>
      </c>
      <c r="CN33" s="105">
        <v>3.7943324380463399</v>
      </c>
      <c r="CO33" s="105">
        <v>1270.3425002579147</v>
      </c>
      <c r="CP33" s="105">
        <v>4.5122427318454301</v>
      </c>
      <c r="CQ33" s="105">
        <v>1510.6988666218501</v>
      </c>
      <c r="CR33" s="105">
        <v>4.5024669041998351</v>
      </c>
      <c r="CS33" s="105">
        <v>1507.4259195261047</v>
      </c>
      <c r="CT33" s="105">
        <v>6.9671793905506068</v>
      </c>
      <c r="CU33" s="105">
        <v>2332.6116599563434</v>
      </c>
    </row>
    <row r="34" spans="2:99" x14ac:dyDescent="0.2">
      <c r="C34" s="104" t="s">
        <v>200</v>
      </c>
      <c r="D34" s="105">
        <v>11</v>
      </c>
      <c r="E34" s="105">
        <v>4184.3999999999996</v>
      </c>
      <c r="F34" s="105">
        <v>10</v>
      </c>
      <c r="G34" s="105">
        <v>3804</v>
      </c>
      <c r="H34" s="105">
        <v>7.6326496081908788</v>
      </c>
      <c r="I34" s="105">
        <v>2903.4599109558103</v>
      </c>
      <c r="J34" s="105">
        <v>0</v>
      </c>
      <c r="K34" s="105">
        <v>0</v>
      </c>
      <c r="L34" s="105">
        <v>0</v>
      </c>
      <c r="M34" s="105">
        <v>0</v>
      </c>
      <c r="N34" s="105">
        <v>0</v>
      </c>
      <c r="O34" s="105">
        <v>0</v>
      </c>
      <c r="P34" s="105">
        <v>6.9160753852409442</v>
      </c>
      <c r="Q34" s="105">
        <v>2630.8750765456552</v>
      </c>
      <c r="R34" s="105">
        <v>5.84235765761834</v>
      </c>
      <c r="S34" s="105">
        <v>2222.4328529580166</v>
      </c>
      <c r="T34" s="105">
        <v>4.988844501875743</v>
      </c>
      <c r="U34" s="105">
        <v>1897.7564485135326</v>
      </c>
      <c r="V34" s="105">
        <v>0</v>
      </c>
      <c r="W34" s="105">
        <v>0</v>
      </c>
      <c r="X34" s="105">
        <v>13</v>
      </c>
      <c r="Y34" s="105">
        <v>4945.2</v>
      </c>
      <c r="Z34" s="105">
        <v>7.6437285048382302</v>
      </c>
      <c r="AA34" s="105">
        <v>2907.6743232404624</v>
      </c>
      <c r="AB34" s="105">
        <v>5.1674732052677133</v>
      </c>
      <c r="AC34" s="105">
        <v>1965.7068072838381</v>
      </c>
      <c r="AD34" s="105">
        <v>6.8106135615494692</v>
      </c>
      <c r="AE34" s="105">
        <v>2590.7573988134177</v>
      </c>
      <c r="AF34" s="105">
        <v>5.2754099824012428</v>
      </c>
      <c r="AG34" s="105">
        <v>2006.7659573054327</v>
      </c>
      <c r="AH34" s="105">
        <v>6.1736950710712319</v>
      </c>
      <c r="AI34" s="105">
        <v>2348.4736050354963</v>
      </c>
      <c r="AJ34" s="105">
        <v>5.8143367575818017</v>
      </c>
      <c r="AK34" s="105">
        <v>2211.773702584117</v>
      </c>
      <c r="AL34" s="105">
        <v>4.5186498922740359</v>
      </c>
      <c r="AM34" s="105">
        <v>1718.8944190210432</v>
      </c>
      <c r="AN34" s="105">
        <v>7.7710847048449079</v>
      </c>
      <c r="AO34" s="105">
        <v>2956.1206217230028</v>
      </c>
      <c r="AP34" s="105">
        <v>5.0765879981398898</v>
      </c>
      <c r="AQ34" s="105">
        <v>1931.1340744924139</v>
      </c>
      <c r="AR34" s="105">
        <v>6.5706732463729303</v>
      </c>
      <c r="AS34" s="105">
        <v>2499.4841029202626</v>
      </c>
      <c r="AT34" s="105">
        <v>7.2903990529988301</v>
      </c>
      <c r="AU34" s="105">
        <v>2773.2677997607548</v>
      </c>
      <c r="AV34" s="105">
        <v>6.089123905714092</v>
      </c>
      <c r="AW34" s="105">
        <v>2316.3027337336403</v>
      </c>
      <c r="AX34" s="105">
        <v>4.8621225158655301</v>
      </c>
      <c r="AY34" s="105">
        <v>1849.5514050352476</v>
      </c>
      <c r="AZ34" s="105">
        <v>5.879709591496411</v>
      </c>
      <c r="BA34" s="105">
        <v>2236.6415286052347</v>
      </c>
      <c r="BB34" s="105">
        <v>6.5885283367163341</v>
      </c>
      <c r="BC34" s="105">
        <v>2506.2761792868932</v>
      </c>
      <c r="BD34" s="105">
        <v>6.1851490507949265</v>
      </c>
      <c r="BE34" s="105">
        <v>2352.8306989223897</v>
      </c>
      <c r="BF34" s="105">
        <v>5.0765879981398898</v>
      </c>
      <c r="BG34" s="105">
        <v>1931.1340744924139</v>
      </c>
      <c r="BH34" s="105">
        <v>0</v>
      </c>
      <c r="BI34" s="105">
        <v>0</v>
      </c>
      <c r="BJ34" s="105">
        <v>12.812812830427207</v>
      </c>
      <c r="BK34" s="105">
        <v>4873.9940006945089</v>
      </c>
      <c r="BL34" s="105">
        <v>6.7996991167392933</v>
      </c>
      <c r="BM34" s="105">
        <v>2586.605544007627</v>
      </c>
      <c r="BN34" s="105">
        <v>5.8892973772143025</v>
      </c>
      <c r="BO34" s="105">
        <v>2240.2887222923205</v>
      </c>
      <c r="BP34" s="105">
        <v>6.1084340238083223</v>
      </c>
      <c r="BQ34" s="105">
        <v>2323.6483026566857</v>
      </c>
      <c r="BR34" s="105">
        <v>6.0163236424605735</v>
      </c>
      <c r="BS34" s="105">
        <v>2288.6095135920018</v>
      </c>
      <c r="BT34" s="105">
        <v>6.7349400775322534</v>
      </c>
      <c r="BU34" s="105">
        <v>2561.9712054932688</v>
      </c>
      <c r="BV34" s="105">
        <v>5.255589077843088</v>
      </c>
      <c r="BW34" s="105">
        <v>1999.2260852115105</v>
      </c>
      <c r="BX34" s="105">
        <v>6.197797617360969</v>
      </c>
      <c r="BY34" s="105">
        <v>2357.6422136441124</v>
      </c>
      <c r="BZ34" s="105">
        <v>5.3483347674520836</v>
      </c>
      <c r="CA34" s="105">
        <v>2034.5065455387726</v>
      </c>
      <c r="CB34" s="105">
        <v>6.8992069086915766</v>
      </c>
      <c r="CC34" s="105">
        <v>2624.4583080662755</v>
      </c>
      <c r="CD34" s="105">
        <v>7.7075608516717882</v>
      </c>
      <c r="CE34" s="105">
        <v>2931.9561479759482</v>
      </c>
      <c r="CF34" s="105">
        <v>5.8240058320123698</v>
      </c>
      <c r="CG34" s="105">
        <v>2215.4518184975054</v>
      </c>
      <c r="CH34" s="105">
        <v>6.1537523551056124</v>
      </c>
      <c r="CI34" s="105">
        <v>2340.8873958821746</v>
      </c>
      <c r="CJ34" s="105">
        <v>0</v>
      </c>
      <c r="CK34" s="105">
        <v>0</v>
      </c>
      <c r="CL34" s="105">
        <v>12.516260321077631</v>
      </c>
      <c r="CM34" s="105">
        <v>4761.1854261379303</v>
      </c>
      <c r="CN34" s="105">
        <v>3.7943324380463399</v>
      </c>
      <c r="CO34" s="105">
        <v>1443.3640594328276</v>
      </c>
      <c r="CP34" s="105">
        <v>4.5122427318454301</v>
      </c>
      <c r="CQ34" s="105">
        <v>1716.4571351940015</v>
      </c>
      <c r="CR34" s="105">
        <v>5.6280836302497939</v>
      </c>
      <c r="CS34" s="105">
        <v>2140.9230129470216</v>
      </c>
      <c r="CT34" s="105">
        <v>7.5031162667468072</v>
      </c>
      <c r="CU34" s="105">
        <v>2854.1854278704855</v>
      </c>
    </row>
    <row r="35" spans="2:99" x14ac:dyDescent="0.2">
      <c r="C35" s="104" t="s">
        <v>201</v>
      </c>
      <c r="D35" s="105">
        <v>12</v>
      </c>
      <c r="E35" s="105">
        <v>4924.7999999999993</v>
      </c>
      <c r="F35" s="105">
        <v>11</v>
      </c>
      <c r="G35" s="105">
        <v>4514.3999999999996</v>
      </c>
      <c r="H35" s="105">
        <v>6.7845774295030035</v>
      </c>
      <c r="I35" s="105">
        <v>2784.3905770680326</v>
      </c>
      <c r="J35" s="105">
        <v>0</v>
      </c>
      <c r="K35" s="105">
        <v>0</v>
      </c>
      <c r="L35" s="105">
        <v>0</v>
      </c>
      <c r="M35" s="105">
        <v>0</v>
      </c>
      <c r="N35" s="105">
        <v>0</v>
      </c>
      <c r="O35" s="105">
        <v>0</v>
      </c>
      <c r="P35" s="105">
        <v>6.4220700005808773</v>
      </c>
      <c r="Q35" s="105">
        <v>2635.617528238392</v>
      </c>
      <c r="R35" s="105">
        <v>6.3292207957532023</v>
      </c>
      <c r="S35" s="105">
        <v>2597.5122145771143</v>
      </c>
      <c r="T35" s="105">
        <v>5.9866134022508923</v>
      </c>
      <c r="U35" s="105">
        <v>2456.906140283766</v>
      </c>
      <c r="V35" s="105">
        <v>0</v>
      </c>
      <c r="W35" s="105">
        <v>0</v>
      </c>
      <c r="X35" s="105">
        <v>13</v>
      </c>
      <c r="Y35" s="105">
        <v>5335.2</v>
      </c>
      <c r="Z35" s="105">
        <v>7.0557493890814422</v>
      </c>
      <c r="AA35" s="105">
        <v>2895.6795492790238</v>
      </c>
      <c r="AB35" s="105">
        <v>5.1674732052677133</v>
      </c>
      <c r="AC35" s="105">
        <v>2120.7310034418692</v>
      </c>
      <c r="AD35" s="105">
        <v>6.8106135615494692</v>
      </c>
      <c r="AE35" s="105">
        <v>2795.075805659902</v>
      </c>
      <c r="AF35" s="105">
        <v>4.7478689841611184</v>
      </c>
      <c r="AG35" s="105">
        <v>1948.5254310997229</v>
      </c>
      <c r="AH35" s="105">
        <v>6.7349400775322534</v>
      </c>
      <c r="AI35" s="105">
        <v>2764.0194078192367</v>
      </c>
      <c r="AJ35" s="105">
        <v>6.5411288522795266</v>
      </c>
      <c r="AK35" s="105">
        <v>2684.4792809755177</v>
      </c>
      <c r="AL35" s="105">
        <v>5.1641713054560405</v>
      </c>
      <c r="AM35" s="105">
        <v>2119.375903759159</v>
      </c>
      <c r="AN35" s="105">
        <v>7.7710847048449079</v>
      </c>
      <c r="AO35" s="105">
        <v>3189.25316286835</v>
      </c>
      <c r="AP35" s="105">
        <v>4.5689291983259004</v>
      </c>
      <c r="AQ35" s="105">
        <v>1875.0885429929494</v>
      </c>
      <c r="AR35" s="105">
        <v>6.0231171425085188</v>
      </c>
      <c r="AS35" s="105">
        <v>2471.8872752854959</v>
      </c>
      <c r="AT35" s="105">
        <v>7.2903990529988301</v>
      </c>
      <c r="AU35" s="105">
        <v>2991.9797713507196</v>
      </c>
      <c r="AV35" s="105">
        <v>6.089123905714092</v>
      </c>
      <c r="AW35" s="105">
        <v>2498.9764509050633</v>
      </c>
      <c r="AX35" s="105">
        <v>4.8621225158655301</v>
      </c>
      <c r="AY35" s="105">
        <v>1995.4150805112135</v>
      </c>
      <c r="AZ35" s="105">
        <v>5.3451905377240099</v>
      </c>
      <c r="BA35" s="105">
        <v>2193.6661966819333</v>
      </c>
      <c r="BB35" s="105">
        <v>6.5885283367163341</v>
      </c>
      <c r="BC35" s="105">
        <v>2703.9320293883834</v>
      </c>
      <c r="BD35" s="105">
        <v>6.1851490507949265</v>
      </c>
      <c r="BE35" s="105">
        <v>2538.3851704462377</v>
      </c>
      <c r="BF35" s="105">
        <v>5.0765879981398898</v>
      </c>
      <c r="BG35" s="105">
        <v>2083.4317144366105</v>
      </c>
      <c r="BH35" s="105">
        <v>0</v>
      </c>
      <c r="BI35" s="105">
        <v>0</v>
      </c>
      <c r="BJ35" s="105">
        <v>11.827211843471268</v>
      </c>
      <c r="BK35" s="105">
        <v>4853.8877405606081</v>
      </c>
      <c r="BL35" s="105">
        <v>6.3140063226864873</v>
      </c>
      <c r="BM35" s="105">
        <v>2591.2681948305344</v>
      </c>
      <c r="BN35" s="105">
        <v>5.4362745020439718</v>
      </c>
      <c r="BO35" s="105">
        <v>2231.0470556388459</v>
      </c>
      <c r="BP35" s="105">
        <v>5.1686749432224266</v>
      </c>
      <c r="BQ35" s="105">
        <v>2121.2241966984839</v>
      </c>
      <c r="BR35" s="105">
        <v>7.0190442495373357</v>
      </c>
      <c r="BS35" s="105">
        <v>2880.6157600101224</v>
      </c>
      <c r="BT35" s="105">
        <v>5.698795450219599</v>
      </c>
      <c r="BU35" s="105">
        <v>2338.7856527701233</v>
      </c>
      <c r="BV35" s="105">
        <v>4.6716347358605219</v>
      </c>
      <c r="BW35" s="105">
        <v>1917.238895597158</v>
      </c>
      <c r="BX35" s="105">
        <v>6.197797617360969</v>
      </c>
      <c r="BY35" s="105">
        <v>2543.5761421649418</v>
      </c>
      <c r="BZ35" s="105">
        <v>4.7540753488462961</v>
      </c>
      <c r="CA35" s="105">
        <v>1951.0725231665199</v>
      </c>
      <c r="CB35" s="105">
        <v>5.9136059217356376</v>
      </c>
      <c r="CC35" s="105">
        <v>2426.9438702803054</v>
      </c>
      <c r="CD35" s="105">
        <v>6.6064807300043897</v>
      </c>
      <c r="CE35" s="105">
        <v>2711.2996915938015</v>
      </c>
      <c r="CF35" s="105">
        <v>6.2720062806287062</v>
      </c>
      <c r="CG35" s="105">
        <v>2574.031377570021</v>
      </c>
      <c r="CH35" s="105">
        <v>6.6665650513644135</v>
      </c>
      <c r="CI35" s="105">
        <v>2735.9582970799552</v>
      </c>
      <c r="CJ35" s="105">
        <v>0</v>
      </c>
      <c r="CK35" s="105">
        <v>0</v>
      </c>
      <c r="CL35" s="105">
        <v>14.304297509803007</v>
      </c>
      <c r="CM35" s="105">
        <v>5870.4836980231539</v>
      </c>
      <c r="CN35" s="105">
        <v>4.2686239928021319</v>
      </c>
      <c r="CO35" s="105">
        <v>1751.8432866459948</v>
      </c>
      <c r="CP35" s="105">
        <v>5.0136030353838112</v>
      </c>
      <c r="CQ35" s="105">
        <v>2057.5826857215161</v>
      </c>
      <c r="CR35" s="105">
        <v>5.0652752672248145</v>
      </c>
      <c r="CS35" s="105">
        <v>2078.7889696690636</v>
      </c>
      <c r="CT35" s="105">
        <v>6.9671793905506068</v>
      </c>
      <c r="CU35" s="105">
        <v>2859.330421881969</v>
      </c>
    </row>
    <row r="36" spans="2:99" x14ac:dyDescent="0.2">
      <c r="C36" s="104" t="s">
        <v>202</v>
      </c>
      <c r="D36" s="105">
        <v>11</v>
      </c>
      <c r="E36" s="105">
        <v>5042.3999999999996</v>
      </c>
      <c r="F36" s="105">
        <v>9</v>
      </c>
      <c r="G36" s="105">
        <v>4125.5999999999995</v>
      </c>
      <c r="H36" s="105">
        <v>1.4544187915006066</v>
      </c>
      <c r="I36" s="105">
        <v>666.70557402387806</v>
      </c>
      <c r="J36" s="105">
        <v>0</v>
      </c>
      <c r="K36" s="105">
        <v>0</v>
      </c>
      <c r="L36" s="105">
        <v>0</v>
      </c>
      <c r="M36" s="105">
        <v>0</v>
      </c>
      <c r="N36" s="105">
        <v>0</v>
      </c>
      <c r="O36" s="105">
        <v>0</v>
      </c>
      <c r="P36" s="105">
        <v>6.2806970343498039</v>
      </c>
      <c r="Q36" s="105">
        <v>2879.0715205459501</v>
      </c>
      <c r="R36" s="105">
        <v>5.5147583716242181</v>
      </c>
      <c r="S36" s="105">
        <v>2527.9652375525416</v>
      </c>
      <c r="T36" s="105">
        <v>4.4733022043210831</v>
      </c>
      <c r="U36" s="105">
        <v>2050.5617304607845</v>
      </c>
      <c r="V36" s="105">
        <v>5.0924570548782198</v>
      </c>
      <c r="W36" s="105">
        <v>2334.3823139561759</v>
      </c>
      <c r="X36" s="105">
        <v>6.3751436062949134</v>
      </c>
      <c r="Y36" s="105">
        <v>2922.3658291255883</v>
      </c>
      <c r="Z36" s="105">
        <v>5.4265222376782312</v>
      </c>
      <c r="AA36" s="105">
        <v>2487.517793751701</v>
      </c>
      <c r="AB36" s="105">
        <v>4.5386058861359899</v>
      </c>
      <c r="AC36" s="105">
        <v>2080.4969382047375</v>
      </c>
      <c r="AD36" s="105">
        <v>5.7975664932459727</v>
      </c>
      <c r="AE36" s="105">
        <v>2657.6044805039537</v>
      </c>
      <c r="AF36" s="105">
        <v>4.5020925644454346</v>
      </c>
      <c r="AG36" s="105">
        <v>2063.7592315417869</v>
      </c>
      <c r="AH36" s="105">
        <v>4.3481748699344802</v>
      </c>
      <c r="AI36" s="105">
        <v>1993.2033603779657</v>
      </c>
      <c r="AJ36" s="105">
        <v>4.5020925644454346</v>
      </c>
      <c r="AK36" s="105">
        <v>2063.7592315417869</v>
      </c>
      <c r="AL36" s="105">
        <v>0</v>
      </c>
      <c r="AM36" s="105">
        <v>0</v>
      </c>
      <c r="AN36" s="105">
        <v>10.516515964492694</v>
      </c>
      <c r="AO36" s="105">
        <v>4820.7709181234504</v>
      </c>
      <c r="AP36" s="105">
        <v>3.7684182206098824</v>
      </c>
      <c r="AQ36" s="105">
        <v>1727.44291232757</v>
      </c>
      <c r="AR36" s="105">
        <v>4.9348333841319887</v>
      </c>
      <c r="AS36" s="105">
        <v>2262.1276232861037</v>
      </c>
      <c r="AT36" s="105">
        <v>7.1942529666188655</v>
      </c>
      <c r="AU36" s="105">
        <v>3297.8455598980877</v>
      </c>
      <c r="AV36" s="105">
        <v>5.5669814622645992</v>
      </c>
      <c r="AW36" s="105">
        <v>2551.9043023020922</v>
      </c>
      <c r="AX36" s="105">
        <v>3.5607101297101251</v>
      </c>
      <c r="AY36" s="105">
        <v>1632.2295234591213</v>
      </c>
      <c r="AZ36" s="105">
        <v>6.2116783856206856</v>
      </c>
      <c r="BA36" s="105">
        <v>2847.4333719685224</v>
      </c>
      <c r="BB36" s="105">
        <v>4.7464809648903099</v>
      </c>
      <c r="BC36" s="105">
        <v>2175.7868743057179</v>
      </c>
      <c r="BD36" s="105">
        <v>7.21611999691254</v>
      </c>
      <c r="BE36" s="105">
        <v>3307.869406584708</v>
      </c>
      <c r="BF36" s="105">
        <v>5.3144359521421416</v>
      </c>
      <c r="BG36" s="105">
        <v>2436.1374404619578</v>
      </c>
      <c r="BH36" s="105">
        <v>4.3856591360546044</v>
      </c>
      <c r="BI36" s="105">
        <v>2010.3861479674306</v>
      </c>
      <c r="BJ36" s="105">
        <v>6.7159928684136521</v>
      </c>
      <c r="BK36" s="105">
        <v>3078.6111308808181</v>
      </c>
      <c r="BL36" s="105">
        <v>5.6059114025601557</v>
      </c>
      <c r="BM36" s="105">
        <v>2569.7497869335753</v>
      </c>
      <c r="BN36" s="105">
        <v>5.4032467133744637</v>
      </c>
      <c r="BO36" s="105">
        <v>2476.8482934108542</v>
      </c>
      <c r="BP36" s="105">
        <v>5.1387521190134766</v>
      </c>
      <c r="BQ36" s="105">
        <v>2355.6039713557775</v>
      </c>
      <c r="BR36" s="105">
        <v>7.7585081012556412</v>
      </c>
      <c r="BS36" s="105">
        <v>3556.5001136155856</v>
      </c>
      <c r="BT36" s="105">
        <v>6.2178900640063057</v>
      </c>
      <c r="BU36" s="105">
        <v>2850.2808053404906</v>
      </c>
      <c r="BV36" s="105">
        <v>3.2169423834474604</v>
      </c>
      <c r="BW36" s="105">
        <v>1474.6463885723158</v>
      </c>
      <c r="BX36" s="105">
        <v>4.6333010909137897</v>
      </c>
      <c r="BY36" s="105">
        <v>2123.9052200748811</v>
      </c>
      <c r="BZ36" s="105">
        <v>4.2262634249830455</v>
      </c>
      <c r="CA36" s="105">
        <v>1937.319154012228</v>
      </c>
      <c r="CB36" s="105">
        <v>6.9418230379655723</v>
      </c>
      <c r="CC36" s="105">
        <v>3182.1316806034183</v>
      </c>
      <c r="CD36" s="105">
        <v>5.7975664932459727</v>
      </c>
      <c r="CE36" s="105">
        <v>2657.6044805039537</v>
      </c>
      <c r="CF36" s="105">
        <v>5.6526273309148243</v>
      </c>
      <c r="CG36" s="105">
        <v>2591.1643684913552</v>
      </c>
      <c r="CH36" s="105">
        <v>4.6143896578896513</v>
      </c>
      <c r="CI36" s="105">
        <v>2115.236219176616</v>
      </c>
      <c r="CJ36" s="105">
        <v>5.3470799076221311</v>
      </c>
      <c r="CK36" s="105">
        <v>2451.1014296539847</v>
      </c>
      <c r="CL36" s="105">
        <v>6.4338847668949208</v>
      </c>
      <c r="CM36" s="105">
        <v>2949.2927771446316</v>
      </c>
      <c r="CN36" s="105">
        <v>4.005798895923891</v>
      </c>
      <c r="CO36" s="105">
        <v>1836.2582138915116</v>
      </c>
      <c r="CP36" s="105">
        <v>5.0469886883168069</v>
      </c>
      <c r="CQ36" s="105">
        <v>2313.5396147244242</v>
      </c>
      <c r="CR36" s="105">
        <v>4.3113259303587643</v>
      </c>
      <c r="CS36" s="105">
        <v>1976.3118064764574</v>
      </c>
      <c r="CT36" s="105">
        <v>4.8799660410775463</v>
      </c>
      <c r="CU36" s="105">
        <v>2236.9764332299469</v>
      </c>
    </row>
    <row r="37" spans="2:99" x14ac:dyDescent="0.2">
      <c r="B37" s="104" t="s">
        <v>128</v>
      </c>
      <c r="C37" s="104" t="s">
        <v>203</v>
      </c>
      <c r="D37" s="105">
        <v>5</v>
      </c>
      <c r="E37" s="105">
        <v>3258</v>
      </c>
      <c r="F37" s="105">
        <v>8</v>
      </c>
      <c r="G37" s="105">
        <v>5212.8</v>
      </c>
      <c r="H37" s="105">
        <v>4.2403608934393775</v>
      </c>
      <c r="I37" s="105">
        <v>2763.0191581650984</v>
      </c>
      <c r="J37" s="105">
        <v>0</v>
      </c>
      <c r="K37" s="105">
        <v>0</v>
      </c>
      <c r="L37" s="105">
        <v>0</v>
      </c>
      <c r="M37" s="105">
        <v>0</v>
      </c>
      <c r="N37" s="105">
        <v>0</v>
      </c>
      <c r="O37" s="105">
        <v>0</v>
      </c>
      <c r="P37" s="105">
        <v>3.9520430772805399</v>
      </c>
      <c r="Q37" s="105">
        <v>2575.1512691560001</v>
      </c>
      <c r="R37" s="105">
        <v>4.381768243213755</v>
      </c>
      <c r="S37" s="105">
        <v>2855.160187278083</v>
      </c>
      <c r="T37" s="105">
        <v>4.988844501875743</v>
      </c>
      <c r="U37" s="105">
        <v>3250.7310774222342</v>
      </c>
      <c r="V37" s="105">
        <v>0</v>
      </c>
      <c r="W37" s="105">
        <v>0</v>
      </c>
      <c r="X37" s="105">
        <v>10</v>
      </c>
      <c r="Y37" s="105">
        <v>6516</v>
      </c>
      <c r="Z37" s="105">
        <v>3.5278746945407211</v>
      </c>
      <c r="AA37" s="105">
        <v>2298.763150962734</v>
      </c>
      <c r="AB37" s="105">
        <v>4.6507258847409423</v>
      </c>
      <c r="AC37" s="105">
        <v>3030.4129864971983</v>
      </c>
      <c r="AD37" s="105">
        <v>3.4053067807747346</v>
      </c>
      <c r="AE37" s="105">
        <v>2218.8978983528173</v>
      </c>
      <c r="AF37" s="105">
        <v>5.8029509806413673</v>
      </c>
      <c r="AG37" s="105">
        <v>3781.2028589859151</v>
      </c>
      <c r="AH37" s="105">
        <v>4.4899600516881693</v>
      </c>
      <c r="AI37" s="105">
        <v>2925.6579696800113</v>
      </c>
      <c r="AJ37" s="105">
        <v>5.8143367575818017</v>
      </c>
      <c r="AK37" s="105">
        <v>3788.6218312403021</v>
      </c>
      <c r="AL37" s="105">
        <v>4.5186498922740359</v>
      </c>
      <c r="AM37" s="105">
        <v>2944.3522698057618</v>
      </c>
      <c r="AN37" s="105">
        <v>4.1844302256857198</v>
      </c>
      <c r="AO37" s="105">
        <v>2726.5747350568149</v>
      </c>
      <c r="AP37" s="105">
        <v>4.5689291983259004</v>
      </c>
      <c r="AQ37" s="105">
        <v>2977.1142656291568</v>
      </c>
      <c r="AR37" s="105">
        <v>4.9280049347796977</v>
      </c>
      <c r="AS37" s="105">
        <v>3211.0880155024511</v>
      </c>
      <c r="AT37" s="105">
        <v>4.1659423159993318</v>
      </c>
      <c r="AU37" s="105">
        <v>2714.5280131051645</v>
      </c>
      <c r="AV37" s="105">
        <v>3.8748970309089676</v>
      </c>
      <c r="AW37" s="105">
        <v>2524.8829053402833</v>
      </c>
      <c r="AX37" s="105">
        <v>5.9425941860578702</v>
      </c>
      <c r="AY37" s="105">
        <v>3872.1943716353085</v>
      </c>
      <c r="AZ37" s="105">
        <v>4.8106714839516087</v>
      </c>
      <c r="BA37" s="105">
        <v>3134.6335389428682</v>
      </c>
      <c r="BB37" s="105">
        <v>5.4904402805969452</v>
      </c>
      <c r="BC37" s="105">
        <v>3577.5708868369697</v>
      </c>
      <c r="BD37" s="105">
        <v>3.0925745253974632</v>
      </c>
      <c r="BE37" s="105">
        <v>2015.1215607489871</v>
      </c>
      <c r="BF37" s="105">
        <v>4.0612703985119118</v>
      </c>
      <c r="BG37" s="105">
        <v>2646.323791670362</v>
      </c>
      <c r="BH37" s="105">
        <v>0</v>
      </c>
      <c r="BI37" s="105">
        <v>0</v>
      </c>
      <c r="BJ37" s="105">
        <v>6.899206908691573</v>
      </c>
      <c r="BK37" s="105">
        <v>4495.523221703429</v>
      </c>
      <c r="BL37" s="105">
        <v>4.3712351464752599</v>
      </c>
      <c r="BM37" s="105">
        <v>2848.2968214432794</v>
      </c>
      <c r="BN37" s="105">
        <v>4.9832516268736402</v>
      </c>
      <c r="BO37" s="105">
        <v>3247.0867600708639</v>
      </c>
      <c r="BP37" s="105">
        <v>4.2289158626365309</v>
      </c>
      <c r="BQ37" s="105">
        <v>2755.5615760939636</v>
      </c>
      <c r="BR37" s="105">
        <v>4.5122427318454301</v>
      </c>
      <c r="BS37" s="105">
        <v>2940.1773640704823</v>
      </c>
      <c r="BT37" s="105">
        <v>4.6626508229069445</v>
      </c>
      <c r="BU37" s="105">
        <v>3038.1832762061654</v>
      </c>
      <c r="BV37" s="105">
        <v>4.0876803938779576</v>
      </c>
      <c r="BW37" s="105">
        <v>2663.5325446508773</v>
      </c>
      <c r="BX37" s="105">
        <v>4.3384583321526788</v>
      </c>
      <c r="BY37" s="105">
        <v>2826.9394492306856</v>
      </c>
      <c r="BZ37" s="105">
        <v>5.3483347674520836</v>
      </c>
      <c r="CA37" s="105">
        <v>3484.9749344717779</v>
      </c>
      <c r="CB37" s="105">
        <v>3.9424039478237578</v>
      </c>
      <c r="CC37" s="105">
        <v>2568.8704124019605</v>
      </c>
      <c r="CD37" s="105">
        <v>4.4043204866695929</v>
      </c>
      <c r="CE37" s="105">
        <v>2869.8552291139067</v>
      </c>
      <c r="CF37" s="105">
        <v>4.4800044861633612</v>
      </c>
      <c r="CG37" s="105">
        <v>2919.1709231840464</v>
      </c>
      <c r="CH37" s="105">
        <v>5.1281269625880102</v>
      </c>
      <c r="CI37" s="105">
        <v>3341.4875288223475</v>
      </c>
      <c r="CJ37" s="105">
        <v>0</v>
      </c>
      <c r="CK37" s="105">
        <v>0</v>
      </c>
      <c r="CL37" s="105">
        <v>11.622241726714943</v>
      </c>
      <c r="CM37" s="105">
        <v>7573.0527091274571</v>
      </c>
      <c r="CN37" s="105">
        <v>5.6914986570695101</v>
      </c>
      <c r="CO37" s="105">
        <v>3708.5805249464929</v>
      </c>
      <c r="CP37" s="105">
        <v>4.5122427318454301</v>
      </c>
      <c r="CQ37" s="105">
        <v>2940.1773640704823</v>
      </c>
      <c r="CR37" s="105">
        <v>4.5024669041998351</v>
      </c>
      <c r="CS37" s="105">
        <v>2933.8074347766128</v>
      </c>
      <c r="CT37" s="105">
        <v>4.2874950095696036</v>
      </c>
      <c r="CU37" s="105">
        <v>2793.7317482355538</v>
      </c>
    </row>
    <row r="38" spans="2:99" x14ac:dyDescent="0.2">
      <c r="C38" s="104" t="s">
        <v>204</v>
      </c>
      <c r="D38" s="105">
        <v>6</v>
      </c>
      <c r="E38" s="105">
        <v>6192</v>
      </c>
      <c r="F38" s="105">
        <v>8</v>
      </c>
      <c r="G38" s="105">
        <v>8256</v>
      </c>
      <c r="H38" s="105">
        <v>4.2403608934393775</v>
      </c>
      <c r="I38" s="105">
        <v>4376.0524420294378</v>
      </c>
      <c r="J38" s="105">
        <v>0</v>
      </c>
      <c r="K38" s="105">
        <v>0</v>
      </c>
      <c r="L38" s="105">
        <v>0</v>
      </c>
      <c r="M38" s="105">
        <v>0</v>
      </c>
      <c r="N38" s="105">
        <v>0</v>
      </c>
      <c r="O38" s="105">
        <v>0</v>
      </c>
      <c r="P38" s="105">
        <v>3.9520430772805399</v>
      </c>
      <c r="Q38" s="105">
        <v>4078.5084557535174</v>
      </c>
      <c r="R38" s="105">
        <v>3.8949051050788936</v>
      </c>
      <c r="S38" s="105">
        <v>4019.5420684414185</v>
      </c>
      <c r="T38" s="105">
        <v>4.4899600516881693</v>
      </c>
      <c r="U38" s="105">
        <v>4633.6387733421907</v>
      </c>
      <c r="V38" s="105">
        <v>0</v>
      </c>
      <c r="W38" s="105">
        <v>0</v>
      </c>
      <c r="X38" s="105">
        <v>10</v>
      </c>
      <c r="Y38" s="105">
        <v>10320</v>
      </c>
      <c r="Z38" s="105">
        <v>3.5278746945407211</v>
      </c>
      <c r="AA38" s="105">
        <v>3640.7666847660244</v>
      </c>
      <c r="AB38" s="105">
        <v>4.6507258847409423</v>
      </c>
      <c r="AC38" s="105">
        <v>4799.5491130526525</v>
      </c>
      <c r="AD38" s="105">
        <v>3.4053067807747346</v>
      </c>
      <c r="AE38" s="105">
        <v>3514.2765977595259</v>
      </c>
      <c r="AF38" s="105">
        <v>5.2754099824012428</v>
      </c>
      <c r="AG38" s="105">
        <v>5444.2231018380826</v>
      </c>
      <c r="AH38" s="105">
        <v>5.0512050581491899</v>
      </c>
      <c r="AI38" s="105">
        <v>5212.8436200099641</v>
      </c>
      <c r="AJ38" s="105">
        <v>5.0875446628840759</v>
      </c>
      <c r="AK38" s="105">
        <v>5250.3460920963662</v>
      </c>
      <c r="AL38" s="105">
        <v>4.5186498922740359</v>
      </c>
      <c r="AM38" s="105">
        <v>4663.2466888268054</v>
      </c>
      <c r="AN38" s="105">
        <v>4.1844302256857198</v>
      </c>
      <c r="AO38" s="105">
        <v>4318.3319929076624</v>
      </c>
      <c r="AP38" s="105">
        <v>4.5689291983259004</v>
      </c>
      <c r="AQ38" s="105">
        <v>4715.1349326723293</v>
      </c>
      <c r="AR38" s="105">
        <v>4.3804488309152863</v>
      </c>
      <c r="AS38" s="105">
        <v>4520.6231935045753</v>
      </c>
      <c r="AT38" s="105">
        <v>3.645199526499415</v>
      </c>
      <c r="AU38" s="105">
        <v>3761.8459113473964</v>
      </c>
      <c r="AV38" s="105">
        <v>3.3213403122076861</v>
      </c>
      <c r="AW38" s="105">
        <v>3427.6232021983319</v>
      </c>
      <c r="AX38" s="105">
        <v>7.0230658562502102</v>
      </c>
      <c r="AY38" s="105">
        <v>7247.8039636502172</v>
      </c>
      <c r="AZ38" s="105">
        <v>4.8106714839516087</v>
      </c>
      <c r="BA38" s="105">
        <v>4964.6129714380604</v>
      </c>
      <c r="BB38" s="105">
        <v>5.4904402805969452</v>
      </c>
      <c r="BC38" s="105">
        <v>5666.1343695760479</v>
      </c>
      <c r="BD38" s="105">
        <v>3.0925745253974632</v>
      </c>
      <c r="BE38" s="105">
        <v>3191.5369102101822</v>
      </c>
      <c r="BF38" s="105">
        <v>4.0612703985119118</v>
      </c>
      <c r="BG38" s="105">
        <v>4191.2310512642935</v>
      </c>
      <c r="BH38" s="105">
        <v>0</v>
      </c>
      <c r="BI38" s="105">
        <v>0</v>
      </c>
      <c r="BJ38" s="105">
        <v>7.8848078956475112</v>
      </c>
      <c r="BK38" s="105">
        <v>8137.1217483082319</v>
      </c>
      <c r="BL38" s="105">
        <v>3.8855423524224539</v>
      </c>
      <c r="BM38" s="105">
        <v>4009.8797076999726</v>
      </c>
      <c r="BN38" s="105">
        <v>5.4362745020439718</v>
      </c>
      <c r="BO38" s="105">
        <v>5610.2352861093786</v>
      </c>
      <c r="BP38" s="105">
        <v>4.6987954029294787</v>
      </c>
      <c r="BQ38" s="105">
        <v>4849.156855823222</v>
      </c>
      <c r="BR38" s="105">
        <v>4.010882428307049</v>
      </c>
      <c r="BS38" s="105">
        <v>4139.2306660128743</v>
      </c>
      <c r="BT38" s="105">
        <v>4.6626508229069445</v>
      </c>
      <c r="BU38" s="105">
        <v>4811.8556492399666</v>
      </c>
      <c r="BV38" s="105">
        <v>4.0876803938779576</v>
      </c>
      <c r="BW38" s="105">
        <v>4218.4861664820519</v>
      </c>
      <c r="BX38" s="105">
        <v>4.9582380938887756</v>
      </c>
      <c r="BY38" s="105">
        <v>5116.9017128932164</v>
      </c>
      <c r="BZ38" s="105">
        <v>5.9425941860578702</v>
      </c>
      <c r="CA38" s="105">
        <v>6132.7572000117216</v>
      </c>
      <c r="CB38" s="105">
        <v>4.4352044413017273</v>
      </c>
      <c r="CC38" s="105">
        <v>4577.1309834233825</v>
      </c>
      <c r="CD38" s="105">
        <v>4.4043204866695929</v>
      </c>
      <c r="CE38" s="105">
        <v>4545.2587422430197</v>
      </c>
      <c r="CF38" s="105">
        <v>4.4800044861633612</v>
      </c>
      <c r="CG38" s="105">
        <v>4623.3646297205887</v>
      </c>
      <c r="CH38" s="105">
        <v>5.1281269625880102</v>
      </c>
      <c r="CI38" s="105">
        <v>5292.2270253908264</v>
      </c>
      <c r="CJ38" s="105">
        <v>0</v>
      </c>
      <c r="CK38" s="105">
        <v>0</v>
      </c>
      <c r="CL38" s="105">
        <v>10.728223132352255</v>
      </c>
      <c r="CM38" s="105">
        <v>11071.526272587527</v>
      </c>
      <c r="CN38" s="105">
        <v>5.2172071023137176</v>
      </c>
      <c r="CO38" s="105">
        <v>5384.1577295877569</v>
      </c>
      <c r="CP38" s="105">
        <v>5.0136030353838112</v>
      </c>
      <c r="CQ38" s="105">
        <v>5174.0383325160929</v>
      </c>
      <c r="CR38" s="105">
        <v>5.0652752672248145</v>
      </c>
      <c r="CS38" s="105">
        <v>5227.3640757760086</v>
      </c>
      <c r="CT38" s="105">
        <v>4.2874950095696036</v>
      </c>
      <c r="CU38" s="105">
        <v>4424.6948498758311</v>
      </c>
    </row>
    <row r="39" spans="2:99" x14ac:dyDescent="0.2">
      <c r="C39" s="104" t="s">
        <v>205</v>
      </c>
      <c r="D39" s="105">
        <v>6</v>
      </c>
      <c r="E39" s="105">
        <v>7272</v>
      </c>
      <c r="F39" s="105">
        <v>7</v>
      </c>
      <c r="G39" s="105">
        <v>8484</v>
      </c>
      <c r="H39" s="105">
        <v>4.2403608934393775</v>
      </c>
      <c r="I39" s="105">
        <v>5139.3174028485255</v>
      </c>
      <c r="J39" s="105">
        <v>0</v>
      </c>
      <c r="K39" s="105">
        <v>0</v>
      </c>
      <c r="L39" s="105">
        <v>0</v>
      </c>
      <c r="M39" s="105">
        <v>0</v>
      </c>
      <c r="N39" s="105">
        <v>0</v>
      </c>
      <c r="O39" s="105">
        <v>0</v>
      </c>
      <c r="P39" s="105">
        <v>3.4580376926204721</v>
      </c>
      <c r="Q39" s="105">
        <v>4191.1416834560123</v>
      </c>
      <c r="R39" s="105">
        <v>3.8949051050788936</v>
      </c>
      <c r="S39" s="105">
        <v>4720.6249873556189</v>
      </c>
      <c r="T39" s="105">
        <v>4.988844501875743</v>
      </c>
      <c r="U39" s="105">
        <v>6046.4795362734003</v>
      </c>
      <c r="V39" s="105">
        <v>0</v>
      </c>
      <c r="W39" s="105">
        <v>0</v>
      </c>
      <c r="X39" s="105">
        <v>9</v>
      </c>
      <c r="Y39" s="105">
        <v>10908</v>
      </c>
      <c r="Z39" s="105">
        <v>3.5278746945407211</v>
      </c>
      <c r="AA39" s="105">
        <v>4275.7841297833538</v>
      </c>
      <c r="AB39" s="105">
        <v>5.1674732052677133</v>
      </c>
      <c r="AC39" s="105">
        <v>6262.9775247844682</v>
      </c>
      <c r="AD39" s="105">
        <v>3.4053067807747346</v>
      </c>
      <c r="AE39" s="105">
        <v>4127.2318182989784</v>
      </c>
      <c r="AF39" s="105">
        <v>6.3304919788814908</v>
      </c>
      <c r="AG39" s="105">
        <v>7672.5562784043668</v>
      </c>
      <c r="AH39" s="105">
        <v>5.0512050581491899</v>
      </c>
      <c r="AI39" s="105">
        <v>6122.0605304768178</v>
      </c>
      <c r="AJ39" s="105">
        <v>5.0875446628840759</v>
      </c>
      <c r="AK39" s="105">
        <v>6166.1041314155</v>
      </c>
      <c r="AL39" s="105">
        <v>4.5186498922740359</v>
      </c>
      <c r="AM39" s="105">
        <v>5476.6036694361319</v>
      </c>
      <c r="AN39" s="105">
        <v>4.1844302256857198</v>
      </c>
      <c r="AO39" s="105">
        <v>5071.5294335310928</v>
      </c>
      <c r="AP39" s="105">
        <v>4.5689291983259004</v>
      </c>
      <c r="AQ39" s="105">
        <v>5537.5421883709914</v>
      </c>
      <c r="AR39" s="105">
        <v>3.8328927270508757</v>
      </c>
      <c r="AS39" s="105">
        <v>4645.4659851856613</v>
      </c>
      <c r="AT39" s="105">
        <v>3.1244567369994991</v>
      </c>
      <c r="AU39" s="105">
        <v>3786.8415652433928</v>
      </c>
      <c r="AV39" s="105">
        <v>3.3213403122076861</v>
      </c>
      <c r="AW39" s="105">
        <v>4025.4644583957156</v>
      </c>
      <c r="AX39" s="105">
        <v>6.4828300211540411</v>
      </c>
      <c r="AY39" s="105">
        <v>7857.1899856386981</v>
      </c>
      <c r="AZ39" s="105">
        <v>4.2761524301792084</v>
      </c>
      <c r="BA39" s="105">
        <v>5182.6967453772004</v>
      </c>
      <c r="BB39" s="105">
        <v>5.4904402805969452</v>
      </c>
      <c r="BC39" s="105">
        <v>6654.4136200834973</v>
      </c>
      <c r="BD39" s="105">
        <v>3.0925745253974632</v>
      </c>
      <c r="BE39" s="105">
        <v>3748.2003247817256</v>
      </c>
      <c r="BF39" s="105">
        <v>4.0612703985119118</v>
      </c>
      <c r="BG39" s="105">
        <v>4922.2597229964367</v>
      </c>
      <c r="BH39" s="105">
        <v>0</v>
      </c>
      <c r="BI39" s="105">
        <v>0</v>
      </c>
      <c r="BJ39" s="105">
        <v>7.8848078956475112</v>
      </c>
      <c r="BK39" s="105">
        <v>9556.3871695247835</v>
      </c>
      <c r="BL39" s="105">
        <v>3.8855423524224539</v>
      </c>
      <c r="BM39" s="105">
        <v>4709.2773311360143</v>
      </c>
      <c r="BN39" s="105">
        <v>4.9832516268736402</v>
      </c>
      <c r="BO39" s="105">
        <v>6039.7009717708515</v>
      </c>
      <c r="BP39" s="105">
        <v>4.2289158626365309</v>
      </c>
      <c r="BQ39" s="105">
        <v>5125.4460255154754</v>
      </c>
      <c r="BR39" s="105">
        <v>4.5122427318454301</v>
      </c>
      <c r="BS39" s="105">
        <v>5468.8381909966611</v>
      </c>
      <c r="BT39" s="105">
        <v>4.6626508229069445</v>
      </c>
      <c r="BU39" s="105">
        <v>5651.1327973632169</v>
      </c>
      <c r="BV39" s="105">
        <v>3.5037260518953914</v>
      </c>
      <c r="BW39" s="105">
        <v>4246.5159748972146</v>
      </c>
      <c r="BX39" s="105">
        <v>4.3384583321526788</v>
      </c>
      <c r="BY39" s="105">
        <v>5258.2114985690469</v>
      </c>
      <c r="BZ39" s="105">
        <v>5.9425941860578702</v>
      </c>
      <c r="CA39" s="105">
        <v>7202.4241535021383</v>
      </c>
      <c r="CB39" s="105">
        <v>3.9424039478237578</v>
      </c>
      <c r="CC39" s="105">
        <v>4778.1935847623945</v>
      </c>
      <c r="CD39" s="105">
        <v>4.4043204866695929</v>
      </c>
      <c r="CE39" s="105">
        <v>5338.0364298435461</v>
      </c>
      <c r="CF39" s="105">
        <v>3.5840035889306892</v>
      </c>
      <c r="CG39" s="105">
        <v>4343.8123497839952</v>
      </c>
      <c r="CH39" s="105">
        <v>5.1281269625880102</v>
      </c>
      <c r="CI39" s="105">
        <v>6215.2898786566684</v>
      </c>
      <c r="CJ39" s="105">
        <v>0</v>
      </c>
      <c r="CK39" s="105">
        <v>0</v>
      </c>
      <c r="CL39" s="105">
        <v>11.622241726714943</v>
      </c>
      <c r="CM39" s="105">
        <v>14086.156972778512</v>
      </c>
      <c r="CN39" s="105">
        <v>5.2172071023137176</v>
      </c>
      <c r="CO39" s="105">
        <v>6323.2550080042256</v>
      </c>
      <c r="CP39" s="105">
        <v>5.0136030353838112</v>
      </c>
      <c r="CQ39" s="105">
        <v>6076.4868788851791</v>
      </c>
      <c r="CR39" s="105">
        <v>4.5024669041998351</v>
      </c>
      <c r="CS39" s="105">
        <v>5456.9898878902004</v>
      </c>
      <c r="CT39" s="105">
        <v>3.7515581333734036</v>
      </c>
      <c r="CU39" s="105">
        <v>4546.8884576485652</v>
      </c>
    </row>
    <row r="40" spans="2:99" x14ac:dyDescent="0.2">
      <c r="C40" s="104" t="s">
        <v>206</v>
      </c>
      <c r="D40" s="105">
        <v>6</v>
      </c>
      <c r="E40" s="105">
        <v>3103.2</v>
      </c>
      <c r="F40" s="105">
        <v>8</v>
      </c>
      <c r="G40" s="105">
        <v>4137.5999999999995</v>
      </c>
      <c r="H40" s="105">
        <v>4.2403608934393775</v>
      </c>
      <c r="I40" s="105">
        <v>2193.1146540868458</v>
      </c>
      <c r="J40" s="105">
        <v>0</v>
      </c>
      <c r="K40" s="105">
        <v>0</v>
      </c>
      <c r="L40" s="105">
        <v>0</v>
      </c>
      <c r="M40" s="105">
        <v>0</v>
      </c>
      <c r="N40" s="105">
        <v>0</v>
      </c>
      <c r="O40" s="105">
        <v>0</v>
      </c>
      <c r="P40" s="105">
        <v>3.9520430772805399</v>
      </c>
      <c r="Q40" s="105">
        <v>2043.996679569495</v>
      </c>
      <c r="R40" s="105">
        <v>4.381768243213755</v>
      </c>
      <c r="S40" s="105">
        <v>2266.2505353901538</v>
      </c>
      <c r="T40" s="105">
        <v>4.988844501875743</v>
      </c>
      <c r="U40" s="105">
        <v>2580.2303763701339</v>
      </c>
      <c r="V40" s="105">
        <v>0</v>
      </c>
      <c r="W40" s="105">
        <v>0</v>
      </c>
      <c r="X40" s="105">
        <v>10</v>
      </c>
      <c r="Y40" s="105">
        <v>5171.9999999999991</v>
      </c>
      <c r="Z40" s="105">
        <v>3.5278746945407211</v>
      </c>
      <c r="AA40" s="105">
        <v>1824.6167920164607</v>
      </c>
      <c r="AB40" s="105">
        <v>5.6842205257944842</v>
      </c>
      <c r="AC40" s="105">
        <v>2939.8788559409068</v>
      </c>
      <c r="AD40" s="105">
        <v>3.9728579109038571</v>
      </c>
      <c r="AE40" s="105">
        <v>2054.7621115194747</v>
      </c>
      <c r="AF40" s="105">
        <v>6.3304919788814908</v>
      </c>
      <c r="AG40" s="105">
        <v>3274.1304514775065</v>
      </c>
      <c r="AH40" s="105">
        <v>5.0512050581491899</v>
      </c>
      <c r="AI40" s="105">
        <v>2612.4832560747604</v>
      </c>
      <c r="AJ40" s="105">
        <v>5.0875446628840759</v>
      </c>
      <c r="AK40" s="105">
        <v>2631.2780996436436</v>
      </c>
      <c r="AL40" s="105">
        <v>4.5186498922740359</v>
      </c>
      <c r="AM40" s="105">
        <v>2337.0457242841312</v>
      </c>
      <c r="AN40" s="105">
        <v>4.1844302256857198</v>
      </c>
      <c r="AO40" s="105">
        <v>2164.187312724654</v>
      </c>
      <c r="AP40" s="105">
        <v>5.0765879981398898</v>
      </c>
      <c r="AQ40" s="105">
        <v>2625.6113126379505</v>
      </c>
      <c r="AR40" s="105">
        <v>4.3804488309152863</v>
      </c>
      <c r="AS40" s="105">
        <v>2265.5681353493856</v>
      </c>
      <c r="AT40" s="105">
        <v>3.645199526499415</v>
      </c>
      <c r="AU40" s="105">
        <v>1885.2971951054972</v>
      </c>
      <c r="AV40" s="105">
        <v>3.8748970309089676</v>
      </c>
      <c r="AW40" s="105">
        <v>2004.0967443861177</v>
      </c>
      <c r="AX40" s="105">
        <v>7.0230658562502102</v>
      </c>
      <c r="AY40" s="105">
        <v>3632.3296608526084</v>
      </c>
      <c r="AZ40" s="105">
        <v>4.8106714839516087</v>
      </c>
      <c r="BA40" s="105">
        <v>2488.0792914997719</v>
      </c>
      <c r="BB40" s="105">
        <v>5.4904402805969452</v>
      </c>
      <c r="BC40" s="105">
        <v>2839.6557131247396</v>
      </c>
      <c r="BD40" s="105">
        <v>3.0925745253974632</v>
      </c>
      <c r="BE40" s="105">
        <v>1599.4795445355678</v>
      </c>
      <c r="BF40" s="105">
        <v>4.5689291983259004</v>
      </c>
      <c r="BG40" s="105">
        <v>2363.0501813741553</v>
      </c>
      <c r="BH40" s="105">
        <v>0</v>
      </c>
      <c r="BI40" s="105">
        <v>0</v>
      </c>
      <c r="BJ40" s="105">
        <v>6.899206908691573</v>
      </c>
      <c r="BK40" s="105">
        <v>3568.2698131752809</v>
      </c>
      <c r="BL40" s="105">
        <v>4.3712351464752599</v>
      </c>
      <c r="BM40" s="105">
        <v>2260.802817757004</v>
      </c>
      <c r="BN40" s="105">
        <v>5.8892973772143025</v>
      </c>
      <c r="BO40" s="105">
        <v>3045.9446034952366</v>
      </c>
      <c r="BP40" s="105">
        <v>4.6987954029294787</v>
      </c>
      <c r="BQ40" s="105">
        <v>2430.2169823951263</v>
      </c>
      <c r="BR40" s="105">
        <v>4.010882428307049</v>
      </c>
      <c r="BS40" s="105">
        <v>2074.4283919204054</v>
      </c>
      <c r="BT40" s="105">
        <v>5.698795450219599</v>
      </c>
      <c r="BU40" s="105">
        <v>2947.4170068535764</v>
      </c>
      <c r="BV40" s="105">
        <v>4.0876803938779576</v>
      </c>
      <c r="BW40" s="105">
        <v>2114.1482997136795</v>
      </c>
      <c r="BX40" s="105">
        <v>4.9582380938887756</v>
      </c>
      <c r="BY40" s="105">
        <v>2564.4007421592742</v>
      </c>
      <c r="BZ40" s="105">
        <v>5.9425941860578702</v>
      </c>
      <c r="CA40" s="105">
        <v>3073.5097130291301</v>
      </c>
      <c r="CB40" s="105">
        <v>3.9424039478237578</v>
      </c>
      <c r="CC40" s="105">
        <v>2039.0113218144472</v>
      </c>
      <c r="CD40" s="105">
        <v>4.4043204866695929</v>
      </c>
      <c r="CE40" s="105">
        <v>2277.9145557055131</v>
      </c>
      <c r="CF40" s="105">
        <v>4.4800044861633612</v>
      </c>
      <c r="CG40" s="105">
        <v>2317.0583202436901</v>
      </c>
      <c r="CH40" s="105">
        <v>5.1281269625880102</v>
      </c>
      <c r="CI40" s="105">
        <v>2652.2672650505183</v>
      </c>
      <c r="CJ40" s="105">
        <v>0</v>
      </c>
      <c r="CK40" s="105">
        <v>0</v>
      </c>
      <c r="CL40" s="105">
        <v>11.622241726714943</v>
      </c>
      <c r="CM40" s="105">
        <v>6011.0234210569679</v>
      </c>
      <c r="CN40" s="105">
        <v>6.1657902118253025</v>
      </c>
      <c r="CO40" s="105">
        <v>3188.9466975560458</v>
      </c>
      <c r="CP40" s="105">
        <v>5.0136030353838112</v>
      </c>
      <c r="CQ40" s="105">
        <v>2593.0354899005069</v>
      </c>
      <c r="CR40" s="105">
        <v>5.0652752672248145</v>
      </c>
      <c r="CS40" s="105">
        <v>2619.7603682086738</v>
      </c>
      <c r="CT40" s="105">
        <v>4.2874950095696036</v>
      </c>
      <c r="CU40" s="105">
        <v>2217.4924189493986</v>
      </c>
    </row>
    <row r="41" spans="2:99" x14ac:dyDescent="0.2">
      <c r="C41" s="104" t="s">
        <v>207</v>
      </c>
      <c r="D41" s="105">
        <v>6</v>
      </c>
      <c r="E41" s="105">
        <v>2728.8</v>
      </c>
      <c r="F41" s="105">
        <v>7</v>
      </c>
      <c r="G41" s="105">
        <v>3183.6</v>
      </c>
      <c r="H41" s="105">
        <v>5.0884330721272528</v>
      </c>
      <c r="I41" s="105">
        <v>2314.2193612034748</v>
      </c>
      <c r="J41" s="105">
        <v>0</v>
      </c>
      <c r="K41" s="105">
        <v>0</v>
      </c>
      <c r="L41" s="105">
        <v>0</v>
      </c>
      <c r="M41" s="105">
        <v>0</v>
      </c>
      <c r="N41" s="105">
        <v>0</v>
      </c>
      <c r="O41" s="105">
        <v>0</v>
      </c>
      <c r="P41" s="105">
        <v>3.9520430772805399</v>
      </c>
      <c r="Q41" s="105">
        <v>1797.3891915471895</v>
      </c>
      <c r="R41" s="105">
        <v>3.8949051050788936</v>
      </c>
      <c r="S41" s="105">
        <v>1771.4028417898808</v>
      </c>
      <c r="T41" s="105">
        <v>4.988844501875743</v>
      </c>
      <c r="U41" s="105">
        <v>2268.9264794530882</v>
      </c>
      <c r="V41" s="105">
        <v>0</v>
      </c>
      <c r="W41" s="105">
        <v>0</v>
      </c>
      <c r="X41" s="105">
        <v>10</v>
      </c>
      <c r="Y41" s="105">
        <v>4548</v>
      </c>
      <c r="Z41" s="105">
        <v>4.7038329260542948</v>
      </c>
      <c r="AA41" s="105">
        <v>2139.3032147694935</v>
      </c>
      <c r="AB41" s="105">
        <v>4.6507258847409423</v>
      </c>
      <c r="AC41" s="105">
        <v>2115.1501323801808</v>
      </c>
      <c r="AD41" s="105">
        <v>3.4053067807747346</v>
      </c>
      <c r="AE41" s="105">
        <v>1548.7335238963494</v>
      </c>
      <c r="AF41" s="105">
        <v>5.8029509806413673</v>
      </c>
      <c r="AG41" s="105">
        <v>2639.1821059956937</v>
      </c>
      <c r="AH41" s="105">
        <v>5.6124500646102105</v>
      </c>
      <c r="AI41" s="105">
        <v>2552.542289384724</v>
      </c>
      <c r="AJ41" s="105">
        <v>4.360752568186351</v>
      </c>
      <c r="AK41" s="105">
        <v>1983.2702680111524</v>
      </c>
      <c r="AL41" s="105">
        <v>4.5186498922740359</v>
      </c>
      <c r="AM41" s="105">
        <v>2055.0819710062315</v>
      </c>
      <c r="AN41" s="105">
        <v>4.1844302256857198</v>
      </c>
      <c r="AO41" s="105">
        <v>1903.0788666418655</v>
      </c>
      <c r="AP41" s="105">
        <v>5.0765879981398898</v>
      </c>
      <c r="AQ41" s="105">
        <v>2308.832221554022</v>
      </c>
      <c r="AR41" s="105">
        <v>4.9280049347796977</v>
      </c>
      <c r="AS41" s="105">
        <v>2241.2566443378064</v>
      </c>
      <c r="AT41" s="105">
        <v>3.645199526499415</v>
      </c>
      <c r="AU41" s="105">
        <v>1657.8367446519339</v>
      </c>
      <c r="AV41" s="105">
        <v>3.8748970309089676</v>
      </c>
      <c r="AW41" s="105">
        <v>1762.3031696573985</v>
      </c>
      <c r="AX41" s="105">
        <v>7.0230658562502102</v>
      </c>
      <c r="AY41" s="105">
        <v>3194.0903514225956</v>
      </c>
      <c r="AZ41" s="105">
        <v>4.8106714839516087</v>
      </c>
      <c r="BA41" s="105">
        <v>2187.8933909011917</v>
      </c>
      <c r="BB41" s="105">
        <v>4.9413962525372508</v>
      </c>
      <c r="BC41" s="105">
        <v>2247.3470156539415</v>
      </c>
      <c r="BD41" s="105">
        <v>3.0925745253974632</v>
      </c>
      <c r="BE41" s="105">
        <v>1406.5028941507662</v>
      </c>
      <c r="BF41" s="105">
        <v>4.5689291983259004</v>
      </c>
      <c r="BG41" s="105">
        <v>2077.9489993986194</v>
      </c>
      <c r="BH41" s="105">
        <v>0</v>
      </c>
      <c r="BI41" s="105">
        <v>0</v>
      </c>
      <c r="BJ41" s="105">
        <v>7.8848078956475112</v>
      </c>
      <c r="BK41" s="105">
        <v>3586.0106309404882</v>
      </c>
      <c r="BL41" s="105">
        <v>4.3712351464752599</v>
      </c>
      <c r="BM41" s="105">
        <v>1988.0377446169482</v>
      </c>
      <c r="BN41" s="105">
        <v>5.8892973772143025</v>
      </c>
      <c r="BO41" s="105">
        <v>2678.4524471570649</v>
      </c>
      <c r="BP41" s="105">
        <v>5.1686749432224266</v>
      </c>
      <c r="BQ41" s="105">
        <v>2350.7133641775595</v>
      </c>
      <c r="BR41" s="105">
        <v>4.5122427318454301</v>
      </c>
      <c r="BS41" s="105">
        <v>2052.1679944433017</v>
      </c>
      <c r="BT41" s="105">
        <v>5.698795450219599</v>
      </c>
      <c r="BU41" s="105">
        <v>2591.8121707598739</v>
      </c>
      <c r="BV41" s="105">
        <v>4.0876803938779576</v>
      </c>
      <c r="BW41" s="105">
        <v>1859.0770431356952</v>
      </c>
      <c r="BX41" s="105">
        <v>4.9582380938887756</v>
      </c>
      <c r="BY41" s="105">
        <v>2255.006685100615</v>
      </c>
      <c r="BZ41" s="105">
        <v>5.3483347674520836</v>
      </c>
      <c r="CA41" s="105">
        <v>2432.4226522372078</v>
      </c>
      <c r="CB41" s="105">
        <v>4.4352044413017273</v>
      </c>
      <c r="CC41" s="105">
        <v>2017.1309799040257</v>
      </c>
      <c r="CD41" s="105">
        <v>3.8537804258358941</v>
      </c>
      <c r="CE41" s="105">
        <v>1752.6993376701646</v>
      </c>
      <c r="CF41" s="105">
        <v>4.4800044861633612</v>
      </c>
      <c r="CG41" s="105">
        <v>2037.5060403070968</v>
      </c>
      <c r="CH41" s="105">
        <v>5.6409396588468113</v>
      </c>
      <c r="CI41" s="105">
        <v>2565.4993568435298</v>
      </c>
      <c r="CJ41" s="105">
        <v>0</v>
      </c>
      <c r="CK41" s="105">
        <v>0</v>
      </c>
      <c r="CL41" s="105">
        <v>10.728223132352255</v>
      </c>
      <c r="CM41" s="105">
        <v>4879.1958805938057</v>
      </c>
      <c r="CN41" s="105">
        <v>6.1657902118253025</v>
      </c>
      <c r="CO41" s="105">
        <v>2804.2013883381478</v>
      </c>
      <c r="CP41" s="105">
        <v>5.0136030353838112</v>
      </c>
      <c r="CQ41" s="105">
        <v>2280.1866604925576</v>
      </c>
      <c r="CR41" s="105">
        <v>5.6280836302497939</v>
      </c>
      <c r="CS41" s="105">
        <v>2559.6524350376062</v>
      </c>
      <c r="CT41" s="105">
        <v>4.2874950095696036</v>
      </c>
      <c r="CU41" s="105">
        <v>1949.9527303522557</v>
      </c>
    </row>
    <row r="42" spans="2:99" x14ac:dyDescent="0.2">
      <c r="C42" s="104" t="s">
        <v>208</v>
      </c>
      <c r="D42" s="105">
        <v>6</v>
      </c>
      <c r="E42" s="105">
        <v>4176</v>
      </c>
      <c r="F42" s="105">
        <v>8</v>
      </c>
      <c r="G42" s="105">
        <v>5568</v>
      </c>
      <c r="H42" s="105">
        <v>4.2403608934393775</v>
      </c>
      <c r="I42" s="105">
        <v>2951.2911818338066</v>
      </c>
      <c r="J42" s="105">
        <v>0</v>
      </c>
      <c r="K42" s="105">
        <v>0</v>
      </c>
      <c r="L42" s="105">
        <v>0</v>
      </c>
      <c r="M42" s="105">
        <v>0</v>
      </c>
      <c r="N42" s="105">
        <v>0</v>
      </c>
      <c r="O42" s="105">
        <v>0</v>
      </c>
      <c r="P42" s="105">
        <v>3.9520430772805399</v>
      </c>
      <c r="Q42" s="105">
        <v>2750.6219817872557</v>
      </c>
      <c r="R42" s="105">
        <v>4.381768243213755</v>
      </c>
      <c r="S42" s="105">
        <v>3049.7106972767733</v>
      </c>
      <c r="T42" s="105">
        <v>4.4899600516881693</v>
      </c>
      <c r="U42" s="105">
        <v>3125.0121959749658</v>
      </c>
      <c r="V42" s="105">
        <v>0</v>
      </c>
      <c r="W42" s="105">
        <v>0</v>
      </c>
      <c r="X42" s="105">
        <v>9</v>
      </c>
      <c r="Y42" s="105">
        <v>6264</v>
      </c>
      <c r="Z42" s="105">
        <v>4.1158538102975086</v>
      </c>
      <c r="AA42" s="105">
        <v>2864.6342519670661</v>
      </c>
      <c r="AB42" s="105">
        <v>4.6507258847409423</v>
      </c>
      <c r="AC42" s="105">
        <v>3236.9052157796959</v>
      </c>
      <c r="AD42" s="105">
        <v>3.9728579109038571</v>
      </c>
      <c r="AE42" s="105">
        <v>2765.1091059890846</v>
      </c>
      <c r="AF42" s="105">
        <v>5.8029509806413673</v>
      </c>
      <c r="AG42" s="105">
        <v>4038.8538825263918</v>
      </c>
      <c r="AH42" s="105">
        <v>5.0512050581491899</v>
      </c>
      <c r="AI42" s="105">
        <v>3515.6387204718362</v>
      </c>
      <c r="AJ42" s="105">
        <v>5.0875446628840759</v>
      </c>
      <c r="AK42" s="105">
        <v>3540.9310853673169</v>
      </c>
      <c r="AL42" s="105">
        <v>3.8731284790920304</v>
      </c>
      <c r="AM42" s="105">
        <v>2695.6974214480533</v>
      </c>
      <c r="AN42" s="105">
        <v>4.1844302256857198</v>
      </c>
      <c r="AO42" s="105">
        <v>2912.3634370772611</v>
      </c>
      <c r="AP42" s="105">
        <v>4.5689291983259004</v>
      </c>
      <c r="AQ42" s="105">
        <v>3179.9747220348268</v>
      </c>
      <c r="AR42" s="105">
        <v>4.9280049347796977</v>
      </c>
      <c r="AS42" s="105">
        <v>3429.8914346066695</v>
      </c>
      <c r="AT42" s="105">
        <v>3.645199526499415</v>
      </c>
      <c r="AU42" s="105">
        <v>2537.0588704435927</v>
      </c>
      <c r="AV42" s="105">
        <v>3.8748970309089676</v>
      </c>
      <c r="AW42" s="105">
        <v>2696.9283335126415</v>
      </c>
      <c r="AX42" s="105">
        <v>6.4828300211540411</v>
      </c>
      <c r="AY42" s="105">
        <v>4512.0496947232123</v>
      </c>
      <c r="AZ42" s="105">
        <v>4.8106714839516087</v>
      </c>
      <c r="BA42" s="105">
        <v>3348.2273528303194</v>
      </c>
      <c r="BB42" s="105">
        <v>6.0394843086566405</v>
      </c>
      <c r="BC42" s="105">
        <v>4203.4810788250215</v>
      </c>
      <c r="BD42" s="105">
        <v>3.608003612963707</v>
      </c>
      <c r="BE42" s="105">
        <v>2511.17051462274</v>
      </c>
      <c r="BF42" s="105">
        <v>4.5689291983259004</v>
      </c>
      <c r="BG42" s="105">
        <v>3179.9747220348268</v>
      </c>
      <c r="BH42" s="105">
        <v>0</v>
      </c>
      <c r="BI42" s="105">
        <v>0</v>
      </c>
      <c r="BJ42" s="105">
        <v>6.899206908691573</v>
      </c>
      <c r="BK42" s="105">
        <v>4801.8480084493349</v>
      </c>
      <c r="BL42" s="105">
        <v>4.3712351464752599</v>
      </c>
      <c r="BM42" s="105">
        <v>3042.3796619467807</v>
      </c>
      <c r="BN42" s="105">
        <v>5.8892973772143025</v>
      </c>
      <c r="BO42" s="105">
        <v>4098.9509745411542</v>
      </c>
      <c r="BP42" s="105">
        <v>4.6987954029294787</v>
      </c>
      <c r="BQ42" s="105">
        <v>3270.3616004389173</v>
      </c>
      <c r="BR42" s="105">
        <v>4.010882428307049</v>
      </c>
      <c r="BS42" s="105">
        <v>2791.5741701017059</v>
      </c>
      <c r="BT42" s="105">
        <v>5.1807231365632713</v>
      </c>
      <c r="BU42" s="105">
        <v>3605.7833030480369</v>
      </c>
      <c r="BV42" s="105">
        <v>4.0876803938779576</v>
      </c>
      <c r="BW42" s="105">
        <v>2845.0255541390584</v>
      </c>
      <c r="BX42" s="105">
        <v>4.9582380938887756</v>
      </c>
      <c r="BY42" s="105">
        <v>3450.9337133465879</v>
      </c>
      <c r="BZ42" s="105">
        <v>5.3483347674520836</v>
      </c>
      <c r="CA42" s="105">
        <v>3722.4409981466501</v>
      </c>
      <c r="CB42" s="105">
        <v>4.4352044413017273</v>
      </c>
      <c r="CC42" s="105">
        <v>3086.9022911460024</v>
      </c>
      <c r="CD42" s="105">
        <v>4.4043204866695929</v>
      </c>
      <c r="CE42" s="105">
        <v>3065.4070587220367</v>
      </c>
      <c r="CF42" s="105">
        <v>4.0320040375470247</v>
      </c>
      <c r="CG42" s="105">
        <v>2806.2748101327293</v>
      </c>
      <c r="CH42" s="105">
        <v>5.6409396588468113</v>
      </c>
      <c r="CI42" s="105">
        <v>3926.0940025573805</v>
      </c>
      <c r="CJ42" s="105">
        <v>0</v>
      </c>
      <c r="CK42" s="105">
        <v>0</v>
      </c>
      <c r="CL42" s="105">
        <v>9.8342045379895673</v>
      </c>
      <c r="CM42" s="105">
        <v>6844.6063584407384</v>
      </c>
      <c r="CN42" s="105">
        <v>5.2172071023137176</v>
      </c>
      <c r="CO42" s="105">
        <v>3631.1761432103476</v>
      </c>
      <c r="CP42" s="105">
        <v>4.5122427318454301</v>
      </c>
      <c r="CQ42" s="105">
        <v>3140.5209413644193</v>
      </c>
      <c r="CR42" s="105">
        <v>5.0652752672248145</v>
      </c>
      <c r="CS42" s="105">
        <v>3525.4315859884709</v>
      </c>
      <c r="CT42" s="105">
        <v>4.2874950095696036</v>
      </c>
      <c r="CU42" s="105">
        <v>2984.0965266604439</v>
      </c>
    </row>
    <row r="43" spans="2:99" x14ac:dyDescent="0.2">
      <c r="C43" s="104" t="s">
        <v>209</v>
      </c>
      <c r="D43" s="105">
        <v>6</v>
      </c>
      <c r="E43" s="105">
        <v>4888.7999999999993</v>
      </c>
      <c r="F43" s="105">
        <v>8</v>
      </c>
      <c r="G43" s="105">
        <v>6518.4</v>
      </c>
      <c r="H43" s="105">
        <v>5.0884330721272528</v>
      </c>
      <c r="I43" s="105">
        <v>4146.0552671692858</v>
      </c>
      <c r="J43" s="105">
        <v>0</v>
      </c>
      <c r="K43" s="105">
        <v>0</v>
      </c>
      <c r="L43" s="105">
        <v>0</v>
      </c>
      <c r="M43" s="105">
        <v>0</v>
      </c>
      <c r="N43" s="105">
        <v>0</v>
      </c>
      <c r="O43" s="105">
        <v>0</v>
      </c>
      <c r="P43" s="105">
        <v>3.9520430772805399</v>
      </c>
      <c r="Q43" s="105">
        <v>3220.1246993681839</v>
      </c>
      <c r="R43" s="105">
        <v>4.381768243213755</v>
      </c>
      <c r="S43" s="105">
        <v>3570.2647645705674</v>
      </c>
      <c r="T43" s="105">
        <v>4.4899600516881693</v>
      </c>
      <c r="U43" s="105">
        <v>3658.4194501155202</v>
      </c>
      <c r="V43" s="105">
        <v>0</v>
      </c>
      <c r="W43" s="105">
        <v>0</v>
      </c>
      <c r="X43" s="105">
        <v>10</v>
      </c>
      <c r="Y43" s="105">
        <v>8148</v>
      </c>
      <c r="Z43" s="105">
        <v>4.1158538102975086</v>
      </c>
      <c r="AA43" s="105">
        <v>3353.5976846304097</v>
      </c>
      <c r="AB43" s="105">
        <v>4.6507258847409423</v>
      </c>
      <c r="AC43" s="105">
        <v>3789.4114508869197</v>
      </c>
      <c r="AD43" s="105">
        <v>3.9728579109038571</v>
      </c>
      <c r="AE43" s="105">
        <v>3237.0846258044626</v>
      </c>
      <c r="AF43" s="105">
        <v>5.8029509806413673</v>
      </c>
      <c r="AG43" s="105">
        <v>4728.2444590265859</v>
      </c>
      <c r="AH43" s="105">
        <v>4.4899600516881693</v>
      </c>
      <c r="AI43" s="105">
        <v>3658.4194501155202</v>
      </c>
      <c r="AJ43" s="105">
        <v>4.360752568186351</v>
      </c>
      <c r="AK43" s="105">
        <v>3553.1411925582388</v>
      </c>
      <c r="AL43" s="105">
        <v>3.8731284790920304</v>
      </c>
      <c r="AM43" s="105">
        <v>3155.8250847641862</v>
      </c>
      <c r="AN43" s="105">
        <v>4.1844302256857198</v>
      </c>
      <c r="AO43" s="105">
        <v>3409.4737478887241</v>
      </c>
      <c r="AP43" s="105">
        <v>5.0765879981398898</v>
      </c>
      <c r="AQ43" s="105">
        <v>4136.403900884382</v>
      </c>
      <c r="AR43" s="105">
        <v>3.8328927270508757</v>
      </c>
      <c r="AS43" s="105">
        <v>3123.0409940010531</v>
      </c>
      <c r="AT43" s="105">
        <v>3.645199526499415</v>
      </c>
      <c r="AU43" s="105">
        <v>2970.1085741917232</v>
      </c>
      <c r="AV43" s="105">
        <v>3.8748970309089676</v>
      </c>
      <c r="AW43" s="105">
        <v>3157.2661007846268</v>
      </c>
      <c r="AX43" s="105">
        <v>5.9425941860578702</v>
      </c>
      <c r="AY43" s="105">
        <v>4842.0257427999522</v>
      </c>
      <c r="AZ43" s="105">
        <v>4.8106714839516087</v>
      </c>
      <c r="BA43" s="105">
        <v>3919.7351251237706</v>
      </c>
      <c r="BB43" s="105">
        <v>6.0394843086566405</v>
      </c>
      <c r="BC43" s="105">
        <v>4920.9718146934301</v>
      </c>
      <c r="BD43" s="105">
        <v>3.0925745253974632</v>
      </c>
      <c r="BE43" s="105">
        <v>2519.829723293853</v>
      </c>
      <c r="BF43" s="105">
        <v>4.5689291983259004</v>
      </c>
      <c r="BG43" s="105">
        <v>3722.7635107959436</v>
      </c>
      <c r="BH43" s="105">
        <v>0</v>
      </c>
      <c r="BI43" s="105">
        <v>0</v>
      </c>
      <c r="BJ43" s="105">
        <v>7.8848078956475112</v>
      </c>
      <c r="BK43" s="105">
        <v>6424.5414733735915</v>
      </c>
      <c r="BL43" s="105">
        <v>3.8855423524224539</v>
      </c>
      <c r="BM43" s="105">
        <v>3165.9399087538154</v>
      </c>
      <c r="BN43" s="105">
        <v>5.8892973772143025</v>
      </c>
      <c r="BO43" s="105">
        <v>4798.5995029542137</v>
      </c>
      <c r="BP43" s="105">
        <v>4.2289158626365309</v>
      </c>
      <c r="BQ43" s="105">
        <v>3445.7206448762449</v>
      </c>
      <c r="BR43" s="105">
        <v>4.010882428307049</v>
      </c>
      <c r="BS43" s="105">
        <v>3268.0670025845834</v>
      </c>
      <c r="BT43" s="105">
        <v>4.6626508229069445</v>
      </c>
      <c r="BU43" s="105">
        <v>3799.1278905045783</v>
      </c>
      <c r="BV43" s="105">
        <v>4.0876803938779576</v>
      </c>
      <c r="BW43" s="105">
        <v>3330.6419849317595</v>
      </c>
      <c r="BX43" s="105">
        <v>4.3384583321526788</v>
      </c>
      <c r="BY43" s="105">
        <v>3534.9758490380027</v>
      </c>
      <c r="BZ43" s="105">
        <v>5.3483347674520836</v>
      </c>
      <c r="CA43" s="105">
        <v>4357.8231685199571</v>
      </c>
      <c r="CB43" s="105">
        <v>3.9424039478237578</v>
      </c>
      <c r="CC43" s="105">
        <v>3212.2707366867976</v>
      </c>
      <c r="CD43" s="105">
        <v>4.4043204866695929</v>
      </c>
      <c r="CE43" s="105">
        <v>3588.640332538384</v>
      </c>
      <c r="CF43" s="105">
        <v>4.4800044861633612</v>
      </c>
      <c r="CG43" s="105">
        <v>3650.3076553259066</v>
      </c>
      <c r="CH43" s="105">
        <v>6.1537523551056124</v>
      </c>
      <c r="CI43" s="105">
        <v>5014.0774189400527</v>
      </c>
      <c r="CJ43" s="105">
        <v>0</v>
      </c>
      <c r="CK43" s="105">
        <v>0</v>
      </c>
      <c r="CL43" s="105">
        <v>9.8342045379895673</v>
      </c>
      <c r="CM43" s="105">
        <v>8012.9098575538992</v>
      </c>
      <c r="CN43" s="105">
        <v>5.2172071023137176</v>
      </c>
      <c r="CO43" s="105">
        <v>4250.980346965217</v>
      </c>
      <c r="CP43" s="105">
        <v>4.010882428307049</v>
      </c>
      <c r="CQ43" s="105">
        <v>3268.0670025845834</v>
      </c>
      <c r="CR43" s="105">
        <v>5.0652752672248145</v>
      </c>
      <c r="CS43" s="105">
        <v>4127.1862877347785</v>
      </c>
      <c r="CT43" s="105">
        <v>4.2874950095696036</v>
      </c>
      <c r="CU43" s="105">
        <v>3493.4509337973127</v>
      </c>
    </row>
    <row r="44" spans="2:99" x14ac:dyDescent="0.2">
      <c r="C44" s="104" t="s">
        <v>210</v>
      </c>
      <c r="D44" s="105">
        <v>6</v>
      </c>
      <c r="E44" s="105">
        <v>5061.6000000000004</v>
      </c>
      <c r="F44" s="105">
        <v>7</v>
      </c>
      <c r="G44" s="105">
        <v>5905.2</v>
      </c>
      <c r="H44" s="105">
        <v>5.0884330721272528</v>
      </c>
      <c r="I44" s="105">
        <v>4292.6021396465503</v>
      </c>
      <c r="J44" s="105">
        <v>0</v>
      </c>
      <c r="K44" s="105">
        <v>0</v>
      </c>
      <c r="L44" s="105">
        <v>0</v>
      </c>
      <c r="M44" s="105">
        <v>0</v>
      </c>
      <c r="N44" s="105">
        <v>0</v>
      </c>
      <c r="O44" s="105">
        <v>0</v>
      </c>
      <c r="P44" s="105">
        <v>3.9520430772805399</v>
      </c>
      <c r="Q44" s="105">
        <v>3333.9435399938634</v>
      </c>
      <c r="R44" s="105">
        <v>4.381768243213755</v>
      </c>
      <c r="S44" s="105">
        <v>3696.4596899751236</v>
      </c>
      <c r="T44" s="105">
        <v>4.988844501875743</v>
      </c>
      <c r="U44" s="105">
        <v>4208.5892217823766</v>
      </c>
      <c r="V44" s="105">
        <v>0</v>
      </c>
      <c r="W44" s="105">
        <v>0</v>
      </c>
      <c r="X44" s="105">
        <v>9</v>
      </c>
      <c r="Y44" s="105">
        <v>7592.4000000000005</v>
      </c>
      <c r="Z44" s="105">
        <v>3.5278746945407211</v>
      </c>
      <c r="AA44" s="105">
        <v>2976.1150923145524</v>
      </c>
      <c r="AB44" s="105">
        <v>5.1674732052677133</v>
      </c>
      <c r="AC44" s="105">
        <v>4359.2803959638431</v>
      </c>
      <c r="AD44" s="105">
        <v>3.4053067807747346</v>
      </c>
      <c r="AE44" s="105">
        <v>2872.7168002615663</v>
      </c>
      <c r="AF44" s="105">
        <v>5.8029509806413673</v>
      </c>
      <c r="AG44" s="105">
        <v>4895.3694472690577</v>
      </c>
      <c r="AH44" s="105">
        <v>5.0512050581491899</v>
      </c>
      <c r="AI44" s="105">
        <v>4261.1965870546564</v>
      </c>
      <c r="AJ44" s="105">
        <v>4.360752568186351</v>
      </c>
      <c r="AK44" s="105">
        <v>3678.7308665220057</v>
      </c>
      <c r="AL44" s="105">
        <v>4.5186498922740359</v>
      </c>
      <c r="AM44" s="105">
        <v>3811.9330491223768</v>
      </c>
      <c r="AN44" s="105">
        <v>4.1844302256857198</v>
      </c>
      <c r="AO44" s="105">
        <v>3529.9853383884733</v>
      </c>
      <c r="AP44" s="105">
        <v>4.5689291983259004</v>
      </c>
      <c r="AQ44" s="105">
        <v>3854.3486717077299</v>
      </c>
      <c r="AR44" s="105">
        <v>3.8328927270508757</v>
      </c>
      <c r="AS44" s="105">
        <v>3233.4283045401189</v>
      </c>
      <c r="AT44" s="105">
        <v>4.1659423159993318</v>
      </c>
      <c r="AU44" s="105">
        <v>3514.3889377770365</v>
      </c>
      <c r="AV44" s="105">
        <v>3.8748970309089676</v>
      </c>
      <c r="AW44" s="105">
        <v>3268.8631352748052</v>
      </c>
      <c r="AX44" s="105">
        <v>6.4828300211540411</v>
      </c>
      <c r="AY44" s="105">
        <v>5468.9154058455488</v>
      </c>
      <c r="AZ44" s="105">
        <v>5.3451905377240099</v>
      </c>
      <c r="BA44" s="105">
        <v>4509.2027376239748</v>
      </c>
      <c r="BB44" s="105">
        <v>4.9413962525372508</v>
      </c>
      <c r="BC44" s="105">
        <v>4168.5618786404248</v>
      </c>
      <c r="BD44" s="105">
        <v>3.608003612963707</v>
      </c>
      <c r="BE44" s="105">
        <v>3043.7118478961834</v>
      </c>
      <c r="BF44" s="105">
        <v>4.0612703985119118</v>
      </c>
      <c r="BG44" s="105">
        <v>3426.0877081846488</v>
      </c>
      <c r="BH44" s="105">
        <v>0</v>
      </c>
      <c r="BI44" s="105">
        <v>0</v>
      </c>
      <c r="BJ44" s="105">
        <v>6.899206908691573</v>
      </c>
      <c r="BK44" s="105">
        <v>5820.170948172211</v>
      </c>
      <c r="BL44" s="105">
        <v>4.3712351464752599</v>
      </c>
      <c r="BM44" s="105">
        <v>3687.5739695665293</v>
      </c>
      <c r="BN44" s="105">
        <v>5.8892973772143025</v>
      </c>
      <c r="BO44" s="105">
        <v>4968.2112674179853</v>
      </c>
      <c r="BP44" s="105">
        <v>4.6987954029294787</v>
      </c>
      <c r="BQ44" s="105">
        <v>3963.9038019113082</v>
      </c>
      <c r="BR44" s="105">
        <v>4.010882428307049</v>
      </c>
      <c r="BS44" s="105">
        <v>3383.5804165198265</v>
      </c>
      <c r="BT44" s="105">
        <v>4.6626508229069445</v>
      </c>
      <c r="BU44" s="105">
        <v>3933.4122342042983</v>
      </c>
      <c r="BV44" s="105">
        <v>3.5037260518953914</v>
      </c>
      <c r="BW44" s="105">
        <v>2955.7432973789523</v>
      </c>
      <c r="BX44" s="105">
        <v>4.3384583321526788</v>
      </c>
      <c r="BY44" s="105">
        <v>3659.9234490039998</v>
      </c>
      <c r="BZ44" s="105">
        <v>5.9425941860578702</v>
      </c>
      <c r="CA44" s="105">
        <v>5013.172455358419</v>
      </c>
      <c r="CB44" s="105">
        <v>4.4352044413017273</v>
      </c>
      <c r="CC44" s="105">
        <v>3741.5384666821374</v>
      </c>
      <c r="CD44" s="105">
        <v>4.4043204866695929</v>
      </c>
      <c r="CE44" s="105">
        <v>3715.4847625544685</v>
      </c>
      <c r="CF44" s="105">
        <v>4.4800044861633612</v>
      </c>
      <c r="CG44" s="105">
        <v>3779.3317845274119</v>
      </c>
      <c r="CH44" s="105">
        <v>6.1537523551056124</v>
      </c>
      <c r="CI44" s="105">
        <v>5191.3054867670944</v>
      </c>
      <c r="CJ44" s="105">
        <v>0</v>
      </c>
      <c r="CK44" s="105">
        <v>0</v>
      </c>
      <c r="CL44" s="105">
        <v>10.728223132352255</v>
      </c>
      <c r="CM44" s="105">
        <v>9050.329034452363</v>
      </c>
      <c r="CN44" s="105">
        <v>5.2172071023137176</v>
      </c>
      <c r="CO44" s="105">
        <v>4401.2359115118525</v>
      </c>
      <c r="CP44" s="105">
        <v>4.5122427318454301</v>
      </c>
      <c r="CQ44" s="105">
        <v>3806.527968584805</v>
      </c>
      <c r="CR44" s="105">
        <v>5.0652752672248145</v>
      </c>
      <c r="CS44" s="105">
        <v>4273.0662154308538</v>
      </c>
      <c r="CT44" s="105">
        <v>4.2874950095696036</v>
      </c>
      <c r="CU44" s="105">
        <v>3616.9307900729177</v>
      </c>
    </row>
    <row r="45" spans="2:99" x14ac:dyDescent="0.2">
      <c r="C45" s="104" t="s">
        <v>211</v>
      </c>
      <c r="D45" s="105">
        <v>5</v>
      </c>
      <c r="E45" s="105">
        <v>5201.9999999999991</v>
      </c>
      <c r="F45" s="105">
        <v>8</v>
      </c>
      <c r="G45" s="105">
        <v>8323.1999999999989</v>
      </c>
      <c r="H45" s="105">
        <v>5.0884330721272528</v>
      </c>
      <c r="I45" s="105">
        <v>5294.0057682411934</v>
      </c>
      <c r="J45" s="105">
        <v>0</v>
      </c>
      <c r="K45" s="105">
        <v>0</v>
      </c>
      <c r="L45" s="105">
        <v>0</v>
      </c>
      <c r="M45" s="105">
        <v>0</v>
      </c>
      <c r="N45" s="105">
        <v>0</v>
      </c>
      <c r="O45" s="105">
        <v>0</v>
      </c>
      <c r="P45" s="105">
        <v>3.9520430772805399</v>
      </c>
      <c r="Q45" s="105">
        <v>4111.7056176026736</v>
      </c>
      <c r="R45" s="105">
        <v>4.381768243213755</v>
      </c>
      <c r="S45" s="105">
        <v>4558.7916802395903</v>
      </c>
      <c r="T45" s="105">
        <v>3.9910756015005941</v>
      </c>
      <c r="U45" s="105">
        <v>4152.3150558012176</v>
      </c>
      <c r="V45" s="105">
        <v>0</v>
      </c>
      <c r="W45" s="105">
        <v>0</v>
      </c>
      <c r="X45" s="105">
        <v>10</v>
      </c>
      <c r="Y45" s="105">
        <v>10403.999999999998</v>
      </c>
      <c r="Z45" s="105">
        <v>3.5278746945407211</v>
      </c>
      <c r="AA45" s="105">
        <v>3670.400832200166</v>
      </c>
      <c r="AB45" s="105">
        <v>4.6507258847409423</v>
      </c>
      <c r="AC45" s="105">
        <v>4838.6152104844759</v>
      </c>
      <c r="AD45" s="105">
        <v>3.4053067807747346</v>
      </c>
      <c r="AE45" s="105">
        <v>3542.8811747180334</v>
      </c>
      <c r="AF45" s="105">
        <v>6.3304919788814908</v>
      </c>
      <c r="AG45" s="105">
        <v>6586.2438548283026</v>
      </c>
      <c r="AH45" s="105">
        <v>5.0512050581491899</v>
      </c>
      <c r="AI45" s="105">
        <v>5255.2737424984161</v>
      </c>
      <c r="AJ45" s="105">
        <v>4.360752568186351</v>
      </c>
      <c r="AK45" s="105">
        <v>4536.9269719410786</v>
      </c>
      <c r="AL45" s="105">
        <v>4.5186498922740359</v>
      </c>
      <c r="AM45" s="105">
        <v>4701.2033479219062</v>
      </c>
      <c r="AN45" s="105">
        <v>4.1844302256857198</v>
      </c>
      <c r="AO45" s="105">
        <v>4353.4812068034225</v>
      </c>
      <c r="AP45" s="105">
        <v>4.0612703985119118</v>
      </c>
      <c r="AQ45" s="105">
        <v>4225.3457226117926</v>
      </c>
      <c r="AR45" s="105">
        <v>4.3804488309152863</v>
      </c>
      <c r="AS45" s="105">
        <v>4557.418963684263</v>
      </c>
      <c r="AT45" s="105">
        <v>3.1244567369994991</v>
      </c>
      <c r="AU45" s="105">
        <v>3250.6847891742786</v>
      </c>
      <c r="AV45" s="105">
        <v>3.3213403122076861</v>
      </c>
      <c r="AW45" s="105">
        <v>3455.5224608208759</v>
      </c>
      <c r="AX45" s="105">
        <v>7.0230658562502102</v>
      </c>
      <c r="AY45" s="105">
        <v>7306.7977168427178</v>
      </c>
      <c r="AZ45" s="105">
        <v>4.8106714839516087</v>
      </c>
      <c r="BA45" s="105">
        <v>5005.0226119032532</v>
      </c>
      <c r="BB45" s="105">
        <v>5.4904402805969452</v>
      </c>
      <c r="BC45" s="105">
        <v>5712.2540679330614</v>
      </c>
      <c r="BD45" s="105">
        <v>3.608003612963707</v>
      </c>
      <c r="BE45" s="105">
        <v>3753.7669589274401</v>
      </c>
      <c r="BF45" s="105">
        <v>4.0612703985119118</v>
      </c>
      <c r="BG45" s="105">
        <v>4225.3457226117926</v>
      </c>
      <c r="BH45" s="105">
        <v>0</v>
      </c>
      <c r="BI45" s="105">
        <v>0</v>
      </c>
      <c r="BJ45" s="105">
        <v>6.899206908691573</v>
      </c>
      <c r="BK45" s="105">
        <v>7177.9348678027118</v>
      </c>
      <c r="BL45" s="105">
        <v>4.3712351464752599</v>
      </c>
      <c r="BM45" s="105">
        <v>4547.8330463928596</v>
      </c>
      <c r="BN45" s="105">
        <v>4.9832516268736402</v>
      </c>
      <c r="BO45" s="105">
        <v>5184.574992599335</v>
      </c>
      <c r="BP45" s="105">
        <v>4.6987954029294787</v>
      </c>
      <c r="BQ45" s="105">
        <v>4888.6267372078291</v>
      </c>
      <c r="BR45" s="105">
        <v>4.010882428307049</v>
      </c>
      <c r="BS45" s="105">
        <v>4172.9220784106528</v>
      </c>
      <c r="BT45" s="105">
        <v>4.6626508229069445</v>
      </c>
      <c r="BU45" s="105">
        <v>4851.0219161523846</v>
      </c>
      <c r="BV45" s="105">
        <v>4.0876803938779576</v>
      </c>
      <c r="BW45" s="105">
        <v>4252.8226817906261</v>
      </c>
      <c r="BX45" s="105">
        <v>4.9582380938887756</v>
      </c>
      <c r="BY45" s="105">
        <v>5158.5509128818812</v>
      </c>
      <c r="BZ45" s="105">
        <v>5.3483347674520836</v>
      </c>
      <c r="CA45" s="105">
        <v>5564.4074920571475</v>
      </c>
      <c r="CB45" s="105">
        <v>3.9424039478237578</v>
      </c>
      <c r="CC45" s="105">
        <v>4101.6770673158371</v>
      </c>
      <c r="CD45" s="105">
        <v>3.8537804258358941</v>
      </c>
      <c r="CE45" s="105">
        <v>4009.4731550396637</v>
      </c>
      <c r="CF45" s="105">
        <v>4.4800044861633612</v>
      </c>
      <c r="CG45" s="105">
        <v>4660.9966674043608</v>
      </c>
      <c r="CH45" s="105">
        <v>5.6409396588468113</v>
      </c>
      <c r="CI45" s="105">
        <v>5868.8336210642219</v>
      </c>
      <c r="CJ45" s="105">
        <v>0</v>
      </c>
      <c r="CK45" s="105">
        <v>0</v>
      </c>
      <c r="CL45" s="105">
        <v>9.8342045379895673</v>
      </c>
      <c r="CM45" s="105">
        <v>10231.506401324345</v>
      </c>
      <c r="CN45" s="105">
        <v>6.1657902118253025</v>
      </c>
      <c r="CO45" s="105">
        <v>6414.8881363830442</v>
      </c>
      <c r="CP45" s="105">
        <v>4.5122427318454301</v>
      </c>
      <c r="CQ45" s="105">
        <v>4694.5373382119851</v>
      </c>
      <c r="CR45" s="105">
        <v>5.6280836302497939</v>
      </c>
      <c r="CS45" s="105">
        <v>5855.4582089118849</v>
      </c>
      <c r="CT45" s="105">
        <v>3.7515581333734036</v>
      </c>
      <c r="CU45" s="105">
        <v>3903.1210819616886</v>
      </c>
    </row>
    <row r="46" spans="2:99" x14ac:dyDescent="0.2">
      <c r="C46" s="104" t="s">
        <v>212</v>
      </c>
      <c r="D46" s="105">
        <v>6</v>
      </c>
      <c r="E46" s="105">
        <v>6105.5999999999985</v>
      </c>
      <c r="F46" s="105">
        <v>8</v>
      </c>
      <c r="G46" s="105">
        <v>8140.7999999999984</v>
      </c>
      <c r="H46" s="105">
        <v>4.2403608934393775</v>
      </c>
      <c r="I46" s="105">
        <v>4314.9912451639093</v>
      </c>
      <c r="J46" s="105">
        <v>0</v>
      </c>
      <c r="K46" s="105">
        <v>0</v>
      </c>
      <c r="L46" s="105">
        <v>0</v>
      </c>
      <c r="M46" s="105">
        <v>0</v>
      </c>
      <c r="N46" s="105">
        <v>0</v>
      </c>
      <c r="O46" s="105">
        <v>0</v>
      </c>
      <c r="P46" s="105">
        <v>3.9520430772805399</v>
      </c>
      <c r="Q46" s="105">
        <v>4021.5990354406767</v>
      </c>
      <c r="R46" s="105">
        <v>3.8949051050788936</v>
      </c>
      <c r="S46" s="105">
        <v>3963.4554349282812</v>
      </c>
      <c r="T46" s="105">
        <v>4.4899600516881693</v>
      </c>
      <c r="U46" s="105">
        <v>4568.9833485978797</v>
      </c>
      <c r="V46" s="105">
        <v>0</v>
      </c>
      <c r="W46" s="105">
        <v>0</v>
      </c>
      <c r="X46" s="105">
        <v>9</v>
      </c>
      <c r="Y46" s="105">
        <v>9158.3999999999978</v>
      </c>
      <c r="Z46" s="105">
        <v>4.1158538102975086</v>
      </c>
      <c r="AA46" s="105">
        <v>4188.2928373587438</v>
      </c>
      <c r="AB46" s="105">
        <v>5.1674732052677133</v>
      </c>
      <c r="AC46" s="105">
        <v>5258.4207336804238</v>
      </c>
      <c r="AD46" s="105">
        <v>3.4053067807747346</v>
      </c>
      <c r="AE46" s="105">
        <v>3465.2401801163692</v>
      </c>
      <c r="AF46" s="105">
        <v>5.8029509806413673</v>
      </c>
      <c r="AG46" s="105">
        <v>5905.0829179006541</v>
      </c>
      <c r="AH46" s="105">
        <v>4.4899600516881693</v>
      </c>
      <c r="AI46" s="105">
        <v>4568.9833485978797</v>
      </c>
      <c r="AJ46" s="105">
        <v>4.360752568186351</v>
      </c>
      <c r="AK46" s="105">
        <v>4437.5018133864296</v>
      </c>
      <c r="AL46" s="105">
        <v>4.5186498922740359</v>
      </c>
      <c r="AM46" s="105">
        <v>4598.1781303780581</v>
      </c>
      <c r="AN46" s="105">
        <v>4.1844302256857198</v>
      </c>
      <c r="AO46" s="105">
        <v>4258.0761976577878</v>
      </c>
      <c r="AP46" s="105">
        <v>4.5689291983259004</v>
      </c>
      <c r="AQ46" s="105">
        <v>4649.3423522164348</v>
      </c>
      <c r="AR46" s="105">
        <v>4.3804488309152863</v>
      </c>
      <c r="AS46" s="105">
        <v>4457.5447303393948</v>
      </c>
      <c r="AT46" s="105">
        <v>4.1659423159993318</v>
      </c>
      <c r="AU46" s="105">
        <v>4239.2629007609194</v>
      </c>
      <c r="AV46" s="105">
        <v>3.3213403122076861</v>
      </c>
      <c r="AW46" s="105">
        <v>3379.7959017025405</v>
      </c>
      <c r="AX46" s="105">
        <v>5.9425941860578702</v>
      </c>
      <c r="AY46" s="105">
        <v>6047.1838437324877</v>
      </c>
      <c r="AZ46" s="105">
        <v>4.2761524301792084</v>
      </c>
      <c r="BA46" s="105">
        <v>4351.4127129503613</v>
      </c>
      <c r="BB46" s="105">
        <v>4.9413962525372508</v>
      </c>
      <c r="BC46" s="105">
        <v>5028.3648265819056</v>
      </c>
      <c r="BD46" s="105">
        <v>3.608003612963707</v>
      </c>
      <c r="BE46" s="105">
        <v>3671.5044765518674</v>
      </c>
      <c r="BF46" s="105">
        <v>4.0612703985119118</v>
      </c>
      <c r="BG46" s="105">
        <v>4132.748757525721</v>
      </c>
      <c r="BH46" s="105">
        <v>0</v>
      </c>
      <c r="BI46" s="105">
        <v>0</v>
      </c>
      <c r="BJ46" s="105">
        <v>7.8848078956475112</v>
      </c>
      <c r="BK46" s="105">
        <v>8023.580514610906</v>
      </c>
      <c r="BL46" s="105">
        <v>3.8855423524224539</v>
      </c>
      <c r="BM46" s="105">
        <v>3953.9278978250882</v>
      </c>
      <c r="BN46" s="105">
        <v>5.8892973772143025</v>
      </c>
      <c r="BO46" s="105">
        <v>5992.9490110532734</v>
      </c>
      <c r="BP46" s="105">
        <v>4.2289158626365309</v>
      </c>
      <c r="BQ46" s="105">
        <v>4303.3447818189334</v>
      </c>
      <c r="BR46" s="105">
        <v>4.010882428307049</v>
      </c>
      <c r="BS46" s="105">
        <v>4081.4739590452523</v>
      </c>
      <c r="BT46" s="105">
        <v>4.6626508229069445</v>
      </c>
      <c r="BU46" s="105">
        <v>4744.7134773901062</v>
      </c>
      <c r="BV46" s="105">
        <v>4.0876803938779576</v>
      </c>
      <c r="BW46" s="105">
        <v>4159.6235688102088</v>
      </c>
      <c r="BX46" s="105">
        <v>4.9582380938887756</v>
      </c>
      <c r="BY46" s="105">
        <v>5045.5030843412169</v>
      </c>
      <c r="BZ46" s="105">
        <v>5.3483347674520836</v>
      </c>
      <c r="CA46" s="105">
        <v>5442.4654593592395</v>
      </c>
      <c r="CB46" s="105">
        <v>3.9424039478237578</v>
      </c>
      <c r="CC46" s="105">
        <v>4011.7902573054553</v>
      </c>
      <c r="CD46" s="105">
        <v>4.4043204866695929</v>
      </c>
      <c r="CE46" s="105">
        <v>4481.8365272349765</v>
      </c>
      <c r="CF46" s="105">
        <v>4.0320040375470247</v>
      </c>
      <c r="CG46" s="105">
        <v>4102.9673086078519</v>
      </c>
      <c r="CH46" s="105">
        <v>5.6409396588468113</v>
      </c>
      <c r="CI46" s="105">
        <v>5740.2201968425143</v>
      </c>
      <c r="CJ46" s="105">
        <v>0</v>
      </c>
      <c r="CK46" s="105">
        <v>0</v>
      </c>
      <c r="CL46" s="105">
        <v>10.728223132352255</v>
      </c>
      <c r="CM46" s="105">
        <v>10917.039859481652</v>
      </c>
      <c r="CN46" s="105">
        <v>5.6914986570695101</v>
      </c>
      <c r="CO46" s="105">
        <v>5791.6690334339319</v>
      </c>
      <c r="CP46" s="105">
        <v>4.5122427318454301</v>
      </c>
      <c r="CQ46" s="105">
        <v>4591.6582039259092</v>
      </c>
      <c r="CR46" s="105">
        <v>5.0652752672248145</v>
      </c>
      <c r="CS46" s="105">
        <v>5154.4241119279704</v>
      </c>
      <c r="CT46" s="105">
        <v>4.2874950095696036</v>
      </c>
      <c r="CU46" s="105">
        <v>4362.9549217380281</v>
      </c>
    </row>
    <row r="47" spans="2:99" x14ac:dyDescent="0.2">
      <c r="C47" s="104" t="s">
        <v>213</v>
      </c>
      <c r="D47" s="105">
        <v>6</v>
      </c>
      <c r="E47" s="105">
        <v>7905.5999999999995</v>
      </c>
      <c r="F47" s="105">
        <v>8</v>
      </c>
      <c r="G47" s="105">
        <v>10540.8</v>
      </c>
      <c r="H47" s="105">
        <v>4.2403608934393775</v>
      </c>
      <c r="I47" s="105">
        <v>5587.0995131957234</v>
      </c>
      <c r="J47" s="105">
        <v>0</v>
      </c>
      <c r="K47" s="105">
        <v>0</v>
      </c>
      <c r="L47" s="105">
        <v>0</v>
      </c>
      <c r="M47" s="105">
        <v>0</v>
      </c>
      <c r="N47" s="105">
        <v>0</v>
      </c>
      <c r="O47" s="105">
        <v>0</v>
      </c>
      <c r="P47" s="105">
        <v>3.9520430772805399</v>
      </c>
      <c r="Q47" s="105">
        <v>5207.2119586248391</v>
      </c>
      <c r="R47" s="105">
        <v>3.8949051050788936</v>
      </c>
      <c r="S47" s="105">
        <v>5131.9269664519497</v>
      </c>
      <c r="T47" s="105">
        <v>4.988844501875743</v>
      </c>
      <c r="U47" s="105">
        <v>6573.3015156714782</v>
      </c>
      <c r="V47" s="105">
        <v>0</v>
      </c>
      <c r="W47" s="105">
        <v>0</v>
      </c>
      <c r="X47" s="105">
        <v>8</v>
      </c>
      <c r="Y47" s="105">
        <v>10540.8</v>
      </c>
      <c r="Z47" s="105">
        <v>3.5278746945407211</v>
      </c>
      <c r="AA47" s="105">
        <v>4648.3276975268536</v>
      </c>
      <c r="AB47" s="105">
        <v>4.6507258847409423</v>
      </c>
      <c r="AC47" s="105">
        <v>6127.7964257346648</v>
      </c>
      <c r="AD47" s="105">
        <v>3.4053067807747346</v>
      </c>
      <c r="AE47" s="105">
        <v>4486.8322143487903</v>
      </c>
      <c r="AF47" s="105">
        <v>5.8029509806413673</v>
      </c>
      <c r="AG47" s="105">
        <v>7645.9682120930647</v>
      </c>
      <c r="AH47" s="105">
        <v>4.4899600516881693</v>
      </c>
      <c r="AI47" s="105">
        <v>5915.9713641043318</v>
      </c>
      <c r="AJ47" s="105">
        <v>4.360752568186351</v>
      </c>
      <c r="AK47" s="105">
        <v>5745.7275838423357</v>
      </c>
      <c r="AL47" s="105">
        <v>3.8731284790920304</v>
      </c>
      <c r="AM47" s="105">
        <v>5103.234084051659</v>
      </c>
      <c r="AN47" s="105">
        <v>4.1844302256857198</v>
      </c>
      <c r="AO47" s="105">
        <v>5513.4052653635035</v>
      </c>
      <c r="AP47" s="105">
        <v>4.5689291983259004</v>
      </c>
      <c r="AQ47" s="105">
        <v>6020.0211117142062</v>
      </c>
      <c r="AR47" s="105">
        <v>4.3804488309152863</v>
      </c>
      <c r="AS47" s="105">
        <v>5771.6793796139809</v>
      </c>
      <c r="AT47" s="105">
        <v>3.1244567369994991</v>
      </c>
      <c r="AU47" s="105">
        <v>4116.78419667054</v>
      </c>
      <c r="AV47" s="105">
        <v>3.8748970309089676</v>
      </c>
      <c r="AW47" s="105">
        <v>5105.5643279256556</v>
      </c>
      <c r="AX47" s="105">
        <v>5.9425941860578702</v>
      </c>
      <c r="AY47" s="105">
        <v>7829.962099549849</v>
      </c>
      <c r="AZ47" s="105">
        <v>4.2761524301792084</v>
      </c>
      <c r="BA47" s="105">
        <v>5634.2584420041248</v>
      </c>
      <c r="BB47" s="105">
        <v>5.4904402805969452</v>
      </c>
      <c r="BC47" s="105">
        <v>7234.2041137145343</v>
      </c>
      <c r="BD47" s="105">
        <v>3.0925745253974632</v>
      </c>
      <c r="BE47" s="105">
        <v>4074.7761946636974</v>
      </c>
      <c r="BF47" s="105">
        <v>4.5689291983259004</v>
      </c>
      <c r="BG47" s="105">
        <v>6020.0211117142062</v>
      </c>
      <c r="BH47" s="105">
        <v>0</v>
      </c>
      <c r="BI47" s="105">
        <v>0</v>
      </c>
      <c r="BJ47" s="105">
        <v>6.899206908691573</v>
      </c>
      <c r="BK47" s="105">
        <v>9090.3950228920166</v>
      </c>
      <c r="BL47" s="105">
        <v>3.3998495583696466</v>
      </c>
      <c r="BM47" s="105">
        <v>4479.6417781078462</v>
      </c>
      <c r="BN47" s="105">
        <v>5.8892973772143025</v>
      </c>
      <c r="BO47" s="105">
        <v>7759.7382242175645</v>
      </c>
      <c r="BP47" s="105">
        <v>4.6987954029294787</v>
      </c>
      <c r="BQ47" s="105">
        <v>6191.1328228998809</v>
      </c>
      <c r="BR47" s="105">
        <v>3.5095221247686679</v>
      </c>
      <c r="BS47" s="105">
        <v>4624.1463515951964</v>
      </c>
      <c r="BT47" s="105">
        <v>5.1807231365632713</v>
      </c>
      <c r="BU47" s="105">
        <v>6826.1208047357659</v>
      </c>
      <c r="BV47" s="105">
        <v>3.5037260518953914</v>
      </c>
      <c r="BW47" s="105">
        <v>4616.5094459773672</v>
      </c>
      <c r="BX47" s="105">
        <v>4.9582380938887756</v>
      </c>
      <c r="BY47" s="105">
        <v>6532.9745125078498</v>
      </c>
      <c r="BZ47" s="105">
        <v>5.3483347674520836</v>
      </c>
      <c r="CA47" s="105">
        <v>7046.9658895948651</v>
      </c>
      <c r="CB47" s="105">
        <v>3.9424039478237578</v>
      </c>
      <c r="CC47" s="105">
        <v>5194.511441652583</v>
      </c>
      <c r="CD47" s="105">
        <v>3.8537804258358941</v>
      </c>
      <c r="CE47" s="105">
        <v>5077.7410890813735</v>
      </c>
      <c r="CF47" s="105">
        <v>4.4800044861633612</v>
      </c>
      <c r="CG47" s="105">
        <v>5902.8539109688445</v>
      </c>
      <c r="CH47" s="105">
        <v>5.1281269625880102</v>
      </c>
      <c r="CI47" s="105">
        <v>6756.8200859059616</v>
      </c>
      <c r="CJ47" s="105">
        <v>0</v>
      </c>
      <c r="CK47" s="105">
        <v>0</v>
      </c>
      <c r="CL47" s="105">
        <v>9.8342045379895673</v>
      </c>
      <c r="CM47" s="105">
        <v>12957.547899255052</v>
      </c>
      <c r="CN47" s="105">
        <v>5.2172071023137176</v>
      </c>
      <c r="CO47" s="105">
        <v>6874.1920780085538</v>
      </c>
      <c r="CP47" s="105">
        <v>4.5122427318454301</v>
      </c>
      <c r="CQ47" s="105">
        <v>5945.3310234795381</v>
      </c>
      <c r="CR47" s="105">
        <v>5.0652752672248145</v>
      </c>
      <c r="CS47" s="105">
        <v>6674.006692095415</v>
      </c>
      <c r="CT47" s="105">
        <v>3.7515581333734036</v>
      </c>
      <c r="CU47" s="105">
        <v>4943.052996532796</v>
      </c>
    </row>
    <row r="48" spans="2:99" x14ac:dyDescent="0.2">
      <c r="C48" s="104" t="s">
        <v>214</v>
      </c>
      <c r="D48" s="105">
        <v>6</v>
      </c>
      <c r="E48" s="105">
        <v>3945.6000000000004</v>
      </c>
      <c r="F48" s="105">
        <v>8</v>
      </c>
      <c r="G48" s="105">
        <v>5260.8</v>
      </c>
      <c r="H48" s="105">
        <v>4.2403608934393775</v>
      </c>
      <c r="I48" s="105">
        <v>2788.4613235257348</v>
      </c>
      <c r="J48" s="105">
        <v>0</v>
      </c>
      <c r="K48" s="105">
        <v>0</v>
      </c>
      <c r="L48" s="105">
        <v>0</v>
      </c>
      <c r="M48" s="105">
        <v>0</v>
      </c>
      <c r="N48" s="105">
        <v>0</v>
      </c>
      <c r="O48" s="105">
        <v>0</v>
      </c>
      <c r="P48" s="105">
        <v>3.9520430772805399</v>
      </c>
      <c r="Q48" s="105">
        <v>2598.8635276196833</v>
      </c>
      <c r="R48" s="105">
        <v>4.381768243213755</v>
      </c>
      <c r="S48" s="105">
        <v>2881.4507967373652</v>
      </c>
      <c r="T48" s="105">
        <v>4.988844501875743</v>
      </c>
      <c r="U48" s="105">
        <v>3280.6641444334887</v>
      </c>
      <c r="V48" s="105">
        <v>0</v>
      </c>
      <c r="W48" s="105">
        <v>0</v>
      </c>
      <c r="X48" s="105">
        <v>9</v>
      </c>
      <c r="Y48" s="105">
        <v>5918.4000000000005</v>
      </c>
      <c r="Z48" s="105">
        <v>4.1158538102975086</v>
      </c>
      <c r="AA48" s="105">
        <v>2706.5854656516417</v>
      </c>
      <c r="AB48" s="105">
        <v>5.1674732052677133</v>
      </c>
      <c r="AC48" s="105">
        <v>3398.1303797840483</v>
      </c>
      <c r="AD48" s="105">
        <v>3.4053067807747346</v>
      </c>
      <c r="AE48" s="105">
        <v>2239.3297390374655</v>
      </c>
      <c r="AF48" s="105">
        <v>5.8029509806413673</v>
      </c>
      <c r="AG48" s="105">
        <v>3816.0205648697633</v>
      </c>
      <c r="AH48" s="105">
        <v>4.4899600516881693</v>
      </c>
      <c r="AI48" s="105">
        <v>2952.5977299901401</v>
      </c>
      <c r="AJ48" s="105">
        <v>5.0875446628840759</v>
      </c>
      <c r="AK48" s="105">
        <v>3345.5693703125685</v>
      </c>
      <c r="AL48" s="105">
        <v>4.5186498922740359</v>
      </c>
      <c r="AM48" s="105">
        <v>2971.4641691594061</v>
      </c>
      <c r="AN48" s="105">
        <v>3.5866544791591881</v>
      </c>
      <c r="AO48" s="105">
        <v>2358.5839854950823</v>
      </c>
      <c r="AP48" s="105">
        <v>5.0765879981398898</v>
      </c>
      <c r="AQ48" s="105">
        <v>3338.3642675767915</v>
      </c>
      <c r="AR48" s="105">
        <v>4.9280049347796977</v>
      </c>
      <c r="AS48" s="105">
        <v>3240.6560451111295</v>
      </c>
      <c r="AT48" s="105">
        <v>3.645199526499415</v>
      </c>
      <c r="AU48" s="105">
        <v>2397.0832086260152</v>
      </c>
      <c r="AV48" s="105">
        <v>3.8748970309089676</v>
      </c>
      <c r="AW48" s="105">
        <v>2548.1322875257374</v>
      </c>
      <c r="AX48" s="105">
        <v>6.4828300211540411</v>
      </c>
      <c r="AY48" s="105">
        <v>4263.1090219108974</v>
      </c>
      <c r="AZ48" s="105">
        <v>5.3451905377240099</v>
      </c>
      <c r="BA48" s="105">
        <v>3514.9972976073091</v>
      </c>
      <c r="BB48" s="105">
        <v>5.4904402805969452</v>
      </c>
      <c r="BC48" s="105">
        <v>3610.5135285205515</v>
      </c>
      <c r="BD48" s="105">
        <v>3.0925745253974632</v>
      </c>
      <c r="BE48" s="105">
        <v>2033.677007901372</v>
      </c>
      <c r="BF48" s="105">
        <v>4.0612703985119118</v>
      </c>
      <c r="BG48" s="105">
        <v>2670.6914140614335</v>
      </c>
      <c r="BH48" s="105">
        <v>0</v>
      </c>
      <c r="BI48" s="105">
        <v>0</v>
      </c>
      <c r="BJ48" s="105">
        <v>7.8848078956475112</v>
      </c>
      <c r="BK48" s="105">
        <v>5185.0496721778036</v>
      </c>
      <c r="BL48" s="105">
        <v>3.8855423524224539</v>
      </c>
      <c r="BM48" s="105">
        <v>2555.1326509530059</v>
      </c>
      <c r="BN48" s="105">
        <v>5.4362745020439718</v>
      </c>
      <c r="BO48" s="105">
        <v>3574.8941125441161</v>
      </c>
      <c r="BP48" s="105">
        <v>4.2289158626365309</v>
      </c>
      <c r="BQ48" s="105">
        <v>2780.9350712697828</v>
      </c>
      <c r="BR48" s="105">
        <v>3.5095221247686679</v>
      </c>
      <c r="BS48" s="105">
        <v>2307.8617492478761</v>
      </c>
      <c r="BT48" s="105">
        <v>4.6626508229069445</v>
      </c>
      <c r="BU48" s="105">
        <v>3066.1591811436069</v>
      </c>
      <c r="BV48" s="105">
        <v>4.0876803938779576</v>
      </c>
      <c r="BW48" s="105">
        <v>2688.0586270141448</v>
      </c>
      <c r="BX48" s="105">
        <v>4.3384583321526788</v>
      </c>
      <c r="BY48" s="105">
        <v>2852.9701992236019</v>
      </c>
      <c r="BZ48" s="105">
        <v>5.9425941860578702</v>
      </c>
      <c r="CA48" s="105">
        <v>3907.8499367516556</v>
      </c>
      <c r="CB48" s="105">
        <v>3.9424039478237578</v>
      </c>
      <c r="CC48" s="105">
        <v>2592.5248360889032</v>
      </c>
      <c r="CD48" s="105">
        <v>4.4043204866695929</v>
      </c>
      <c r="CE48" s="105">
        <v>2896.2811520339242</v>
      </c>
      <c r="CF48" s="105">
        <v>4.4800044861633612</v>
      </c>
      <c r="CG48" s="105">
        <v>2946.0509501010265</v>
      </c>
      <c r="CH48" s="105">
        <v>5.6409396588468113</v>
      </c>
      <c r="CI48" s="105">
        <v>3709.4819196576632</v>
      </c>
      <c r="CJ48" s="105">
        <v>0</v>
      </c>
      <c r="CK48" s="105">
        <v>0</v>
      </c>
      <c r="CL48" s="105">
        <v>10.728223132352255</v>
      </c>
      <c r="CM48" s="105">
        <v>7054.879531834843</v>
      </c>
      <c r="CN48" s="105">
        <v>6.1657902118253025</v>
      </c>
      <c r="CO48" s="105">
        <v>4054.6236432963192</v>
      </c>
      <c r="CP48" s="105">
        <v>5.0136030353838112</v>
      </c>
      <c r="CQ48" s="105">
        <v>3296.9453560683942</v>
      </c>
      <c r="CR48" s="105">
        <v>5.0652752672248145</v>
      </c>
      <c r="CS48" s="105">
        <v>3330.925015727038</v>
      </c>
      <c r="CT48" s="105">
        <v>4.2874950095696036</v>
      </c>
      <c r="CU48" s="105">
        <v>2819.4567182929713</v>
      </c>
    </row>
    <row r="49" spans="2:99" x14ac:dyDescent="0.2">
      <c r="B49" s="104" t="s">
        <v>129</v>
      </c>
      <c r="C49" s="104" t="s">
        <v>215</v>
      </c>
      <c r="D49" s="105">
        <v>4</v>
      </c>
      <c r="E49" s="105">
        <v>2366.4</v>
      </c>
      <c r="F49" s="105">
        <v>5</v>
      </c>
      <c r="G49" s="105">
        <v>2958</v>
      </c>
      <c r="H49" s="105">
        <v>0.74768698494623831</v>
      </c>
      <c r="I49" s="105">
        <v>442.33162029419458</v>
      </c>
      <c r="J49" s="105">
        <v>0</v>
      </c>
      <c r="K49" s="105">
        <v>0</v>
      </c>
      <c r="L49" s="105">
        <v>0</v>
      </c>
      <c r="M49" s="105">
        <v>0</v>
      </c>
      <c r="N49" s="105">
        <v>0</v>
      </c>
      <c r="O49" s="105">
        <v>0</v>
      </c>
      <c r="P49" s="105">
        <v>3.0823199568463107</v>
      </c>
      <c r="Q49" s="105">
        <v>1823.5004864702776</v>
      </c>
      <c r="R49" s="105">
        <v>3.5428965021221956</v>
      </c>
      <c r="S49" s="105">
        <v>2095.977570655491</v>
      </c>
      <c r="T49" s="105">
        <v>4.2306352348870933</v>
      </c>
      <c r="U49" s="105">
        <v>2502.8438049592046</v>
      </c>
      <c r="V49" s="105">
        <v>3.4828474088658874</v>
      </c>
      <c r="W49" s="105">
        <v>2060.452527085059</v>
      </c>
      <c r="X49" s="105">
        <v>2.818121103402341</v>
      </c>
      <c r="Y49" s="105">
        <v>1667.200444772825</v>
      </c>
      <c r="Z49" s="105">
        <v>3.5866995861484341</v>
      </c>
      <c r="AA49" s="105">
        <v>2121.8914751654138</v>
      </c>
      <c r="AB49" s="105">
        <v>2.8452184217042871</v>
      </c>
      <c r="AC49" s="105">
        <v>1683.2312182802564</v>
      </c>
      <c r="AD49" s="105">
        <v>2.8672743784616843</v>
      </c>
      <c r="AE49" s="105">
        <v>1696.2795222979325</v>
      </c>
      <c r="AF49" s="105">
        <v>2.2315438601602247</v>
      </c>
      <c r="AG49" s="105">
        <v>1320.1813476707889</v>
      </c>
      <c r="AH49" s="105">
        <v>5.1143679283968408</v>
      </c>
      <c r="AI49" s="105">
        <v>3025.660066439571</v>
      </c>
      <c r="AJ49" s="105">
        <v>0</v>
      </c>
      <c r="AK49" s="105">
        <v>0</v>
      </c>
      <c r="AL49" s="105">
        <v>6</v>
      </c>
      <c r="AM49" s="105">
        <v>3549.6000000000004</v>
      </c>
      <c r="AN49" s="105">
        <v>4.2567103695478536</v>
      </c>
      <c r="AO49" s="105">
        <v>2518.2698546245101</v>
      </c>
      <c r="AP49" s="105">
        <v>3.6531199488548864</v>
      </c>
      <c r="AQ49" s="105">
        <v>2161.1857617425508</v>
      </c>
      <c r="AR49" s="105">
        <v>3.2696432691408375</v>
      </c>
      <c r="AS49" s="105">
        <v>1934.3209580237194</v>
      </c>
      <c r="AT49" s="105">
        <v>2.7784292568755475</v>
      </c>
      <c r="AU49" s="105">
        <v>1643.7187483675739</v>
      </c>
      <c r="AV49" s="105">
        <v>3.7456039981929852</v>
      </c>
      <c r="AW49" s="105">
        <v>2215.89932533097</v>
      </c>
      <c r="AX49" s="105">
        <v>3.460850477862524</v>
      </c>
      <c r="AY49" s="105">
        <v>2047.4391427034693</v>
      </c>
      <c r="AZ49" s="105">
        <v>1.3636069855172619</v>
      </c>
      <c r="BA49" s="105">
        <v>806.70989263201216</v>
      </c>
      <c r="BB49" s="105">
        <v>3.5018072882514302</v>
      </c>
      <c r="BC49" s="105">
        <v>2071.6691917295461</v>
      </c>
      <c r="BD49" s="105">
        <v>2.5129742323332982</v>
      </c>
      <c r="BE49" s="105">
        <v>1486.6755558483792</v>
      </c>
      <c r="BF49" s="105">
        <v>3.0984577576674952</v>
      </c>
      <c r="BG49" s="105">
        <v>1833.0476094360902</v>
      </c>
      <c r="BH49" s="105">
        <v>2.1725603220062104</v>
      </c>
      <c r="BI49" s="105">
        <v>1285.2866864988741</v>
      </c>
      <c r="BJ49" s="105">
        <v>3.0348996498179059</v>
      </c>
      <c r="BK49" s="105">
        <v>1795.4466328322733</v>
      </c>
      <c r="BL49" s="105">
        <v>2.2938195027693475</v>
      </c>
      <c r="BM49" s="105">
        <v>1357.0236178383461</v>
      </c>
      <c r="BN49" s="105">
        <v>3.5960399496540294</v>
      </c>
      <c r="BO49" s="105">
        <v>2127.4172342153238</v>
      </c>
      <c r="BP49" s="105">
        <v>3.4011806420373083</v>
      </c>
      <c r="BQ49" s="105">
        <v>2012.1384678292716</v>
      </c>
      <c r="BR49" s="105">
        <v>2.1326321863585287</v>
      </c>
      <c r="BS49" s="105">
        <v>1261.6652014497056</v>
      </c>
      <c r="BT49" s="105">
        <v>1.8610233701713572</v>
      </c>
      <c r="BU49" s="105">
        <v>1100.9814257933749</v>
      </c>
      <c r="BV49" s="105">
        <v>3.5226513792529262</v>
      </c>
      <c r="BW49" s="105">
        <v>2084.0005559660312</v>
      </c>
      <c r="BX49" s="105">
        <v>3.0071414213134737</v>
      </c>
      <c r="BY49" s="105">
        <v>1779.024864849051</v>
      </c>
      <c r="BZ49" s="105">
        <v>2.5290830415149217</v>
      </c>
      <c r="CA49" s="105">
        <v>1496.2055273602277</v>
      </c>
      <c r="CB49" s="105">
        <v>2.191871969312932</v>
      </c>
      <c r="CC49" s="105">
        <v>1296.7114570455306</v>
      </c>
      <c r="CD49" s="105">
        <v>2.8021090516784644</v>
      </c>
      <c r="CE49" s="105">
        <v>1657.7277149729796</v>
      </c>
      <c r="CF49" s="105">
        <v>2.478247201484471</v>
      </c>
      <c r="CG49" s="105">
        <v>1466.1310443982131</v>
      </c>
      <c r="CH49" s="105">
        <v>3.0686207570381048</v>
      </c>
      <c r="CI49" s="105">
        <v>1815.3960398637428</v>
      </c>
      <c r="CJ49" s="105">
        <v>3.5407162581208897</v>
      </c>
      <c r="CK49" s="105">
        <v>2094.6877383043184</v>
      </c>
      <c r="CL49" s="105">
        <v>2.7862779270927103</v>
      </c>
      <c r="CM49" s="105">
        <v>1648.3620216680474</v>
      </c>
      <c r="CN49" s="105">
        <v>2.7654459425910822</v>
      </c>
      <c r="CO49" s="105">
        <v>1636.0378196368843</v>
      </c>
      <c r="CP49" s="105">
        <v>2.2016571120330792</v>
      </c>
      <c r="CQ49" s="105">
        <v>1302.5003474787698</v>
      </c>
      <c r="CR49" s="105">
        <v>2.6302463631755186</v>
      </c>
      <c r="CS49" s="105">
        <v>1556.0537484546369</v>
      </c>
      <c r="CT49" s="105">
        <v>4.7616528988522315</v>
      </c>
      <c r="CU49" s="105">
        <v>2816.9938549609801</v>
      </c>
    </row>
    <row r="50" spans="2:99" x14ac:dyDescent="0.2">
      <c r="C50" s="104" t="s">
        <v>216</v>
      </c>
      <c r="D50" s="105">
        <v>4</v>
      </c>
      <c r="E50" s="105">
        <v>1545.6</v>
      </c>
      <c r="F50" s="105">
        <v>5</v>
      </c>
      <c r="G50" s="105">
        <v>1932</v>
      </c>
      <c r="H50" s="105">
        <v>4.2403608934393775</v>
      </c>
      <c r="I50" s="105">
        <v>1638.4754492249754</v>
      </c>
      <c r="J50" s="105">
        <v>0</v>
      </c>
      <c r="K50" s="105">
        <v>0</v>
      </c>
      <c r="L50" s="105">
        <v>0</v>
      </c>
      <c r="M50" s="105">
        <v>0</v>
      </c>
      <c r="N50" s="105">
        <v>0</v>
      </c>
      <c r="O50" s="105">
        <v>0</v>
      </c>
      <c r="P50" s="105">
        <v>2.4700269233003374</v>
      </c>
      <c r="Q50" s="105">
        <v>954.41840316325033</v>
      </c>
      <c r="R50" s="105">
        <v>2.92117882880917</v>
      </c>
      <c r="S50" s="105">
        <v>1128.7434994518633</v>
      </c>
      <c r="T50" s="105">
        <v>2.9933067011254462</v>
      </c>
      <c r="U50" s="105">
        <v>1156.6137093148723</v>
      </c>
      <c r="V50" s="105">
        <v>0</v>
      </c>
      <c r="W50" s="105">
        <v>0</v>
      </c>
      <c r="X50" s="105">
        <v>6</v>
      </c>
      <c r="Y50" s="105">
        <v>2318.3999999999996</v>
      </c>
      <c r="Z50" s="105">
        <v>3.5278746945407211</v>
      </c>
      <c r="AA50" s="105">
        <v>1363.1707819705346</v>
      </c>
      <c r="AB50" s="105">
        <v>3.6172312436873995</v>
      </c>
      <c r="AC50" s="105">
        <v>1397.698152560811</v>
      </c>
      <c r="AD50" s="105">
        <v>2.8377556506456121</v>
      </c>
      <c r="AE50" s="105">
        <v>1096.5087834094645</v>
      </c>
      <c r="AF50" s="105">
        <v>2.6377049912006214</v>
      </c>
      <c r="AG50" s="105">
        <v>1019.2092085999201</v>
      </c>
      <c r="AH50" s="105">
        <v>3.9287150452271478</v>
      </c>
      <c r="AI50" s="105">
        <v>1518.0554934757697</v>
      </c>
      <c r="AJ50" s="105">
        <v>3.6339604734886257</v>
      </c>
      <c r="AK50" s="105">
        <v>1404.1623269560048</v>
      </c>
      <c r="AL50" s="105">
        <v>3.2276070659100253</v>
      </c>
      <c r="AM50" s="105">
        <v>1247.1473702676337</v>
      </c>
      <c r="AN50" s="105">
        <v>3.5866544791591881</v>
      </c>
      <c r="AO50" s="105">
        <v>1385.8832907471101</v>
      </c>
      <c r="AP50" s="105">
        <v>3.5536115986979224</v>
      </c>
      <c r="AQ50" s="105">
        <v>1373.1155217368771</v>
      </c>
      <c r="AR50" s="105">
        <v>3.2853366231864651</v>
      </c>
      <c r="AS50" s="105">
        <v>1269.4540711992502</v>
      </c>
      <c r="AT50" s="105">
        <v>2.0829711579996659</v>
      </c>
      <c r="AU50" s="105">
        <v>804.86005545107082</v>
      </c>
      <c r="AV50" s="105">
        <v>3.3213403122076861</v>
      </c>
      <c r="AW50" s="105">
        <v>1283.3658966370499</v>
      </c>
      <c r="AX50" s="105">
        <v>3.2414150105770205</v>
      </c>
      <c r="AY50" s="105">
        <v>1252.4827600869608</v>
      </c>
      <c r="AZ50" s="105">
        <v>2.1380762150896042</v>
      </c>
      <c r="BA50" s="105">
        <v>826.15264951062306</v>
      </c>
      <c r="BB50" s="105">
        <v>3.294264168358167</v>
      </c>
      <c r="BC50" s="105">
        <v>1272.9036746535958</v>
      </c>
      <c r="BD50" s="105">
        <v>2.0617163502649754</v>
      </c>
      <c r="BE50" s="105">
        <v>796.64719774238642</v>
      </c>
      <c r="BF50" s="105">
        <v>3.0459527988839334</v>
      </c>
      <c r="BG50" s="105">
        <v>1176.9561614887518</v>
      </c>
      <c r="BH50" s="105">
        <v>0</v>
      </c>
      <c r="BI50" s="105">
        <v>0</v>
      </c>
      <c r="BJ50" s="105">
        <v>3.9424039478237556</v>
      </c>
      <c r="BK50" s="105">
        <v>1523.344885439099</v>
      </c>
      <c r="BL50" s="105">
        <v>2.4284639702640338</v>
      </c>
      <c r="BM50" s="105">
        <v>938.35847811002259</v>
      </c>
      <c r="BN50" s="105">
        <v>2.7181372510219859</v>
      </c>
      <c r="BO50" s="105">
        <v>1050.2882337948952</v>
      </c>
      <c r="BP50" s="105">
        <v>2.8192772417576872</v>
      </c>
      <c r="BQ50" s="105">
        <v>1089.3687262151702</v>
      </c>
      <c r="BR50" s="105">
        <v>2.0054412141535245</v>
      </c>
      <c r="BS50" s="105">
        <v>774.90248514892187</v>
      </c>
      <c r="BT50" s="105">
        <v>2.5903615682816357</v>
      </c>
      <c r="BU50" s="105">
        <v>1000.9157099840239</v>
      </c>
      <c r="BV50" s="105">
        <v>4.0876803938779576</v>
      </c>
      <c r="BW50" s="105">
        <v>1579.4797041944428</v>
      </c>
      <c r="BX50" s="105">
        <v>3.0988988086804845</v>
      </c>
      <c r="BY50" s="105">
        <v>1197.4144996741391</v>
      </c>
      <c r="BZ50" s="105">
        <v>2.9712970930289351</v>
      </c>
      <c r="CA50" s="105">
        <v>1148.1091967463803</v>
      </c>
      <c r="CB50" s="105">
        <v>2.4640024673898488</v>
      </c>
      <c r="CC50" s="105">
        <v>952.09055339943757</v>
      </c>
      <c r="CD50" s="105">
        <v>2.2021602433347964</v>
      </c>
      <c r="CE50" s="105">
        <v>850.91471802456533</v>
      </c>
      <c r="CF50" s="105">
        <v>2.6880026916980166</v>
      </c>
      <c r="CG50" s="105">
        <v>1038.6442400721135</v>
      </c>
      <c r="CH50" s="105">
        <v>3.5896888738116073</v>
      </c>
      <c r="CI50" s="105">
        <v>1387.055780840805</v>
      </c>
      <c r="CJ50" s="105">
        <v>0</v>
      </c>
      <c r="CK50" s="105">
        <v>0</v>
      </c>
      <c r="CL50" s="105">
        <v>4.4700929718134397</v>
      </c>
      <c r="CM50" s="105">
        <v>1727.2439243087131</v>
      </c>
      <c r="CN50" s="105">
        <v>2.845749328534755</v>
      </c>
      <c r="CO50" s="105">
        <v>1099.5975405458294</v>
      </c>
      <c r="CP50" s="105">
        <v>2.5068015176919056</v>
      </c>
      <c r="CQ50" s="105">
        <v>968.62810643615228</v>
      </c>
      <c r="CR50" s="105">
        <v>3.3768501781498763</v>
      </c>
      <c r="CS50" s="105">
        <v>1304.8149088371122</v>
      </c>
      <c r="CT50" s="105">
        <v>3.2156212571772032</v>
      </c>
      <c r="CU50" s="105">
        <v>1242.5160537732713</v>
      </c>
    </row>
    <row r="51" spans="2:99" x14ac:dyDescent="0.2">
      <c r="C51" s="104" t="s">
        <v>217</v>
      </c>
      <c r="D51" s="105">
        <v>4</v>
      </c>
      <c r="E51" s="105">
        <v>542.4</v>
      </c>
      <c r="F51" s="105">
        <v>5</v>
      </c>
      <c r="G51" s="105">
        <v>678</v>
      </c>
      <c r="H51" s="105">
        <v>0.7272093957503033</v>
      </c>
      <c r="I51" s="105">
        <v>98.609594063741127</v>
      </c>
      <c r="J51" s="105">
        <v>0</v>
      </c>
      <c r="K51" s="105">
        <v>0</v>
      </c>
      <c r="L51" s="105">
        <v>0</v>
      </c>
      <c r="M51" s="105">
        <v>0</v>
      </c>
      <c r="N51" s="105">
        <v>0</v>
      </c>
      <c r="O51" s="105">
        <v>0</v>
      </c>
      <c r="P51" s="105">
        <v>2.4156527055191557</v>
      </c>
      <c r="Q51" s="105">
        <v>327.56250686839752</v>
      </c>
      <c r="R51" s="105">
        <v>2.7573791858121091</v>
      </c>
      <c r="S51" s="105">
        <v>373.90061759612195</v>
      </c>
      <c r="T51" s="105">
        <v>2.846646857295235</v>
      </c>
      <c r="U51" s="105">
        <v>386.00531384923386</v>
      </c>
      <c r="V51" s="105">
        <v>2.5462285274391099</v>
      </c>
      <c r="W51" s="105">
        <v>345.26858832074328</v>
      </c>
      <c r="X51" s="105">
        <v>2.1250478687649714</v>
      </c>
      <c r="Y51" s="105">
        <v>288.1564910045301</v>
      </c>
      <c r="Z51" s="105">
        <v>2.2610509323659294</v>
      </c>
      <c r="AA51" s="105">
        <v>306.59850642882003</v>
      </c>
      <c r="AB51" s="105">
        <v>2.8882037457229028</v>
      </c>
      <c r="AC51" s="105">
        <v>391.64042792002562</v>
      </c>
      <c r="AD51" s="105">
        <v>2.4156527055191557</v>
      </c>
      <c r="AE51" s="105">
        <v>327.56250686839752</v>
      </c>
      <c r="AF51" s="105">
        <v>2.5011625358030192</v>
      </c>
      <c r="AG51" s="105">
        <v>339.1576398548894</v>
      </c>
      <c r="AH51" s="105">
        <v>2.7670203717764874</v>
      </c>
      <c r="AI51" s="105">
        <v>375.20796241289167</v>
      </c>
      <c r="AJ51" s="105">
        <v>3.0013950429636234</v>
      </c>
      <c r="AK51" s="105">
        <v>406.9891678258673</v>
      </c>
      <c r="AL51" s="105">
        <v>0</v>
      </c>
      <c r="AM51" s="105">
        <v>0</v>
      </c>
      <c r="AN51" s="105">
        <v>5.2582579822463469</v>
      </c>
      <c r="AO51" s="105">
        <v>713.01978239260461</v>
      </c>
      <c r="AP51" s="105">
        <v>2.9309919493632419</v>
      </c>
      <c r="AQ51" s="105">
        <v>397.44250833365561</v>
      </c>
      <c r="AR51" s="105">
        <v>2.6917273004356304</v>
      </c>
      <c r="AS51" s="105">
        <v>364.99822193907147</v>
      </c>
      <c r="AT51" s="105">
        <v>2.0555008476053902</v>
      </c>
      <c r="AU51" s="105">
        <v>278.72591493529092</v>
      </c>
      <c r="AV51" s="105">
        <v>2.5693760595067383</v>
      </c>
      <c r="AW51" s="105">
        <v>348.40739366911367</v>
      </c>
      <c r="AX51" s="105">
        <v>2.6705325972825937</v>
      </c>
      <c r="AY51" s="105">
        <v>362.12422019151967</v>
      </c>
      <c r="AZ51" s="105">
        <v>2.4846713542482743</v>
      </c>
      <c r="BA51" s="105">
        <v>336.92143563606601</v>
      </c>
      <c r="BB51" s="105">
        <v>3.0204878867483789</v>
      </c>
      <c r="BC51" s="105">
        <v>409.57815744308016</v>
      </c>
      <c r="BD51" s="105">
        <v>2.4053733323041802</v>
      </c>
      <c r="BE51" s="105">
        <v>326.16862386044681</v>
      </c>
      <c r="BF51" s="105">
        <v>2.4156527055191557</v>
      </c>
      <c r="BG51" s="105">
        <v>327.56250686839752</v>
      </c>
      <c r="BH51" s="105">
        <v>2.4364772978081137</v>
      </c>
      <c r="BI51" s="105">
        <v>330.38632158278023</v>
      </c>
      <c r="BJ51" s="105">
        <v>2.2386642894712172</v>
      </c>
      <c r="BK51" s="105">
        <v>303.56287765229706</v>
      </c>
      <c r="BL51" s="105">
        <v>2.3357964177333983</v>
      </c>
      <c r="BM51" s="105">
        <v>316.73399424464878</v>
      </c>
      <c r="BN51" s="105">
        <v>2.4938061754035989</v>
      </c>
      <c r="BO51" s="105">
        <v>338.16011738472798</v>
      </c>
      <c r="BP51" s="105">
        <v>2.5693760595067383</v>
      </c>
      <c r="BQ51" s="105">
        <v>348.40739366911367</v>
      </c>
      <c r="BR51" s="105">
        <v>2.2167166003587542</v>
      </c>
      <c r="BS51" s="105">
        <v>300.58677100864708</v>
      </c>
      <c r="BT51" s="105">
        <v>2.2610509323659294</v>
      </c>
      <c r="BU51" s="105">
        <v>306.59850642882003</v>
      </c>
      <c r="BV51" s="105">
        <v>2.7573791858121091</v>
      </c>
      <c r="BW51" s="105">
        <v>373.90061759612195</v>
      </c>
      <c r="BX51" s="105">
        <v>2.7799806545482739</v>
      </c>
      <c r="BY51" s="105">
        <v>376.96537675674591</v>
      </c>
      <c r="BZ51" s="105">
        <v>2.6414146406144035</v>
      </c>
      <c r="CA51" s="105">
        <v>358.17582526731309</v>
      </c>
      <c r="CB51" s="105">
        <v>2.479222513559133</v>
      </c>
      <c r="CC51" s="105">
        <v>336.1825728386184</v>
      </c>
      <c r="CD51" s="105">
        <v>2.4156527055191557</v>
      </c>
      <c r="CE51" s="105">
        <v>327.56250686839752</v>
      </c>
      <c r="CF51" s="105">
        <v>2.6089049219606881</v>
      </c>
      <c r="CG51" s="105">
        <v>353.7675074178693</v>
      </c>
      <c r="CH51" s="105">
        <v>2.6917273004356304</v>
      </c>
      <c r="CI51" s="105">
        <v>364.99822193907147</v>
      </c>
      <c r="CJ51" s="105">
        <v>2.6735399538110656</v>
      </c>
      <c r="CK51" s="105">
        <v>362.53201773678046</v>
      </c>
      <c r="CL51" s="105">
        <v>2.2978159881767577</v>
      </c>
      <c r="CM51" s="105">
        <v>311.58384799676833</v>
      </c>
      <c r="CN51" s="105">
        <v>3.1156213634963597</v>
      </c>
      <c r="CO51" s="105">
        <v>422.47825689010637</v>
      </c>
      <c r="CP51" s="105">
        <v>2.5234943441584035</v>
      </c>
      <c r="CQ51" s="105">
        <v>342.18583306787951</v>
      </c>
      <c r="CR51" s="105">
        <v>2.8742172869058429</v>
      </c>
      <c r="CS51" s="105">
        <v>389.7438641044323</v>
      </c>
      <c r="CT51" s="105">
        <v>2.846646857295235</v>
      </c>
      <c r="CU51" s="105">
        <v>386.00531384923386</v>
      </c>
    </row>
    <row r="52" spans="2:99" x14ac:dyDescent="0.2">
      <c r="C52" s="104" t="s">
        <v>218</v>
      </c>
      <c r="D52" s="105">
        <v>4</v>
      </c>
      <c r="E52" s="105">
        <v>1065.5999999999999</v>
      </c>
      <c r="F52" s="105">
        <v>5</v>
      </c>
      <c r="G52" s="105">
        <v>1332</v>
      </c>
      <c r="H52" s="105">
        <v>0.90901174468787926</v>
      </c>
      <c r="I52" s="105">
        <v>242.16072878485102</v>
      </c>
      <c r="J52" s="105">
        <v>0</v>
      </c>
      <c r="K52" s="105">
        <v>0</v>
      </c>
      <c r="L52" s="105">
        <v>0</v>
      </c>
      <c r="M52" s="105">
        <v>0</v>
      </c>
      <c r="N52" s="105">
        <v>0</v>
      </c>
      <c r="O52" s="105">
        <v>0</v>
      </c>
      <c r="P52" s="105">
        <v>2.4156527055191557</v>
      </c>
      <c r="Q52" s="105">
        <v>643.52988075030305</v>
      </c>
      <c r="R52" s="105">
        <v>2.2978159881767577</v>
      </c>
      <c r="S52" s="105">
        <v>612.1381792502882</v>
      </c>
      <c r="T52" s="105">
        <v>2.846646857295235</v>
      </c>
      <c r="U52" s="105">
        <v>758.34672278345056</v>
      </c>
      <c r="V52" s="105">
        <v>2.5462285274391099</v>
      </c>
      <c r="W52" s="105">
        <v>678.31527970977879</v>
      </c>
      <c r="X52" s="105">
        <v>2.5500574425179656</v>
      </c>
      <c r="Y52" s="105">
        <v>679.33530268678601</v>
      </c>
      <c r="Z52" s="105">
        <v>2.2610509323659294</v>
      </c>
      <c r="AA52" s="105">
        <v>602.34396838228349</v>
      </c>
      <c r="AB52" s="105">
        <v>2.8882037457229028</v>
      </c>
      <c r="AC52" s="105">
        <v>769.41747786058124</v>
      </c>
      <c r="AD52" s="105">
        <v>2.4156527055191557</v>
      </c>
      <c r="AE52" s="105">
        <v>643.52988075030305</v>
      </c>
      <c r="AF52" s="105">
        <v>2.5011625358030192</v>
      </c>
      <c r="AG52" s="105">
        <v>666.3096995379243</v>
      </c>
      <c r="AH52" s="105">
        <v>2.7670203717764874</v>
      </c>
      <c r="AI52" s="105">
        <v>737.13422704125617</v>
      </c>
      <c r="AJ52" s="105">
        <v>2.5011625358030192</v>
      </c>
      <c r="AK52" s="105">
        <v>666.3096995379243</v>
      </c>
      <c r="AL52" s="105">
        <v>0</v>
      </c>
      <c r="AM52" s="105">
        <v>0</v>
      </c>
      <c r="AN52" s="105">
        <v>5.2582579822463469</v>
      </c>
      <c r="AO52" s="105">
        <v>1400.7999264704267</v>
      </c>
      <c r="AP52" s="105">
        <v>2.5122788137399219</v>
      </c>
      <c r="AQ52" s="105">
        <v>669.27107598031512</v>
      </c>
      <c r="AR52" s="105">
        <v>2.2431060836963583</v>
      </c>
      <c r="AS52" s="105">
        <v>597.56346069670985</v>
      </c>
      <c r="AT52" s="105">
        <v>2.0555008476053902</v>
      </c>
      <c r="AU52" s="105">
        <v>547.58542580207586</v>
      </c>
      <c r="AV52" s="105">
        <v>2.5693760595067383</v>
      </c>
      <c r="AW52" s="105">
        <v>684.48178225259505</v>
      </c>
      <c r="AX52" s="105">
        <v>2.6705325972825937</v>
      </c>
      <c r="AY52" s="105">
        <v>711.42988391608287</v>
      </c>
      <c r="AZ52" s="105">
        <v>2.4846713542482743</v>
      </c>
      <c r="BA52" s="105">
        <v>661.91644877174019</v>
      </c>
      <c r="BB52" s="105">
        <v>2.5889896172128966</v>
      </c>
      <c r="BC52" s="105">
        <v>689.7068340255156</v>
      </c>
      <c r="BD52" s="105">
        <v>1.804029999228135</v>
      </c>
      <c r="BE52" s="105">
        <v>480.59359179437513</v>
      </c>
      <c r="BF52" s="105">
        <v>2.4156527055191557</v>
      </c>
      <c r="BG52" s="105">
        <v>643.52988075030305</v>
      </c>
      <c r="BH52" s="105">
        <v>2.4364772978081137</v>
      </c>
      <c r="BI52" s="105">
        <v>649.07755213608141</v>
      </c>
      <c r="BJ52" s="105">
        <v>2.2386642894712172</v>
      </c>
      <c r="BK52" s="105">
        <v>596.38016671513219</v>
      </c>
      <c r="BL52" s="105">
        <v>2.8029557012800779</v>
      </c>
      <c r="BM52" s="105">
        <v>746.7073988210127</v>
      </c>
      <c r="BN52" s="105">
        <v>2.4938061754035989</v>
      </c>
      <c r="BO52" s="105">
        <v>664.34996512751866</v>
      </c>
      <c r="BP52" s="105">
        <v>2.5693760595067383</v>
      </c>
      <c r="BQ52" s="105">
        <v>684.48178225259505</v>
      </c>
      <c r="BR52" s="105">
        <v>2.2167166003587542</v>
      </c>
      <c r="BS52" s="105">
        <v>590.5333023355721</v>
      </c>
      <c r="BT52" s="105">
        <v>2.2610509323659294</v>
      </c>
      <c r="BU52" s="105">
        <v>602.34396838228349</v>
      </c>
      <c r="BV52" s="105">
        <v>2.7573791858121091</v>
      </c>
      <c r="BW52" s="105">
        <v>734.56581510034584</v>
      </c>
      <c r="BX52" s="105">
        <v>2.3166505454568949</v>
      </c>
      <c r="BY52" s="105">
        <v>617.15570530971672</v>
      </c>
      <c r="BZ52" s="105">
        <v>2.6414146406144035</v>
      </c>
      <c r="CA52" s="105">
        <v>703.67286025967701</v>
      </c>
      <c r="CB52" s="105">
        <v>2.479222513559133</v>
      </c>
      <c r="CC52" s="105">
        <v>660.46487761215303</v>
      </c>
      <c r="CD52" s="105">
        <v>2.4156527055191557</v>
      </c>
      <c r="CE52" s="105">
        <v>643.52988075030305</v>
      </c>
      <c r="CF52" s="105">
        <v>2.6089049219606881</v>
      </c>
      <c r="CG52" s="105">
        <v>695.0122712103273</v>
      </c>
      <c r="CH52" s="105">
        <v>2.6917273004356304</v>
      </c>
      <c r="CI52" s="105">
        <v>717.07615283605185</v>
      </c>
      <c r="CJ52" s="105">
        <v>2.2916056746951989</v>
      </c>
      <c r="CK52" s="105">
        <v>610.48375173880095</v>
      </c>
      <c r="CL52" s="105">
        <v>2.2978159881767577</v>
      </c>
      <c r="CM52" s="105">
        <v>612.1381792502882</v>
      </c>
      <c r="CN52" s="105">
        <v>2.6705325972825937</v>
      </c>
      <c r="CO52" s="105">
        <v>711.42988391608287</v>
      </c>
      <c r="CP52" s="105">
        <v>2.5234943441584035</v>
      </c>
      <c r="CQ52" s="105">
        <v>672.25889328379867</v>
      </c>
      <c r="CR52" s="105">
        <v>2.8742172869058429</v>
      </c>
      <c r="CS52" s="105">
        <v>765.69148523171646</v>
      </c>
      <c r="CT52" s="105">
        <v>2.4399830205387731</v>
      </c>
      <c r="CU52" s="105">
        <v>650.01147667152907</v>
      </c>
    </row>
    <row r="53" spans="2:99" x14ac:dyDescent="0.2">
      <c r="C53" s="104" t="s">
        <v>219</v>
      </c>
      <c r="D53" s="105">
        <v>4</v>
      </c>
      <c r="E53" s="105">
        <v>1569.6</v>
      </c>
      <c r="F53" s="105">
        <v>5</v>
      </c>
      <c r="G53" s="105">
        <v>1962</v>
      </c>
      <c r="H53" s="105">
        <v>0.90901174468787926</v>
      </c>
      <c r="I53" s="105">
        <v>356.6962086155238</v>
      </c>
      <c r="J53" s="105">
        <v>0</v>
      </c>
      <c r="K53" s="105">
        <v>0</v>
      </c>
      <c r="L53" s="105">
        <v>0</v>
      </c>
      <c r="M53" s="105">
        <v>0</v>
      </c>
      <c r="N53" s="105">
        <v>0</v>
      </c>
      <c r="O53" s="105">
        <v>0</v>
      </c>
      <c r="P53" s="105">
        <v>1.9325221644153245</v>
      </c>
      <c r="Q53" s="105">
        <v>758.32169731657325</v>
      </c>
      <c r="R53" s="105">
        <v>2.2978159881767577</v>
      </c>
      <c r="S53" s="105">
        <v>901.66299376055963</v>
      </c>
      <c r="T53" s="105">
        <v>2.4399830205387731</v>
      </c>
      <c r="U53" s="105">
        <v>957.44933725941451</v>
      </c>
      <c r="V53" s="105">
        <v>2.5462285274391099</v>
      </c>
      <c r="W53" s="105">
        <v>999.1400741671066</v>
      </c>
      <c r="X53" s="105">
        <v>2.1250478687649714</v>
      </c>
      <c r="Y53" s="105">
        <v>833.86878370337479</v>
      </c>
      <c r="Z53" s="105">
        <v>2.7132611188391156</v>
      </c>
      <c r="AA53" s="105">
        <v>1064.683663032469</v>
      </c>
      <c r="AB53" s="105">
        <v>2.4756032106196311</v>
      </c>
      <c r="AC53" s="105">
        <v>971.42669984714314</v>
      </c>
      <c r="AD53" s="105">
        <v>2.4156527055191557</v>
      </c>
      <c r="AE53" s="105">
        <v>947.90212164571665</v>
      </c>
      <c r="AF53" s="105">
        <v>2.5011625358030192</v>
      </c>
      <c r="AG53" s="105">
        <v>981.45617904910466</v>
      </c>
      <c r="AH53" s="105">
        <v>2.7670203717764874</v>
      </c>
      <c r="AI53" s="105">
        <v>1085.7787938850936</v>
      </c>
      <c r="AJ53" s="105">
        <v>2.5011625358030192</v>
      </c>
      <c r="AK53" s="105">
        <v>981.45617904910466</v>
      </c>
      <c r="AL53" s="105">
        <v>0</v>
      </c>
      <c r="AM53" s="105">
        <v>0</v>
      </c>
      <c r="AN53" s="105">
        <v>5.2582579822463469</v>
      </c>
      <c r="AO53" s="105">
        <v>2063.3404322334663</v>
      </c>
      <c r="AP53" s="105">
        <v>2.5122788137399219</v>
      </c>
      <c r="AQ53" s="105">
        <v>985.81820651154533</v>
      </c>
      <c r="AR53" s="105">
        <v>2.6917273004356304</v>
      </c>
      <c r="AS53" s="105">
        <v>1056.2337926909413</v>
      </c>
      <c r="AT53" s="105">
        <v>2.0555008476053902</v>
      </c>
      <c r="AU53" s="105">
        <v>806.57853260035506</v>
      </c>
      <c r="AV53" s="105">
        <v>2.5693760595067383</v>
      </c>
      <c r="AW53" s="105">
        <v>1008.2231657504441</v>
      </c>
      <c r="AX53" s="105">
        <v>3.1156213634963597</v>
      </c>
      <c r="AY53" s="105">
        <v>1222.5698230359715</v>
      </c>
      <c r="AZ53" s="105">
        <v>2.4846713542482743</v>
      </c>
      <c r="BA53" s="105">
        <v>974.98503940702278</v>
      </c>
      <c r="BB53" s="105">
        <v>2.5889896172128966</v>
      </c>
      <c r="BC53" s="105">
        <v>1015.9195257943405</v>
      </c>
      <c r="BD53" s="105">
        <v>1.804029999228135</v>
      </c>
      <c r="BE53" s="105">
        <v>707.90137169712011</v>
      </c>
      <c r="BF53" s="105">
        <v>2.4156527055191557</v>
      </c>
      <c r="BG53" s="105">
        <v>947.90212164571665</v>
      </c>
      <c r="BH53" s="105">
        <v>2.4364772978081137</v>
      </c>
      <c r="BI53" s="105">
        <v>956.07369165990372</v>
      </c>
      <c r="BJ53" s="105">
        <v>2.2386642894712172</v>
      </c>
      <c r="BK53" s="105">
        <v>878.45186718850562</v>
      </c>
      <c r="BL53" s="105">
        <v>2.3357964177333983</v>
      </c>
      <c r="BM53" s="105">
        <v>916.5665143185854</v>
      </c>
      <c r="BN53" s="105">
        <v>2.4938061754035989</v>
      </c>
      <c r="BO53" s="105">
        <v>978.56954322837214</v>
      </c>
      <c r="BP53" s="105">
        <v>2.5693760595067383</v>
      </c>
      <c r="BQ53" s="105">
        <v>1008.2231657504441</v>
      </c>
      <c r="BR53" s="105">
        <v>2.2167166003587542</v>
      </c>
      <c r="BS53" s="105">
        <v>869.83959398077513</v>
      </c>
      <c r="BT53" s="105">
        <v>2.2610509323659294</v>
      </c>
      <c r="BU53" s="105">
        <v>887.23638586039067</v>
      </c>
      <c r="BV53" s="105">
        <v>3.2169423834474604</v>
      </c>
      <c r="BW53" s="105">
        <v>1262.3281912647833</v>
      </c>
      <c r="BX53" s="105">
        <v>2.7799806545482739</v>
      </c>
      <c r="BY53" s="105">
        <v>1090.8644088447427</v>
      </c>
      <c r="BZ53" s="105">
        <v>2.6414146406144035</v>
      </c>
      <c r="CA53" s="105">
        <v>1036.4911049770919</v>
      </c>
      <c r="CB53" s="105">
        <v>2.479222513559133</v>
      </c>
      <c r="CC53" s="105">
        <v>972.84691432060379</v>
      </c>
      <c r="CD53" s="105">
        <v>2.4156527055191557</v>
      </c>
      <c r="CE53" s="105">
        <v>947.90212164571665</v>
      </c>
      <c r="CF53" s="105">
        <v>2.6089049219606881</v>
      </c>
      <c r="CG53" s="105">
        <v>1023.734291377374</v>
      </c>
      <c r="CH53" s="105">
        <v>2.6917273004356304</v>
      </c>
      <c r="CI53" s="105">
        <v>1056.2337926909413</v>
      </c>
      <c r="CJ53" s="105">
        <v>2.2916056746951989</v>
      </c>
      <c r="CK53" s="105">
        <v>899.22606675039606</v>
      </c>
      <c r="CL53" s="105">
        <v>2.2978159881767577</v>
      </c>
      <c r="CM53" s="105">
        <v>901.66299376055963</v>
      </c>
      <c r="CN53" s="105">
        <v>2.6705325972825937</v>
      </c>
      <c r="CO53" s="105">
        <v>1047.9169911736897</v>
      </c>
      <c r="CP53" s="105">
        <v>2.5234943441584035</v>
      </c>
      <c r="CQ53" s="105">
        <v>990.21918064775741</v>
      </c>
      <c r="CR53" s="105">
        <v>2.8742172869058429</v>
      </c>
      <c r="CS53" s="105">
        <v>1127.8428633818528</v>
      </c>
      <c r="CT53" s="105">
        <v>2.4399830205387731</v>
      </c>
      <c r="CU53" s="105">
        <v>957.44933725941451</v>
      </c>
    </row>
    <row r="54" spans="2:99" x14ac:dyDescent="0.2">
      <c r="C54" s="104" t="s">
        <v>220</v>
      </c>
      <c r="D54" s="105">
        <v>4</v>
      </c>
      <c r="E54" s="105">
        <v>1632</v>
      </c>
      <c r="F54" s="105">
        <v>5</v>
      </c>
      <c r="G54" s="105">
        <v>2040</v>
      </c>
      <c r="H54" s="105">
        <v>4.2403608934393775</v>
      </c>
      <c r="I54" s="105">
        <v>1730.067244523266</v>
      </c>
      <c r="J54" s="105">
        <v>0</v>
      </c>
      <c r="K54" s="105">
        <v>0</v>
      </c>
      <c r="L54" s="105">
        <v>0</v>
      </c>
      <c r="M54" s="105">
        <v>0</v>
      </c>
      <c r="N54" s="105">
        <v>0</v>
      </c>
      <c r="O54" s="105">
        <v>0</v>
      </c>
      <c r="P54" s="105">
        <v>2.4700269233003374</v>
      </c>
      <c r="Q54" s="105">
        <v>1007.7709847065377</v>
      </c>
      <c r="R54" s="105">
        <v>2.92117882880917</v>
      </c>
      <c r="S54" s="105">
        <v>1191.8409621541414</v>
      </c>
      <c r="T54" s="105">
        <v>2.9933067011254462</v>
      </c>
      <c r="U54" s="105">
        <v>1221.2691340591821</v>
      </c>
      <c r="V54" s="105">
        <v>0</v>
      </c>
      <c r="W54" s="105">
        <v>0</v>
      </c>
      <c r="X54" s="105">
        <v>6</v>
      </c>
      <c r="Y54" s="105">
        <v>2448</v>
      </c>
      <c r="Z54" s="105">
        <v>3.5278746945407211</v>
      </c>
      <c r="AA54" s="105">
        <v>1439.3728753726143</v>
      </c>
      <c r="AB54" s="105">
        <v>3.6172312436873995</v>
      </c>
      <c r="AC54" s="105">
        <v>1475.830347424459</v>
      </c>
      <c r="AD54" s="105">
        <v>3.4053067807747346</v>
      </c>
      <c r="AE54" s="105">
        <v>1389.3651665560917</v>
      </c>
      <c r="AF54" s="105">
        <v>2.6377049912006214</v>
      </c>
      <c r="AG54" s="105">
        <v>1076.1836364098535</v>
      </c>
      <c r="AH54" s="105">
        <v>3.9287150452271478</v>
      </c>
      <c r="AI54" s="105">
        <v>1602.9157384526764</v>
      </c>
      <c r="AJ54" s="105">
        <v>3.6339604734886257</v>
      </c>
      <c r="AK54" s="105">
        <v>1482.6558731833593</v>
      </c>
      <c r="AL54" s="105">
        <v>3.8731284790920304</v>
      </c>
      <c r="AM54" s="105">
        <v>1580.2364194695483</v>
      </c>
      <c r="AN54" s="105">
        <v>3.5866544791591881</v>
      </c>
      <c r="AO54" s="105">
        <v>1463.3550274969487</v>
      </c>
      <c r="AP54" s="105">
        <v>3.5536115986979224</v>
      </c>
      <c r="AQ54" s="105">
        <v>1449.8735322687523</v>
      </c>
      <c r="AR54" s="105">
        <v>2.7377805193220541</v>
      </c>
      <c r="AS54" s="105">
        <v>1117.0144518833981</v>
      </c>
      <c r="AT54" s="105">
        <v>2.6037139474995823</v>
      </c>
      <c r="AU54" s="105">
        <v>1062.3152905798295</v>
      </c>
      <c r="AV54" s="105">
        <v>3.3213403122076861</v>
      </c>
      <c r="AW54" s="105">
        <v>1355.1068473807359</v>
      </c>
      <c r="AX54" s="105">
        <v>3.2414150105770205</v>
      </c>
      <c r="AY54" s="105">
        <v>1322.4973243154243</v>
      </c>
      <c r="AZ54" s="105">
        <v>1.6035571613172031</v>
      </c>
      <c r="BA54" s="105">
        <v>654.2513218174189</v>
      </c>
      <c r="BB54" s="105">
        <v>3.294264168358167</v>
      </c>
      <c r="BC54" s="105">
        <v>1344.0597806901321</v>
      </c>
      <c r="BD54" s="105">
        <v>1.5462872626987316</v>
      </c>
      <c r="BE54" s="105">
        <v>630.88520318108249</v>
      </c>
      <c r="BF54" s="105">
        <v>2.5382939990699449</v>
      </c>
      <c r="BG54" s="105">
        <v>1035.6239516205376</v>
      </c>
      <c r="BH54" s="105">
        <v>0</v>
      </c>
      <c r="BI54" s="105">
        <v>0</v>
      </c>
      <c r="BJ54" s="105">
        <v>3.9424039478237556</v>
      </c>
      <c r="BK54" s="105">
        <v>1608.5008107120923</v>
      </c>
      <c r="BL54" s="105">
        <v>2.4284639702640338</v>
      </c>
      <c r="BM54" s="105">
        <v>990.81329986772585</v>
      </c>
      <c r="BN54" s="105">
        <v>3.1711601261923166</v>
      </c>
      <c r="BO54" s="105">
        <v>1293.8333314864651</v>
      </c>
      <c r="BP54" s="105">
        <v>2.8192772417576872</v>
      </c>
      <c r="BQ54" s="105">
        <v>1150.2651146371363</v>
      </c>
      <c r="BR54" s="105">
        <v>2.0054412141535245</v>
      </c>
      <c r="BS54" s="105">
        <v>818.22001537463802</v>
      </c>
      <c r="BT54" s="105">
        <v>2.5903615682816357</v>
      </c>
      <c r="BU54" s="105">
        <v>1056.8675198589074</v>
      </c>
      <c r="BV54" s="105">
        <v>4.0876803938779576</v>
      </c>
      <c r="BW54" s="105">
        <v>1667.7736007022067</v>
      </c>
      <c r="BX54" s="105">
        <v>3.7186785704165817</v>
      </c>
      <c r="BY54" s="105">
        <v>1517.2208567299654</v>
      </c>
      <c r="BZ54" s="105">
        <v>2.9712970930289351</v>
      </c>
      <c r="CA54" s="105">
        <v>1212.2892139558055</v>
      </c>
      <c r="CB54" s="105">
        <v>2.4640024673898488</v>
      </c>
      <c r="CC54" s="105">
        <v>1005.3130066950583</v>
      </c>
      <c r="CD54" s="105">
        <v>2.2021602433347964</v>
      </c>
      <c r="CE54" s="105">
        <v>898.48137928059691</v>
      </c>
      <c r="CF54" s="105">
        <v>2.6880026916980166</v>
      </c>
      <c r="CG54" s="105">
        <v>1096.7050982127907</v>
      </c>
      <c r="CH54" s="105">
        <v>3.5896888738116073</v>
      </c>
      <c r="CI54" s="105">
        <v>1464.5930605151357</v>
      </c>
      <c r="CJ54" s="105">
        <v>0</v>
      </c>
      <c r="CK54" s="105">
        <v>0</v>
      </c>
      <c r="CL54" s="105">
        <v>4.4700929718134397</v>
      </c>
      <c r="CM54" s="105">
        <v>1823.7979324998835</v>
      </c>
      <c r="CN54" s="105">
        <v>2.845749328534755</v>
      </c>
      <c r="CO54" s="105">
        <v>1161.0657260421801</v>
      </c>
      <c r="CP54" s="105">
        <v>2.5068015176919056</v>
      </c>
      <c r="CQ54" s="105">
        <v>1022.7750192182975</v>
      </c>
      <c r="CR54" s="105">
        <v>2.8140418151248969</v>
      </c>
      <c r="CS54" s="105">
        <v>1148.129060570958</v>
      </c>
      <c r="CT54" s="105">
        <v>3.2156212571772032</v>
      </c>
      <c r="CU54" s="105">
        <v>1311.9734729282989</v>
      </c>
    </row>
    <row r="55" spans="2:99" x14ac:dyDescent="0.2">
      <c r="C55" s="104" t="s">
        <v>221</v>
      </c>
      <c r="D55" s="105">
        <v>4</v>
      </c>
      <c r="E55" s="105">
        <v>1017.5999999999998</v>
      </c>
      <c r="F55" s="105">
        <v>5</v>
      </c>
      <c r="G55" s="105">
        <v>1271.9999999999998</v>
      </c>
      <c r="H55" s="105">
        <v>0.90901174468787926</v>
      </c>
      <c r="I55" s="105">
        <v>231.25258784859645</v>
      </c>
      <c r="J55" s="105">
        <v>0</v>
      </c>
      <c r="K55" s="105">
        <v>0</v>
      </c>
      <c r="L55" s="105">
        <v>0</v>
      </c>
      <c r="M55" s="105">
        <v>0</v>
      </c>
      <c r="N55" s="105">
        <v>0</v>
      </c>
      <c r="O55" s="105">
        <v>0</v>
      </c>
      <c r="P55" s="105">
        <v>2.4156527055191557</v>
      </c>
      <c r="Q55" s="105">
        <v>614.54204828407308</v>
      </c>
      <c r="R55" s="105">
        <v>2.7573791858121091</v>
      </c>
      <c r="S55" s="105">
        <v>701.47726487060038</v>
      </c>
      <c r="T55" s="105">
        <v>2.846646857295235</v>
      </c>
      <c r="U55" s="105">
        <v>724.18696049590767</v>
      </c>
      <c r="V55" s="105">
        <v>2.5462285274391099</v>
      </c>
      <c r="W55" s="105">
        <v>647.76053738050939</v>
      </c>
      <c r="X55" s="105">
        <v>2.5500574425179656</v>
      </c>
      <c r="Y55" s="105">
        <v>648.73461337657034</v>
      </c>
      <c r="Z55" s="105">
        <v>2.7132611188391156</v>
      </c>
      <c r="AA55" s="105">
        <v>690.25362863267083</v>
      </c>
      <c r="AB55" s="105">
        <v>2.8882037457229028</v>
      </c>
      <c r="AC55" s="105">
        <v>734.75903291190639</v>
      </c>
      <c r="AD55" s="105">
        <v>2.8987832466229864</v>
      </c>
      <c r="AE55" s="105">
        <v>737.45045794088753</v>
      </c>
      <c r="AF55" s="105">
        <v>2.5011625358030192</v>
      </c>
      <c r="AG55" s="105">
        <v>636.29574910828796</v>
      </c>
      <c r="AH55" s="105">
        <v>2.3717317472369892</v>
      </c>
      <c r="AI55" s="105">
        <v>603.36855649708991</v>
      </c>
      <c r="AJ55" s="105">
        <v>2.5011625358030192</v>
      </c>
      <c r="AK55" s="105">
        <v>636.29574910828796</v>
      </c>
      <c r="AL55" s="105">
        <v>0</v>
      </c>
      <c r="AM55" s="105">
        <v>0</v>
      </c>
      <c r="AN55" s="105">
        <v>5.2582579822463469</v>
      </c>
      <c r="AO55" s="105">
        <v>1337.7008306834705</v>
      </c>
      <c r="AP55" s="105">
        <v>2.9309919493632419</v>
      </c>
      <c r="AQ55" s="105">
        <v>745.64435191800862</v>
      </c>
      <c r="AR55" s="105">
        <v>2.6917273004356304</v>
      </c>
      <c r="AS55" s="105">
        <v>684.77542523082423</v>
      </c>
      <c r="AT55" s="105">
        <v>2.5693760595067383</v>
      </c>
      <c r="AU55" s="105">
        <v>653.64926953851409</v>
      </c>
      <c r="AV55" s="105">
        <v>2.5693760595067383</v>
      </c>
      <c r="AW55" s="105">
        <v>653.64926953851409</v>
      </c>
      <c r="AX55" s="105">
        <v>2.6705325972825937</v>
      </c>
      <c r="AY55" s="105">
        <v>679.38349274869176</v>
      </c>
      <c r="AZ55" s="105">
        <v>2.4846713542482743</v>
      </c>
      <c r="BA55" s="105">
        <v>632.10039252076092</v>
      </c>
      <c r="BB55" s="105">
        <v>2.5889896172128966</v>
      </c>
      <c r="BC55" s="105">
        <v>658.63895861896071</v>
      </c>
      <c r="BD55" s="105">
        <v>1.804029999228135</v>
      </c>
      <c r="BE55" s="105">
        <v>458.94523180363745</v>
      </c>
      <c r="BF55" s="105">
        <v>2.8987832466229864</v>
      </c>
      <c r="BG55" s="105">
        <v>737.45045794088753</v>
      </c>
      <c r="BH55" s="105">
        <v>2.9237727573697363</v>
      </c>
      <c r="BI55" s="105">
        <v>743.80778947486078</v>
      </c>
      <c r="BJ55" s="105">
        <v>2.2386642894712172</v>
      </c>
      <c r="BK55" s="105">
        <v>569.51619524147759</v>
      </c>
      <c r="BL55" s="105">
        <v>2.3357964177333983</v>
      </c>
      <c r="BM55" s="105">
        <v>594.22660867137643</v>
      </c>
      <c r="BN55" s="105">
        <v>2.4938061754035989</v>
      </c>
      <c r="BO55" s="105">
        <v>634.42429102267545</v>
      </c>
      <c r="BP55" s="105">
        <v>2.5693760595067383</v>
      </c>
      <c r="BQ55" s="105">
        <v>653.64926953851409</v>
      </c>
      <c r="BR55" s="105">
        <v>2.2167166003587542</v>
      </c>
      <c r="BS55" s="105">
        <v>563.93270313126698</v>
      </c>
      <c r="BT55" s="105">
        <v>2.2610509323659294</v>
      </c>
      <c r="BU55" s="105">
        <v>575.21135719389235</v>
      </c>
      <c r="BV55" s="105">
        <v>2.7573791858121091</v>
      </c>
      <c r="BW55" s="105">
        <v>701.47726487060038</v>
      </c>
      <c r="BX55" s="105">
        <v>2.7799806545482739</v>
      </c>
      <c r="BY55" s="105">
        <v>707.22707851708071</v>
      </c>
      <c r="BZ55" s="105">
        <v>2.6414146406144035</v>
      </c>
      <c r="CA55" s="105">
        <v>671.97588457230415</v>
      </c>
      <c r="CB55" s="105">
        <v>2.479222513559133</v>
      </c>
      <c r="CC55" s="105">
        <v>630.71420744944328</v>
      </c>
      <c r="CD55" s="105">
        <v>2.4156527055191557</v>
      </c>
      <c r="CE55" s="105">
        <v>614.54204828407308</v>
      </c>
      <c r="CF55" s="105">
        <v>2.6089049219606881</v>
      </c>
      <c r="CG55" s="105">
        <v>663.70541214679895</v>
      </c>
      <c r="CH55" s="105">
        <v>2.6917273004356304</v>
      </c>
      <c r="CI55" s="105">
        <v>684.77542523082423</v>
      </c>
      <c r="CJ55" s="105">
        <v>2.6735399538110656</v>
      </c>
      <c r="CK55" s="105">
        <v>680.14856424953496</v>
      </c>
      <c r="CL55" s="105">
        <v>2.2978159881767577</v>
      </c>
      <c r="CM55" s="105">
        <v>584.56438739216708</v>
      </c>
      <c r="CN55" s="105">
        <v>2.6705325972825937</v>
      </c>
      <c r="CO55" s="105">
        <v>679.38349274869176</v>
      </c>
      <c r="CP55" s="105">
        <v>3.0281932129900841</v>
      </c>
      <c r="CQ55" s="105">
        <v>770.37235338467724</v>
      </c>
      <c r="CR55" s="105">
        <v>2.3951810724215354</v>
      </c>
      <c r="CS55" s="105">
        <v>609.33406482403848</v>
      </c>
      <c r="CT55" s="105">
        <v>2.4399830205387731</v>
      </c>
      <c r="CU55" s="105">
        <v>620.73168042506381</v>
      </c>
    </row>
    <row r="56" spans="2:99" x14ac:dyDescent="0.2">
      <c r="C56" s="104" t="s">
        <v>222</v>
      </c>
      <c r="D56" s="105">
        <v>4</v>
      </c>
      <c r="E56" s="105">
        <v>3033.6</v>
      </c>
      <c r="F56" s="105">
        <v>5</v>
      </c>
      <c r="G56" s="105">
        <v>3792</v>
      </c>
      <c r="H56" s="105">
        <v>0.74768698494623831</v>
      </c>
      <c r="I56" s="105">
        <v>567.04580938322715</v>
      </c>
      <c r="J56" s="105">
        <v>0</v>
      </c>
      <c r="K56" s="105">
        <v>0</v>
      </c>
      <c r="L56" s="105">
        <v>0</v>
      </c>
      <c r="M56" s="105">
        <v>0</v>
      </c>
      <c r="N56" s="105">
        <v>0</v>
      </c>
      <c r="O56" s="105">
        <v>0</v>
      </c>
      <c r="P56" s="105">
        <v>3.0823199568463107</v>
      </c>
      <c r="Q56" s="105">
        <v>2337.631455272242</v>
      </c>
      <c r="R56" s="105">
        <v>4.2514758025466346</v>
      </c>
      <c r="S56" s="105">
        <v>3224.3192486513676</v>
      </c>
      <c r="T56" s="105">
        <v>4.2306352348870933</v>
      </c>
      <c r="U56" s="105">
        <v>3208.5137621383715</v>
      </c>
      <c r="V56" s="105">
        <v>3.4828474088658874</v>
      </c>
      <c r="W56" s="105">
        <v>2641.3914748838888</v>
      </c>
      <c r="X56" s="105">
        <v>2.818121103402341</v>
      </c>
      <c r="Y56" s="105">
        <v>2137.2630448203354</v>
      </c>
      <c r="Z56" s="105">
        <v>3.5866995861484341</v>
      </c>
      <c r="AA56" s="105">
        <v>2720.1529661349723</v>
      </c>
      <c r="AB56" s="105">
        <v>3.3194214919883342</v>
      </c>
      <c r="AC56" s="105">
        <v>2517.4492595239526</v>
      </c>
      <c r="AD56" s="105">
        <v>2.8672743784616843</v>
      </c>
      <c r="AE56" s="105">
        <v>2174.5408886253413</v>
      </c>
      <c r="AF56" s="105">
        <v>2.2315438601602247</v>
      </c>
      <c r="AG56" s="105">
        <v>1692.4028635455143</v>
      </c>
      <c r="AH56" s="105">
        <v>5.1143679283968408</v>
      </c>
      <c r="AI56" s="105">
        <v>3878.7366368961639</v>
      </c>
      <c r="AJ56" s="105">
        <v>0</v>
      </c>
      <c r="AK56" s="105">
        <v>0</v>
      </c>
      <c r="AL56" s="105">
        <v>6</v>
      </c>
      <c r="AM56" s="105">
        <v>4550.3999999999996</v>
      </c>
      <c r="AN56" s="105">
        <v>4.2567103695478536</v>
      </c>
      <c r="AO56" s="105">
        <v>3228.2891442650921</v>
      </c>
      <c r="AP56" s="105">
        <v>4.2619732736640339</v>
      </c>
      <c r="AQ56" s="105">
        <v>3232.2805307468034</v>
      </c>
      <c r="AR56" s="105">
        <v>2.7247027242840316</v>
      </c>
      <c r="AS56" s="105">
        <v>2066.4145460970094</v>
      </c>
      <c r="AT56" s="105">
        <v>3.4730365710944349</v>
      </c>
      <c r="AU56" s="105">
        <v>2633.9509355180194</v>
      </c>
      <c r="AV56" s="105">
        <v>3.7456039981929852</v>
      </c>
      <c r="AW56" s="105">
        <v>2840.6660722295601</v>
      </c>
      <c r="AX56" s="105">
        <v>3.460850477862524</v>
      </c>
      <c r="AY56" s="105">
        <v>2624.709002410938</v>
      </c>
      <c r="AZ56" s="105">
        <v>1.8181426473563491</v>
      </c>
      <c r="BA56" s="105">
        <v>1378.8793837550552</v>
      </c>
      <c r="BB56" s="105">
        <v>2.9181727402095246</v>
      </c>
      <c r="BC56" s="105">
        <v>2213.1422061749035</v>
      </c>
      <c r="BD56" s="105">
        <v>1.8847306742499734</v>
      </c>
      <c r="BE56" s="105">
        <v>1429.3797433511797</v>
      </c>
      <c r="BF56" s="105">
        <v>2.5820481313895796</v>
      </c>
      <c r="BG56" s="105">
        <v>1958.2253028458572</v>
      </c>
      <c r="BH56" s="105">
        <v>2.1725603220062104</v>
      </c>
      <c r="BI56" s="105">
        <v>1647.6697482095099</v>
      </c>
      <c r="BJ56" s="105">
        <v>3.0348996498179059</v>
      </c>
      <c r="BK56" s="105">
        <v>2301.6678944218997</v>
      </c>
      <c r="BL56" s="105">
        <v>2.2938195027693475</v>
      </c>
      <c r="BM56" s="105">
        <v>1739.6327109002732</v>
      </c>
      <c r="BN56" s="105">
        <v>3.5960399496540294</v>
      </c>
      <c r="BO56" s="105">
        <v>2727.236697817616</v>
      </c>
      <c r="BP56" s="105">
        <v>3.4011806420373083</v>
      </c>
      <c r="BQ56" s="105">
        <v>2579.4553989210945</v>
      </c>
      <c r="BR56" s="105">
        <v>2.1326321863585287</v>
      </c>
      <c r="BS56" s="105">
        <v>1617.388250134308</v>
      </c>
      <c r="BT56" s="105">
        <v>1.8610233701713572</v>
      </c>
      <c r="BU56" s="105">
        <v>1411.4001239379572</v>
      </c>
      <c r="BV56" s="105">
        <v>3.5226513792529262</v>
      </c>
      <c r="BW56" s="105">
        <v>2671.578806025419</v>
      </c>
      <c r="BX56" s="105">
        <v>3.6085697055761683</v>
      </c>
      <c r="BY56" s="105">
        <v>2736.7392647089659</v>
      </c>
      <c r="BZ56" s="105">
        <v>2.5290830415149217</v>
      </c>
      <c r="CA56" s="105">
        <v>1918.0565786849165</v>
      </c>
      <c r="CB56" s="105">
        <v>2.7398399616411648</v>
      </c>
      <c r="CC56" s="105">
        <v>2077.8946269086596</v>
      </c>
      <c r="CD56" s="105">
        <v>2.8021090516784644</v>
      </c>
      <c r="CE56" s="105">
        <v>2125.1195047929473</v>
      </c>
      <c r="CF56" s="105">
        <v>2.9738966417813648</v>
      </c>
      <c r="CG56" s="105">
        <v>2255.4032131269869</v>
      </c>
      <c r="CH56" s="105">
        <v>3.0686207570381048</v>
      </c>
      <c r="CI56" s="105">
        <v>2327.2419821376984</v>
      </c>
      <c r="CJ56" s="105">
        <v>3.5407162581208897</v>
      </c>
      <c r="CK56" s="105">
        <v>2685.2792101588825</v>
      </c>
      <c r="CL56" s="105">
        <v>2.7862779270927103</v>
      </c>
      <c r="CM56" s="105">
        <v>2113.1131799071113</v>
      </c>
      <c r="CN56" s="105">
        <v>3.2263535996895958</v>
      </c>
      <c r="CO56" s="105">
        <v>2446.8665700045894</v>
      </c>
      <c r="CP56" s="105">
        <v>2.2016571120330792</v>
      </c>
      <c r="CQ56" s="105">
        <v>1669.7367537658872</v>
      </c>
      <c r="CR56" s="105">
        <v>2.6302463631755186</v>
      </c>
      <c r="CS56" s="105">
        <v>1994.7788418323132</v>
      </c>
      <c r="CT56" s="105">
        <v>4.0814167704447701</v>
      </c>
      <c r="CU56" s="105">
        <v>3095.3464787053135</v>
      </c>
    </row>
    <row r="57" spans="2:99" x14ac:dyDescent="0.2">
      <c r="C57" s="104" t="s">
        <v>223</v>
      </c>
      <c r="D57" s="105">
        <v>4</v>
      </c>
      <c r="E57" s="105">
        <v>2798.4</v>
      </c>
      <c r="F57" s="105">
        <v>5</v>
      </c>
      <c r="G57" s="105">
        <v>3498</v>
      </c>
      <c r="H57" s="105">
        <v>0.7272093957503033</v>
      </c>
      <c r="I57" s="105">
        <v>508.7556932669122</v>
      </c>
      <c r="J57" s="105">
        <v>0</v>
      </c>
      <c r="K57" s="105">
        <v>0</v>
      </c>
      <c r="L57" s="105">
        <v>0</v>
      </c>
      <c r="M57" s="105">
        <v>0</v>
      </c>
      <c r="N57" s="105">
        <v>0</v>
      </c>
      <c r="O57" s="105">
        <v>0</v>
      </c>
      <c r="P57" s="105">
        <v>2.4156527055191557</v>
      </c>
      <c r="Q57" s="105">
        <v>1689.9906327812014</v>
      </c>
      <c r="R57" s="105">
        <v>2.2978159881767577</v>
      </c>
      <c r="S57" s="105">
        <v>1607.5520653284598</v>
      </c>
      <c r="T57" s="105">
        <v>2.846646857295235</v>
      </c>
      <c r="U57" s="105">
        <v>1991.5141413637466</v>
      </c>
      <c r="V57" s="105">
        <v>2.5462285274391099</v>
      </c>
      <c r="W57" s="105">
        <v>1781.3414777964013</v>
      </c>
      <c r="X57" s="105">
        <v>2.5500574425179656</v>
      </c>
      <c r="Y57" s="105">
        <v>1784.0201867855687</v>
      </c>
      <c r="Z57" s="105">
        <v>2.7132611188391156</v>
      </c>
      <c r="AA57" s="105">
        <v>1898.1974787398453</v>
      </c>
      <c r="AB57" s="105">
        <v>2.8882037457229028</v>
      </c>
      <c r="AC57" s="105">
        <v>2020.587340507743</v>
      </c>
      <c r="AD57" s="105">
        <v>2.4156527055191557</v>
      </c>
      <c r="AE57" s="105">
        <v>1689.9906327812014</v>
      </c>
      <c r="AF57" s="105">
        <v>2.5011625358030192</v>
      </c>
      <c r="AG57" s="105">
        <v>1749.8133100477924</v>
      </c>
      <c r="AH57" s="105">
        <v>2.7670203717764874</v>
      </c>
      <c r="AI57" s="105">
        <v>1935.8074520948308</v>
      </c>
      <c r="AJ57" s="105">
        <v>3.0013950429636234</v>
      </c>
      <c r="AK57" s="105">
        <v>2099.7759720573508</v>
      </c>
      <c r="AL57" s="105">
        <v>0</v>
      </c>
      <c r="AM57" s="105">
        <v>0</v>
      </c>
      <c r="AN57" s="105">
        <v>4.3818816518719554</v>
      </c>
      <c r="AO57" s="105">
        <v>3065.5644036496201</v>
      </c>
      <c r="AP57" s="105">
        <v>2.5122788137399219</v>
      </c>
      <c r="AQ57" s="105">
        <v>1757.5902580924494</v>
      </c>
      <c r="AR57" s="105">
        <v>2.2431060836963583</v>
      </c>
      <c r="AS57" s="105">
        <v>1569.2770161539725</v>
      </c>
      <c r="AT57" s="105">
        <v>2.0555008476053902</v>
      </c>
      <c r="AU57" s="105">
        <v>1438.028392984731</v>
      </c>
      <c r="AV57" s="105">
        <v>2.5693760595067383</v>
      </c>
      <c r="AW57" s="105">
        <v>1797.5354912309142</v>
      </c>
      <c r="AX57" s="105">
        <v>3.1156213634963597</v>
      </c>
      <c r="AY57" s="105">
        <v>2179.6887059020532</v>
      </c>
      <c r="AZ57" s="105">
        <v>2.4846713542482743</v>
      </c>
      <c r="BA57" s="105">
        <v>1738.2760794320927</v>
      </c>
      <c r="BB57" s="105">
        <v>2.5889896172128966</v>
      </c>
      <c r="BC57" s="105">
        <v>1811.2571362021424</v>
      </c>
      <c r="BD57" s="105">
        <v>2.4053733323041802</v>
      </c>
      <c r="BE57" s="105">
        <v>1682.7991832800044</v>
      </c>
      <c r="BF57" s="105">
        <v>2.4156527055191557</v>
      </c>
      <c r="BG57" s="105">
        <v>1689.9906327812014</v>
      </c>
      <c r="BH57" s="105">
        <v>2.9237727573697363</v>
      </c>
      <c r="BI57" s="105">
        <v>2045.4714210558675</v>
      </c>
      <c r="BJ57" s="105">
        <v>2.2386642894712172</v>
      </c>
      <c r="BK57" s="105">
        <v>1566.1695369140637</v>
      </c>
      <c r="BL57" s="105">
        <v>2.3357964177333983</v>
      </c>
      <c r="BM57" s="105">
        <v>1634.1231738462855</v>
      </c>
      <c r="BN57" s="105">
        <v>2.4938061754035989</v>
      </c>
      <c r="BO57" s="105">
        <v>1744.666800312358</v>
      </c>
      <c r="BP57" s="105">
        <v>2.5693760595067383</v>
      </c>
      <c r="BQ57" s="105">
        <v>1797.5354912309142</v>
      </c>
      <c r="BR57" s="105">
        <v>2.2167166003587542</v>
      </c>
      <c r="BS57" s="105">
        <v>1550.8149336109846</v>
      </c>
      <c r="BT57" s="105">
        <v>2.2610509323659294</v>
      </c>
      <c r="BU57" s="105">
        <v>1581.8312322832041</v>
      </c>
      <c r="BV57" s="105">
        <v>2.7573791858121091</v>
      </c>
      <c r="BW57" s="105">
        <v>1929.0624783941516</v>
      </c>
      <c r="BX57" s="105">
        <v>2.7799806545482739</v>
      </c>
      <c r="BY57" s="105">
        <v>1944.8744659219724</v>
      </c>
      <c r="BZ57" s="105">
        <v>2.6414146406144035</v>
      </c>
      <c r="CA57" s="105">
        <v>1847.9336825738367</v>
      </c>
      <c r="CB57" s="105">
        <v>2.479222513559133</v>
      </c>
      <c r="CC57" s="105">
        <v>1734.4640704859696</v>
      </c>
      <c r="CD57" s="105">
        <v>2.4156527055191557</v>
      </c>
      <c r="CE57" s="105">
        <v>1689.9906327812014</v>
      </c>
      <c r="CF57" s="105">
        <v>2.6089049219606881</v>
      </c>
      <c r="CG57" s="105">
        <v>1825.1898834036974</v>
      </c>
      <c r="CH57" s="105">
        <v>2.6917273004356304</v>
      </c>
      <c r="CI57" s="105">
        <v>1883.132419384767</v>
      </c>
      <c r="CJ57" s="105">
        <v>2.2916056746951989</v>
      </c>
      <c r="CK57" s="105">
        <v>1603.2073300167613</v>
      </c>
      <c r="CL57" s="105">
        <v>2.2978159881767577</v>
      </c>
      <c r="CM57" s="105">
        <v>1607.5520653284598</v>
      </c>
      <c r="CN57" s="105">
        <v>3.1156213634963597</v>
      </c>
      <c r="CO57" s="105">
        <v>2179.6887059020532</v>
      </c>
      <c r="CP57" s="105">
        <v>2.5234943441584035</v>
      </c>
      <c r="CQ57" s="105">
        <v>1765.4366431732192</v>
      </c>
      <c r="CR57" s="105">
        <v>2.3951810724215354</v>
      </c>
      <c r="CS57" s="105">
        <v>1675.6686782661063</v>
      </c>
      <c r="CT57" s="105">
        <v>2.4399830205387731</v>
      </c>
      <c r="CU57" s="105">
        <v>1707.0121211689257</v>
      </c>
    </row>
    <row r="58" spans="2:99" x14ac:dyDescent="0.2">
      <c r="C58" s="104" t="s">
        <v>224</v>
      </c>
      <c r="D58" s="105">
        <v>4</v>
      </c>
      <c r="E58" s="105">
        <v>3024</v>
      </c>
      <c r="F58" s="105">
        <v>5</v>
      </c>
      <c r="G58" s="105">
        <v>3780</v>
      </c>
      <c r="H58" s="105">
        <v>0.93460873118279786</v>
      </c>
      <c r="I58" s="105">
        <v>706.56420077419523</v>
      </c>
      <c r="J58" s="105">
        <v>0</v>
      </c>
      <c r="K58" s="105">
        <v>0</v>
      </c>
      <c r="L58" s="105">
        <v>0</v>
      </c>
      <c r="M58" s="105">
        <v>0</v>
      </c>
      <c r="N58" s="105">
        <v>0</v>
      </c>
      <c r="O58" s="105">
        <v>0</v>
      </c>
      <c r="P58" s="105">
        <v>3.0823199568463107</v>
      </c>
      <c r="Q58" s="105">
        <v>2330.2338873758108</v>
      </c>
      <c r="R58" s="105">
        <v>3.5428965021221956</v>
      </c>
      <c r="S58" s="105">
        <v>2678.4297556043798</v>
      </c>
      <c r="T58" s="105">
        <v>4.2306352348870933</v>
      </c>
      <c r="U58" s="105">
        <v>3198.3602375746427</v>
      </c>
      <c r="V58" s="105">
        <v>3.4828474088658874</v>
      </c>
      <c r="W58" s="105">
        <v>2633.0326411026108</v>
      </c>
      <c r="X58" s="105">
        <v>2.3484342528352844</v>
      </c>
      <c r="Y58" s="105">
        <v>1775.4162951434751</v>
      </c>
      <c r="Z58" s="105">
        <v>3.5866995861484341</v>
      </c>
      <c r="AA58" s="105">
        <v>2711.544887128216</v>
      </c>
      <c r="AB58" s="105">
        <v>2.8452184217042871</v>
      </c>
      <c r="AC58" s="105">
        <v>2150.9851268084412</v>
      </c>
      <c r="AD58" s="105">
        <v>2.8672743784616843</v>
      </c>
      <c r="AE58" s="105">
        <v>2167.6594301170335</v>
      </c>
      <c r="AF58" s="105">
        <v>2.2315438601602247</v>
      </c>
      <c r="AG58" s="105">
        <v>1687.0471582811299</v>
      </c>
      <c r="AH58" s="105">
        <v>4.3837439386258641</v>
      </c>
      <c r="AI58" s="105">
        <v>3314.1104176011531</v>
      </c>
      <c r="AJ58" s="105">
        <v>0</v>
      </c>
      <c r="AK58" s="105">
        <v>0</v>
      </c>
      <c r="AL58" s="105">
        <v>5</v>
      </c>
      <c r="AM58" s="105">
        <v>3780</v>
      </c>
      <c r="AN58" s="105">
        <v>4.2567103695478536</v>
      </c>
      <c r="AO58" s="105">
        <v>3218.0730393781773</v>
      </c>
      <c r="AP58" s="105">
        <v>4.2619732736640339</v>
      </c>
      <c r="AQ58" s="105">
        <v>3222.0517948900097</v>
      </c>
      <c r="AR58" s="105">
        <v>3.2696432691408375</v>
      </c>
      <c r="AS58" s="105">
        <v>2471.8503114704731</v>
      </c>
      <c r="AT58" s="105">
        <v>3.4730365710944349</v>
      </c>
      <c r="AU58" s="105">
        <v>2625.6156477473928</v>
      </c>
      <c r="AV58" s="105">
        <v>3.7456039981929852</v>
      </c>
      <c r="AW58" s="105">
        <v>2831.6766226338968</v>
      </c>
      <c r="AX58" s="105">
        <v>3.460850477862524</v>
      </c>
      <c r="AY58" s="105">
        <v>2616.4029612640679</v>
      </c>
      <c r="AZ58" s="105">
        <v>1.3636069855172619</v>
      </c>
      <c r="BA58" s="105">
        <v>1030.8868810510501</v>
      </c>
      <c r="BB58" s="105">
        <v>3.5018072882514302</v>
      </c>
      <c r="BC58" s="105">
        <v>2647.3663099180812</v>
      </c>
      <c r="BD58" s="105">
        <v>2.5129742323332982</v>
      </c>
      <c r="BE58" s="105">
        <v>1899.8085196439733</v>
      </c>
      <c r="BF58" s="105">
        <v>2.5820481313895796</v>
      </c>
      <c r="BG58" s="105">
        <v>1952.028387330522</v>
      </c>
      <c r="BH58" s="105">
        <v>2.1725603220062104</v>
      </c>
      <c r="BI58" s="105">
        <v>1642.4556034366951</v>
      </c>
      <c r="BJ58" s="105">
        <v>3.0348996498179059</v>
      </c>
      <c r="BK58" s="105">
        <v>2294.3841352623367</v>
      </c>
      <c r="BL58" s="105">
        <v>2.2938195027693475</v>
      </c>
      <c r="BM58" s="105">
        <v>1734.1275440936267</v>
      </c>
      <c r="BN58" s="105">
        <v>3.0823199568463107</v>
      </c>
      <c r="BO58" s="105">
        <v>2330.2338873758108</v>
      </c>
      <c r="BP58" s="105">
        <v>3.4011806420373083</v>
      </c>
      <c r="BQ58" s="105">
        <v>2571.2925653802049</v>
      </c>
      <c r="BR58" s="105">
        <v>2.1326321863585287</v>
      </c>
      <c r="BS58" s="105">
        <v>1612.2699328870476</v>
      </c>
      <c r="BT58" s="105">
        <v>1.8610233701713572</v>
      </c>
      <c r="BU58" s="105">
        <v>1406.9336678495461</v>
      </c>
      <c r="BV58" s="105">
        <v>4.1097599424617473</v>
      </c>
      <c r="BW58" s="105">
        <v>3106.9785165010808</v>
      </c>
      <c r="BX58" s="105">
        <v>3.0071414213134737</v>
      </c>
      <c r="BY58" s="105">
        <v>2273.3989145129863</v>
      </c>
      <c r="BZ58" s="105">
        <v>2.5290830415149217</v>
      </c>
      <c r="CA58" s="105">
        <v>1911.9867793852809</v>
      </c>
      <c r="CB58" s="105">
        <v>2.7398399616411648</v>
      </c>
      <c r="CC58" s="105">
        <v>2071.3190110007208</v>
      </c>
      <c r="CD58" s="105">
        <v>2.8021090516784644</v>
      </c>
      <c r="CE58" s="105">
        <v>2118.3944430689189</v>
      </c>
      <c r="CF58" s="105">
        <v>2.9738966417813648</v>
      </c>
      <c r="CG58" s="105">
        <v>2248.2658611867118</v>
      </c>
      <c r="CH58" s="105">
        <v>2.6302463631755186</v>
      </c>
      <c r="CI58" s="105">
        <v>1988.4662505606921</v>
      </c>
      <c r="CJ58" s="105">
        <v>3.0348996498179059</v>
      </c>
      <c r="CK58" s="105">
        <v>2294.3841352623367</v>
      </c>
      <c r="CL58" s="105">
        <v>2.7862779270927103</v>
      </c>
      <c r="CM58" s="105">
        <v>2106.426112882089</v>
      </c>
      <c r="CN58" s="105">
        <v>3.2263535996895958</v>
      </c>
      <c r="CO58" s="105">
        <v>2439.1233213653345</v>
      </c>
      <c r="CP58" s="105">
        <v>2.2016571120330792</v>
      </c>
      <c r="CQ58" s="105">
        <v>1664.4527766970079</v>
      </c>
      <c r="CR58" s="105">
        <v>2.6302463631755186</v>
      </c>
      <c r="CS58" s="105">
        <v>1988.4662505606921</v>
      </c>
      <c r="CT58" s="105">
        <v>4.0814167704447701</v>
      </c>
      <c r="CU58" s="105">
        <v>3085.5510784562462</v>
      </c>
    </row>
    <row r="59" spans="2:99" x14ac:dyDescent="0.2">
      <c r="C59" s="104" t="s">
        <v>225</v>
      </c>
      <c r="D59" s="105">
        <v>4</v>
      </c>
      <c r="E59" s="105">
        <v>1756.8</v>
      </c>
      <c r="F59" s="105">
        <v>5</v>
      </c>
      <c r="G59" s="105">
        <v>2196</v>
      </c>
      <c r="H59" s="105">
        <v>4.2403608934393775</v>
      </c>
      <c r="I59" s="105">
        <v>1862.3665043985745</v>
      </c>
      <c r="J59" s="105">
        <v>0</v>
      </c>
      <c r="K59" s="105">
        <v>0</v>
      </c>
      <c r="L59" s="105">
        <v>0</v>
      </c>
      <c r="M59" s="105">
        <v>0</v>
      </c>
      <c r="N59" s="105">
        <v>0</v>
      </c>
      <c r="O59" s="105">
        <v>0</v>
      </c>
      <c r="P59" s="105">
        <v>2.4700269233003374</v>
      </c>
      <c r="Q59" s="105">
        <v>1084.8358247135081</v>
      </c>
      <c r="R59" s="105">
        <v>2.4343156906743086</v>
      </c>
      <c r="S59" s="105">
        <v>1069.1514513441564</v>
      </c>
      <c r="T59" s="105">
        <v>2.9933067011254462</v>
      </c>
      <c r="U59" s="105">
        <v>1314.6603031342959</v>
      </c>
      <c r="V59" s="105">
        <v>0</v>
      </c>
      <c r="W59" s="105">
        <v>0</v>
      </c>
      <c r="X59" s="105">
        <v>6</v>
      </c>
      <c r="Y59" s="105">
        <v>2635.2</v>
      </c>
      <c r="Z59" s="105">
        <v>3.5278746945407211</v>
      </c>
      <c r="AA59" s="105">
        <v>1549.4425658422847</v>
      </c>
      <c r="AB59" s="105">
        <v>3.6172312436873995</v>
      </c>
      <c r="AC59" s="105">
        <v>1588.6879622275057</v>
      </c>
      <c r="AD59" s="105">
        <v>3.4053067807747346</v>
      </c>
      <c r="AE59" s="105">
        <v>1495.6107381162633</v>
      </c>
      <c r="AF59" s="105">
        <v>3.1652459894407454</v>
      </c>
      <c r="AG59" s="105">
        <v>1390.1760385623754</v>
      </c>
      <c r="AH59" s="105">
        <v>3.3674700387661267</v>
      </c>
      <c r="AI59" s="105">
        <v>1478.9928410260827</v>
      </c>
      <c r="AJ59" s="105">
        <v>3.6339604734886257</v>
      </c>
      <c r="AK59" s="105">
        <v>1596.0354399562043</v>
      </c>
      <c r="AL59" s="105">
        <v>3.2276070659100253</v>
      </c>
      <c r="AM59" s="105">
        <v>1417.5650233476831</v>
      </c>
      <c r="AN59" s="105">
        <v>3.5866544791591881</v>
      </c>
      <c r="AO59" s="105">
        <v>1575.2586472467153</v>
      </c>
      <c r="AP59" s="105">
        <v>3.0459527988839334</v>
      </c>
      <c r="AQ59" s="105">
        <v>1337.7824692698234</v>
      </c>
      <c r="AR59" s="105">
        <v>3.2853366231864651</v>
      </c>
      <c r="AS59" s="105">
        <v>1442.9198449034955</v>
      </c>
      <c r="AT59" s="105">
        <v>2.0829711579996659</v>
      </c>
      <c r="AU59" s="105">
        <v>914.8409325934532</v>
      </c>
      <c r="AV59" s="105">
        <v>3.3213403122076861</v>
      </c>
      <c r="AW59" s="105">
        <v>1458.7326651216158</v>
      </c>
      <c r="AX59" s="105">
        <v>3.2414150105770205</v>
      </c>
      <c r="AY59" s="105">
        <v>1423.6294726454273</v>
      </c>
      <c r="AZ59" s="105">
        <v>1.6035571613172031</v>
      </c>
      <c r="BA59" s="105">
        <v>704.28230525051561</v>
      </c>
      <c r="BB59" s="105">
        <v>3.8433081964178619</v>
      </c>
      <c r="BC59" s="105">
        <v>1687.980959866725</v>
      </c>
      <c r="BD59" s="105">
        <v>1.5462872626987316</v>
      </c>
      <c r="BE59" s="105">
        <v>679.12936577728294</v>
      </c>
      <c r="BF59" s="105">
        <v>3.0459527988839334</v>
      </c>
      <c r="BG59" s="105">
        <v>1337.7824692698234</v>
      </c>
      <c r="BH59" s="105">
        <v>0</v>
      </c>
      <c r="BI59" s="105">
        <v>0</v>
      </c>
      <c r="BJ59" s="105">
        <v>3.9424039478237556</v>
      </c>
      <c r="BK59" s="105">
        <v>1731.5038138841935</v>
      </c>
      <c r="BL59" s="105">
        <v>2.4284639702640338</v>
      </c>
      <c r="BM59" s="105">
        <v>1066.5813757399637</v>
      </c>
      <c r="BN59" s="105">
        <v>2.7181372510219859</v>
      </c>
      <c r="BO59" s="105">
        <v>1193.8058806488561</v>
      </c>
      <c r="BP59" s="105">
        <v>2.8192772417576872</v>
      </c>
      <c r="BQ59" s="105">
        <v>1238.2265645799762</v>
      </c>
      <c r="BR59" s="105">
        <v>2.0054412141535245</v>
      </c>
      <c r="BS59" s="105">
        <v>880.78978125622791</v>
      </c>
      <c r="BT59" s="105">
        <v>2.0722892546253084</v>
      </c>
      <c r="BU59" s="105">
        <v>910.14944063143548</v>
      </c>
      <c r="BV59" s="105">
        <v>3.5037260518953914</v>
      </c>
      <c r="BW59" s="105">
        <v>1538.8364819924559</v>
      </c>
      <c r="BX59" s="105">
        <v>3.7186785704165817</v>
      </c>
      <c r="BY59" s="105">
        <v>1633.2436281269627</v>
      </c>
      <c r="BZ59" s="105">
        <v>3.5655565116347221</v>
      </c>
      <c r="CA59" s="105">
        <v>1565.9924199099698</v>
      </c>
      <c r="CB59" s="105">
        <v>2.4640024673898488</v>
      </c>
      <c r="CC59" s="105">
        <v>1082.1898836776215</v>
      </c>
      <c r="CD59" s="105">
        <v>2.7527003041684956</v>
      </c>
      <c r="CE59" s="105">
        <v>1208.9859735908033</v>
      </c>
      <c r="CF59" s="105">
        <v>2.6880026916980166</v>
      </c>
      <c r="CG59" s="105">
        <v>1180.570782193769</v>
      </c>
      <c r="CH59" s="105">
        <v>3.5896888738116073</v>
      </c>
      <c r="CI59" s="105">
        <v>1576.5913533780579</v>
      </c>
      <c r="CJ59" s="105">
        <v>0</v>
      </c>
      <c r="CK59" s="105">
        <v>0</v>
      </c>
      <c r="CL59" s="105">
        <v>4.4700929718134397</v>
      </c>
      <c r="CM59" s="105">
        <v>1963.2648332204626</v>
      </c>
      <c r="CN59" s="105">
        <v>3.3200408832905475</v>
      </c>
      <c r="CO59" s="105">
        <v>1458.1619559412084</v>
      </c>
      <c r="CP59" s="105">
        <v>2.5068015176919056</v>
      </c>
      <c r="CQ59" s="105">
        <v>1100.987226570285</v>
      </c>
      <c r="CR59" s="105">
        <v>2.8140418151248969</v>
      </c>
      <c r="CS59" s="105">
        <v>1235.9271652028547</v>
      </c>
      <c r="CT59" s="105">
        <v>3.2156212571772032</v>
      </c>
      <c r="CU59" s="105">
        <v>1412.3008561522277</v>
      </c>
    </row>
    <row r="60" spans="2:99" x14ac:dyDescent="0.2">
      <c r="C60" s="104" t="s">
        <v>226</v>
      </c>
      <c r="D60" s="105">
        <v>4</v>
      </c>
      <c r="E60" s="105">
        <v>840</v>
      </c>
      <c r="F60" s="105">
        <v>5</v>
      </c>
      <c r="G60" s="105">
        <v>1050</v>
      </c>
      <c r="H60" s="105">
        <v>0.90901174468787926</v>
      </c>
      <c r="I60" s="105">
        <v>190.89246638445465</v>
      </c>
      <c r="J60" s="105">
        <v>0</v>
      </c>
      <c r="K60" s="105">
        <v>0</v>
      </c>
      <c r="L60" s="105">
        <v>0</v>
      </c>
      <c r="M60" s="105">
        <v>0</v>
      </c>
      <c r="N60" s="105">
        <v>0</v>
      </c>
      <c r="O60" s="105">
        <v>0</v>
      </c>
      <c r="P60" s="105">
        <v>2.4156527055191557</v>
      </c>
      <c r="Q60" s="105">
        <v>507.28706815902268</v>
      </c>
      <c r="R60" s="105">
        <v>2.2978159881767577</v>
      </c>
      <c r="S60" s="105">
        <v>482.54135751711914</v>
      </c>
      <c r="T60" s="105">
        <v>2.846646857295235</v>
      </c>
      <c r="U60" s="105">
        <v>597.79584003199932</v>
      </c>
      <c r="V60" s="105">
        <v>2.5462285274391099</v>
      </c>
      <c r="W60" s="105">
        <v>534.70799076221306</v>
      </c>
      <c r="X60" s="105">
        <v>2.5500574425179656</v>
      </c>
      <c r="Y60" s="105">
        <v>535.51206292877282</v>
      </c>
      <c r="Z60" s="105">
        <v>2.7132611188391156</v>
      </c>
      <c r="AA60" s="105">
        <v>569.78483495621424</v>
      </c>
      <c r="AB60" s="105">
        <v>2.4756032106196311</v>
      </c>
      <c r="AC60" s="105">
        <v>519.87667423012249</v>
      </c>
      <c r="AD60" s="105">
        <v>2.4156527055191557</v>
      </c>
      <c r="AE60" s="105">
        <v>507.28706815902268</v>
      </c>
      <c r="AF60" s="105">
        <v>2.5011625358030192</v>
      </c>
      <c r="AG60" s="105">
        <v>525.24413251863405</v>
      </c>
      <c r="AH60" s="105">
        <v>2.7670203717764874</v>
      </c>
      <c r="AI60" s="105">
        <v>581.07427807306237</v>
      </c>
      <c r="AJ60" s="105">
        <v>2.5011625358030192</v>
      </c>
      <c r="AK60" s="105">
        <v>525.24413251863405</v>
      </c>
      <c r="AL60" s="105">
        <v>0</v>
      </c>
      <c r="AM60" s="105">
        <v>0</v>
      </c>
      <c r="AN60" s="105">
        <v>5.2582579822463469</v>
      </c>
      <c r="AO60" s="105">
        <v>1104.2341762717328</v>
      </c>
      <c r="AP60" s="105">
        <v>2.9309919493632419</v>
      </c>
      <c r="AQ60" s="105">
        <v>615.50830936628086</v>
      </c>
      <c r="AR60" s="105">
        <v>2.6917273004356304</v>
      </c>
      <c r="AS60" s="105">
        <v>565.26273309148235</v>
      </c>
      <c r="AT60" s="105">
        <v>2.0555008476053902</v>
      </c>
      <c r="AU60" s="105">
        <v>431.65517799713194</v>
      </c>
      <c r="AV60" s="105">
        <v>2.5693760595067383</v>
      </c>
      <c r="AW60" s="105">
        <v>539.56897249641509</v>
      </c>
      <c r="AX60" s="105">
        <v>2.6705325972825937</v>
      </c>
      <c r="AY60" s="105">
        <v>560.81184542934466</v>
      </c>
      <c r="AZ60" s="105">
        <v>2.4846713542482743</v>
      </c>
      <c r="BA60" s="105">
        <v>521.78098439213761</v>
      </c>
      <c r="BB60" s="105">
        <v>2.5889896172128966</v>
      </c>
      <c r="BC60" s="105">
        <v>543.68781961470825</v>
      </c>
      <c r="BD60" s="105">
        <v>2.4053733323041802</v>
      </c>
      <c r="BE60" s="105">
        <v>505.12839978387785</v>
      </c>
      <c r="BF60" s="105">
        <v>2.4156527055191557</v>
      </c>
      <c r="BG60" s="105">
        <v>507.28706815902268</v>
      </c>
      <c r="BH60" s="105">
        <v>2.9237727573697363</v>
      </c>
      <c r="BI60" s="105">
        <v>613.99227904764462</v>
      </c>
      <c r="BJ60" s="105">
        <v>2.2386642894712172</v>
      </c>
      <c r="BK60" s="105">
        <v>470.11950078895563</v>
      </c>
      <c r="BL60" s="105">
        <v>2.3357964177333983</v>
      </c>
      <c r="BM60" s="105">
        <v>490.51724772401366</v>
      </c>
      <c r="BN60" s="105">
        <v>2.4938061754035989</v>
      </c>
      <c r="BO60" s="105">
        <v>523.69929683475573</v>
      </c>
      <c r="BP60" s="105">
        <v>2.5693760595067383</v>
      </c>
      <c r="BQ60" s="105">
        <v>539.56897249641509</v>
      </c>
      <c r="BR60" s="105">
        <v>2.2167166003587542</v>
      </c>
      <c r="BS60" s="105">
        <v>465.51048607533835</v>
      </c>
      <c r="BT60" s="105">
        <v>2.2610509323659294</v>
      </c>
      <c r="BU60" s="105">
        <v>474.82069579684514</v>
      </c>
      <c r="BV60" s="105">
        <v>2.7573791858121091</v>
      </c>
      <c r="BW60" s="105">
        <v>579.04962902054285</v>
      </c>
      <c r="BX60" s="105">
        <v>2.7799806545482739</v>
      </c>
      <c r="BY60" s="105">
        <v>583.7959374551375</v>
      </c>
      <c r="BZ60" s="105">
        <v>3.1696975687372841</v>
      </c>
      <c r="CA60" s="105">
        <v>665.63648943482963</v>
      </c>
      <c r="CB60" s="105">
        <v>2.479222513559133</v>
      </c>
      <c r="CC60" s="105">
        <v>520.63672784741789</v>
      </c>
      <c r="CD60" s="105">
        <v>2.4156527055191557</v>
      </c>
      <c r="CE60" s="105">
        <v>507.28706815902268</v>
      </c>
      <c r="CF60" s="105">
        <v>2.1740874349672401</v>
      </c>
      <c r="CG60" s="105">
        <v>456.5583613431204</v>
      </c>
      <c r="CH60" s="105">
        <v>2.6917273004356304</v>
      </c>
      <c r="CI60" s="105">
        <v>565.26273309148235</v>
      </c>
      <c r="CJ60" s="105">
        <v>2.6735399538110656</v>
      </c>
      <c r="CK60" s="105">
        <v>561.44339030032381</v>
      </c>
      <c r="CL60" s="105">
        <v>2.2978159881767577</v>
      </c>
      <c r="CM60" s="105">
        <v>482.54135751711914</v>
      </c>
      <c r="CN60" s="105">
        <v>2.6705325972825937</v>
      </c>
      <c r="CO60" s="105">
        <v>560.81184542934466</v>
      </c>
      <c r="CP60" s="105">
        <v>2.5234943441584035</v>
      </c>
      <c r="CQ60" s="105">
        <v>529.93381227326472</v>
      </c>
      <c r="CR60" s="105">
        <v>2.8742172869058429</v>
      </c>
      <c r="CS60" s="105">
        <v>603.58563025022704</v>
      </c>
      <c r="CT60" s="105">
        <v>2.846646857295235</v>
      </c>
      <c r="CU60" s="105">
        <v>597.79584003199932</v>
      </c>
    </row>
    <row r="61" spans="2:99" x14ac:dyDescent="0.2">
      <c r="C61" s="104" t="s">
        <v>227</v>
      </c>
      <c r="D61" s="105">
        <v>4</v>
      </c>
      <c r="E61" s="105">
        <v>792</v>
      </c>
      <c r="F61" s="105">
        <v>5</v>
      </c>
      <c r="G61" s="105">
        <v>990</v>
      </c>
      <c r="H61" s="105">
        <v>0.90901174468787926</v>
      </c>
      <c r="I61" s="105">
        <v>179.98432544820008</v>
      </c>
      <c r="J61" s="105">
        <v>0</v>
      </c>
      <c r="K61" s="105">
        <v>0</v>
      </c>
      <c r="L61" s="105">
        <v>0</v>
      </c>
      <c r="M61" s="105">
        <v>0</v>
      </c>
      <c r="N61" s="105">
        <v>0</v>
      </c>
      <c r="O61" s="105">
        <v>0</v>
      </c>
      <c r="P61" s="105">
        <v>2.4156527055191557</v>
      </c>
      <c r="Q61" s="105">
        <v>478.29923569279282</v>
      </c>
      <c r="R61" s="105">
        <v>2.7573791858121091</v>
      </c>
      <c r="S61" s="105">
        <v>545.96107879079761</v>
      </c>
      <c r="T61" s="105">
        <v>2.846646857295235</v>
      </c>
      <c r="U61" s="105">
        <v>563.63607774445654</v>
      </c>
      <c r="V61" s="105">
        <v>2.5462285274391099</v>
      </c>
      <c r="W61" s="105">
        <v>504.15324843294377</v>
      </c>
      <c r="X61" s="105">
        <v>2.5500574425179656</v>
      </c>
      <c r="Y61" s="105">
        <v>504.91137361855721</v>
      </c>
      <c r="Z61" s="105">
        <v>2.7132611188391156</v>
      </c>
      <c r="AA61" s="105">
        <v>537.22570153014487</v>
      </c>
      <c r="AB61" s="105">
        <v>2.4756032106196311</v>
      </c>
      <c r="AC61" s="105">
        <v>490.16943570268694</v>
      </c>
      <c r="AD61" s="105">
        <v>2.8987832466229864</v>
      </c>
      <c r="AE61" s="105">
        <v>573.95908283135134</v>
      </c>
      <c r="AF61" s="105">
        <v>3.0013950429636234</v>
      </c>
      <c r="AG61" s="105">
        <v>594.27621850679748</v>
      </c>
      <c r="AH61" s="105">
        <v>2.7670203717764874</v>
      </c>
      <c r="AI61" s="105">
        <v>547.87003361174447</v>
      </c>
      <c r="AJ61" s="105">
        <v>2.5011625358030192</v>
      </c>
      <c r="AK61" s="105">
        <v>495.23018208899782</v>
      </c>
      <c r="AL61" s="105">
        <v>0</v>
      </c>
      <c r="AM61" s="105">
        <v>0</v>
      </c>
      <c r="AN61" s="105">
        <v>5.2582579822463469</v>
      </c>
      <c r="AO61" s="105">
        <v>1041.1350804847766</v>
      </c>
      <c r="AP61" s="105">
        <v>2.9309919493632419</v>
      </c>
      <c r="AQ61" s="105">
        <v>580.33640597392196</v>
      </c>
      <c r="AR61" s="105">
        <v>2.6917273004356304</v>
      </c>
      <c r="AS61" s="105">
        <v>532.96200548625484</v>
      </c>
      <c r="AT61" s="105">
        <v>2.0555008476053902</v>
      </c>
      <c r="AU61" s="105">
        <v>406.98916782586724</v>
      </c>
      <c r="AV61" s="105">
        <v>2.5693760595067383</v>
      </c>
      <c r="AW61" s="105">
        <v>508.73645978233418</v>
      </c>
      <c r="AX61" s="105">
        <v>3.1156213634963597</v>
      </c>
      <c r="AY61" s="105">
        <v>616.89302997227924</v>
      </c>
      <c r="AZ61" s="105">
        <v>2.4846713542482743</v>
      </c>
      <c r="BA61" s="105">
        <v>491.96492814115834</v>
      </c>
      <c r="BB61" s="105">
        <v>3.0204878867483789</v>
      </c>
      <c r="BC61" s="105">
        <v>598.05660157617899</v>
      </c>
      <c r="BD61" s="105">
        <v>1.804029999228135</v>
      </c>
      <c r="BE61" s="105">
        <v>357.19793984717074</v>
      </c>
      <c r="BF61" s="105">
        <v>2.4156527055191557</v>
      </c>
      <c r="BG61" s="105">
        <v>478.29923569279282</v>
      </c>
      <c r="BH61" s="105">
        <v>2.4364772978081137</v>
      </c>
      <c r="BI61" s="105">
        <v>482.4225049660065</v>
      </c>
      <c r="BJ61" s="105">
        <v>2.2386642894712172</v>
      </c>
      <c r="BK61" s="105">
        <v>443.25552931530103</v>
      </c>
      <c r="BL61" s="105">
        <v>2.3357964177333983</v>
      </c>
      <c r="BM61" s="105">
        <v>462.48769071121285</v>
      </c>
      <c r="BN61" s="105">
        <v>2.9094405379708652</v>
      </c>
      <c r="BO61" s="105">
        <v>576.06922651823129</v>
      </c>
      <c r="BP61" s="105">
        <v>2.5693760595067383</v>
      </c>
      <c r="BQ61" s="105">
        <v>508.73645978233418</v>
      </c>
      <c r="BR61" s="105">
        <v>2.2167166003587542</v>
      </c>
      <c r="BS61" s="105">
        <v>438.90988687103334</v>
      </c>
      <c r="BT61" s="105">
        <v>2.8263136654574121</v>
      </c>
      <c r="BU61" s="105">
        <v>559.61010576056765</v>
      </c>
      <c r="BV61" s="105">
        <v>2.7573791858121091</v>
      </c>
      <c r="BW61" s="105">
        <v>545.96107879079761</v>
      </c>
      <c r="BX61" s="105">
        <v>2.7799806545482739</v>
      </c>
      <c r="BY61" s="105">
        <v>550.43616960055829</v>
      </c>
      <c r="BZ61" s="105">
        <v>2.6414146406144035</v>
      </c>
      <c r="CA61" s="105">
        <v>523.00009884165183</v>
      </c>
      <c r="CB61" s="105">
        <v>2.479222513559133</v>
      </c>
      <c r="CC61" s="105">
        <v>490.88605768470836</v>
      </c>
      <c r="CD61" s="105">
        <v>2.4156527055191557</v>
      </c>
      <c r="CE61" s="105">
        <v>478.29923569279282</v>
      </c>
      <c r="CF61" s="105">
        <v>2.1740874349672401</v>
      </c>
      <c r="CG61" s="105">
        <v>430.46931212351353</v>
      </c>
      <c r="CH61" s="105">
        <v>2.6917273004356304</v>
      </c>
      <c r="CI61" s="105">
        <v>532.96200548625484</v>
      </c>
      <c r="CJ61" s="105">
        <v>2.6735399538110656</v>
      </c>
      <c r="CK61" s="105">
        <v>529.360910854591</v>
      </c>
      <c r="CL61" s="105">
        <v>2.2978159881767577</v>
      </c>
      <c r="CM61" s="105">
        <v>454.96756565899801</v>
      </c>
      <c r="CN61" s="105">
        <v>3.1156213634963597</v>
      </c>
      <c r="CO61" s="105">
        <v>616.89302997227924</v>
      </c>
      <c r="CP61" s="105">
        <v>3.0281932129900841</v>
      </c>
      <c r="CQ61" s="105">
        <v>599.58225617203664</v>
      </c>
      <c r="CR61" s="105">
        <v>2.8742172869058429</v>
      </c>
      <c r="CS61" s="105">
        <v>569.09502280735694</v>
      </c>
      <c r="CT61" s="105">
        <v>2.846646857295235</v>
      </c>
      <c r="CU61" s="105">
        <v>563.63607774445654</v>
      </c>
    </row>
    <row r="62" spans="2:99" x14ac:dyDescent="0.2">
      <c r="C62" s="104" t="s">
        <v>228</v>
      </c>
      <c r="D62" s="105">
        <v>4</v>
      </c>
      <c r="E62" s="105">
        <v>3825.6</v>
      </c>
      <c r="F62" s="105">
        <v>5</v>
      </c>
      <c r="G62" s="105">
        <v>4782</v>
      </c>
      <c r="H62" s="105">
        <v>0.7272093957503033</v>
      </c>
      <c r="I62" s="105">
        <v>695.50306609559004</v>
      </c>
      <c r="J62" s="105">
        <v>0</v>
      </c>
      <c r="K62" s="105">
        <v>0</v>
      </c>
      <c r="L62" s="105">
        <v>0</v>
      </c>
      <c r="M62" s="105">
        <v>0</v>
      </c>
      <c r="N62" s="105">
        <v>0</v>
      </c>
      <c r="O62" s="105">
        <v>0</v>
      </c>
      <c r="P62" s="105">
        <v>2.4156527055191557</v>
      </c>
      <c r="Q62" s="105">
        <v>2310.3302475585206</v>
      </c>
      <c r="R62" s="105">
        <v>2.2978159881767577</v>
      </c>
      <c r="S62" s="105">
        <v>2197.6312110922509</v>
      </c>
      <c r="T62" s="105">
        <v>2.4399830205387731</v>
      </c>
      <c r="U62" s="105">
        <v>2333.5997608432826</v>
      </c>
      <c r="V62" s="105">
        <v>2.5462285274391099</v>
      </c>
      <c r="W62" s="105">
        <v>2435.2129636427644</v>
      </c>
      <c r="X62" s="105">
        <v>2.1250478687649714</v>
      </c>
      <c r="Y62" s="105">
        <v>2032.3957816868187</v>
      </c>
      <c r="Z62" s="105">
        <v>2.7132611188391156</v>
      </c>
      <c r="AA62" s="105">
        <v>2594.9629340577303</v>
      </c>
      <c r="AB62" s="105">
        <v>2.4756032106196311</v>
      </c>
      <c r="AC62" s="105">
        <v>2367.6669106366153</v>
      </c>
      <c r="AD62" s="105">
        <v>2.4156527055191557</v>
      </c>
      <c r="AE62" s="105">
        <v>2310.3302475585206</v>
      </c>
      <c r="AF62" s="105">
        <v>2.5011625358030192</v>
      </c>
      <c r="AG62" s="105">
        <v>2392.1118492420073</v>
      </c>
      <c r="AH62" s="105">
        <v>2.3717317472369892</v>
      </c>
      <c r="AI62" s="105">
        <v>2268.3242430574564</v>
      </c>
      <c r="AJ62" s="105">
        <v>3.0013950429636234</v>
      </c>
      <c r="AK62" s="105">
        <v>2870.5342190904094</v>
      </c>
      <c r="AL62" s="105">
        <v>0</v>
      </c>
      <c r="AM62" s="105">
        <v>0</v>
      </c>
      <c r="AN62" s="105">
        <v>5.2582579822463469</v>
      </c>
      <c r="AO62" s="105">
        <v>5028.997934220406</v>
      </c>
      <c r="AP62" s="105">
        <v>2.5122788137399219</v>
      </c>
      <c r="AQ62" s="105">
        <v>2402.7434574608615</v>
      </c>
      <c r="AR62" s="105">
        <v>2.2431060836963583</v>
      </c>
      <c r="AS62" s="105">
        <v>2145.3066584471972</v>
      </c>
      <c r="AT62" s="105">
        <v>2.0555008476053902</v>
      </c>
      <c r="AU62" s="105">
        <v>1965.8810106497951</v>
      </c>
      <c r="AV62" s="105">
        <v>2.5693760595067383</v>
      </c>
      <c r="AW62" s="105">
        <v>2457.3512633122446</v>
      </c>
      <c r="AX62" s="105">
        <v>2.6705325972825937</v>
      </c>
      <c r="AY62" s="105">
        <v>2554.0973760410725</v>
      </c>
      <c r="AZ62" s="105">
        <v>1.8635035156862056</v>
      </c>
      <c r="BA62" s="105">
        <v>1782.254762402287</v>
      </c>
      <c r="BB62" s="105">
        <v>2.5889896172128966</v>
      </c>
      <c r="BC62" s="105">
        <v>2476.1096699024142</v>
      </c>
      <c r="BD62" s="105">
        <v>1.804029999228135</v>
      </c>
      <c r="BE62" s="105">
        <v>1725.3742912617884</v>
      </c>
      <c r="BF62" s="105">
        <v>2.4156527055191557</v>
      </c>
      <c r="BG62" s="105">
        <v>2310.3302475585206</v>
      </c>
      <c r="BH62" s="105">
        <v>2.4364772978081137</v>
      </c>
      <c r="BI62" s="105">
        <v>2330.2468876236799</v>
      </c>
      <c r="BJ62" s="105">
        <v>2.2386642894712172</v>
      </c>
      <c r="BK62" s="105">
        <v>2141.058526450272</v>
      </c>
      <c r="BL62" s="105">
        <v>2.3357964177333983</v>
      </c>
      <c r="BM62" s="105">
        <v>2233.9556939202221</v>
      </c>
      <c r="BN62" s="105">
        <v>2.9094405379708652</v>
      </c>
      <c r="BO62" s="105">
        <v>2782.5889305153355</v>
      </c>
      <c r="BP62" s="105">
        <v>2.5693760595067383</v>
      </c>
      <c r="BQ62" s="105">
        <v>2457.3512633122446</v>
      </c>
      <c r="BR62" s="105">
        <v>2.2167166003587542</v>
      </c>
      <c r="BS62" s="105">
        <v>2120.0677565831124</v>
      </c>
      <c r="BT62" s="105">
        <v>2.2610509323659294</v>
      </c>
      <c r="BU62" s="105">
        <v>2162.469111714775</v>
      </c>
      <c r="BV62" s="105">
        <v>2.7573791858121091</v>
      </c>
      <c r="BW62" s="105">
        <v>2637.1574533107009</v>
      </c>
      <c r="BX62" s="105">
        <v>2.7799806545482739</v>
      </c>
      <c r="BY62" s="105">
        <v>2658.773498009969</v>
      </c>
      <c r="BZ62" s="105">
        <v>2.6414146406144035</v>
      </c>
      <c r="CA62" s="105">
        <v>2526.2489622836156</v>
      </c>
      <c r="CB62" s="105">
        <v>2.479222513559133</v>
      </c>
      <c r="CC62" s="105">
        <v>2371.1284119679549</v>
      </c>
      <c r="CD62" s="105">
        <v>2.4156527055191557</v>
      </c>
      <c r="CE62" s="105">
        <v>2310.3302475585206</v>
      </c>
      <c r="CF62" s="105">
        <v>2.1740874349672401</v>
      </c>
      <c r="CG62" s="105">
        <v>2079.2972228026683</v>
      </c>
      <c r="CH62" s="105">
        <v>2.6917273004356304</v>
      </c>
      <c r="CI62" s="105">
        <v>2574.3679901366368</v>
      </c>
      <c r="CJ62" s="105">
        <v>2.2916056746951989</v>
      </c>
      <c r="CK62" s="105">
        <v>2191.6916672784882</v>
      </c>
      <c r="CL62" s="105">
        <v>2.2978159881767577</v>
      </c>
      <c r="CM62" s="105">
        <v>2197.6312110922509</v>
      </c>
      <c r="CN62" s="105">
        <v>3.1156213634963597</v>
      </c>
      <c r="CO62" s="105">
        <v>2979.7802720479185</v>
      </c>
      <c r="CP62" s="105">
        <v>2.5234943441584035</v>
      </c>
      <c r="CQ62" s="105">
        <v>2413.4699907530971</v>
      </c>
      <c r="CR62" s="105">
        <v>2.3951810724215354</v>
      </c>
      <c r="CS62" s="105">
        <v>2290.7511776639562</v>
      </c>
      <c r="CT62" s="105">
        <v>2.4399830205387731</v>
      </c>
      <c r="CU62" s="105">
        <v>2333.5997608432826</v>
      </c>
    </row>
    <row r="63" spans="2:99" x14ac:dyDescent="0.2">
      <c r="C63" s="104" t="s">
        <v>229</v>
      </c>
      <c r="D63" s="105">
        <v>4</v>
      </c>
      <c r="E63" s="105">
        <v>120</v>
      </c>
      <c r="F63" s="105">
        <v>5</v>
      </c>
      <c r="G63" s="105">
        <v>150</v>
      </c>
      <c r="H63" s="105">
        <v>0.90901174468787926</v>
      </c>
      <c r="I63" s="105">
        <v>27.270352340636379</v>
      </c>
      <c r="J63" s="105">
        <v>0</v>
      </c>
      <c r="K63" s="105">
        <v>0</v>
      </c>
      <c r="L63" s="105">
        <v>0</v>
      </c>
      <c r="M63" s="105">
        <v>0</v>
      </c>
      <c r="N63" s="105">
        <v>0</v>
      </c>
      <c r="O63" s="105">
        <v>0</v>
      </c>
      <c r="P63" s="105">
        <v>2.4156527055191557</v>
      </c>
      <c r="Q63" s="105">
        <v>72.469581165574667</v>
      </c>
      <c r="R63" s="105">
        <v>2.7573791858121091</v>
      </c>
      <c r="S63" s="105">
        <v>82.721375574363265</v>
      </c>
      <c r="T63" s="105">
        <v>2.846646857295235</v>
      </c>
      <c r="U63" s="105">
        <v>85.399405718857054</v>
      </c>
      <c r="V63" s="105">
        <v>2.5462285274391099</v>
      </c>
      <c r="W63" s="105">
        <v>76.386855823173292</v>
      </c>
      <c r="X63" s="105">
        <v>2.5500574425179656</v>
      </c>
      <c r="Y63" s="105">
        <v>76.501723275538964</v>
      </c>
      <c r="Z63" s="105">
        <v>2.7132611188391156</v>
      </c>
      <c r="AA63" s="105">
        <v>81.397833565173471</v>
      </c>
      <c r="AB63" s="105">
        <v>2.8882037457229028</v>
      </c>
      <c r="AC63" s="105">
        <v>86.646112371687082</v>
      </c>
      <c r="AD63" s="105">
        <v>2.8987832466229864</v>
      </c>
      <c r="AE63" s="105">
        <v>86.963497398689597</v>
      </c>
      <c r="AF63" s="105">
        <v>3.0013950429636234</v>
      </c>
      <c r="AG63" s="105">
        <v>90.041851288908703</v>
      </c>
      <c r="AH63" s="105">
        <v>2.7670203717764874</v>
      </c>
      <c r="AI63" s="105">
        <v>83.010611153294619</v>
      </c>
      <c r="AJ63" s="105">
        <v>2.5011625358030192</v>
      </c>
      <c r="AK63" s="105">
        <v>75.034876074090576</v>
      </c>
      <c r="AL63" s="105">
        <v>0</v>
      </c>
      <c r="AM63" s="105">
        <v>0</v>
      </c>
      <c r="AN63" s="105">
        <v>5.2582579822463469</v>
      </c>
      <c r="AO63" s="105">
        <v>157.7477394673904</v>
      </c>
      <c r="AP63" s="105">
        <v>2.9309919493632419</v>
      </c>
      <c r="AQ63" s="105">
        <v>87.929758480897263</v>
      </c>
      <c r="AR63" s="105">
        <v>2.6917273004356304</v>
      </c>
      <c r="AS63" s="105">
        <v>80.751819013068911</v>
      </c>
      <c r="AT63" s="105">
        <v>2.5693760595067383</v>
      </c>
      <c r="AU63" s="105">
        <v>77.081281785202151</v>
      </c>
      <c r="AV63" s="105">
        <v>2.9976054027578614</v>
      </c>
      <c r="AW63" s="105">
        <v>89.928162082735838</v>
      </c>
      <c r="AX63" s="105">
        <v>3.1156213634963597</v>
      </c>
      <c r="AY63" s="105">
        <v>93.46864090489079</v>
      </c>
      <c r="AZ63" s="105">
        <v>2.4846713542482743</v>
      </c>
      <c r="BA63" s="105">
        <v>74.540140627448224</v>
      </c>
      <c r="BB63" s="105">
        <v>3.0204878867483789</v>
      </c>
      <c r="BC63" s="105">
        <v>90.61463660245137</v>
      </c>
      <c r="BD63" s="105">
        <v>2.4053733323041802</v>
      </c>
      <c r="BE63" s="105">
        <v>72.161199969125406</v>
      </c>
      <c r="BF63" s="105">
        <v>2.4156527055191557</v>
      </c>
      <c r="BG63" s="105">
        <v>72.469581165574667</v>
      </c>
      <c r="BH63" s="105">
        <v>2.9237727573697363</v>
      </c>
      <c r="BI63" s="105">
        <v>87.713182721092096</v>
      </c>
      <c r="BJ63" s="105">
        <v>2.2386642894712172</v>
      </c>
      <c r="BK63" s="105">
        <v>67.159928684136517</v>
      </c>
      <c r="BL63" s="105">
        <v>2.3357964177333983</v>
      </c>
      <c r="BM63" s="105">
        <v>70.073892532001949</v>
      </c>
      <c r="BN63" s="105">
        <v>2.4938061754035989</v>
      </c>
      <c r="BO63" s="105">
        <v>74.814185262107969</v>
      </c>
      <c r="BP63" s="105">
        <v>2.5693760595067383</v>
      </c>
      <c r="BQ63" s="105">
        <v>77.081281785202151</v>
      </c>
      <c r="BR63" s="105">
        <v>2.2167166003587542</v>
      </c>
      <c r="BS63" s="105">
        <v>66.501498010762631</v>
      </c>
      <c r="BT63" s="105">
        <v>2.2610509323659294</v>
      </c>
      <c r="BU63" s="105">
        <v>67.831527970977874</v>
      </c>
      <c r="BV63" s="105">
        <v>2.7573791858121091</v>
      </c>
      <c r="BW63" s="105">
        <v>82.721375574363265</v>
      </c>
      <c r="BX63" s="105">
        <v>2.7799806545482739</v>
      </c>
      <c r="BY63" s="105">
        <v>83.399419636448215</v>
      </c>
      <c r="BZ63" s="105">
        <v>2.6414146406144035</v>
      </c>
      <c r="CA63" s="105">
        <v>79.242439218432111</v>
      </c>
      <c r="CB63" s="105">
        <v>1.9833780108473065</v>
      </c>
      <c r="CC63" s="105">
        <v>59.501340325419193</v>
      </c>
      <c r="CD63" s="105">
        <v>2.4156527055191557</v>
      </c>
      <c r="CE63" s="105">
        <v>72.469581165574667</v>
      </c>
      <c r="CF63" s="105">
        <v>2.6089049219606881</v>
      </c>
      <c r="CG63" s="105">
        <v>78.267147658820647</v>
      </c>
      <c r="CH63" s="105">
        <v>2.6917273004356304</v>
      </c>
      <c r="CI63" s="105">
        <v>80.751819013068911</v>
      </c>
      <c r="CJ63" s="105">
        <v>2.6735399538110656</v>
      </c>
      <c r="CK63" s="105">
        <v>80.206198614331967</v>
      </c>
      <c r="CL63" s="105">
        <v>2.2978159881767577</v>
      </c>
      <c r="CM63" s="105">
        <v>68.93447964530273</v>
      </c>
      <c r="CN63" s="105">
        <v>2.6705325972825937</v>
      </c>
      <c r="CO63" s="105">
        <v>80.11597791847781</v>
      </c>
      <c r="CP63" s="105">
        <v>2.5234943441584035</v>
      </c>
      <c r="CQ63" s="105">
        <v>75.704830324752109</v>
      </c>
      <c r="CR63" s="105">
        <v>2.3951810724215354</v>
      </c>
      <c r="CS63" s="105">
        <v>71.855432172646061</v>
      </c>
      <c r="CT63" s="105">
        <v>2.846646857295235</v>
      </c>
      <c r="CU63" s="105">
        <v>85.399405718857054</v>
      </c>
    </row>
    <row r="64" spans="2:99" x14ac:dyDescent="0.2">
      <c r="C64" s="104" t="s">
        <v>230</v>
      </c>
      <c r="D64" s="105">
        <v>4</v>
      </c>
      <c r="E64" s="105">
        <v>897.6</v>
      </c>
      <c r="F64" s="105">
        <v>6</v>
      </c>
      <c r="G64" s="105">
        <v>1346.4</v>
      </c>
      <c r="H64" s="105">
        <v>0.90901174468787926</v>
      </c>
      <c r="I64" s="105">
        <v>203.9822355079601</v>
      </c>
      <c r="J64" s="105">
        <v>0</v>
      </c>
      <c r="K64" s="105">
        <v>0</v>
      </c>
      <c r="L64" s="105">
        <v>0</v>
      </c>
      <c r="M64" s="105">
        <v>0</v>
      </c>
      <c r="N64" s="105">
        <v>0</v>
      </c>
      <c r="O64" s="105">
        <v>0</v>
      </c>
      <c r="P64" s="105">
        <v>2.4156527055191557</v>
      </c>
      <c r="Q64" s="105">
        <v>542.07246711849859</v>
      </c>
      <c r="R64" s="105">
        <v>2.2978159881767577</v>
      </c>
      <c r="S64" s="105">
        <v>515.62990774686443</v>
      </c>
      <c r="T64" s="105">
        <v>2.4399830205387731</v>
      </c>
      <c r="U64" s="105">
        <v>547.53218980890074</v>
      </c>
      <c r="V64" s="105">
        <v>2.5462285274391099</v>
      </c>
      <c r="W64" s="105">
        <v>571.37368155733623</v>
      </c>
      <c r="X64" s="105">
        <v>2.1250478687649714</v>
      </c>
      <c r="Y64" s="105">
        <v>476.86074175085957</v>
      </c>
      <c r="Z64" s="105">
        <v>2.7132611188391156</v>
      </c>
      <c r="AA64" s="105">
        <v>608.85579506749752</v>
      </c>
      <c r="AB64" s="105">
        <v>2.8882037457229028</v>
      </c>
      <c r="AC64" s="105">
        <v>648.11292054021942</v>
      </c>
      <c r="AD64" s="105">
        <v>2.4156527055191557</v>
      </c>
      <c r="AE64" s="105">
        <v>542.07246711849859</v>
      </c>
      <c r="AF64" s="105">
        <v>3.0013950429636234</v>
      </c>
      <c r="AG64" s="105">
        <v>673.51304764103713</v>
      </c>
      <c r="AH64" s="105">
        <v>2.7670203717764874</v>
      </c>
      <c r="AI64" s="105">
        <v>620.91937142664381</v>
      </c>
      <c r="AJ64" s="105">
        <v>2.5011625358030192</v>
      </c>
      <c r="AK64" s="105">
        <v>561.26087303419752</v>
      </c>
      <c r="AL64" s="105">
        <v>0</v>
      </c>
      <c r="AM64" s="105">
        <v>0</v>
      </c>
      <c r="AN64" s="105">
        <v>5.2582579822463469</v>
      </c>
      <c r="AO64" s="105">
        <v>1179.9530912160803</v>
      </c>
      <c r="AP64" s="105">
        <v>2.9309919493632419</v>
      </c>
      <c r="AQ64" s="105">
        <v>657.71459343711149</v>
      </c>
      <c r="AR64" s="105">
        <v>2.2431060836963583</v>
      </c>
      <c r="AS64" s="105">
        <v>503.35300518146283</v>
      </c>
      <c r="AT64" s="105">
        <v>2.0555008476053902</v>
      </c>
      <c r="AU64" s="105">
        <v>461.25439020264957</v>
      </c>
      <c r="AV64" s="105">
        <v>2.5693760595067383</v>
      </c>
      <c r="AW64" s="105">
        <v>576.56798775331208</v>
      </c>
      <c r="AX64" s="105">
        <v>2.6705325972825937</v>
      </c>
      <c r="AY64" s="105">
        <v>599.26751483021405</v>
      </c>
      <c r="AZ64" s="105">
        <v>2.4846713542482743</v>
      </c>
      <c r="BA64" s="105">
        <v>557.56025189331274</v>
      </c>
      <c r="BB64" s="105">
        <v>2.5889896172128966</v>
      </c>
      <c r="BC64" s="105">
        <v>580.969270102574</v>
      </c>
      <c r="BD64" s="105">
        <v>2.4053733323041802</v>
      </c>
      <c r="BE64" s="105">
        <v>539.765775769058</v>
      </c>
      <c r="BF64" s="105">
        <v>2.8987832466229864</v>
      </c>
      <c r="BG64" s="105">
        <v>650.48696054219818</v>
      </c>
      <c r="BH64" s="105">
        <v>2.9237727573697363</v>
      </c>
      <c r="BI64" s="105">
        <v>656.09460675376886</v>
      </c>
      <c r="BJ64" s="105">
        <v>2.2386642894712172</v>
      </c>
      <c r="BK64" s="105">
        <v>502.35626655734114</v>
      </c>
      <c r="BL64" s="105">
        <v>2.8029557012800779</v>
      </c>
      <c r="BM64" s="105">
        <v>628.9832593672495</v>
      </c>
      <c r="BN64" s="105">
        <v>2.9094405379708652</v>
      </c>
      <c r="BO64" s="105">
        <v>652.87845672066214</v>
      </c>
      <c r="BP64" s="105">
        <v>2.5693760595067383</v>
      </c>
      <c r="BQ64" s="105">
        <v>576.56798775331208</v>
      </c>
      <c r="BR64" s="105">
        <v>2.2167166003587542</v>
      </c>
      <c r="BS64" s="105">
        <v>497.43120512050444</v>
      </c>
      <c r="BT64" s="105">
        <v>2.2610509323659294</v>
      </c>
      <c r="BU64" s="105">
        <v>507.37982922291457</v>
      </c>
      <c r="BV64" s="105">
        <v>2.7573791858121091</v>
      </c>
      <c r="BW64" s="105">
        <v>618.75588929623734</v>
      </c>
      <c r="BX64" s="105">
        <v>2.3166505454568949</v>
      </c>
      <c r="BY64" s="105">
        <v>519.8563824005272</v>
      </c>
      <c r="BZ64" s="105">
        <v>3.1696975687372841</v>
      </c>
      <c r="CA64" s="105">
        <v>711.28013442464658</v>
      </c>
      <c r="CB64" s="105">
        <v>1.9833780108473065</v>
      </c>
      <c r="CC64" s="105">
        <v>445.07002563413556</v>
      </c>
      <c r="CD64" s="105">
        <v>2.4156527055191557</v>
      </c>
      <c r="CE64" s="105">
        <v>542.07246711849859</v>
      </c>
      <c r="CF64" s="105">
        <v>2.6089049219606881</v>
      </c>
      <c r="CG64" s="105">
        <v>585.43826448797847</v>
      </c>
      <c r="CH64" s="105">
        <v>3.0762597719264346</v>
      </c>
      <c r="CI64" s="105">
        <v>690.312692820292</v>
      </c>
      <c r="CJ64" s="105">
        <v>2.6735399538110656</v>
      </c>
      <c r="CK64" s="105">
        <v>599.94236563520315</v>
      </c>
      <c r="CL64" s="105">
        <v>2.2978159881767577</v>
      </c>
      <c r="CM64" s="105">
        <v>515.62990774686443</v>
      </c>
      <c r="CN64" s="105">
        <v>3.1156213634963597</v>
      </c>
      <c r="CO64" s="105">
        <v>699.14543396858312</v>
      </c>
      <c r="CP64" s="105">
        <v>2.5234943441584035</v>
      </c>
      <c r="CQ64" s="105">
        <v>566.27213082914579</v>
      </c>
      <c r="CR64" s="105">
        <v>2.8742172869058429</v>
      </c>
      <c r="CS64" s="105">
        <v>644.97435918167116</v>
      </c>
      <c r="CT64" s="105">
        <v>2.846646857295235</v>
      </c>
      <c r="CU64" s="105">
        <v>638.78755477705079</v>
      </c>
    </row>
    <row r="65" spans="2:99" x14ac:dyDescent="0.2">
      <c r="C65" s="104" t="s">
        <v>231</v>
      </c>
      <c r="D65" s="105">
        <v>4</v>
      </c>
      <c r="E65" s="105">
        <v>1977.6</v>
      </c>
      <c r="F65" s="105">
        <v>5</v>
      </c>
      <c r="G65" s="105">
        <v>2472</v>
      </c>
      <c r="H65" s="105">
        <v>0.90901174468787926</v>
      </c>
      <c r="I65" s="105">
        <v>449.41540657368751</v>
      </c>
      <c r="J65" s="105">
        <v>0</v>
      </c>
      <c r="K65" s="105">
        <v>0</v>
      </c>
      <c r="L65" s="105">
        <v>0</v>
      </c>
      <c r="M65" s="105">
        <v>0</v>
      </c>
      <c r="N65" s="105">
        <v>0</v>
      </c>
      <c r="O65" s="105">
        <v>0</v>
      </c>
      <c r="P65" s="105">
        <v>2.4156527055191557</v>
      </c>
      <c r="Q65" s="105">
        <v>1194.2986976086704</v>
      </c>
      <c r="R65" s="105">
        <v>2.7573791858121091</v>
      </c>
      <c r="S65" s="105">
        <v>1363.2482694655066</v>
      </c>
      <c r="T65" s="105">
        <v>2.4399830205387731</v>
      </c>
      <c r="U65" s="105">
        <v>1206.3276053543693</v>
      </c>
      <c r="V65" s="105">
        <v>2.5462285274391099</v>
      </c>
      <c r="W65" s="105">
        <v>1258.855383965896</v>
      </c>
      <c r="X65" s="105">
        <v>2.5500574425179656</v>
      </c>
      <c r="Y65" s="105">
        <v>1260.7483995808821</v>
      </c>
      <c r="Z65" s="105">
        <v>2.2610509323659294</v>
      </c>
      <c r="AA65" s="105">
        <v>1117.8635809617153</v>
      </c>
      <c r="AB65" s="105">
        <v>2.4756032106196311</v>
      </c>
      <c r="AC65" s="105">
        <v>1223.9382273303456</v>
      </c>
      <c r="AD65" s="105">
        <v>2.4156527055191557</v>
      </c>
      <c r="AE65" s="105">
        <v>1194.2986976086704</v>
      </c>
      <c r="AF65" s="105">
        <v>2.5011625358030192</v>
      </c>
      <c r="AG65" s="105">
        <v>1236.5747577010127</v>
      </c>
      <c r="AH65" s="105">
        <v>2.3717317472369892</v>
      </c>
      <c r="AI65" s="105">
        <v>1172.5841758339675</v>
      </c>
      <c r="AJ65" s="105">
        <v>3.0013950429636234</v>
      </c>
      <c r="AK65" s="105">
        <v>1483.8897092412153</v>
      </c>
      <c r="AL65" s="105">
        <v>0</v>
      </c>
      <c r="AM65" s="105">
        <v>0</v>
      </c>
      <c r="AN65" s="105">
        <v>5.2582579822463469</v>
      </c>
      <c r="AO65" s="105">
        <v>2599.6827464225939</v>
      </c>
      <c r="AP65" s="105">
        <v>2.9309919493632419</v>
      </c>
      <c r="AQ65" s="105">
        <v>1449.0824197651868</v>
      </c>
      <c r="AR65" s="105">
        <v>2.6917273004356304</v>
      </c>
      <c r="AS65" s="105">
        <v>1330.7899773353756</v>
      </c>
      <c r="AT65" s="105">
        <v>2.5693760595067383</v>
      </c>
      <c r="AU65" s="105">
        <v>1270.2995238201313</v>
      </c>
      <c r="AV65" s="105">
        <v>2.5693760595067383</v>
      </c>
      <c r="AW65" s="105">
        <v>1270.2995238201313</v>
      </c>
      <c r="AX65" s="105">
        <v>2.6705325972825937</v>
      </c>
      <c r="AY65" s="105">
        <v>1320.3113160965142</v>
      </c>
      <c r="AZ65" s="105">
        <v>2.4846713542482743</v>
      </c>
      <c r="BA65" s="105">
        <v>1228.4215175403467</v>
      </c>
      <c r="BB65" s="105">
        <v>2.5889896172128966</v>
      </c>
      <c r="BC65" s="105">
        <v>1279.996466750056</v>
      </c>
      <c r="BD65" s="105">
        <v>2.4053733323041802</v>
      </c>
      <c r="BE65" s="105">
        <v>1189.2165754911866</v>
      </c>
      <c r="BF65" s="105">
        <v>2.8987832466229864</v>
      </c>
      <c r="BG65" s="105">
        <v>1433.1584371304043</v>
      </c>
      <c r="BH65" s="105">
        <v>2.4364772978081137</v>
      </c>
      <c r="BI65" s="105">
        <v>1204.5943760363314</v>
      </c>
      <c r="BJ65" s="105">
        <v>2.2386642894712172</v>
      </c>
      <c r="BK65" s="105">
        <v>1106.7956247145698</v>
      </c>
      <c r="BL65" s="105">
        <v>2.3357964177333983</v>
      </c>
      <c r="BM65" s="105">
        <v>1154.8177489273921</v>
      </c>
      <c r="BN65" s="105">
        <v>2.4938061754035989</v>
      </c>
      <c r="BO65" s="105">
        <v>1232.9377731195393</v>
      </c>
      <c r="BP65" s="105">
        <v>2.5693760595067383</v>
      </c>
      <c r="BQ65" s="105">
        <v>1270.2995238201313</v>
      </c>
      <c r="BR65" s="105">
        <v>2.2167166003587542</v>
      </c>
      <c r="BS65" s="105">
        <v>1095.944687217368</v>
      </c>
      <c r="BT65" s="105">
        <v>2.2610509323659294</v>
      </c>
      <c r="BU65" s="105">
        <v>1117.8635809617153</v>
      </c>
      <c r="BV65" s="105">
        <v>2.7573791858121091</v>
      </c>
      <c r="BW65" s="105">
        <v>1363.2482694655066</v>
      </c>
      <c r="BX65" s="105">
        <v>2.3166505454568949</v>
      </c>
      <c r="BY65" s="105">
        <v>1145.3520296738889</v>
      </c>
      <c r="BZ65" s="105">
        <v>2.6414146406144035</v>
      </c>
      <c r="CA65" s="105">
        <v>1305.9153983197609</v>
      </c>
      <c r="CB65" s="105">
        <v>2.479222513559133</v>
      </c>
      <c r="CC65" s="105">
        <v>1225.7276107036353</v>
      </c>
      <c r="CD65" s="105">
        <v>2.4156527055191557</v>
      </c>
      <c r="CE65" s="105">
        <v>1194.2986976086704</v>
      </c>
      <c r="CF65" s="105">
        <v>2.6089049219606881</v>
      </c>
      <c r="CG65" s="105">
        <v>1289.8425934173642</v>
      </c>
      <c r="CH65" s="105">
        <v>2.6917273004356304</v>
      </c>
      <c r="CI65" s="105">
        <v>1330.7899773353756</v>
      </c>
      <c r="CJ65" s="105">
        <v>2.2916056746951989</v>
      </c>
      <c r="CK65" s="105">
        <v>1132.9698455693062</v>
      </c>
      <c r="CL65" s="105">
        <v>2.2978159881767577</v>
      </c>
      <c r="CM65" s="105">
        <v>1136.040224554589</v>
      </c>
      <c r="CN65" s="105">
        <v>2.6705325972825937</v>
      </c>
      <c r="CO65" s="105">
        <v>1320.3113160965142</v>
      </c>
      <c r="CP65" s="105">
        <v>3.0281932129900841</v>
      </c>
      <c r="CQ65" s="105">
        <v>1497.1387245022975</v>
      </c>
      <c r="CR65" s="105">
        <v>2.8742172869058429</v>
      </c>
      <c r="CS65" s="105">
        <v>1421.0130266462486</v>
      </c>
      <c r="CT65" s="105">
        <v>2.4399830205387731</v>
      </c>
      <c r="CU65" s="105">
        <v>1206.3276053543693</v>
      </c>
    </row>
    <row r="66" spans="2:99" x14ac:dyDescent="0.2">
      <c r="C66" s="104" t="s">
        <v>232</v>
      </c>
      <c r="D66" s="105">
        <v>4</v>
      </c>
      <c r="E66" s="105">
        <v>1593.6</v>
      </c>
      <c r="F66" s="105">
        <v>5</v>
      </c>
      <c r="G66" s="105">
        <v>1992</v>
      </c>
      <c r="H66" s="105">
        <v>0.90901174468787926</v>
      </c>
      <c r="I66" s="105">
        <v>362.15027908365107</v>
      </c>
      <c r="J66" s="105">
        <v>0</v>
      </c>
      <c r="K66" s="105">
        <v>0</v>
      </c>
      <c r="L66" s="105">
        <v>0</v>
      </c>
      <c r="M66" s="105">
        <v>0</v>
      </c>
      <c r="N66" s="105">
        <v>0</v>
      </c>
      <c r="O66" s="105">
        <v>0</v>
      </c>
      <c r="P66" s="105">
        <v>2.4156527055191557</v>
      </c>
      <c r="Q66" s="105">
        <v>962.39603787883152</v>
      </c>
      <c r="R66" s="105">
        <v>2.7573791858121091</v>
      </c>
      <c r="S66" s="105">
        <v>1098.5398676275443</v>
      </c>
      <c r="T66" s="105">
        <v>2.846646857295235</v>
      </c>
      <c r="U66" s="105">
        <v>1134.1041079464217</v>
      </c>
      <c r="V66" s="105">
        <v>2.5462285274391099</v>
      </c>
      <c r="W66" s="105">
        <v>1014.4174453317413</v>
      </c>
      <c r="X66" s="105">
        <v>2.5500574425179656</v>
      </c>
      <c r="Y66" s="105">
        <v>1015.9428850991575</v>
      </c>
      <c r="Z66" s="105">
        <v>2.7132611188391156</v>
      </c>
      <c r="AA66" s="105">
        <v>1080.9632297455037</v>
      </c>
      <c r="AB66" s="105">
        <v>2.8882037457229028</v>
      </c>
      <c r="AC66" s="105">
        <v>1150.6603722960044</v>
      </c>
      <c r="AD66" s="105">
        <v>2.4156527055191557</v>
      </c>
      <c r="AE66" s="105">
        <v>962.39603787883152</v>
      </c>
      <c r="AF66" s="105">
        <v>2.5011625358030192</v>
      </c>
      <c r="AG66" s="105">
        <v>996.46315426392277</v>
      </c>
      <c r="AH66" s="105">
        <v>2.7670203717764874</v>
      </c>
      <c r="AI66" s="105">
        <v>1102.3809161157526</v>
      </c>
      <c r="AJ66" s="105">
        <v>2.5011625358030192</v>
      </c>
      <c r="AK66" s="105">
        <v>996.46315426392277</v>
      </c>
      <c r="AL66" s="105">
        <v>0</v>
      </c>
      <c r="AM66" s="105">
        <v>0</v>
      </c>
      <c r="AN66" s="105">
        <v>5.2582579822463469</v>
      </c>
      <c r="AO66" s="105">
        <v>2094.8899801269445</v>
      </c>
      <c r="AP66" s="105">
        <v>2.9309919493632419</v>
      </c>
      <c r="AQ66" s="105">
        <v>1167.7071926263154</v>
      </c>
      <c r="AR66" s="105">
        <v>2.2431060836963583</v>
      </c>
      <c r="AS66" s="105">
        <v>893.65346374462911</v>
      </c>
      <c r="AT66" s="105">
        <v>2.0555008476053902</v>
      </c>
      <c r="AU66" s="105">
        <v>818.91153768598735</v>
      </c>
      <c r="AV66" s="105">
        <v>2.5693760595067383</v>
      </c>
      <c r="AW66" s="105">
        <v>1023.6394221074845</v>
      </c>
      <c r="AX66" s="105">
        <v>2.6705325972825937</v>
      </c>
      <c r="AY66" s="105">
        <v>1063.9401867573854</v>
      </c>
      <c r="AZ66" s="105">
        <v>2.4846713542482743</v>
      </c>
      <c r="BA66" s="105">
        <v>989.89306753251242</v>
      </c>
      <c r="BB66" s="105">
        <v>3.0204878867483789</v>
      </c>
      <c r="BC66" s="105">
        <v>1203.362374080554</v>
      </c>
      <c r="BD66" s="105">
        <v>2.4053733323041802</v>
      </c>
      <c r="BE66" s="105">
        <v>958.30073558998527</v>
      </c>
      <c r="BF66" s="105">
        <v>2.4156527055191557</v>
      </c>
      <c r="BG66" s="105">
        <v>962.39603787883152</v>
      </c>
      <c r="BH66" s="105">
        <v>2.9237727573697363</v>
      </c>
      <c r="BI66" s="105">
        <v>1164.831066536103</v>
      </c>
      <c r="BJ66" s="105">
        <v>2.2386642894712172</v>
      </c>
      <c r="BK66" s="105">
        <v>891.88385292533292</v>
      </c>
      <c r="BL66" s="105">
        <v>2.3357964177333983</v>
      </c>
      <c r="BM66" s="105">
        <v>930.58129282498578</v>
      </c>
      <c r="BN66" s="105">
        <v>2.4938061754035989</v>
      </c>
      <c r="BO66" s="105">
        <v>993.53238028079375</v>
      </c>
      <c r="BP66" s="105">
        <v>2.5693760595067383</v>
      </c>
      <c r="BQ66" s="105">
        <v>1023.6394221074845</v>
      </c>
      <c r="BR66" s="105">
        <v>2.2167166003587542</v>
      </c>
      <c r="BS66" s="105">
        <v>883.13989358292758</v>
      </c>
      <c r="BT66" s="105">
        <v>2.2610509323659294</v>
      </c>
      <c r="BU66" s="105">
        <v>900.80269145458624</v>
      </c>
      <c r="BV66" s="105">
        <v>2.7573791858121091</v>
      </c>
      <c r="BW66" s="105">
        <v>1098.5398676275443</v>
      </c>
      <c r="BX66" s="105">
        <v>2.7799806545482739</v>
      </c>
      <c r="BY66" s="105">
        <v>1107.5442927720323</v>
      </c>
      <c r="BZ66" s="105">
        <v>2.6414146406144035</v>
      </c>
      <c r="CA66" s="105">
        <v>1052.3395928207783</v>
      </c>
      <c r="CB66" s="105">
        <v>2.479222513559133</v>
      </c>
      <c r="CC66" s="105">
        <v>987.72224940195849</v>
      </c>
      <c r="CD66" s="105">
        <v>2.4156527055191557</v>
      </c>
      <c r="CE66" s="105">
        <v>962.39603787883152</v>
      </c>
      <c r="CF66" s="105">
        <v>2.6089049219606881</v>
      </c>
      <c r="CG66" s="105">
        <v>1039.3877209091381</v>
      </c>
      <c r="CH66" s="105">
        <v>2.6917273004356304</v>
      </c>
      <c r="CI66" s="105">
        <v>1072.3841564935551</v>
      </c>
      <c r="CJ66" s="105">
        <v>2.2916056746951989</v>
      </c>
      <c r="CK66" s="105">
        <v>912.97570079856723</v>
      </c>
      <c r="CL66" s="105">
        <v>2.2978159881767577</v>
      </c>
      <c r="CM66" s="105">
        <v>915.44988968962025</v>
      </c>
      <c r="CN66" s="105">
        <v>3.1156213634963597</v>
      </c>
      <c r="CO66" s="105">
        <v>1241.2635512169495</v>
      </c>
      <c r="CP66" s="105">
        <v>2.5234943441584035</v>
      </c>
      <c r="CQ66" s="105">
        <v>1005.3601467127079</v>
      </c>
      <c r="CR66" s="105">
        <v>2.3951810724215354</v>
      </c>
      <c r="CS66" s="105">
        <v>954.24013925273971</v>
      </c>
      <c r="CT66" s="105">
        <v>2.4399830205387731</v>
      </c>
      <c r="CU66" s="105">
        <v>972.08923538264719</v>
      </c>
    </row>
    <row r="67" spans="2:99" x14ac:dyDescent="0.2">
      <c r="C67" s="104" t="s">
        <v>233</v>
      </c>
      <c r="D67" s="105">
        <v>4</v>
      </c>
      <c r="E67" s="105">
        <v>1896</v>
      </c>
      <c r="F67" s="105">
        <v>5</v>
      </c>
      <c r="G67" s="105">
        <v>2370</v>
      </c>
      <c r="H67" s="105">
        <v>0.90901174468787926</v>
      </c>
      <c r="I67" s="105">
        <v>430.87156698205479</v>
      </c>
      <c r="J67" s="105">
        <v>0</v>
      </c>
      <c r="K67" s="105">
        <v>0</v>
      </c>
      <c r="L67" s="105">
        <v>0</v>
      </c>
      <c r="M67" s="105">
        <v>0</v>
      </c>
      <c r="N67" s="105">
        <v>0</v>
      </c>
      <c r="O67" s="105">
        <v>0</v>
      </c>
      <c r="P67" s="105">
        <v>2.4156527055191557</v>
      </c>
      <c r="Q67" s="105">
        <v>1145.0193824160797</v>
      </c>
      <c r="R67" s="105">
        <v>2.7573791858121091</v>
      </c>
      <c r="S67" s="105">
        <v>1306.9977340749397</v>
      </c>
      <c r="T67" s="105">
        <v>2.846646857295235</v>
      </c>
      <c r="U67" s="105">
        <v>1349.3106103579414</v>
      </c>
      <c r="V67" s="105">
        <v>2.5462285274391099</v>
      </c>
      <c r="W67" s="105">
        <v>1206.9123220061381</v>
      </c>
      <c r="X67" s="105">
        <v>2.5500574425179656</v>
      </c>
      <c r="Y67" s="105">
        <v>1208.7272277535158</v>
      </c>
      <c r="Z67" s="105">
        <v>2.7132611188391156</v>
      </c>
      <c r="AA67" s="105">
        <v>1286.0857703297409</v>
      </c>
      <c r="AB67" s="105">
        <v>2.4756032106196311</v>
      </c>
      <c r="AC67" s="105">
        <v>1173.4359218337052</v>
      </c>
      <c r="AD67" s="105">
        <v>2.4156527055191557</v>
      </c>
      <c r="AE67" s="105">
        <v>1145.0193824160797</v>
      </c>
      <c r="AF67" s="105">
        <v>2.5011625358030192</v>
      </c>
      <c r="AG67" s="105">
        <v>1185.5510419706311</v>
      </c>
      <c r="AH67" s="105">
        <v>2.3717317472369892</v>
      </c>
      <c r="AI67" s="105">
        <v>1124.2008481903329</v>
      </c>
      <c r="AJ67" s="105">
        <v>2.5011625358030192</v>
      </c>
      <c r="AK67" s="105">
        <v>1185.5510419706311</v>
      </c>
      <c r="AL67" s="105">
        <v>0</v>
      </c>
      <c r="AM67" s="105">
        <v>0</v>
      </c>
      <c r="AN67" s="105">
        <v>4.3818816518719554</v>
      </c>
      <c r="AO67" s="105">
        <v>2077.0119029873067</v>
      </c>
      <c r="AP67" s="105">
        <v>2.5122788137399219</v>
      </c>
      <c r="AQ67" s="105">
        <v>1190.8201577127229</v>
      </c>
      <c r="AR67" s="105">
        <v>2.6917273004356304</v>
      </c>
      <c r="AS67" s="105">
        <v>1275.8787404064888</v>
      </c>
      <c r="AT67" s="105">
        <v>2.0555008476053902</v>
      </c>
      <c r="AU67" s="105">
        <v>974.30740176495499</v>
      </c>
      <c r="AV67" s="105">
        <v>2.5693760595067383</v>
      </c>
      <c r="AW67" s="105">
        <v>1217.8842522061939</v>
      </c>
      <c r="AX67" s="105">
        <v>2.6705325972825937</v>
      </c>
      <c r="AY67" s="105">
        <v>1265.8324511119495</v>
      </c>
      <c r="AZ67" s="105">
        <v>1.8635035156862056</v>
      </c>
      <c r="BA67" s="105">
        <v>883.30066643526152</v>
      </c>
      <c r="BB67" s="105">
        <v>2.5889896172128966</v>
      </c>
      <c r="BC67" s="105">
        <v>1227.181078558913</v>
      </c>
      <c r="BD67" s="105">
        <v>1.804029999228135</v>
      </c>
      <c r="BE67" s="105">
        <v>855.110219634136</v>
      </c>
      <c r="BF67" s="105">
        <v>2.4156527055191557</v>
      </c>
      <c r="BG67" s="105">
        <v>1145.0193824160797</v>
      </c>
      <c r="BH67" s="105">
        <v>2.4364772978081137</v>
      </c>
      <c r="BI67" s="105">
        <v>1154.8902391610459</v>
      </c>
      <c r="BJ67" s="105">
        <v>2.2386642894712172</v>
      </c>
      <c r="BK67" s="105">
        <v>1061.126873209357</v>
      </c>
      <c r="BL67" s="105">
        <v>2.8029557012800779</v>
      </c>
      <c r="BM67" s="105">
        <v>1328.6010024067568</v>
      </c>
      <c r="BN67" s="105">
        <v>2.4938061754035989</v>
      </c>
      <c r="BO67" s="105">
        <v>1182.0641271413058</v>
      </c>
      <c r="BP67" s="105">
        <v>2.5693760595067383</v>
      </c>
      <c r="BQ67" s="105">
        <v>1217.8842522061939</v>
      </c>
      <c r="BR67" s="105">
        <v>2.2167166003587542</v>
      </c>
      <c r="BS67" s="105">
        <v>1050.7236685700495</v>
      </c>
      <c r="BT67" s="105">
        <v>2.2610509323659294</v>
      </c>
      <c r="BU67" s="105">
        <v>1071.7381419414505</v>
      </c>
      <c r="BV67" s="105">
        <v>3.2169423834474604</v>
      </c>
      <c r="BW67" s="105">
        <v>1524.8306897540963</v>
      </c>
      <c r="BX67" s="105">
        <v>2.7799806545482739</v>
      </c>
      <c r="BY67" s="105">
        <v>1317.7108302558818</v>
      </c>
      <c r="BZ67" s="105">
        <v>2.6414146406144035</v>
      </c>
      <c r="CA67" s="105">
        <v>1252.0305396512272</v>
      </c>
      <c r="CB67" s="105">
        <v>2.479222513559133</v>
      </c>
      <c r="CC67" s="105">
        <v>1175.151471427029</v>
      </c>
      <c r="CD67" s="105">
        <v>2.4156527055191557</v>
      </c>
      <c r="CE67" s="105">
        <v>1145.0193824160797</v>
      </c>
      <c r="CF67" s="105">
        <v>2.1740874349672401</v>
      </c>
      <c r="CG67" s="105">
        <v>1030.5174441744718</v>
      </c>
      <c r="CH67" s="105">
        <v>2.6917273004356304</v>
      </c>
      <c r="CI67" s="105">
        <v>1275.8787404064888</v>
      </c>
      <c r="CJ67" s="105">
        <v>2.6735399538110656</v>
      </c>
      <c r="CK67" s="105">
        <v>1267.2579381064452</v>
      </c>
      <c r="CL67" s="105">
        <v>2.2978159881767577</v>
      </c>
      <c r="CM67" s="105">
        <v>1089.1647783957831</v>
      </c>
      <c r="CN67" s="105">
        <v>2.6705325972825937</v>
      </c>
      <c r="CO67" s="105">
        <v>1265.8324511119495</v>
      </c>
      <c r="CP67" s="105">
        <v>2.5234943441584035</v>
      </c>
      <c r="CQ67" s="105">
        <v>1196.1363191310832</v>
      </c>
      <c r="CR67" s="105">
        <v>2.8742172869058429</v>
      </c>
      <c r="CS67" s="105">
        <v>1362.3789939933695</v>
      </c>
      <c r="CT67" s="105">
        <v>2.4399830205387731</v>
      </c>
      <c r="CU67" s="105">
        <v>1156.5519517353785</v>
      </c>
    </row>
    <row r="68" spans="2:99" x14ac:dyDescent="0.2">
      <c r="C68" s="104" t="s">
        <v>234</v>
      </c>
      <c r="D68" s="105">
        <v>4</v>
      </c>
      <c r="E68" s="105">
        <v>1080</v>
      </c>
      <c r="F68" s="105">
        <v>5</v>
      </c>
      <c r="G68" s="105">
        <v>1350</v>
      </c>
      <c r="H68" s="105">
        <v>0.90901174468787926</v>
      </c>
      <c r="I68" s="105">
        <v>245.43317106572741</v>
      </c>
      <c r="J68" s="105">
        <v>0</v>
      </c>
      <c r="K68" s="105">
        <v>0</v>
      </c>
      <c r="L68" s="105">
        <v>0</v>
      </c>
      <c r="M68" s="105">
        <v>0</v>
      </c>
      <c r="N68" s="105">
        <v>0</v>
      </c>
      <c r="O68" s="105">
        <v>0</v>
      </c>
      <c r="P68" s="105">
        <v>2.4156527055191557</v>
      </c>
      <c r="Q68" s="105">
        <v>652.22623049017204</v>
      </c>
      <c r="R68" s="105">
        <v>2.7573791858121091</v>
      </c>
      <c r="S68" s="105">
        <v>744.4923801692695</v>
      </c>
      <c r="T68" s="105">
        <v>2.846646857295235</v>
      </c>
      <c r="U68" s="105">
        <v>768.59465146971343</v>
      </c>
      <c r="V68" s="105">
        <v>2.5462285274391099</v>
      </c>
      <c r="W68" s="105">
        <v>687.48170240855961</v>
      </c>
      <c r="X68" s="105">
        <v>2.5500574425179656</v>
      </c>
      <c r="Y68" s="105">
        <v>688.51550947985072</v>
      </c>
      <c r="Z68" s="105">
        <v>2.2610509323659294</v>
      </c>
      <c r="AA68" s="105">
        <v>610.48375173880095</v>
      </c>
      <c r="AB68" s="105">
        <v>2.8882037457229028</v>
      </c>
      <c r="AC68" s="105">
        <v>779.81501134518373</v>
      </c>
      <c r="AD68" s="105">
        <v>2.4156527055191557</v>
      </c>
      <c r="AE68" s="105">
        <v>652.22623049017204</v>
      </c>
      <c r="AF68" s="105">
        <v>2.5011625358030192</v>
      </c>
      <c r="AG68" s="105">
        <v>675.31388466681517</v>
      </c>
      <c r="AH68" s="105">
        <v>2.7670203717764874</v>
      </c>
      <c r="AI68" s="105">
        <v>747.09550037965164</v>
      </c>
      <c r="AJ68" s="105">
        <v>3.0013950429636234</v>
      </c>
      <c r="AK68" s="105">
        <v>810.37666160017829</v>
      </c>
      <c r="AL68" s="105">
        <v>0</v>
      </c>
      <c r="AM68" s="105">
        <v>0</v>
      </c>
      <c r="AN68" s="105">
        <v>5.2582579822463469</v>
      </c>
      <c r="AO68" s="105">
        <v>1419.7296552065136</v>
      </c>
      <c r="AP68" s="105">
        <v>2.9309919493632419</v>
      </c>
      <c r="AQ68" s="105">
        <v>791.36782632807535</v>
      </c>
      <c r="AR68" s="105">
        <v>2.6917273004356304</v>
      </c>
      <c r="AS68" s="105">
        <v>726.76637111762022</v>
      </c>
      <c r="AT68" s="105">
        <v>2.0555008476053902</v>
      </c>
      <c r="AU68" s="105">
        <v>554.9852288534554</v>
      </c>
      <c r="AV68" s="105">
        <v>2.5693760595067383</v>
      </c>
      <c r="AW68" s="105">
        <v>693.73153606681933</v>
      </c>
      <c r="AX68" s="105">
        <v>2.6705325972825937</v>
      </c>
      <c r="AY68" s="105">
        <v>721.04380126630031</v>
      </c>
      <c r="AZ68" s="105">
        <v>2.4846713542482743</v>
      </c>
      <c r="BA68" s="105">
        <v>670.86126564703409</v>
      </c>
      <c r="BB68" s="105">
        <v>2.5889896172128966</v>
      </c>
      <c r="BC68" s="105">
        <v>699.02719664748201</v>
      </c>
      <c r="BD68" s="105">
        <v>2.4053733323041802</v>
      </c>
      <c r="BE68" s="105">
        <v>649.45079972212864</v>
      </c>
      <c r="BF68" s="105">
        <v>2.8987832466229864</v>
      </c>
      <c r="BG68" s="105">
        <v>782.67147658820636</v>
      </c>
      <c r="BH68" s="105">
        <v>2.4364772978081137</v>
      </c>
      <c r="BI68" s="105">
        <v>657.84887040819069</v>
      </c>
      <c r="BJ68" s="105">
        <v>2.2386642894712172</v>
      </c>
      <c r="BK68" s="105">
        <v>604.43935815722864</v>
      </c>
      <c r="BL68" s="105">
        <v>2.3357964177333983</v>
      </c>
      <c r="BM68" s="105">
        <v>630.66503278801758</v>
      </c>
      <c r="BN68" s="105">
        <v>2.9094405379708652</v>
      </c>
      <c r="BO68" s="105">
        <v>785.54894525213365</v>
      </c>
      <c r="BP68" s="105">
        <v>2.1411467162556153</v>
      </c>
      <c r="BQ68" s="105">
        <v>578.10961338901609</v>
      </c>
      <c r="BR68" s="105">
        <v>2.2167166003587542</v>
      </c>
      <c r="BS68" s="105">
        <v>598.51348209686364</v>
      </c>
      <c r="BT68" s="105">
        <v>2.2610509323659294</v>
      </c>
      <c r="BU68" s="105">
        <v>610.48375173880095</v>
      </c>
      <c r="BV68" s="105">
        <v>2.7573791858121091</v>
      </c>
      <c r="BW68" s="105">
        <v>744.4923801692695</v>
      </c>
      <c r="BX68" s="105">
        <v>2.7799806545482739</v>
      </c>
      <c r="BY68" s="105">
        <v>750.59477672803393</v>
      </c>
      <c r="BZ68" s="105">
        <v>2.6414146406144035</v>
      </c>
      <c r="CA68" s="105">
        <v>713.18195296588897</v>
      </c>
      <c r="CB68" s="105">
        <v>2.479222513559133</v>
      </c>
      <c r="CC68" s="105">
        <v>669.39007866096597</v>
      </c>
      <c r="CD68" s="105">
        <v>2.4156527055191557</v>
      </c>
      <c r="CE68" s="105">
        <v>652.22623049017204</v>
      </c>
      <c r="CF68" s="105">
        <v>2.6089049219606881</v>
      </c>
      <c r="CG68" s="105">
        <v>704.40432892938577</v>
      </c>
      <c r="CH68" s="105">
        <v>2.6917273004356304</v>
      </c>
      <c r="CI68" s="105">
        <v>726.76637111762022</v>
      </c>
      <c r="CJ68" s="105">
        <v>2.2916056746951989</v>
      </c>
      <c r="CK68" s="105">
        <v>618.73353216770374</v>
      </c>
      <c r="CL68" s="105">
        <v>2.2978159881767577</v>
      </c>
      <c r="CM68" s="105">
        <v>620.4103168077246</v>
      </c>
      <c r="CN68" s="105">
        <v>2.6705325972825937</v>
      </c>
      <c r="CO68" s="105">
        <v>721.04380126630031</v>
      </c>
      <c r="CP68" s="105">
        <v>3.0281932129900841</v>
      </c>
      <c r="CQ68" s="105">
        <v>817.61216750732274</v>
      </c>
      <c r="CR68" s="105">
        <v>2.8742172869058429</v>
      </c>
      <c r="CS68" s="105">
        <v>776.03866746457754</v>
      </c>
      <c r="CT68" s="105">
        <v>2.4399830205387731</v>
      </c>
      <c r="CU68" s="105">
        <v>658.7954155454687</v>
      </c>
    </row>
    <row r="69" spans="2:99" x14ac:dyDescent="0.2">
      <c r="C69" s="104" t="s">
        <v>235</v>
      </c>
      <c r="D69" s="105">
        <v>4</v>
      </c>
      <c r="E69" s="105">
        <v>691.19999999999993</v>
      </c>
      <c r="F69" s="105">
        <v>5</v>
      </c>
      <c r="G69" s="105">
        <v>863.99999999999989</v>
      </c>
      <c r="H69" s="105">
        <v>0.90901174468787926</v>
      </c>
      <c r="I69" s="105">
        <v>157.07722948206552</v>
      </c>
      <c r="J69" s="105">
        <v>0</v>
      </c>
      <c r="K69" s="105">
        <v>0</v>
      </c>
      <c r="L69" s="105">
        <v>0</v>
      </c>
      <c r="M69" s="105">
        <v>0</v>
      </c>
      <c r="N69" s="105">
        <v>0</v>
      </c>
      <c r="O69" s="105">
        <v>0</v>
      </c>
      <c r="P69" s="105">
        <v>2.4156527055191557</v>
      </c>
      <c r="Q69" s="105">
        <v>417.42478751371004</v>
      </c>
      <c r="R69" s="105">
        <v>2.2978159881767577</v>
      </c>
      <c r="S69" s="105">
        <v>397.0626027569437</v>
      </c>
      <c r="T69" s="105">
        <v>2.4399830205387731</v>
      </c>
      <c r="U69" s="105">
        <v>421.62906594909998</v>
      </c>
      <c r="V69" s="105">
        <v>2.5462285274391099</v>
      </c>
      <c r="W69" s="105">
        <v>439.98828954147814</v>
      </c>
      <c r="X69" s="105">
        <v>2.5500574425179656</v>
      </c>
      <c r="Y69" s="105">
        <v>440.64992606710439</v>
      </c>
      <c r="Z69" s="105">
        <v>2.2610509323659294</v>
      </c>
      <c r="AA69" s="105">
        <v>390.70960111283256</v>
      </c>
      <c r="AB69" s="105">
        <v>2.4756032106196311</v>
      </c>
      <c r="AC69" s="105">
        <v>427.78423479507222</v>
      </c>
      <c r="AD69" s="105">
        <v>2.4156527055191557</v>
      </c>
      <c r="AE69" s="105">
        <v>417.42478751371004</v>
      </c>
      <c r="AF69" s="105">
        <v>2.5011625358030192</v>
      </c>
      <c r="AG69" s="105">
        <v>432.20088618676169</v>
      </c>
      <c r="AH69" s="105">
        <v>2.7670203717764874</v>
      </c>
      <c r="AI69" s="105">
        <v>478.14112024297697</v>
      </c>
      <c r="AJ69" s="105">
        <v>3.0013950429636234</v>
      </c>
      <c r="AK69" s="105">
        <v>518.64106342411401</v>
      </c>
      <c r="AL69" s="105">
        <v>0</v>
      </c>
      <c r="AM69" s="105">
        <v>0</v>
      </c>
      <c r="AN69" s="105">
        <v>5.2582579822463469</v>
      </c>
      <c r="AO69" s="105">
        <v>908.62697933216862</v>
      </c>
      <c r="AP69" s="105">
        <v>2.9309919493632419</v>
      </c>
      <c r="AQ69" s="105">
        <v>506.47540884996818</v>
      </c>
      <c r="AR69" s="105">
        <v>2.2431060836963583</v>
      </c>
      <c r="AS69" s="105">
        <v>387.60873126273066</v>
      </c>
      <c r="AT69" s="105">
        <v>2.0555008476053902</v>
      </c>
      <c r="AU69" s="105">
        <v>355.1905464662114</v>
      </c>
      <c r="AV69" s="105">
        <v>2.5693760595067383</v>
      </c>
      <c r="AW69" s="105">
        <v>443.98818308276435</v>
      </c>
      <c r="AX69" s="105">
        <v>3.1156213634963597</v>
      </c>
      <c r="AY69" s="105">
        <v>538.37937161217087</v>
      </c>
      <c r="AZ69" s="105">
        <v>2.4846713542482743</v>
      </c>
      <c r="BA69" s="105">
        <v>429.35121001410175</v>
      </c>
      <c r="BB69" s="105">
        <v>2.5889896172128966</v>
      </c>
      <c r="BC69" s="105">
        <v>447.37740585438848</v>
      </c>
      <c r="BD69" s="105">
        <v>2.4053733323041802</v>
      </c>
      <c r="BE69" s="105">
        <v>415.64851182216228</v>
      </c>
      <c r="BF69" s="105">
        <v>2.8987832466229864</v>
      </c>
      <c r="BG69" s="105">
        <v>500.90974501645201</v>
      </c>
      <c r="BH69" s="105">
        <v>2.4364772978081137</v>
      </c>
      <c r="BI69" s="105">
        <v>421.02327706124203</v>
      </c>
      <c r="BJ69" s="105">
        <v>2.2386642894712172</v>
      </c>
      <c r="BK69" s="105">
        <v>386.84118922062629</v>
      </c>
      <c r="BL69" s="105">
        <v>2.3357964177333983</v>
      </c>
      <c r="BM69" s="105">
        <v>403.62562098433119</v>
      </c>
      <c r="BN69" s="105">
        <v>2.9094405379708652</v>
      </c>
      <c r="BO69" s="105">
        <v>502.75132496136547</v>
      </c>
      <c r="BP69" s="105">
        <v>2.5693760595067383</v>
      </c>
      <c r="BQ69" s="105">
        <v>443.98818308276435</v>
      </c>
      <c r="BR69" s="105">
        <v>2.2167166003587542</v>
      </c>
      <c r="BS69" s="105">
        <v>383.04862854199268</v>
      </c>
      <c r="BT69" s="105">
        <v>2.2610509323659294</v>
      </c>
      <c r="BU69" s="105">
        <v>390.70960111283256</v>
      </c>
      <c r="BV69" s="105">
        <v>2.7573791858121091</v>
      </c>
      <c r="BW69" s="105">
        <v>476.4751233083324</v>
      </c>
      <c r="BX69" s="105">
        <v>2.3166505454568949</v>
      </c>
      <c r="BY69" s="105">
        <v>400.31721425495141</v>
      </c>
      <c r="BZ69" s="105">
        <v>2.6414146406144035</v>
      </c>
      <c r="CA69" s="105">
        <v>456.43644989816886</v>
      </c>
      <c r="CB69" s="105">
        <v>1.9833780108473065</v>
      </c>
      <c r="CC69" s="105">
        <v>342.72772027441454</v>
      </c>
      <c r="CD69" s="105">
        <v>2.4156527055191557</v>
      </c>
      <c r="CE69" s="105">
        <v>417.42478751371004</v>
      </c>
      <c r="CF69" s="105">
        <v>2.6089049219606881</v>
      </c>
      <c r="CG69" s="105">
        <v>450.81877051480689</v>
      </c>
      <c r="CH69" s="105">
        <v>2.6917273004356304</v>
      </c>
      <c r="CI69" s="105">
        <v>465.13047751527688</v>
      </c>
      <c r="CJ69" s="105">
        <v>2.2916056746951989</v>
      </c>
      <c r="CK69" s="105">
        <v>395.98946058733031</v>
      </c>
      <c r="CL69" s="105">
        <v>2.2978159881767577</v>
      </c>
      <c r="CM69" s="105">
        <v>397.0626027569437</v>
      </c>
      <c r="CN69" s="105">
        <v>2.6705325972825937</v>
      </c>
      <c r="CO69" s="105">
        <v>461.46803281043213</v>
      </c>
      <c r="CP69" s="105">
        <v>2.5234943441584035</v>
      </c>
      <c r="CQ69" s="105">
        <v>436.05982267057209</v>
      </c>
      <c r="CR69" s="105">
        <v>2.3951810724215354</v>
      </c>
      <c r="CS69" s="105">
        <v>413.88728931444126</v>
      </c>
      <c r="CT69" s="105">
        <v>2.846646857295235</v>
      </c>
      <c r="CU69" s="105">
        <v>491.90057694061659</v>
      </c>
    </row>
    <row r="70" spans="2:99" x14ac:dyDescent="0.2">
      <c r="C70" s="104" t="s">
        <v>236</v>
      </c>
      <c r="D70" s="105">
        <v>4</v>
      </c>
      <c r="E70" s="105">
        <v>1718.3999999999999</v>
      </c>
      <c r="F70" s="105">
        <v>5</v>
      </c>
      <c r="G70" s="105">
        <v>2148</v>
      </c>
      <c r="H70" s="105">
        <v>0.90901174468787926</v>
      </c>
      <c r="I70" s="105">
        <v>390.51144551791288</v>
      </c>
      <c r="J70" s="105">
        <v>0</v>
      </c>
      <c r="K70" s="105">
        <v>0</v>
      </c>
      <c r="L70" s="105">
        <v>0</v>
      </c>
      <c r="M70" s="105">
        <v>0</v>
      </c>
      <c r="N70" s="105">
        <v>0</v>
      </c>
      <c r="O70" s="105">
        <v>0</v>
      </c>
      <c r="P70" s="105">
        <v>2.4156527055191557</v>
      </c>
      <c r="Q70" s="105">
        <v>1037.7644022910292</v>
      </c>
      <c r="R70" s="105">
        <v>2.2978159881767577</v>
      </c>
      <c r="S70" s="105">
        <v>987.14174852073506</v>
      </c>
      <c r="T70" s="105">
        <v>2.846646857295235</v>
      </c>
      <c r="U70" s="105">
        <v>1222.9194898940329</v>
      </c>
      <c r="V70" s="105">
        <v>2.5462285274391099</v>
      </c>
      <c r="W70" s="105">
        <v>1093.8597753878414</v>
      </c>
      <c r="X70" s="105">
        <v>2.1250478687649714</v>
      </c>
      <c r="Y70" s="105">
        <v>912.92056442143166</v>
      </c>
      <c r="Z70" s="105">
        <v>2.2610509323659294</v>
      </c>
      <c r="AA70" s="105">
        <v>971.3474805444032</v>
      </c>
      <c r="AB70" s="105">
        <v>2.8882037457229028</v>
      </c>
      <c r="AC70" s="105">
        <v>1240.7723291625589</v>
      </c>
      <c r="AD70" s="105">
        <v>2.4156527055191557</v>
      </c>
      <c r="AE70" s="105">
        <v>1037.7644022910292</v>
      </c>
      <c r="AF70" s="105">
        <v>2.5011625358030192</v>
      </c>
      <c r="AG70" s="105">
        <v>1074.4994253809768</v>
      </c>
      <c r="AH70" s="105">
        <v>2.7670203717764874</v>
      </c>
      <c r="AI70" s="105">
        <v>1188.7119517151789</v>
      </c>
      <c r="AJ70" s="105">
        <v>3.0013950429636234</v>
      </c>
      <c r="AK70" s="105">
        <v>1289.3993104571725</v>
      </c>
      <c r="AL70" s="105">
        <v>0</v>
      </c>
      <c r="AM70" s="105">
        <v>0</v>
      </c>
      <c r="AN70" s="105">
        <v>5.2582579822463469</v>
      </c>
      <c r="AO70" s="105">
        <v>2258.9476291730302</v>
      </c>
      <c r="AP70" s="105">
        <v>2.5122788137399219</v>
      </c>
      <c r="AQ70" s="105">
        <v>1079.2749783826703</v>
      </c>
      <c r="AR70" s="105">
        <v>2.6917273004356304</v>
      </c>
      <c r="AS70" s="105">
        <v>1156.3660482671467</v>
      </c>
      <c r="AT70" s="105">
        <v>2.5693760595067383</v>
      </c>
      <c r="AU70" s="105">
        <v>1103.8039551640948</v>
      </c>
      <c r="AV70" s="105">
        <v>2.5693760595067383</v>
      </c>
      <c r="AW70" s="105">
        <v>1103.8039551640948</v>
      </c>
      <c r="AX70" s="105">
        <v>3.1156213634963597</v>
      </c>
      <c r="AY70" s="105">
        <v>1338.4709377580359</v>
      </c>
      <c r="AZ70" s="105">
        <v>2.4846713542482743</v>
      </c>
      <c r="BA70" s="105">
        <v>1067.4148137850586</v>
      </c>
      <c r="BB70" s="105">
        <v>2.5889896172128966</v>
      </c>
      <c r="BC70" s="105">
        <v>1112.2299395546602</v>
      </c>
      <c r="BD70" s="105">
        <v>1.804029999228135</v>
      </c>
      <c r="BE70" s="105">
        <v>775.01128766840668</v>
      </c>
      <c r="BF70" s="105">
        <v>2.4156527055191557</v>
      </c>
      <c r="BG70" s="105">
        <v>1037.7644022910292</v>
      </c>
      <c r="BH70" s="105">
        <v>2.4364772978081137</v>
      </c>
      <c r="BI70" s="105">
        <v>1046.7106471383656</v>
      </c>
      <c r="BJ70" s="105">
        <v>2.2386642894712172</v>
      </c>
      <c r="BK70" s="105">
        <v>961.73017875683479</v>
      </c>
      <c r="BL70" s="105">
        <v>2.3357964177333983</v>
      </c>
      <c r="BM70" s="105">
        <v>1003.4581410582679</v>
      </c>
      <c r="BN70" s="105">
        <v>2.4938061754035989</v>
      </c>
      <c r="BO70" s="105">
        <v>1071.3391329533861</v>
      </c>
      <c r="BP70" s="105">
        <v>2.5693760595067383</v>
      </c>
      <c r="BQ70" s="105">
        <v>1103.8039551640948</v>
      </c>
      <c r="BR70" s="105">
        <v>2.2167166003587542</v>
      </c>
      <c r="BS70" s="105">
        <v>952.30145151412069</v>
      </c>
      <c r="BT70" s="105">
        <v>2.2610509323659294</v>
      </c>
      <c r="BU70" s="105">
        <v>971.3474805444032</v>
      </c>
      <c r="BV70" s="105">
        <v>3.2169423834474604</v>
      </c>
      <c r="BW70" s="105">
        <v>1381.998447929029</v>
      </c>
      <c r="BX70" s="105">
        <v>2.7799806545482739</v>
      </c>
      <c r="BY70" s="105">
        <v>1194.2796891939383</v>
      </c>
      <c r="BZ70" s="105">
        <v>2.6414146406144035</v>
      </c>
      <c r="CA70" s="105">
        <v>1134.7517296079477</v>
      </c>
      <c r="CB70" s="105">
        <v>1.9833780108473065</v>
      </c>
      <c r="CC70" s="105">
        <v>852.0591934600028</v>
      </c>
      <c r="CD70" s="105">
        <v>2.4156527055191557</v>
      </c>
      <c r="CE70" s="105">
        <v>1037.7644022910292</v>
      </c>
      <c r="CF70" s="105">
        <v>2.1740874349672401</v>
      </c>
      <c r="CG70" s="105">
        <v>933.98796206192628</v>
      </c>
      <c r="CH70" s="105">
        <v>2.6917273004356304</v>
      </c>
      <c r="CI70" s="105">
        <v>1156.3660482671467</v>
      </c>
      <c r="CJ70" s="105">
        <v>2.6735399538110656</v>
      </c>
      <c r="CK70" s="105">
        <v>1148.5527641572337</v>
      </c>
      <c r="CL70" s="105">
        <v>2.2978159881767577</v>
      </c>
      <c r="CM70" s="105">
        <v>987.14174852073506</v>
      </c>
      <c r="CN70" s="105">
        <v>2.6705325972825937</v>
      </c>
      <c r="CO70" s="105">
        <v>1147.2608037926022</v>
      </c>
      <c r="CP70" s="105">
        <v>2.5234943441584035</v>
      </c>
      <c r="CQ70" s="105">
        <v>1084.0931702504499</v>
      </c>
      <c r="CR70" s="105">
        <v>2.8742172869058429</v>
      </c>
      <c r="CS70" s="105">
        <v>1234.7637464547499</v>
      </c>
      <c r="CT70" s="105">
        <v>2.4399830205387731</v>
      </c>
      <c r="CU70" s="105">
        <v>1048.2167056234568</v>
      </c>
    </row>
    <row r="71" spans="2:99" x14ac:dyDescent="0.2">
      <c r="B71" s="104" t="s">
        <v>130</v>
      </c>
      <c r="C71" s="104" t="s">
        <v>237</v>
      </c>
      <c r="D71" s="105">
        <v>8</v>
      </c>
      <c r="E71" s="105">
        <v>1468.8</v>
      </c>
      <c r="F71" s="105">
        <v>7</v>
      </c>
      <c r="G71" s="105">
        <v>1285.2</v>
      </c>
      <c r="H71" s="105">
        <v>0.93460873118279786</v>
      </c>
      <c r="I71" s="105">
        <v>171.59416304516168</v>
      </c>
      <c r="J71" s="105">
        <v>0</v>
      </c>
      <c r="K71" s="105">
        <v>0</v>
      </c>
      <c r="L71" s="105">
        <v>0</v>
      </c>
      <c r="M71" s="105">
        <v>0</v>
      </c>
      <c r="N71" s="105">
        <v>0</v>
      </c>
      <c r="O71" s="105">
        <v>0</v>
      </c>
      <c r="P71" s="105">
        <v>6.7811039050618831</v>
      </c>
      <c r="Q71" s="105">
        <v>1245.0106769693616</v>
      </c>
      <c r="R71" s="105">
        <v>6.3772137038199519</v>
      </c>
      <c r="S71" s="105">
        <v>1170.8564360213431</v>
      </c>
      <c r="T71" s="105">
        <v>6.0437646212672753</v>
      </c>
      <c r="U71" s="105">
        <v>1109.6351844646717</v>
      </c>
      <c r="V71" s="105">
        <v>6.2691253359585977</v>
      </c>
      <c r="W71" s="105">
        <v>1151.0114116819984</v>
      </c>
      <c r="X71" s="105">
        <v>5.1665553562376259</v>
      </c>
      <c r="Y71" s="105">
        <v>948.5795634052281</v>
      </c>
      <c r="Z71" s="105">
        <v>4.7822661148645791</v>
      </c>
      <c r="AA71" s="105">
        <v>878.02405868913672</v>
      </c>
      <c r="AB71" s="105">
        <v>5.6904368434085741</v>
      </c>
      <c r="AC71" s="105">
        <v>1044.7642044498141</v>
      </c>
      <c r="AD71" s="105">
        <v>4.5876390055386951</v>
      </c>
      <c r="AE71" s="105">
        <v>842.29052141690443</v>
      </c>
      <c r="AF71" s="105">
        <v>5.3557052643845395</v>
      </c>
      <c r="AG71" s="105">
        <v>983.30748654100148</v>
      </c>
      <c r="AH71" s="105">
        <v>4.3837439386258641</v>
      </c>
      <c r="AI71" s="105">
        <v>804.85538713170865</v>
      </c>
      <c r="AJ71" s="105">
        <v>0</v>
      </c>
      <c r="AK71" s="105">
        <v>0</v>
      </c>
      <c r="AL71" s="105">
        <v>7</v>
      </c>
      <c r="AM71" s="105">
        <v>1285.2</v>
      </c>
      <c r="AN71" s="105">
        <v>5.675613826063806</v>
      </c>
      <c r="AO71" s="105">
        <v>1042.0426984653147</v>
      </c>
      <c r="AP71" s="105">
        <v>4.8708265984731822</v>
      </c>
      <c r="AQ71" s="105">
        <v>894.28376347967628</v>
      </c>
      <c r="AR71" s="105">
        <v>4.3595243588544506</v>
      </c>
      <c r="AS71" s="105">
        <v>800.40867228567708</v>
      </c>
      <c r="AT71" s="105">
        <v>4.8622511995322082</v>
      </c>
      <c r="AU71" s="105">
        <v>892.70932023411342</v>
      </c>
      <c r="AV71" s="105">
        <v>4.3698713312251494</v>
      </c>
      <c r="AW71" s="105">
        <v>802.30837641293738</v>
      </c>
      <c r="AX71" s="105">
        <v>5.1912757167937862</v>
      </c>
      <c r="AY71" s="105">
        <v>953.11822160333907</v>
      </c>
      <c r="AZ71" s="105">
        <v>5.4544279420690476</v>
      </c>
      <c r="BA71" s="105">
        <v>1001.4329701638771</v>
      </c>
      <c r="BB71" s="105">
        <v>4.6690763843352396</v>
      </c>
      <c r="BC71" s="105">
        <v>857.24242416394998</v>
      </c>
      <c r="BD71" s="105">
        <v>5.0259484646665964</v>
      </c>
      <c r="BE71" s="105">
        <v>922.76413811278712</v>
      </c>
      <c r="BF71" s="105">
        <v>4.647686636501243</v>
      </c>
      <c r="BG71" s="105">
        <v>853.3152664616282</v>
      </c>
      <c r="BH71" s="105">
        <v>5.6486568372161461</v>
      </c>
      <c r="BI71" s="105">
        <v>1037.0933953128845</v>
      </c>
      <c r="BJ71" s="105">
        <v>4.5523494747268591</v>
      </c>
      <c r="BK71" s="105">
        <v>835.81136355985132</v>
      </c>
      <c r="BL71" s="105">
        <v>5.0464029060925641</v>
      </c>
      <c r="BM71" s="105">
        <v>926.51957355859474</v>
      </c>
      <c r="BN71" s="105">
        <v>4.623479935269466</v>
      </c>
      <c r="BO71" s="105">
        <v>848.87091611547396</v>
      </c>
      <c r="BP71" s="105">
        <v>5.1017709630559622</v>
      </c>
      <c r="BQ71" s="105">
        <v>936.68514881707461</v>
      </c>
      <c r="BR71" s="105">
        <v>5.3315804658963213</v>
      </c>
      <c r="BS71" s="105">
        <v>978.87817353856451</v>
      </c>
      <c r="BT71" s="105">
        <v>5.5830701105140719</v>
      </c>
      <c r="BU71" s="105">
        <v>1025.0516722903835</v>
      </c>
      <c r="BV71" s="105">
        <v>4.6968685056705688</v>
      </c>
      <c r="BW71" s="105">
        <v>862.34505764111645</v>
      </c>
      <c r="BX71" s="105">
        <v>4.8114262741015583</v>
      </c>
      <c r="BY71" s="105">
        <v>883.37786392504609</v>
      </c>
      <c r="BZ71" s="105">
        <v>5.0581660830298434</v>
      </c>
      <c r="CA71" s="105">
        <v>928.67929284427919</v>
      </c>
      <c r="CB71" s="105">
        <v>4.9317119309540978</v>
      </c>
      <c r="CC71" s="105">
        <v>905.46231052317228</v>
      </c>
      <c r="CD71" s="105">
        <v>5.0437962930212361</v>
      </c>
      <c r="CE71" s="105">
        <v>926.04099939869889</v>
      </c>
      <c r="CF71" s="105">
        <v>4.4608449626720477</v>
      </c>
      <c r="CG71" s="105">
        <v>819.01113514658789</v>
      </c>
      <c r="CH71" s="105">
        <v>5.2604927263510373</v>
      </c>
      <c r="CI71" s="105">
        <v>965.82646455805036</v>
      </c>
      <c r="CJ71" s="105">
        <v>5.0581660830298434</v>
      </c>
      <c r="CK71" s="105">
        <v>928.67929284427919</v>
      </c>
      <c r="CL71" s="105">
        <v>5.0153002687668788</v>
      </c>
      <c r="CM71" s="105">
        <v>920.80912934559888</v>
      </c>
      <c r="CN71" s="105">
        <v>5.0699842280836513</v>
      </c>
      <c r="CO71" s="105">
        <v>930.84910427615841</v>
      </c>
      <c r="CP71" s="105">
        <v>4.8436456464727735</v>
      </c>
      <c r="CQ71" s="105">
        <v>889.29334069240122</v>
      </c>
      <c r="CR71" s="105">
        <v>5.2604927263510373</v>
      </c>
      <c r="CS71" s="105">
        <v>965.82646455805036</v>
      </c>
      <c r="CT71" s="105">
        <v>4.7616528988522315</v>
      </c>
      <c r="CU71" s="105">
        <v>874.23947222926972</v>
      </c>
    </row>
    <row r="72" spans="2:99" x14ac:dyDescent="0.2">
      <c r="C72" s="104" t="s">
        <v>238</v>
      </c>
      <c r="D72" s="105">
        <v>7</v>
      </c>
      <c r="E72" s="105">
        <v>3427.2</v>
      </c>
      <c r="F72" s="105">
        <v>7</v>
      </c>
      <c r="G72" s="105">
        <v>3427.2</v>
      </c>
      <c r="H72" s="105">
        <v>0.74768698494623831</v>
      </c>
      <c r="I72" s="105">
        <v>366.06754782967823</v>
      </c>
      <c r="J72" s="105">
        <v>0</v>
      </c>
      <c r="K72" s="105">
        <v>0</v>
      </c>
      <c r="L72" s="105">
        <v>0</v>
      </c>
      <c r="M72" s="105">
        <v>0</v>
      </c>
      <c r="N72" s="105">
        <v>0</v>
      </c>
      <c r="O72" s="105">
        <v>0</v>
      </c>
      <c r="P72" s="105">
        <v>6.1646399136926213</v>
      </c>
      <c r="Q72" s="105">
        <v>3018.2077017439074</v>
      </c>
      <c r="R72" s="105">
        <v>6.3772137038199519</v>
      </c>
      <c r="S72" s="105">
        <v>3122.2838293902482</v>
      </c>
      <c r="T72" s="105">
        <v>6.6481410833940027</v>
      </c>
      <c r="U72" s="105">
        <v>3254.9298744297034</v>
      </c>
      <c r="V72" s="105">
        <v>5.5725558541854197</v>
      </c>
      <c r="W72" s="105">
        <v>2728.3233462091812</v>
      </c>
      <c r="X72" s="105">
        <v>4.6968685056705688</v>
      </c>
      <c r="Y72" s="105">
        <v>2299.5868203763102</v>
      </c>
      <c r="Z72" s="105">
        <v>4.184482850506507</v>
      </c>
      <c r="AA72" s="105">
        <v>2048.7228036079855</v>
      </c>
      <c r="AB72" s="105">
        <v>4.742030702840478</v>
      </c>
      <c r="AC72" s="105">
        <v>2321.698232110698</v>
      </c>
      <c r="AD72" s="105">
        <v>5.1610938812310323</v>
      </c>
      <c r="AE72" s="105">
        <v>2526.8715642507132</v>
      </c>
      <c r="AF72" s="105">
        <v>4.9093964923524949</v>
      </c>
      <c r="AG72" s="105">
        <v>2403.6405226557813</v>
      </c>
      <c r="AH72" s="105">
        <v>4.3837439386258641</v>
      </c>
      <c r="AI72" s="105">
        <v>2146.2810323512231</v>
      </c>
      <c r="AJ72" s="105">
        <v>0</v>
      </c>
      <c r="AK72" s="105">
        <v>0</v>
      </c>
      <c r="AL72" s="105">
        <v>7</v>
      </c>
      <c r="AM72" s="105">
        <v>3427.2</v>
      </c>
      <c r="AN72" s="105">
        <v>5.675613826063806</v>
      </c>
      <c r="AO72" s="105">
        <v>2778.7805292408393</v>
      </c>
      <c r="AP72" s="105">
        <v>4.8708265984731822</v>
      </c>
      <c r="AQ72" s="105">
        <v>2384.7567026124698</v>
      </c>
      <c r="AR72" s="105">
        <v>4.9044649037112569</v>
      </c>
      <c r="AS72" s="105">
        <v>2401.226016857031</v>
      </c>
      <c r="AT72" s="105">
        <v>4.1676438853133213</v>
      </c>
      <c r="AU72" s="105">
        <v>2040.4784462494019</v>
      </c>
      <c r="AV72" s="105">
        <v>4.9941386642573136</v>
      </c>
      <c r="AW72" s="105">
        <v>2445.1302900203805</v>
      </c>
      <c r="AX72" s="105">
        <v>5.1912757167937862</v>
      </c>
      <c r="AY72" s="105">
        <v>2541.6485909422377</v>
      </c>
      <c r="AZ72" s="105">
        <v>4.9998922802299601</v>
      </c>
      <c r="BA72" s="105">
        <v>2447.9472604005882</v>
      </c>
      <c r="BB72" s="105">
        <v>5.2527109323771448</v>
      </c>
      <c r="BC72" s="105">
        <v>2571.7272724918498</v>
      </c>
      <c r="BD72" s="105">
        <v>4.3977049065832707</v>
      </c>
      <c r="BE72" s="105">
        <v>2153.1163222631694</v>
      </c>
      <c r="BF72" s="105">
        <v>4.647686636501243</v>
      </c>
      <c r="BG72" s="105">
        <v>2275.5073772310084</v>
      </c>
      <c r="BH72" s="105">
        <v>5.2141447728149046</v>
      </c>
      <c r="BI72" s="105">
        <v>2552.8452807701769</v>
      </c>
      <c r="BJ72" s="105">
        <v>4.5523494747268591</v>
      </c>
      <c r="BK72" s="105">
        <v>2228.8303028262699</v>
      </c>
      <c r="BL72" s="105">
        <v>4.5876390055386951</v>
      </c>
      <c r="BM72" s="105">
        <v>2246.108057111745</v>
      </c>
      <c r="BN72" s="105">
        <v>4.623479935269466</v>
      </c>
      <c r="BO72" s="105">
        <v>2263.6557763079304</v>
      </c>
      <c r="BP72" s="105">
        <v>4.5349075227164111</v>
      </c>
      <c r="BQ72" s="105">
        <v>2220.2907231219547</v>
      </c>
      <c r="BR72" s="105">
        <v>4.7984224193066893</v>
      </c>
      <c r="BS72" s="105">
        <v>2349.3076164925551</v>
      </c>
      <c r="BT72" s="105">
        <v>4.6525584254283938</v>
      </c>
      <c r="BU72" s="105">
        <v>2277.8926050897417</v>
      </c>
      <c r="BV72" s="105">
        <v>4.6968685056705688</v>
      </c>
      <c r="BW72" s="105">
        <v>2299.5868203763102</v>
      </c>
      <c r="BX72" s="105">
        <v>4.8114262741015583</v>
      </c>
      <c r="BY72" s="105">
        <v>2355.6743038001227</v>
      </c>
      <c r="BZ72" s="105">
        <v>4.5523494747268591</v>
      </c>
      <c r="CA72" s="105">
        <v>2228.8303028262699</v>
      </c>
      <c r="CB72" s="105">
        <v>4.3837439386258641</v>
      </c>
      <c r="CC72" s="105">
        <v>2146.2810323512231</v>
      </c>
      <c r="CD72" s="105">
        <v>5.6042181033569287</v>
      </c>
      <c r="CE72" s="105">
        <v>2743.8251834035523</v>
      </c>
      <c r="CF72" s="105">
        <v>4.4608449626720477</v>
      </c>
      <c r="CG72" s="105">
        <v>2184.0296937242342</v>
      </c>
      <c r="CH72" s="105">
        <v>4.8221183324884507</v>
      </c>
      <c r="CI72" s="105">
        <v>2360.9091355863452</v>
      </c>
      <c r="CJ72" s="105">
        <v>5.0581660830298434</v>
      </c>
      <c r="CK72" s="105">
        <v>2476.4781142514112</v>
      </c>
      <c r="CL72" s="105">
        <v>4.4580446833483363</v>
      </c>
      <c r="CM72" s="105">
        <v>2182.6586769673454</v>
      </c>
      <c r="CN72" s="105">
        <v>5.0699842280836513</v>
      </c>
      <c r="CO72" s="105">
        <v>2482.2642780697556</v>
      </c>
      <c r="CP72" s="105">
        <v>5.2839770688793894</v>
      </c>
      <c r="CQ72" s="105">
        <v>2587.0351729233489</v>
      </c>
      <c r="CR72" s="105">
        <v>4.8221183324884507</v>
      </c>
      <c r="CS72" s="105">
        <v>2360.9091355863452</v>
      </c>
      <c r="CT72" s="105">
        <v>4.7616528988522315</v>
      </c>
      <c r="CU72" s="105">
        <v>2331.3052592780523</v>
      </c>
    </row>
    <row r="73" spans="2:99" x14ac:dyDescent="0.2">
      <c r="C73" s="104" t="s">
        <v>239</v>
      </c>
      <c r="D73" s="105">
        <v>7</v>
      </c>
      <c r="E73" s="105">
        <v>3973.2000000000003</v>
      </c>
      <c r="F73" s="105">
        <v>7</v>
      </c>
      <c r="G73" s="105">
        <v>3973.2000000000003</v>
      </c>
      <c r="H73" s="105">
        <v>0.74768698494623831</v>
      </c>
      <c r="I73" s="105">
        <v>424.38713265548489</v>
      </c>
      <c r="J73" s="105">
        <v>0</v>
      </c>
      <c r="K73" s="105">
        <v>0</v>
      </c>
      <c r="L73" s="105">
        <v>0</v>
      </c>
      <c r="M73" s="105">
        <v>0</v>
      </c>
      <c r="N73" s="105">
        <v>0</v>
      </c>
      <c r="O73" s="105">
        <v>0</v>
      </c>
      <c r="P73" s="105">
        <v>6.1646399136926213</v>
      </c>
      <c r="Q73" s="105">
        <v>3499.049615011932</v>
      </c>
      <c r="R73" s="105">
        <v>6.3772137038199519</v>
      </c>
      <c r="S73" s="105">
        <v>3619.7064982882048</v>
      </c>
      <c r="T73" s="105">
        <v>5.439388159140548</v>
      </c>
      <c r="U73" s="105">
        <v>3087.3967191281749</v>
      </c>
      <c r="V73" s="105">
        <v>5.5725558541854197</v>
      </c>
      <c r="W73" s="105">
        <v>3162.9827028356444</v>
      </c>
      <c r="X73" s="105">
        <v>5.1665553562376259</v>
      </c>
      <c r="Y73" s="105">
        <v>2932.5368202004765</v>
      </c>
      <c r="Z73" s="105">
        <v>4.184482850506507</v>
      </c>
      <c r="AA73" s="105">
        <v>2375.1124659474935</v>
      </c>
      <c r="AB73" s="105">
        <v>4.742030702840478</v>
      </c>
      <c r="AC73" s="105">
        <v>2691.5766269322553</v>
      </c>
      <c r="AD73" s="105">
        <v>4.5876390055386951</v>
      </c>
      <c r="AE73" s="105">
        <v>2603.9438995437636</v>
      </c>
      <c r="AF73" s="105">
        <v>4.9093964923524949</v>
      </c>
      <c r="AG73" s="105">
        <v>2786.5734490592763</v>
      </c>
      <c r="AH73" s="105">
        <v>4.3837439386258641</v>
      </c>
      <c r="AI73" s="105">
        <v>2488.2130595640406</v>
      </c>
      <c r="AJ73" s="105">
        <v>0</v>
      </c>
      <c r="AK73" s="105">
        <v>0</v>
      </c>
      <c r="AL73" s="105">
        <v>7</v>
      </c>
      <c r="AM73" s="105">
        <v>3973.2000000000003</v>
      </c>
      <c r="AN73" s="105">
        <v>4.9661620978058298</v>
      </c>
      <c r="AO73" s="105">
        <v>2818.7936067145893</v>
      </c>
      <c r="AP73" s="105">
        <v>4.8708265984731822</v>
      </c>
      <c r="AQ73" s="105">
        <v>2764.6811772933784</v>
      </c>
      <c r="AR73" s="105">
        <v>4.9044649037112569</v>
      </c>
      <c r="AS73" s="105">
        <v>2783.7742793465095</v>
      </c>
      <c r="AT73" s="105">
        <v>4.1676438853133213</v>
      </c>
      <c r="AU73" s="105">
        <v>2365.5546693038414</v>
      </c>
      <c r="AV73" s="105">
        <v>4.3698713312251494</v>
      </c>
      <c r="AW73" s="105">
        <v>2480.3389676033948</v>
      </c>
      <c r="AX73" s="105">
        <v>5.1912757167937862</v>
      </c>
      <c r="AY73" s="105">
        <v>2946.5680968521533</v>
      </c>
      <c r="AZ73" s="105">
        <v>4.9998922802299601</v>
      </c>
      <c r="BA73" s="105">
        <v>2837.9388582585257</v>
      </c>
      <c r="BB73" s="105">
        <v>4.6690763843352396</v>
      </c>
      <c r="BC73" s="105">
        <v>2650.1677557486823</v>
      </c>
      <c r="BD73" s="105">
        <v>4.3977049065832707</v>
      </c>
      <c r="BE73" s="105">
        <v>2496.1373049766644</v>
      </c>
      <c r="BF73" s="105">
        <v>4.647686636501243</v>
      </c>
      <c r="BG73" s="105">
        <v>2638.0269348781057</v>
      </c>
      <c r="BH73" s="105">
        <v>5.2141447728149046</v>
      </c>
      <c r="BI73" s="105">
        <v>2959.5485730497398</v>
      </c>
      <c r="BJ73" s="105">
        <v>4.5523494747268591</v>
      </c>
      <c r="BK73" s="105">
        <v>2583.9135618549653</v>
      </c>
      <c r="BL73" s="105">
        <v>5.0464029060925641</v>
      </c>
      <c r="BM73" s="105">
        <v>2864.3382894981396</v>
      </c>
      <c r="BN73" s="105">
        <v>5.1371999280771847</v>
      </c>
      <c r="BO73" s="105">
        <v>2915.8746791766102</v>
      </c>
      <c r="BP73" s="105">
        <v>4.5349075227164111</v>
      </c>
      <c r="BQ73" s="105">
        <v>2574.0135098938349</v>
      </c>
      <c r="BR73" s="105">
        <v>5.3315804658963213</v>
      </c>
      <c r="BS73" s="105">
        <v>3026.2050724427522</v>
      </c>
      <c r="BT73" s="105">
        <v>5.1178142679712328</v>
      </c>
      <c r="BU73" s="105">
        <v>2904.871378500472</v>
      </c>
      <c r="BV73" s="105">
        <v>4.6968685056705688</v>
      </c>
      <c r="BW73" s="105">
        <v>2665.9425638186149</v>
      </c>
      <c r="BX73" s="105">
        <v>4.8114262741015583</v>
      </c>
      <c r="BY73" s="105">
        <v>2730.9655531800445</v>
      </c>
      <c r="BZ73" s="105">
        <v>5.5639826913328276</v>
      </c>
      <c r="CA73" s="105">
        <v>3158.116575600513</v>
      </c>
      <c r="CB73" s="105">
        <v>4.9317119309540978</v>
      </c>
      <c r="CC73" s="105">
        <v>2799.2396920095462</v>
      </c>
      <c r="CD73" s="105">
        <v>4.4833744826855426</v>
      </c>
      <c r="CE73" s="105">
        <v>2544.7633563723139</v>
      </c>
      <c r="CF73" s="105">
        <v>4.4608449626720477</v>
      </c>
      <c r="CG73" s="105">
        <v>2531.9756008126542</v>
      </c>
      <c r="CH73" s="105">
        <v>5.2604927263510373</v>
      </c>
      <c r="CI73" s="105">
        <v>2985.8556714768488</v>
      </c>
      <c r="CJ73" s="105">
        <v>5.0581660830298434</v>
      </c>
      <c r="CK73" s="105">
        <v>2871.0150687277392</v>
      </c>
      <c r="CL73" s="105">
        <v>5.0153002687668788</v>
      </c>
      <c r="CM73" s="105">
        <v>2846.6844325520806</v>
      </c>
      <c r="CN73" s="105">
        <v>4.6090765709851373</v>
      </c>
      <c r="CO73" s="105">
        <v>2616.111861691164</v>
      </c>
      <c r="CP73" s="105">
        <v>4.8436456464727735</v>
      </c>
      <c r="CQ73" s="105">
        <v>2749.2532689379464</v>
      </c>
      <c r="CR73" s="105">
        <v>5.2604927263510373</v>
      </c>
      <c r="CS73" s="105">
        <v>2985.8556714768488</v>
      </c>
      <c r="CT73" s="105">
        <v>4.0814167704447701</v>
      </c>
      <c r="CU73" s="105">
        <v>2316.6121589044515</v>
      </c>
    </row>
    <row r="74" spans="2:99" x14ac:dyDescent="0.2">
      <c r="C74" s="104" t="s">
        <v>240</v>
      </c>
      <c r="D74" s="105">
        <v>8</v>
      </c>
      <c r="E74" s="105">
        <v>2515.1999999999998</v>
      </c>
      <c r="F74" s="105">
        <v>6</v>
      </c>
      <c r="G74" s="105">
        <v>1886.3999999999999</v>
      </c>
      <c r="H74" s="105">
        <v>0.74768698494623831</v>
      </c>
      <c r="I74" s="105">
        <v>235.07278806709732</v>
      </c>
      <c r="J74" s="105">
        <v>0</v>
      </c>
      <c r="K74" s="105">
        <v>0</v>
      </c>
      <c r="L74" s="105">
        <v>0</v>
      </c>
      <c r="M74" s="105">
        <v>0</v>
      </c>
      <c r="N74" s="105">
        <v>0</v>
      </c>
      <c r="O74" s="105">
        <v>0</v>
      </c>
      <c r="P74" s="105">
        <v>6.7811039050618831</v>
      </c>
      <c r="Q74" s="105">
        <v>2131.9790677514561</v>
      </c>
      <c r="R74" s="105">
        <v>5.6686344033955134</v>
      </c>
      <c r="S74" s="105">
        <v>1782.2186564275494</v>
      </c>
      <c r="T74" s="105">
        <v>6.0437646212672753</v>
      </c>
      <c r="U74" s="105">
        <v>1900.1595969264313</v>
      </c>
      <c r="V74" s="105">
        <v>6.2691253359585977</v>
      </c>
      <c r="W74" s="105">
        <v>1971.0130056253829</v>
      </c>
      <c r="X74" s="105">
        <v>4.6968685056705688</v>
      </c>
      <c r="Y74" s="105">
        <v>1476.6954581828268</v>
      </c>
      <c r="Z74" s="105">
        <v>5.3800493792226511</v>
      </c>
      <c r="AA74" s="105">
        <v>1691.4875248276014</v>
      </c>
      <c r="AB74" s="105">
        <v>5.6904368434085741</v>
      </c>
      <c r="AC74" s="105">
        <v>1789.0733435676557</v>
      </c>
      <c r="AD74" s="105">
        <v>4.5876390055386951</v>
      </c>
      <c r="AE74" s="105">
        <v>1442.3537033413656</v>
      </c>
      <c r="AF74" s="105">
        <v>5.3557052643845395</v>
      </c>
      <c r="AG74" s="105">
        <v>1683.8337351224991</v>
      </c>
      <c r="AH74" s="105">
        <v>4.3837439386258641</v>
      </c>
      <c r="AI74" s="105">
        <v>1378.2490943039716</v>
      </c>
      <c r="AJ74" s="105">
        <v>0</v>
      </c>
      <c r="AK74" s="105">
        <v>0</v>
      </c>
      <c r="AL74" s="105">
        <v>7</v>
      </c>
      <c r="AM74" s="105">
        <v>2200.7999999999997</v>
      </c>
      <c r="AN74" s="105">
        <v>5.675613826063806</v>
      </c>
      <c r="AO74" s="105">
        <v>1784.4129869144606</v>
      </c>
      <c r="AP74" s="105">
        <v>4.8708265984731822</v>
      </c>
      <c r="AQ74" s="105">
        <v>1531.3878825599684</v>
      </c>
      <c r="AR74" s="105">
        <v>4.9044649037112569</v>
      </c>
      <c r="AS74" s="105">
        <v>1541.963765726819</v>
      </c>
      <c r="AT74" s="105">
        <v>4.1676438853133213</v>
      </c>
      <c r="AU74" s="105">
        <v>1310.3072375425081</v>
      </c>
      <c r="AV74" s="105">
        <v>4.3698713312251494</v>
      </c>
      <c r="AW74" s="105">
        <v>1373.8875465371868</v>
      </c>
      <c r="AX74" s="105">
        <v>4.6144673038166983</v>
      </c>
      <c r="AY74" s="105">
        <v>1450.7885203199698</v>
      </c>
      <c r="AZ74" s="105">
        <v>4.9998922802299601</v>
      </c>
      <c r="BA74" s="105">
        <v>1571.9661329042995</v>
      </c>
      <c r="BB74" s="105">
        <v>5.2527109323771448</v>
      </c>
      <c r="BC74" s="105">
        <v>1651.4523171393741</v>
      </c>
      <c r="BD74" s="105">
        <v>5.0259484646665964</v>
      </c>
      <c r="BE74" s="105">
        <v>1580.1581972911779</v>
      </c>
      <c r="BF74" s="105">
        <v>4.647686636501243</v>
      </c>
      <c r="BG74" s="105">
        <v>1461.2326785159908</v>
      </c>
      <c r="BH74" s="105">
        <v>5.2141447728149046</v>
      </c>
      <c r="BI74" s="105">
        <v>1639.3271165730059</v>
      </c>
      <c r="BJ74" s="105">
        <v>4.5523494747268591</v>
      </c>
      <c r="BK74" s="105">
        <v>1431.2586748541244</v>
      </c>
      <c r="BL74" s="105">
        <v>5.0464029060925641</v>
      </c>
      <c r="BM74" s="105">
        <v>1586.589073675502</v>
      </c>
      <c r="BN74" s="105">
        <v>4.1097599424617473</v>
      </c>
      <c r="BO74" s="105">
        <v>1292.1085259099732</v>
      </c>
      <c r="BP74" s="105">
        <v>5.1017709630559622</v>
      </c>
      <c r="BQ74" s="105">
        <v>1603.9967907847945</v>
      </c>
      <c r="BR74" s="105">
        <v>4.7984224193066893</v>
      </c>
      <c r="BS74" s="105">
        <v>1508.6240086300231</v>
      </c>
      <c r="BT74" s="105">
        <v>5.5830701105140719</v>
      </c>
      <c r="BU74" s="105">
        <v>1755.3172427456241</v>
      </c>
      <c r="BV74" s="105">
        <v>4.6968685056705688</v>
      </c>
      <c r="BW74" s="105">
        <v>1476.6954581828268</v>
      </c>
      <c r="BX74" s="105">
        <v>4.2099979898388638</v>
      </c>
      <c r="BY74" s="105">
        <v>1323.6233680053388</v>
      </c>
      <c r="BZ74" s="105">
        <v>5.5639826913328276</v>
      </c>
      <c r="CA74" s="105">
        <v>1749.316158155041</v>
      </c>
      <c r="CB74" s="105">
        <v>4.3837439386258641</v>
      </c>
      <c r="CC74" s="105">
        <v>1378.2490943039716</v>
      </c>
      <c r="CD74" s="105">
        <v>4.4833744826855426</v>
      </c>
      <c r="CE74" s="105">
        <v>1409.5729373563345</v>
      </c>
      <c r="CF74" s="105">
        <v>4.4608449626720477</v>
      </c>
      <c r="CG74" s="105">
        <v>1402.4896562640918</v>
      </c>
      <c r="CH74" s="105">
        <v>5.698867120213623</v>
      </c>
      <c r="CI74" s="105">
        <v>1791.723822595163</v>
      </c>
      <c r="CJ74" s="105">
        <v>4.5523494747268591</v>
      </c>
      <c r="CK74" s="105">
        <v>1431.2586748541244</v>
      </c>
      <c r="CL74" s="105">
        <v>5.0153002687668788</v>
      </c>
      <c r="CM74" s="105">
        <v>1576.8104045003065</v>
      </c>
      <c r="CN74" s="105">
        <v>5.0699842280836513</v>
      </c>
      <c r="CO74" s="105">
        <v>1594.0030413094998</v>
      </c>
      <c r="CP74" s="105">
        <v>4.8436456464727735</v>
      </c>
      <c r="CQ74" s="105">
        <v>1522.8421912510398</v>
      </c>
      <c r="CR74" s="105">
        <v>4.8221183324884507</v>
      </c>
      <c r="CS74" s="105">
        <v>1516.0740037343687</v>
      </c>
      <c r="CT74" s="105">
        <v>4.7616528988522315</v>
      </c>
      <c r="CU74" s="105">
        <v>1497.0636713991414</v>
      </c>
    </row>
    <row r="75" spans="2:99" x14ac:dyDescent="0.2">
      <c r="C75" s="104" t="s">
        <v>241</v>
      </c>
      <c r="D75" s="105">
        <v>7</v>
      </c>
      <c r="E75" s="105">
        <v>4191.5999999999995</v>
      </c>
      <c r="F75" s="105">
        <v>6</v>
      </c>
      <c r="G75" s="105">
        <v>3592.7999999999997</v>
      </c>
      <c r="H75" s="105">
        <v>0.74768698494623831</v>
      </c>
      <c r="I75" s="105">
        <v>447.71496658580747</v>
      </c>
      <c r="J75" s="105">
        <v>0</v>
      </c>
      <c r="K75" s="105">
        <v>0</v>
      </c>
      <c r="L75" s="105">
        <v>0</v>
      </c>
      <c r="M75" s="105">
        <v>0</v>
      </c>
      <c r="N75" s="105">
        <v>0</v>
      </c>
      <c r="O75" s="105">
        <v>0</v>
      </c>
      <c r="P75" s="105">
        <v>6.1646399136926213</v>
      </c>
      <c r="Q75" s="105">
        <v>3691.3863803191412</v>
      </c>
      <c r="R75" s="105">
        <v>6.3772137038199519</v>
      </c>
      <c r="S75" s="105">
        <v>3818.6755658473867</v>
      </c>
      <c r="T75" s="105">
        <v>6.0437646212672753</v>
      </c>
      <c r="U75" s="105">
        <v>3619.0062552148443</v>
      </c>
      <c r="V75" s="105">
        <v>5.5725558541854197</v>
      </c>
      <c r="W75" s="105">
        <v>3336.8464454862292</v>
      </c>
      <c r="X75" s="105">
        <v>5.1665553562376259</v>
      </c>
      <c r="Y75" s="105">
        <v>3093.7333473150902</v>
      </c>
      <c r="Z75" s="105">
        <v>4.7822661148645791</v>
      </c>
      <c r="AA75" s="105">
        <v>2863.6209495809098</v>
      </c>
      <c r="AB75" s="105">
        <v>4.742030702840478</v>
      </c>
      <c r="AC75" s="105">
        <v>2839.527984860878</v>
      </c>
      <c r="AD75" s="105">
        <v>4.5876390055386951</v>
      </c>
      <c r="AE75" s="105">
        <v>2747.0782365165705</v>
      </c>
      <c r="AF75" s="105">
        <v>5.3557052643845395</v>
      </c>
      <c r="AG75" s="105">
        <v>3206.9963123134621</v>
      </c>
      <c r="AH75" s="105">
        <v>4.3837439386258641</v>
      </c>
      <c r="AI75" s="105">
        <v>2624.9858704491671</v>
      </c>
      <c r="AJ75" s="105">
        <v>0</v>
      </c>
      <c r="AK75" s="105">
        <v>0</v>
      </c>
      <c r="AL75" s="105">
        <v>8</v>
      </c>
      <c r="AM75" s="105">
        <v>4790.3999999999996</v>
      </c>
      <c r="AN75" s="105">
        <v>6.3850655543217814</v>
      </c>
      <c r="AO75" s="105">
        <v>3823.3772539278825</v>
      </c>
      <c r="AP75" s="105">
        <v>4.8708265984731822</v>
      </c>
      <c r="AQ75" s="105">
        <v>2916.6509671657413</v>
      </c>
      <c r="AR75" s="105">
        <v>4.9044649037112569</v>
      </c>
      <c r="AS75" s="105">
        <v>2936.7935843423006</v>
      </c>
      <c r="AT75" s="105">
        <v>4.1676438853133213</v>
      </c>
      <c r="AU75" s="105">
        <v>2495.5851585256164</v>
      </c>
      <c r="AV75" s="105">
        <v>4.3698713312251494</v>
      </c>
      <c r="AW75" s="105">
        <v>2616.6789531376194</v>
      </c>
      <c r="AX75" s="105">
        <v>5.1912757167937862</v>
      </c>
      <c r="AY75" s="105">
        <v>3108.5358992161191</v>
      </c>
      <c r="AZ75" s="105">
        <v>4.9998922802299601</v>
      </c>
      <c r="BA75" s="105">
        <v>2993.9354974017001</v>
      </c>
      <c r="BB75" s="105">
        <v>4.6690763843352396</v>
      </c>
      <c r="BC75" s="105">
        <v>2795.8429389399412</v>
      </c>
      <c r="BD75" s="105">
        <v>4.3977049065832707</v>
      </c>
      <c r="BE75" s="105">
        <v>2633.3456980620622</v>
      </c>
      <c r="BF75" s="105">
        <v>4.647686636501243</v>
      </c>
      <c r="BG75" s="105">
        <v>2783.0347579369441</v>
      </c>
      <c r="BH75" s="105">
        <v>4.7796327084136623</v>
      </c>
      <c r="BI75" s="105">
        <v>2862.0440657981007</v>
      </c>
      <c r="BJ75" s="105">
        <v>4.5523494747268591</v>
      </c>
      <c r="BK75" s="105">
        <v>2725.9468654664429</v>
      </c>
      <c r="BL75" s="105">
        <v>5.0464029060925641</v>
      </c>
      <c r="BM75" s="105">
        <v>3021.7860601682273</v>
      </c>
      <c r="BN75" s="105">
        <v>5.1371999280771847</v>
      </c>
      <c r="BO75" s="105">
        <v>3076.155316932618</v>
      </c>
      <c r="BP75" s="105">
        <v>4.5349075227164111</v>
      </c>
      <c r="BQ75" s="105">
        <v>2715.5026246025868</v>
      </c>
      <c r="BR75" s="105">
        <v>4.7984224193066893</v>
      </c>
      <c r="BS75" s="105">
        <v>2873.2953446808456</v>
      </c>
      <c r="BT75" s="105">
        <v>4.6525584254283938</v>
      </c>
      <c r="BU75" s="105">
        <v>2785.951985146522</v>
      </c>
      <c r="BV75" s="105">
        <v>4.6968685056705688</v>
      </c>
      <c r="BW75" s="105">
        <v>2812.4848611955363</v>
      </c>
      <c r="BX75" s="105">
        <v>4.8114262741015583</v>
      </c>
      <c r="BY75" s="105">
        <v>2881.0820529320131</v>
      </c>
      <c r="BZ75" s="105">
        <v>5.0581660830298434</v>
      </c>
      <c r="CA75" s="105">
        <v>3028.8298505182702</v>
      </c>
      <c r="CB75" s="105">
        <v>4.9317119309540978</v>
      </c>
      <c r="CC75" s="105">
        <v>2953.1091042553135</v>
      </c>
      <c r="CD75" s="105">
        <v>4.4833744826855426</v>
      </c>
      <c r="CE75" s="105">
        <v>2684.6446402321026</v>
      </c>
      <c r="CF75" s="105">
        <v>4.9564944029689419</v>
      </c>
      <c r="CG75" s="105">
        <v>2967.9488484978024</v>
      </c>
      <c r="CH75" s="105">
        <v>5.2604927263510373</v>
      </c>
      <c r="CI75" s="105">
        <v>3149.9830445390007</v>
      </c>
      <c r="CJ75" s="105">
        <v>4.5523494747268591</v>
      </c>
      <c r="CK75" s="105">
        <v>2725.9468654664429</v>
      </c>
      <c r="CL75" s="105">
        <v>4.4580446833483363</v>
      </c>
      <c r="CM75" s="105">
        <v>2669.4771563889835</v>
      </c>
      <c r="CN75" s="105">
        <v>4.6090765709851373</v>
      </c>
      <c r="CO75" s="105">
        <v>2759.9150507058998</v>
      </c>
      <c r="CP75" s="105">
        <v>5.2839770688793894</v>
      </c>
      <c r="CQ75" s="105">
        <v>3164.0454688449781</v>
      </c>
      <c r="CR75" s="105">
        <v>4.8221183324884507</v>
      </c>
      <c r="CS75" s="105">
        <v>2887.4844574940839</v>
      </c>
      <c r="CT75" s="105">
        <v>4.0814167704447701</v>
      </c>
      <c r="CU75" s="105">
        <v>2443.9523621423282</v>
      </c>
    </row>
    <row r="76" spans="2:99" x14ac:dyDescent="0.2">
      <c r="C76" s="104" t="s">
        <v>242</v>
      </c>
      <c r="D76" s="105">
        <v>7</v>
      </c>
      <c r="E76" s="105">
        <v>6039.5999999999995</v>
      </c>
      <c r="F76" s="105">
        <v>7</v>
      </c>
      <c r="G76" s="105">
        <v>6039.5999999999995</v>
      </c>
      <c r="H76" s="105">
        <v>0.74768698494623831</v>
      </c>
      <c r="I76" s="105">
        <v>645.10433061161439</v>
      </c>
      <c r="J76" s="105">
        <v>0</v>
      </c>
      <c r="K76" s="105">
        <v>0</v>
      </c>
      <c r="L76" s="105">
        <v>0</v>
      </c>
      <c r="M76" s="105">
        <v>0</v>
      </c>
      <c r="N76" s="105">
        <v>0</v>
      </c>
      <c r="O76" s="105">
        <v>0</v>
      </c>
      <c r="P76" s="105">
        <v>6.1646399136926213</v>
      </c>
      <c r="Q76" s="105">
        <v>5318.8513175339931</v>
      </c>
      <c r="R76" s="105">
        <v>5.6686344033955134</v>
      </c>
      <c r="S76" s="105">
        <v>4890.897763249649</v>
      </c>
      <c r="T76" s="105">
        <v>6.6481410833940027</v>
      </c>
      <c r="U76" s="105">
        <v>5736.0161267523454</v>
      </c>
      <c r="V76" s="105">
        <v>6.2691253359585977</v>
      </c>
      <c r="W76" s="105">
        <v>5409.0013398650781</v>
      </c>
      <c r="X76" s="105">
        <v>5.1665553562376259</v>
      </c>
      <c r="Y76" s="105">
        <v>4457.7039613618235</v>
      </c>
      <c r="Z76" s="105">
        <v>4.7822661148645791</v>
      </c>
      <c r="AA76" s="105">
        <v>4126.1392039051589</v>
      </c>
      <c r="AB76" s="105">
        <v>4.742030702840478</v>
      </c>
      <c r="AC76" s="105">
        <v>4091.4240904107642</v>
      </c>
      <c r="AD76" s="105">
        <v>4.0141841298463588</v>
      </c>
      <c r="AE76" s="105">
        <v>3463.4380672314383</v>
      </c>
      <c r="AF76" s="105">
        <v>4.9093964923524949</v>
      </c>
      <c r="AG76" s="105">
        <v>4235.827293601732</v>
      </c>
      <c r="AH76" s="105">
        <v>4.3837439386258641</v>
      </c>
      <c r="AI76" s="105">
        <v>3782.2942702463952</v>
      </c>
      <c r="AJ76" s="105">
        <v>0</v>
      </c>
      <c r="AK76" s="105">
        <v>0</v>
      </c>
      <c r="AL76" s="105">
        <v>8</v>
      </c>
      <c r="AM76" s="105">
        <v>6902.4</v>
      </c>
      <c r="AN76" s="105">
        <v>5.675613826063806</v>
      </c>
      <c r="AO76" s="105">
        <v>4896.9196091278518</v>
      </c>
      <c r="AP76" s="105">
        <v>4.2619732736640339</v>
      </c>
      <c r="AQ76" s="105">
        <v>3677.2305405173283</v>
      </c>
      <c r="AR76" s="105">
        <v>4.9044649037112569</v>
      </c>
      <c r="AS76" s="105">
        <v>4231.5723189220726</v>
      </c>
      <c r="AT76" s="105">
        <v>4.8622511995322082</v>
      </c>
      <c r="AU76" s="105">
        <v>4195.1503349563891</v>
      </c>
      <c r="AV76" s="105">
        <v>4.3698713312251494</v>
      </c>
      <c r="AW76" s="105">
        <v>3770.3249845810587</v>
      </c>
      <c r="AX76" s="105">
        <v>5.1912757167937862</v>
      </c>
      <c r="AY76" s="105">
        <v>4479.0326884496781</v>
      </c>
      <c r="AZ76" s="105">
        <v>4.9998922802299601</v>
      </c>
      <c r="BA76" s="105">
        <v>4313.907059382409</v>
      </c>
      <c r="BB76" s="105">
        <v>5.2527109323771448</v>
      </c>
      <c r="BC76" s="105">
        <v>4532.038992455</v>
      </c>
      <c r="BD76" s="105">
        <v>4.3977049065832707</v>
      </c>
      <c r="BE76" s="105">
        <v>3794.3397934000459</v>
      </c>
      <c r="BF76" s="105">
        <v>5.1640962627791591</v>
      </c>
      <c r="BG76" s="105">
        <v>4455.5822555258583</v>
      </c>
      <c r="BH76" s="105">
        <v>4.7796327084136623</v>
      </c>
      <c r="BI76" s="105">
        <v>4123.8671008193078</v>
      </c>
      <c r="BJ76" s="105">
        <v>5.3110743871813355</v>
      </c>
      <c r="BK76" s="105">
        <v>4582.3949812600558</v>
      </c>
      <c r="BL76" s="105">
        <v>5.0464029060925641</v>
      </c>
      <c r="BM76" s="105">
        <v>4354.0364273766645</v>
      </c>
      <c r="BN76" s="105">
        <v>5.1371999280771847</v>
      </c>
      <c r="BO76" s="105">
        <v>4432.3760979449944</v>
      </c>
      <c r="BP76" s="105">
        <v>5.1017709630559622</v>
      </c>
      <c r="BQ76" s="105">
        <v>4401.807986924684</v>
      </c>
      <c r="BR76" s="105">
        <v>4.7984224193066893</v>
      </c>
      <c r="BS76" s="105">
        <v>4140.0788633778111</v>
      </c>
      <c r="BT76" s="105">
        <v>5.5830701105140719</v>
      </c>
      <c r="BU76" s="105">
        <v>4817.0728913515413</v>
      </c>
      <c r="BV76" s="105">
        <v>4.6968685056705688</v>
      </c>
      <c r="BW76" s="105">
        <v>4052.4581466925665</v>
      </c>
      <c r="BX76" s="105">
        <v>4.8114262741015583</v>
      </c>
      <c r="BY76" s="105">
        <v>4151.2985892948245</v>
      </c>
      <c r="BZ76" s="105">
        <v>5.0581660830298434</v>
      </c>
      <c r="CA76" s="105">
        <v>4364.1856964381486</v>
      </c>
      <c r="CB76" s="105">
        <v>4.3837439386258641</v>
      </c>
      <c r="CC76" s="105">
        <v>3782.2942702463952</v>
      </c>
      <c r="CD76" s="105">
        <v>5.0437962930212361</v>
      </c>
      <c r="CE76" s="105">
        <v>4351.7874416187224</v>
      </c>
      <c r="CF76" s="105">
        <v>4.9564944029689419</v>
      </c>
      <c r="CG76" s="105">
        <v>4276.4633708816027</v>
      </c>
      <c r="CH76" s="105">
        <v>5.2604927263510373</v>
      </c>
      <c r="CI76" s="105">
        <v>4538.7531242956748</v>
      </c>
      <c r="CJ76" s="105">
        <v>4.5523494747268591</v>
      </c>
      <c r="CK76" s="105">
        <v>3927.7671267943338</v>
      </c>
      <c r="CL76" s="105">
        <v>5.0153002687668788</v>
      </c>
      <c r="CM76" s="105">
        <v>4327.2010718920628</v>
      </c>
      <c r="CN76" s="105">
        <v>4.6090765709851373</v>
      </c>
      <c r="CO76" s="105">
        <v>3976.7112654459761</v>
      </c>
      <c r="CP76" s="105">
        <v>5.2839770688793894</v>
      </c>
      <c r="CQ76" s="105">
        <v>4559.0154150291373</v>
      </c>
      <c r="CR76" s="105">
        <v>5.2604927263510373</v>
      </c>
      <c r="CS76" s="105">
        <v>4538.7531242956748</v>
      </c>
      <c r="CT76" s="105">
        <v>4.0814167704447701</v>
      </c>
      <c r="CU76" s="105">
        <v>3521.4463895397475</v>
      </c>
    </row>
    <row r="77" spans="2:99" x14ac:dyDescent="0.2">
      <c r="C77" s="104" t="s">
        <v>243</v>
      </c>
      <c r="D77" s="105">
        <v>7</v>
      </c>
      <c r="E77" s="105">
        <v>4830</v>
      </c>
      <c r="F77" s="105">
        <v>7</v>
      </c>
      <c r="G77" s="105">
        <v>4830</v>
      </c>
      <c r="H77" s="105">
        <v>0.74768698494623831</v>
      </c>
      <c r="I77" s="105">
        <v>515.90401961290445</v>
      </c>
      <c r="J77" s="105">
        <v>0</v>
      </c>
      <c r="K77" s="105">
        <v>0</v>
      </c>
      <c r="L77" s="105">
        <v>0</v>
      </c>
      <c r="M77" s="105">
        <v>0</v>
      </c>
      <c r="N77" s="105">
        <v>0</v>
      </c>
      <c r="O77" s="105">
        <v>0</v>
      </c>
      <c r="P77" s="105">
        <v>6.1646399136926213</v>
      </c>
      <c r="Q77" s="105">
        <v>4253.6015404479085</v>
      </c>
      <c r="R77" s="105">
        <v>5.6686344033955134</v>
      </c>
      <c r="S77" s="105">
        <v>3911.3577383429042</v>
      </c>
      <c r="T77" s="105">
        <v>6.0437646212672753</v>
      </c>
      <c r="U77" s="105">
        <v>4170.1975886744203</v>
      </c>
      <c r="V77" s="105">
        <v>6.2691253359585977</v>
      </c>
      <c r="W77" s="105">
        <v>4325.696481811432</v>
      </c>
      <c r="X77" s="105">
        <v>4.6968685056705688</v>
      </c>
      <c r="Y77" s="105">
        <v>3240.8392689126927</v>
      </c>
      <c r="Z77" s="105">
        <v>4.184482850506507</v>
      </c>
      <c r="AA77" s="105">
        <v>2887.2931668494898</v>
      </c>
      <c r="AB77" s="105">
        <v>5.2162337731245261</v>
      </c>
      <c r="AC77" s="105">
        <v>3599.2013034559232</v>
      </c>
      <c r="AD77" s="105">
        <v>5.1610938812310323</v>
      </c>
      <c r="AE77" s="105">
        <v>3561.1547780494125</v>
      </c>
      <c r="AF77" s="105">
        <v>4.4630877203204493</v>
      </c>
      <c r="AG77" s="105">
        <v>3079.5305270211102</v>
      </c>
      <c r="AH77" s="105">
        <v>4.3837439386258641</v>
      </c>
      <c r="AI77" s="105">
        <v>3024.7833176518461</v>
      </c>
      <c r="AJ77" s="105">
        <v>0</v>
      </c>
      <c r="AK77" s="105">
        <v>0</v>
      </c>
      <c r="AL77" s="105">
        <v>8</v>
      </c>
      <c r="AM77" s="105">
        <v>5520</v>
      </c>
      <c r="AN77" s="105">
        <v>6.3850655543217814</v>
      </c>
      <c r="AO77" s="105">
        <v>4405.6952324820295</v>
      </c>
      <c r="AP77" s="105">
        <v>4.2619732736640339</v>
      </c>
      <c r="AQ77" s="105">
        <v>2940.7615588281833</v>
      </c>
      <c r="AR77" s="105">
        <v>4.3595243588544506</v>
      </c>
      <c r="AS77" s="105">
        <v>3008.0718076095709</v>
      </c>
      <c r="AT77" s="105">
        <v>4.1676438853133213</v>
      </c>
      <c r="AU77" s="105">
        <v>2875.6742808661916</v>
      </c>
      <c r="AV77" s="105">
        <v>3.7456039981929852</v>
      </c>
      <c r="AW77" s="105">
        <v>2584.4667587531599</v>
      </c>
      <c r="AX77" s="105">
        <v>5.1912757167937862</v>
      </c>
      <c r="AY77" s="105">
        <v>3581.9802445877126</v>
      </c>
      <c r="AZ77" s="105">
        <v>5.4544279420690476</v>
      </c>
      <c r="BA77" s="105">
        <v>3763.5552800276428</v>
      </c>
      <c r="BB77" s="105">
        <v>4.6690763843352396</v>
      </c>
      <c r="BC77" s="105">
        <v>3221.6627051913151</v>
      </c>
      <c r="BD77" s="105">
        <v>4.3977049065832707</v>
      </c>
      <c r="BE77" s="105">
        <v>3034.4163855424567</v>
      </c>
      <c r="BF77" s="105">
        <v>5.1640962627791591</v>
      </c>
      <c r="BG77" s="105">
        <v>3563.22642131762</v>
      </c>
      <c r="BH77" s="105">
        <v>4.7796327084136623</v>
      </c>
      <c r="BI77" s="105">
        <v>3297.946568805427</v>
      </c>
      <c r="BJ77" s="105">
        <v>4.5523494747268591</v>
      </c>
      <c r="BK77" s="105">
        <v>3141.1211375615326</v>
      </c>
      <c r="BL77" s="105">
        <v>5.5051668066464341</v>
      </c>
      <c r="BM77" s="105">
        <v>3798.5650965860395</v>
      </c>
      <c r="BN77" s="105">
        <v>4.623479935269466</v>
      </c>
      <c r="BO77" s="105">
        <v>3190.2011553359316</v>
      </c>
      <c r="BP77" s="105">
        <v>4.5349075227164111</v>
      </c>
      <c r="BQ77" s="105">
        <v>3129.0861906743235</v>
      </c>
      <c r="BR77" s="105">
        <v>4.2652643727170574</v>
      </c>
      <c r="BS77" s="105">
        <v>2943.0324171747698</v>
      </c>
      <c r="BT77" s="105">
        <v>5.5830701105140719</v>
      </c>
      <c r="BU77" s="105">
        <v>3852.3183762547096</v>
      </c>
      <c r="BV77" s="105">
        <v>4.1097599424617473</v>
      </c>
      <c r="BW77" s="105">
        <v>2835.7343602986057</v>
      </c>
      <c r="BX77" s="105">
        <v>4.8114262741015583</v>
      </c>
      <c r="BY77" s="105">
        <v>3319.8841291300751</v>
      </c>
      <c r="BZ77" s="105">
        <v>5.0581660830298434</v>
      </c>
      <c r="CA77" s="105">
        <v>3490.134597290592</v>
      </c>
      <c r="CB77" s="105">
        <v>4.3837439386258641</v>
      </c>
      <c r="CC77" s="105">
        <v>3024.7833176518461</v>
      </c>
      <c r="CD77" s="105">
        <v>4.4833744826855426</v>
      </c>
      <c r="CE77" s="105">
        <v>3093.5283930530245</v>
      </c>
      <c r="CF77" s="105">
        <v>4.4608449626720477</v>
      </c>
      <c r="CG77" s="105">
        <v>3077.9830242437129</v>
      </c>
      <c r="CH77" s="105">
        <v>4.8221183324884507</v>
      </c>
      <c r="CI77" s="105">
        <v>3327.2616494170311</v>
      </c>
      <c r="CJ77" s="105">
        <v>5.0581660830298434</v>
      </c>
      <c r="CK77" s="105">
        <v>3490.134597290592</v>
      </c>
      <c r="CL77" s="105">
        <v>5.0153002687668788</v>
      </c>
      <c r="CM77" s="105">
        <v>3460.5571854491463</v>
      </c>
      <c r="CN77" s="105">
        <v>4.6090765709851373</v>
      </c>
      <c r="CO77" s="105">
        <v>3180.2628339797448</v>
      </c>
      <c r="CP77" s="105">
        <v>5.2839770688793894</v>
      </c>
      <c r="CQ77" s="105">
        <v>3645.9441775267787</v>
      </c>
      <c r="CR77" s="105">
        <v>5.698867120213623</v>
      </c>
      <c r="CS77" s="105">
        <v>3932.2183129473997</v>
      </c>
      <c r="CT77" s="105">
        <v>4.7616528988522315</v>
      </c>
      <c r="CU77" s="105">
        <v>3285.5405002080397</v>
      </c>
    </row>
    <row r="78" spans="2:99" x14ac:dyDescent="0.2">
      <c r="C78" s="104" t="s">
        <v>244</v>
      </c>
      <c r="D78" s="105">
        <v>8</v>
      </c>
      <c r="E78" s="105">
        <v>1036.8</v>
      </c>
      <c r="F78" s="105">
        <v>6</v>
      </c>
      <c r="G78" s="105">
        <v>777.59999999999991</v>
      </c>
      <c r="H78" s="105">
        <v>0.93460873118279786</v>
      </c>
      <c r="I78" s="105">
        <v>121.1252915612906</v>
      </c>
      <c r="J78" s="105">
        <v>0</v>
      </c>
      <c r="K78" s="105">
        <v>0</v>
      </c>
      <c r="L78" s="105">
        <v>0</v>
      </c>
      <c r="M78" s="105">
        <v>0</v>
      </c>
      <c r="N78" s="105">
        <v>0</v>
      </c>
      <c r="O78" s="105">
        <v>0</v>
      </c>
      <c r="P78" s="105">
        <v>6.1646399136926213</v>
      </c>
      <c r="Q78" s="105">
        <v>798.93733281456366</v>
      </c>
      <c r="R78" s="105">
        <v>6.3772137038199519</v>
      </c>
      <c r="S78" s="105">
        <v>826.48689601506578</v>
      </c>
      <c r="T78" s="105">
        <v>6.0437646212672753</v>
      </c>
      <c r="U78" s="105">
        <v>783.27189491623881</v>
      </c>
      <c r="V78" s="105">
        <v>6.2691253359585977</v>
      </c>
      <c r="W78" s="105">
        <v>812.4786435402342</v>
      </c>
      <c r="X78" s="105">
        <v>5.636242206804682</v>
      </c>
      <c r="Y78" s="105">
        <v>730.45699000188677</v>
      </c>
      <c r="Z78" s="105">
        <v>4.7822661148645791</v>
      </c>
      <c r="AA78" s="105">
        <v>619.78168848644941</v>
      </c>
      <c r="AB78" s="105">
        <v>5.6904368434085741</v>
      </c>
      <c r="AC78" s="105">
        <v>737.48061490575117</v>
      </c>
      <c r="AD78" s="105">
        <v>4.5876390055386951</v>
      </c>
      <c r="AE78" s="105">
        <v>594.55801511781488</v>
      </c>
      <c r="AF78" s="105">
        <v>4.9093964923524949</v>
      </c>
      <c r="AG78" s="105">
        <v>636.25778540888325</v>
      </c>
      <c r="AH78" s="105">
        <v>5.1143679283968408</v>
      </c>
      <c r="AI78" s="105">
        <v>662.82208352023054</v>
      </c>
      <c r="AJ78" s="105">
        <v>0</v>
      </c>
      <c r="AK78" s="105">
        <v>0</v>
      </c>
      <c r="AL78" s="105">
        <v>7</v>
      </c>
      <c r="AM78" s="105">
        <v>907.19999999999993</v>
      </c>
      <c r="AN78" s="105">
        <v>4.9661620978058298</v>
      </c>
      <c r="AO78" s="105">
        <v>643.61460787563556</v>
      </c>
      <c r="AP78" s="105">
        <v>4.2619732736640339</v>
      </c>
      <c r="AQ78" s="105">
        <v>552.35173626685878</v>
      </c>
      <c r="AR78" s="105">
        <v>4.9044649037112569</v>
      </c>
      <c r="AS78" s="105">
        <v>635.61865152097891</v>
      </c>
      <c r="AT78" s="105">
        <v>4.8622511995322082</v>
      </c>
      <c r="AU78" s="105">
        <v>630.14775545937414</v>
      </c>
      <c r="AV78" s="105">
        <v>4.3698713312251494</v>
      </c>
      <c r="AW78" s="105">
        <v>566.33532452677935</v>
      </c>
      <c r="AX78" s="105">
        <v>5.1912757167937862</v>
      </c>
      <c r="AY78" s="105">
        <v>672.78933289647466</v>
      </c>
      <c r="AZ78" s="105">
        <v>5.4544279420690476</v>
      </c>
      <c r="BA78" s="105">
        <v>706.89386129214859</v>
      </c>
      <c r="BB78" s="105">
        <v>5.2527109323771448</v>
      </c>
      <c r="BC78" s="105">
        <v>680.75133683607794</v>
      </c>
      <c r="BD78" s="105">
        <v>5.0259484646665964</v>
      </c>
      <c r="BE78" s="105">
        <v>651.36292102079085</v>
      </c>
      <c r="BF78" s="105">
        <v>5.6805058890570752</v>
      </c>
      <c r="BG78" s="105">
        <v>736.19356322179692</v>
      </c>
      <c r="BH78" s="105">
        <v>5.6486568372161461</v>
      </c>
      <c r="BI78" s="105">
        <v>732.06592610321252</v>
      </c>
      <c r="BJ78" s="105">
        <v>5.3110743871813355</v>
      </c>
      <c r="BK78" s="105">
        <v>688.31524057870104</v>
      </c>
      <c r="BL78" s="105">
        <v>4.5876390055386951</v>
      </c>
      <c r="BM78" s="105">
        <v>594.55801511781488</v>
      </c>
      <c r="BN78" s="105">
        <v>4.623479935269466</v>
      </c>
      <c r="BO78" s="105">
        <v>599.2029996109228</v>
      </c>
      <c r="BP78" s="105">
        <v>5.1017709630559622</v>
      </c>
      <c r="BQ78" s="105">
        <v>661.18951681205272</v>
      </c>
      <c r="BR78" s="105">
        <v>4.7984224193066893</v>
      </c>
      <c r="BS78" s="105">
        <v>621.87554554214694</v>
      </c>
      <c r="BT78" s="105">
        <v>5.1178142679712328</v>
      </c>
      <c r="BU78" s="105">
        <v>663.26872912907174</v>
      </c>
      <c r="BV78" s="105">
        <v>4.6968685056705688</v>
      </c>
      <c r="BW78" s="105">
        <v>608.71415833490573</v>
      </c>
      <c r="BX78" s="105">
        <v>4.8114262741015583</v>
      </c>
      <c r="BY78" s="105">
        <v>623.56084512356188</v>
      </c>
      <c r="BZ78" s="105">
        <v>4.5523494747268591</v>
      </c>
      <c r="CA78" s="105">
        <v>589.98449192460089</v>
      </c>
      <c r="CB78" s="105">
        <v>4.9317119309540978</v>
      </c>
      <c r="CC78" s="105">
        <v>639.14986625165102</v>
      </c>
      <c r="CD78" s="105">
        <v>5.6042181033569287</v>
      </c>
      <c r="CE78" s="105">
        <v>726.30666619505791</v>
      </c>
      <c r="CF78" s="105">
        <v>5.4521438432658362</v>
      </c>
      <c r="CG78" s="105">
        <v>706.59784208725239</v>
      </c>
      <c r="CH78" s="105">
        <v>5.2604927263510373</v>
      </c>
      <c r="CI78" s="105">
        <v>681.75985733509435</v>
      </c>
      <c r="CJ78" s="105">
        <v>5.5639826913328276</v>
      </c>
      <c r="CK78" s="105">
        <v>721.09215679673446</v>
      </c>
      <c r="CL78" s="105">
        <v>5.0153002687668788</v>
      </c>
      <c r="CM78" s="105">
        <v>649.98291483218748</v>
      </c>
      <c r="CN78" s="105">
        <v>4.6090765709851373</v>
      </c>
      <c r="CO78" s="105">
        <v>597.33632359967373</v>
      </c>
      <c r="CP78" s="105">
        <v>4.8436456464727735</v>
      </c>
      <c r="CQ78" s="105">
        <v>627.73647578287137</v>
      </c>
      <c r="CR78" s="105">
        <v>5.2604927263510373</v>
      </c>
      <c r="CS78" s="105">
        <v>681.75985733509435</v>
      </c>
      <c r="CT78" s="105">
        <v>4.0814167704447701</v>
      </c>
      <c r="CU78" s="105">
        <v>528.9516134496422</v>
      </c>
    </row>
    <row r="79" spans="2:99" x14ac:dyDescent="0.2">
      <c r="C79" s="104" t="s">
        <v>245</v>
      </c>
      <c r="D79" s="105">
        <v>7</v>
      </c>
      <c r="E79" s="105">
        <v>3360</v>
      </c>
      <c r="F79" s="105">
        <v>6</v>
      </c>
      <c r="G79" s="105">
        <v>2880</v>
      </c>
      <c r="H79" s="105">
        <v>0.74768698494623831</v>
      </c>
      <c r="I79" s="105">
        <v>358.88975277419439</v>
      </c>
      <c r="J79" s="105">
        <v>0</v>
      </c>
      <c r="K79" s="105">
        <v>0</v>
      </c>
      <c r="L79" s="105">
        <v>0</v>
      </c>
      <c r="M79" s="105">
        <v>0</v>
      </c>
      <c r="N79" s="105">
        <v>0</v>
      </c>
      <c r="O79" s="105">
        <v>0</v>
      </c>
      <c r="P79" s="105">
        <v>5.5481759223233587</v>
      </c>
      <c r="Q79" s="105">
        <v>2663.1244427152124</v>
      </c>
      <c r="R79" s="105">
        <v>6.3772137038199519</v>
      </c>
      <c r="S79" s="105">
        <v>3061.0625778335771</v>
      </c>
      <c r="T79" s="105">
        <v>6.6481410833940027</v>
      </c>
      <c r="U79" s="105">
        <v>3191.1077200291211</v>
      </c>
      <c r="V79" s="105">
        <v>5.5725558541854197</v>
      </c>
      <c r="W79" s="105">
        <v>2674.8268100090013</v>
      </c>
      <c r="X79" s="105">
        <v>4.6968685056705688</v>
      </c>
      <c r="Y79" s="105">
        <v>2254.4968827218731</v>
      </c>
      <c r="Z79" s="105">
        <v>4.7822661148645791</v>
      </c>
      <c r="AA79" s="105">
        <v>2295.4877351349978</v>
      </c>
      <c r="AB79" s="105">
        <v>4.742030702840478</v>
      </c>
      <c r="AC79" s="105">
        <v>2276.1747373634294</v>
      </c>
      <c r="AD79" s="105">
        <v>4.5876390055386951</v>
      </c>
      <c r="AE79" s="105">
        <v>2202.0667226585738</v>
      </c>
      <c r="AF79" s="105">
        <v>4.9093964923524949</v>
      </c>
      <c r="AG79" s="105">
        <v>2356.5103163291974</v>
      </c>
      <c r="AH79" s="105">
        <v>3.6531199488548864</v>
      </c>
      <c r="AI79" s="105">
        <v>1753.4975754503455</v>
      </c>
      <c r="AJ79" s="105">
        <v>0</v>
      </c>
      <c r="AK79" s="105">
        <v>0</v>
      </c>
      <c r="AL79" s="105">
        <v>7</v>
      </c>
      <c r="AM79" s="105">
        <v>3360</v>
      </c>
      <c r="AN79" s="105">
        <v>5.675613826063806</v>
      </c>
      <c r="AO79" s="105">
        <v>2724.2946365106268</v>
      </c>
      <c r="AP79" s="105">
        <v>4.8708265984731822</v>
      </c>
      <c r="AQ79" s="105">
        <v>2337.9967672671273</v>
      </c>
      <c r="AR79" s="105">
        <v>4.3595243588544506</v>
      </c>
      <c r="AS79" s="105">
        <v>2092.571692250136</v>
      </c>
      <c r="AT79" s="105">
        <v>4.8622511995322082</v>
      </c>
      <c r="AU79" s="105">
        <v>2333.8805757754599</v>
      </c>
      <c r="AV79" s="105">
        <v>4.3698713312251494</v>
      </c>
      <c r="AW79" s="105">
        <v>2097.5382389880715</v>
      </c>
      <c r="AX79" s="105">
        <v>5.1912757167937862</v>
      </c>
      <c r="AY79" s="105">
        <v>2491.8123440610175</v>
      </c>
      <c r="AZ79" s="105">
        <v>4.5453566183908727</v>
      </c>
      <c r="BA79" s="105">
        <v>2181.771176827619</v>
      </c>
      <c r="BB79" s="105">
        <v>5.2527109323771448</v>
      </c>
      <c r="BC79" s="105">
        <v>2521.3012475410296</v>
      </c>
      <c r="BD79" s="105">
        <v>5.0259484646665964</v>
      </c>
      <c r="BE79" s="105">
        <v>2412.4552630399662</v>
      </c>
      <c r="BF79" s="105">
        <v>5.1640962627791591</v>
      </c>
      <c r="BG79" s="105">
        <v>2478.7662061339965</v>
      </c>
      <c r="BH79" s="105">
        <v>4.7796327084136623</v>
      </c>
      <c r="BI79" s="105">
        <v>2294.223700038558</v>
      </c>
      <c r="BJ79" s="105">
        <v>5.3110743871813355</v>
      </c>
      <c r="BK79" s="105">
        <v>2549.315705847041</v>
      </c>
      <c r="BL79" s="105">
        <v>5.0464029060925641</v>
      </c>
      <c r="BM79" s="105">
        <v>2422.2733949244307</v>
      </c>
      <c r="BN79" s="105">
        <v>4.623479935269466</v>
      </c>
      <c r="BO79" s="105">
        <v>2219.2703689293435</v>
      </c>
      <c r="BP79" s="105">
        <v>5.1017709630559622</v>
      </c>
      <c r="BQ79" s="105">
        <v>2448.8500622668616</v>
      </c>
      <c r="BR79" s="105">
        <v>4.7984224193066893</v>
      </c>
      <c r="BS79" s="105">
        <v>2303.2427612672109</v>
      </c>
      <c r="BT79" s="105">
        <v>5.1178142679712328</v>
      </c>
      <c r="BU79" s="105">
        <v>2456.550848626192</v>
      </c>
      <c r="BV79" s="105">
        <v>4.6968685056705688</v>
      </c>
      <c r="BW79" s="105">
        <v>2254.4968827218731</v>
      </c>
      <c r="BX79" s="105">
        <v>4.8114262741015583</v>
      </c>
      <c r="BY79" s="105">
        <v>2309.4846115687478</v>
      </c>
      <c r="BZ79" s="105">
        <v>5.0581660830298434</v>
      </c>
      <c r="CA79" s="105">
        <v>2427.9197198543247</v>
      </c>
      <c r="CB79" s="105">
        <v>5.4796799232823297</v>
      </c>
      <c r="CC79" s="105">
        <v>2630.2463631755181</v>
      </c>
      <c r="CD79" s="105">
        <v>4.4833744826855426</v>
      </c>
      <c r="CE79" s="105">
        <v>2152.0197516890603</v>
      </c>
      <c r="CF79" s="105">
        <v>4.9564944029689419</v>
      </c>
      <c r="CG79" s="105">
        <v>2379.1173134250921</v>
      </c>
      <c r="CH79" s="105">
        <v>5.2604927263510373</v>
      </c>
      <c r="CI79" s="105">
        <v>2525.0365086484981</v>
      </c>
      <c r="CJ79" s="105">
        <v>5.0581660830298434</v>
      </c>
      <c r="CK79" s="105">
        <v>2427.9197198543247</v>
      </c>
      <c r="CL79" s="105">
        <v>4.4580446833483363</v>
      </c>
      <c r="CM79" s="105">
        <v>2139.8614480072015</v>
      </c>
      <c r="CN79" s="105">
        <v>5.0699842280836513</v>
      </c>
      <c r="CO79" s="105">
        <v>2433.5924294801525</v>
      </c>
      <c r="CP79" s="105">
        <v>5.2839770688793894</v>
      </c>
      <c r="CQ79" s="105">
        <v>2536.3089930621068</v>
      </c>
      <c r="CR79" s="105">
        <v>4.8221183324884507</v>
      </c>
      <c r="CS79" s="105">
        <v>2314.6167995944561</v>
      </c>
      <c r="CT79" s="105">
        <v>4.0814167704447701</v>
      </c>
      <c r="CU79" s="105">
        <v>1959.0800498134897</v>
      </c>
    </row>
    <row r="80" spans="2:99" x14ac:dyDescent="0.2">
      <c r="C80" s="104" t="s">
        <v>246</v>
      </c>
      <c r="D80" s="105">
        <v>6</v>
      </c>
      <c r="E80" s="105">
        <v>4572</v>
      </c>
      <c r="F80" s="105">
        <v>7</v>
      </c>
      <c r="G80" s="105">
        <v>5334</v>
      </c>
      <c r="H80" s="105">
        <v>0.74768698494623831</v>
      </c>
      <c r="I80" s="105">
        <v>569.73748252903363</v>
      </c>
      <c r="J80" s="105">
        <v>0</v>
      </c>
      <c r="K80" s="105">
        <v>0</v>
      </c>
      <c r="L80" s="105">
        <v>0</v>
      </c>
      <c r="M80" s="105">
        <v>0</v>
      </c>
      <c r="N80" s="105">
        <v>0</v>
      </c>
      <c r="O80" s="105">
        <v>0</v>
      </c>
      <c r="P80" s="105">
        <v>5.5481759223233587</v>
      </c>
      <c r="Q80" s="105">
        <v>4227.7100528103992</v>
      </c>
      <c r="R80" s="105">
        <v>5.6686344033955134</v>
      </c>
      <c r="S80" s="105">
        <v>4319.4994153873813</v>
      </c>
      <c r="T80" s="105">
        <v>6.6481410833940027</v>
      </c>
      <c r="U80" s="105">
        <v>5065.8835055462305</v>
      </c>
      <c r="V80" s="105">
        <v>6.2691253359585977</v>
      </c>
      <c r="W80" s="105">
        <v>4777.0735060004517</v>
      </c>
      <c r="X80" s="105">
        <v>4.6968685056705688</v>
      </c>
      <c r="Y80" s="105">
        <v>3579.0138013209735</v>
      </c>
      <c r="Z80" s="105">
        <v>4.7822661148645791</v>
      </c>
      <c r="AA80" s="105">
        <v>3644.0867795268091</v>
      </c>
      <c r="AB80" s="105">
        <v>5.2162337731245261</v>
      </c>
      <c r="AC80" s="105">
        <v>3974.7701351208889</v>
      </c>
      <c r="AD80" s="105">
        <v>4.5876390055386951</v>
      </c>
      <c r="AE80" s="105">
        <v>3495.7809222204855</v>
      </c>
      <c r="AF80" s="105">
        <v>4.9093964923524949</v>
      </c>
      <c r="AG80" s="105">
        <v>3740.960127172601</v>
      </c>
      <c r="AH80" s="105">
        <v>4.3837439386258641</v>
      </c>
      <c r="AI80" s="105">
        <v>3340.4128812329086</v>
      </c>
      <c r="AJ80" s="105">
        <v>0</v>
      </c>
      <c r="AK80" s="105">
        <v>0</v>
      </c>
      <c r="AL80" s="105">
        <v>7</v>
      </c>
      <c r="AM80" s="105">
        <v>5334</v>
      </c>
      <c r="AN80" s="105">
        <v>4.9661620978058298</v>
      </c>
      <c r="AO80" s="105">
        <v>3784.2155185280421</v>
      </c>
      <c r="AP80" s="105">
        <v>4.8708265984731822</v>
      </c>
      <c r="AQ80" s="105">
        <v>3711.5698680365649</v>
      </c>
      <c r="AR80" s="105">
        <v>4.9044649037112569</v>
      </c>
      <c r="AS80" s="105">
        <v>3737.2022566279779</v>
      </c>
      <c r="AT80" s="105">
        <v>4.1676438853133213</v>
      </c>
      <c r="AU80" s="105">
        <v>3175.7446406087506</v>
      </c>
      <c r="AV80" s="105">
        <v>4.3698713312251494</v>
      </c>
      <c r="AW80" s="105">
        <v>3329.8419543935638</v>
      </c>
      <c r="AX80" s="105">
        <v>5.1912757167937862</v>
      </c>
      <c r="AY80" s="105">
        <v>3955.7520961968653</v>
      </c>
      <c r="AZ80" s="105">
        <v>5.4544279420690476</v>
      </c>
      <c r="BA80" s="105">
        <v>4156.2740918566142</v>
      </c>
      <c r="BB80" s="105">
        <v>4.6690763843352396</v>
      </c>
      <c r="BC80" s="105">
        <v>3557.8362048634526</v>
      </c>
      <c r="BD80" s="105">
        <v>4.3977049065832707</v>
      </c>
      <c r="BE80" s="105">
        <v>3351.0511388164523</v>
      </c>
      <c r="BF80" s="105">
        <v>5.1640962627791591</v>
      </c>
      <c r="BG80" s="105">
        <v>3935.0413522377194</v>
      </c>
      <c r="BH80" s="105">
        <v>4.7796327084136623</v>
      </c>
      <c r="BI80" s="105">
        <v>3642.0801238112108</v>
      </c>
      <c r="BJ80" s="105">
        <v>4.5523494747268591</v>
      </c>
      <c r="BK80" s="105">
        <v>3468.8902997418668</v>
      </c>
      <c r="BL80" s="105">
        <v>4.5876390055386951</v>
      </c>
      <c r="BM80" s="105">
        <v>3495.7809222204855</v>
      </c>
      <c r="BN80" s="105">
        <v>4.623479935269466</v>
      </c>
      <c r="BO80" s="105">
        <v>3523.0917106753332</v>
      </c>
      <c r="BP80" s="105">
        <v>4.5349075227164111</v>
      </c>
      <c r="BQ80" s="105">
        <v>3455.599532309905</v>
      </c>
      <c r="BR80" s="105">
        <v>4.2652643727170574</v>
      </c>
      <c r="BS80" s="105">
        <v>3250.1314520103979</v>
      </c>
      <c r="BT80" s="105">
        <v>5.1178142679712328</v>
      </c>
      <c r="BU80" s="105">
        <v>3899.7744721940794</v>
      </c>
      <c r="BV80" s="105">
        <v>4.6968685056705688</v>
      </c>
      <c r="BW80" s="105">
        <v>3579.0138013209735</v>
      </c>
      <c r="BX80" s="105">
        <v>4.8114262741015583</v>
      </c>
      <c r="BY80" s="105">
        <v>3666.3068208653876</v>
      </c>
      <c r="BZ80" s="105">
        <v>5.0581660830298434</v>
      </c>
      <c r="CA80" s="105">
        <v>3854.3225552687409</v>
      </c>
      <c r="CB80" s="105">
        <v>4.9317119309540978</v>
      </c>
      <c r="CC80" s="105">
        <v>3757.9644913870225</v>
      </c>
      <c r="CD80" s="105">
        <v>5.0437962930212361</v>
      </c>
      <c r="CE80" s="105">
        <v>3843.3727752821819</v>
      </c>
      <c r="CF80" s="105">
        <v>4.9564944029689419</v>
      </c>
      <c r="CG80" s="105">
        <v>3776.8487350623336</v>
      </c>
      <c r="CH80" s="105">
        <v>4.8221183324884507</v>
      </c>
      <c r="CI80" s="105">
        <v>3674.4541693561996</v>
      </c>
      <c r="CJ80" s="105">
        <v>5.0581660830298434</v>
      </c>
      <c r="CK80" s="105">
        <v>3854.3225552687409</v>
      </c>
      <c r="CL80" s="105">
        <v>4.4580446833483363</v>
      </c>
      <c r="CM80" s="105">
        <v>3397.0300487114323</v>
      </c>
      <c r="CN80" s="105">
        <v>4.6090765709851373</v>
      </c>
      <c r="CO80" s="105">
        <v>3512.1163470906745</v>
      </c>
      <c r="CP80" s="105">
        <v>5.2839770688793894</v>
      </c>
      <c r="CQ80" s="105">
        <v>4026.3905264860946</v>
      </c>
      <c r="CR80" s="105">
        <v>5.2604927263510373</v>
      </c>
      <c r="CS80" s="105">
        <v>4008.4954574794906</v>
      </c>
      <c r="CT80" s="105">
        <v>4.0814167704447701</v>
      </c>
      <c r="CU80" s="105">
        <v>3110.0395790789148</v>
      </c>
    </row>
    <row r="81" spans="2:99" x14ac:dyDescent="0.2">
      <c r="C81" s="104" t="s">
        <v>247</v>
      </c>
      <c r="D81" s="105">
        <v>7</v>
      </c>
      <c r="E81" s="105">
        <v>4368</v>
      </c>
      <c r="F81" s="105">
        <v>7</v>
      </c>
      <c r="G81" s="105">
        <v>4368</v>
      </c>
      <c r="H81" s="105">
        <v>0.74768698494623831</v>
      </c>
      <c r="I81" s="105">
        <v>466.55667860645269</v>
      </c>
      <c r="J81" s="105">
        <v>0</v>
      </c>
      <c r="K81" s="105">
        <v>0</v>
      </c>
      <c r="L81" s="105">
        <v>0</v>
      </c>
      <c r="M81" s="105">
        <v>0</v>
      </c>
      <c r="N81" s="105">
        <v>0</v>
      </c>
      <c r="O81" s="105">
        <v>0</v>
      </c>
      <c r="P81" s="105">
        <v>5.5481759223233587</v>
      </c>
      <c r="Q81" s="105">
        <v>3462.0617755297758</v>
      </c>
      <c r="R81" s="105">
        <v>5.6686344033955134</v>
      </c>
      <c r="S81" s="105">
        <v>3537.2278677188006</v>
      </c>
      <c r="T81" s="105">
        <v>6.0437646212672753</v>
      </c>
      <c r="U81" s="105">
        <v>3771.3091236707796</v>
      </c>
      <c r="V81" s="105">
        <v>6.2691253359585977</v>
      </c>
      <c r="W81" s="105">
        <v>3911.9342096381652</v>
      </c>
      <c r="X81" s="105">
        <v>4.6968685056705688</v>
      </c>
      <c r="Y81" s="105">
        <v>2930.8459475384348</v>
      </c>
      <c r="Z81" s="105">
        <v>4.184482850506507</v>
      </c>
      <c r="AA81" s="105">
        <v>2611.1172987160603</v>
      </c>
      <c r="AB81" s="105">
        <v>4.742030702840478</v>
      </c>
      <c r="AC81" s="105">
        <v>2959.0271585724581</v>
      </c>
      <c r="AD81" s="105">
        <v>4.5876390055386951</v>
      </c>
      <c r="AE81" s="105">
        <v>2862.6867394561459</v>
      </c>
      <c r="AF81" s="105">
        <v>5.3557052643845395</v>
      </c>
      <c r="AG81" s="105">
        <v>3341.9600849759527</v>
      </c>
      <c r="AH81" s="105">
        <v>4.3837439386258641</v>
      </c>
      <c r="AI81" s="105">
        <v>2735.4562177025391</v>
      </c>
      <c r="AJ81" s="105">
        <v>0</v>
      </c>
      <c r="AK81" s="105">
        <v>0</v>
      </c>
      <c r="AL81" s="105">
        <v>7</v>
      </c>
      <c r="AM81" s="105">
        <v>4368</v>
      </c>
      <c r="AN81" s="105">
        <v>4.9661620978058298</v>
      </c>
      <c r="AO81" s="105">
        <v>3098.885149030838</v>
      </c>
      <c r="AP81" s="105">
        <v>4.2619732736640339</v>
      </c>
      <c r="AQ81" s="105">
        <v>2659.4713227663569</v>
      </c>
      <c r="AR81" s="105">
        <v>4.3595243588544506</v>
      </c>
      <c r="AS81" s="105">
        <v>2720.343199925177</v>
      </c>
      <c r="AT81" s="105">
        <v>4.8622511995322082</v>
      </c>
      <c r="AU81" s="105">
        <v>3034.0447485080981</v>
      </c>
      <c r="AV81" s="105">
        <v>4.3698713312251494</v>
      </c>
      <c r="AW81" s="105">
        <v>2726.7997106844932</v>
      </c>
      <c r="AX81" s="105">
        <v>4.6144673038166983</v>
      </c>
      <c r="AY81" s="105">
        <v>2879.4275975816199</v>
      </c>
      <c r="AZ81" s="105">
        <v>5.4544279420690476</v>
      </c>
      <c r="BA81" s="105">
        <v>3403.5630358510857</v>
      </c>
      <c r="BB81" s="105">
        <v>4.6690763843352396</v>
      </c>
      <c r="BC81" s="105">
        <v>2913.5036638251895</v>
      </c>
      <c r="BD81" s="105">
        <v>4.3977049065832707</v>
      </c>
      <c r="BE81" s="105">
        <v>2744.167861707961</v>
      </c>
      <c r="BF81" s="105">
        <v>5.1640962627791591</v>
      </c>
      <c r="BG81" s="105">
        <v>3222.3960679741954</v>
      </c>
      <c r="BH81" s="105">
        <v>5.2141447728149046</v>
      </c>
      <c r="BI81" s="105">
        <v>3253.6263382365005</v>
      </c>
      <c r="BJ81" s="105">
        <v>4.5523494747268591</v>
      </c>
      <c r="BK81" s="105">
        <v>2840.6660722295601</v>
      </c>
      <c r="BL81" s="105">
        <v>5.0464029060925641</v>
      </c>
      <c r="BM81" s="105">
        <v>3148.9554134017599</v>
      </c>
      <c r="BN81" s="105">
        <v>5.1371999280771847</v>
      </c>
      <c r="BO81" s="105">
        <v>3205.6127551201635</v>
      </c>
      <c r="BP81" s="105">
        <v>4.5349075227164111</v>
      </c>
      <c r="BQ81" s="105">
        <v>2829.7822941750405</v>
      </c>
      <c r="BR81" s="105">
        <v>4.7984224193066893</v>
      </c>
      <c r="BS81" s="105">
        <v>2994.2155896473741</v>
      </c>
      <c r="BT81" s="105">
        <v>4.6525584254283938</v>
      </c>
      <c r="BU81" s="105">
        <v>2903.1964574673179</v>
      </c>
      <c r="BV81" s="105">
        <v>4.1097599424617473</v>
      </c>
      <c r="BW81" s="105">
        <v>2564.4902040961301</v>
      </c>
      <c r="BX81" s="105">
        <v>4.8114262741015583</v>
      </c>
      <c r="BY81" s="105">
        <v>3002.3299950393725</v>
      </c>
      <c r="BZ81" s="105">
        <v>5.0581660830298434</v>
      </c>
      <c r="CA81" s="105">
        <v>3156.2956358106221</v>
      </c>
      <c r="CB81" s="105">
        <v>5.4796799232823297</v>
      </c>
      <c r="CC81" s="105">
        <v>3419.3202721281737</v>
      </c>
      <c r="CD81" s="105">
        <v>5.0437962930212361</v>
      </c>
      <c r="CE81" s="105">
        <v>3147.3288868452514</v>
      </c>
      <c r="CF81" s="105">
        <v>4.4608449626720477</v>
      </c>
      <c r="CG81" s="105">
        <v>2783.567256707358</v>
      </c>
      <c r="CH81" s="105">
        <v>5.2604927263510373</v>
      </c>
      <c r="CI81" s="105">
        <v>3282.5474612430471</v>
      </c>
      <c r="CJ81" s="105">
        <v>4.5523494747268591</v>
      </c>
      <c r="CK81" s="105">
        <v>2840.6660722295601</v>
      </c>
      <c r="CL81" s="105">
        <v>5.0153002687668788</v>
      </c>
      <c r="CM81" s="105">
        <v>3129.5473677105324</v>
      </c>
      <c r="CN81" s="105">
        <v>4.6090765709851373</v>
      </c>
      <c r="CO81" s="105">
        <v>2876.0637802947258</v>
      </c>
      <c r="CP81" s="105">
        <v>4.4033142240661585</v>
      </c>
      <c r="CQ81" s="105">
        <v>2747.6680758172829</v>
      </c>
      <c r="CR81" s="105">
        <v>5.2604927263510373</v>
      </c>
      <c r="CS81" s="105">
        <v>3282.5474612430471</v>
      </c>
      <c r="CT81" s="105">
        <v>4.0814167704447701</v>
      </c>
      <c r="CU81" s="105">
        <v>2546.8040647575367</v>
      </c>
    </row>
    <row r="82" spans="2:99" x14ac:dyDescent="0.2">
      <c r="C82" s="104" t="s">
        <v>248</v>
      </c>
      <c r="D82" s="105">
        <v>8</v>
      </c>
      <c r="E82" s="105">
        <v>2860.7999999999997</v>
      </c>
      <c r="F82" s="105">
        <v>7</v>
      </c>
      <c r="G82" s="105">
        <v>2503.1999999999998</v>
      </c>
      <c r="H82" s="105">
        <v>0.93460873118279786</v>
      </c>
      <c r="I82" s="105">
        <v>334.21608227096846</v>
      </c>
      <c r="J82" s="105">
        <v>0</v>
      </c>
      <c r="K82" s="105">
        <v>0</v>
      </c>
      <c r="L82" s="105">
        <v>0</v>
      </c>
      <c r="M82" s="105">
        <v>0</v>
      </c>
      <c r="N82" s="105">
        <v>0</v>
      </c>
      <c r="O82" s="105">
        <v>0</v>
      </c>
      <c r="P82" s="105">
        <v>6.1646399136926213</v>
      </c>
      <c r="Q82" s="105">
        <v>2204.4752331364812</v>
      </c>
      <c r="R82" s="105">
        <v>6.3772137038199519</v>
      </c>
      <c r="S82" s="105">
        <v>2280.4916204860147</v>
      </c>
      <c r="T82" s="105">
        <v>6.6481410833940027</v>
      </c>
      <c r="U82" s="105">
        <v>2377.3752514216953</v>
      </c>
      <c r="V82" s="105">
        <v>6.2691253359585977</v>
      </c>
      <c r="W82" s="105">
        <v>2241.8392201387942</v>
      </c>
      <c r="X82" s="105">
        <v>5.1665553562376259</v>
      </c>
      <c r="Y82" s="105">
        <v>1847.5601953905748</v>
      </c>
      <c r="Z82" s="105">
        <v>4.7822661148645791</v>
      </c>
      <c r="AA82" s="105">
        <v>1710.1383626755733</v>
      </c>
      <c r="AB82" s="105">
        <v>5.2162337731245261</v>
      </c>
      <c r="AC82" s="105">
        <v>1865.3251972693304</v>
      </c>
      <c r="AD82" s="105">
        <v>4.5876390055386951</v>
      </c>
      <c r="AE82" s="105">
        <v>1640.5397083806372</v>
      </c>
      <c r="AF82" s="105">
        <v>5.3557052643845395</v>
      </c>
      <c r="AG82" s="105">
        <v>1915.2002025439112</v>
      </c>
      <c r="AH82" s="105">
        <v>4.3837439386258641</v>
      </c>
      <c r="AI82" s="105">
        <v>1567.6268324526088</v>
      </c>
      <c r="AJ82" s="105">
        <v>0</v>
      </c>
      <c r="AK82" s="105">
        <v>0</v>
      </c>
      <c r="AL82" s="105">
        <v>7</v>
      </c>
      <c r="AM82" s="105">
        <v>2503.1999999999998</v>
      </c>
      <c r="AN82" s="105">
        <v>5.675613826063806</v>
      </c>
      <c r="AO82" s="105">
        <v>2029.599504200417</v>
      </c>
      <c r="AP82" s="105">
        <v>4.8708265984731822</v>
      </c>
      <c r="AQ82" s="105">
        <v>1741.8075916140099</v>
      </c>
      <c r="AR82" s="105">
        <v>5.4494054485680632</v>
      </c>
      <c r="AS82" s="105">
        <v>1948.7073884079391</v>
      </c>
      <c r="AT82" s="105">
        <v>4.1676438853133213</v>
      </c>
      <c r="AU82" s="105">
        <v>1490.3494533880435</v>
      </c>
      <c r="AV82" s="105">
        <v>4.3698713312251494</v>
      </c>
      <c r="AW82" s="105">
        <v>1562.6659880461132</v>
      </c>
      <c r="AX82" s="105">
        <v>4.6144673038166983</v>
      </c>
      <c r="AY82" s="105">
        <v>1650.1335078448512</v>
      </c>
      <c r="AZ82" s="105">
        <v>4.9998922802299601</v>
      </c>
      <c r="BA82" s="105">
        <v>1787.9614794102336</v>
      </c>
      <c r="BB82" s="105">
        <v>5.2527109323771448</v>
      </c>
      <c r="BC82" s="105">
        <v>1878.3694294180668</v>
      </c>
      <c r="BD82" s="105">
        <v>4.3977049065832707</v>
      </c>
      <c r="BE82" s="105">
        <v>1572.6192745941776</v>
      </c>
      <c r="BF82" s="105">
        <v>5.1640962627791591</v>
      </c>
      <c r="BG82" s="105">
        <v>1846.6808235698272</v>
      </c>
      <c r="BH82" s="105">
        <v>5.2141447728149046</v>
      </c>
      <c r="BI82" s="105">
        <v>1864.5781707586098</v>
      </c>
      <c r="BJ82" s="105">
        <v>4.5523494747268591</v>
      </c>
      <c r="BK82" s="105">
        <v>1627.9201721623247</v>
      </c>
      <c r="BL82" s="105">
        <v>5.5051668066464341</v>
      </c>
      <c r="BM82" s="105">
        <v>1968.6476500567646</v>
      </c>
      <c r="BN82" s="105">
        <v>4.623479935269466</v>
      </c>
      <c r="BO82" s="105">
        <v>1653.356424852361</v>
      </c>
      <c r="BP82" s="105">
        <v>4.5349075227164111</v>
      </c>
      <c r="BQ82" s="105">
        <v>1621.6829301233884</v>
      </c>
      <c r="BR82" s="105">
        <v>5.3315804658963213</v>
      </c>
      <c r="BS82" s="105">
        <v>1906.5731746045244</v>
      </c>
      <c r="BT82" s="105">
        <v>5.1178142679712328</v>
      </c>
      <c r="BU82" s="105">
        <v>1830.1303822265127</v>
      </c>
      <c r="BV82" s="105">
        <v>5.2839770688793894</v>
      </c>
      <c r="BW82" s="105">
        <v>1889.5501998312695</v>
      </c>
      <c r="BX82" s="105">
        <v>4.8114262741015583</v>
      </c>
      <c r="BY82" s="105">
        <v>1720.566035618717</v>
      </c>
      <c r="BZ82" s="105">
        <v>5.0581660830298434</v>
      </c>
      <c r="CA82" s="105">
        <v>1808.8001912914717</v>
      </c>
      <c r="CB82" s="105">
        <v>4.9317119309540978</v>
      </c>
      <c r="CC82" s="105">
        <v>1763.5801865091853</v>
      </c>
      <c r="CD82" s="105">
        <v>5.0437962930212361</v>
      </c>
      <c r="CE82" s="105">
        <v>1803.6615543843939</v>
      </c>
      <c r="CF82" s="105">
        <v>4.9564944029689419</v>
      </c>
      <c r="CG82" s="105">
        <v>1772.4423985016936</v>
      </c>
      <c r="CH82" s="105">
        <v>4.8221183324884507</v>
      </c>
      <c r="CI82" s="105">
        <v>1724.3895156978699</v>
      </c>
      <c r="CJ82" s="105">
        <v>4.5523494747268591</v>
      </c>
      <c r="CK82" s="105">
        <v>1627.9201721623247</v>
      </c>
      <c r="CL82" s="105">
        <v>5.5725558541854205</v>
      </c>
      <c r="CM82" s="105">
        <v>1992.7459734567062</v>
      </c>
      <c r="CN82" s="105">
        <v>5.0699842280836513</v>
      </c>
      <c r="CO82" s="105">
        <v>1813.0263599627135</v>
      </c>
      <c r="CP82" s="105">
        <v>5.2839770688793894</v>
      </c>
      <c r="CQ82" s="105">
        <v>1889.5501998312695</v>
      </c>
      <c r="CR82" s="105">
        <v>5.2604927263510373</v>
      </c>
      <c r="CS82" s="105">
        <v>1881.1521989431308</v>
      </c>
      <c r="CT82" s="105">
        <v>4.7616528988522315</v>
      </c>
      <c r="CU82" s="105">
        <v>1702.7670766295578</v>
      </c>
    </row>
    <row r="83" spans="2:99" x14ac:dyDescent="0.2">
      <c r="C83" s="104" t="s">
        <v>249</v>
      </c>
      <c r="D83" s="105">
        <v>7</v>
      </c>
      <c r="E83" s="105">
        <v>4183.2</v>
      </c>
      <c r="F83" s="105">
        <v>7</v>
      </c>
      <c r="G83" s="105">
        <v>4183.2</v>
      </c>
      <c r="H83" s="105">
        <v>0.74768698494623831</v>
      </c>
      <c r="I83" s="105">
        <v>446.81774220387206</v>
      </c>
      <c r="J83" s="105">
        <v>0</v>
      </c>
      <c r="K83" s="105">
        <v>0</v>
      </c>
      <c r="L83" s="105">
        <v>0</v>
      </c>
      <c r="M83" s="105">
        <v>0</v>
      </c>
      <c r="N83" s="105">
        <v>0</v>
      </c>
      <c r="O83" s="105">
        <v>0</v>
      </c>
      <c r="P83" s="105">
        <v>6.1646399136926213</v>
      </c>
      <c r="Q83" s="105">
        <v>3683.9888124227105</v>
      </c>
      <c r="R83" s="105">
        <v>6.3772137038199519</v>
      </c>
      <c r="S83" s="105">
        <v>3811.0229094028032</v>
      </c>
      <c r="T83" s="105">
        <v>6.0437646212672753</v>
      </c>
      <c r="U83" s="105">
        <v>3611.753737669324</v>
      </c>
      <c r="V83" s="105">
        <v>6.2691253359585977</v>
      </c>
      <c r="W83" s="105">
        <v>3746.429300768858</v>
      </c>
      <c r="X83" s="105">
        <v>5.1665553562376259</v>
      </c>
      <c r="Y83" s="105">
        <v>3087.5334808876055</v>
      </c>
      <c r="Z83" s="105">
        <v>4.7822661148645791</v>
      </c>
      <c r="AA83" s="105">
        <v>2857.8822302430726</v>
      </c>
      <c r="AB83" s="105">
        <v>4.742030702840478</v>
      </c>
      <c r="AC83" s="105">
        <v>2833.8375480174695</v>
      </c>
      <c r="AD83" s="105">
        <v>4.5876390055386951</v>
      </c>
      <c r="AE83" s="105">
        <v>2741.5730697099243</v>
      </c>
      <c r="AF83" s="105">
        <v>5.3557052643845395</v>
      </c>
      <c r="AG83" s="105">
        <v>3200.569465996201</v>
      </c>
      <c r="AH83" s="105">
        <v>4.3837439386258641</v>
      </c>
      <c r="AI83" s="105">
        <v>2619.7253777228166</v>
      </c>
      <c r="AJ83" s="105">
        <v>0</v>
      </c>
      <c r="AK83" s="105">
        <v>0</v>
      </c>
      <c r="AL83" s="105">
        <v>8</v>
      </c>
      <c r="AM83" s="105">
        <v>4780.8</v>
      </c>
      <c r="AN83" s="105">
        <v>5.675613826063806</v>
      </c>
      <c r="AO83" s="105">
        <v>3391.7468224557306</v>
      </c>
      <c r="AP83" s="105">
        <v>4.8708265984731822</v>
      </c>
      <c r="AQ83" s="105">
        <v>2910.8059752475738</v>
      </c>
      <c r="AR83" s="105">
        <v>4.9044649037112569</v>
      </c>
      <c r="AS83" s="105">
        <v>2930.9082264578474</v>
      </c>
      <c r="AT83" s="105">
        <v>4.8622511995322082</v>
      </c>
      <c r="AU83" s="105">
        <v>2905.6813168404478</v>
      </c>
      <c r="AV83" s="105">
        <v>4.3698713312251494</v>
      </c>
      <c r="AW83" s="105">
        <v>2611.4351075401491</v>
      </c>
      <c r="AX83" s="105">
        <v>4.6144673038166983</v>
      </c>
      <c r="AY83" s="105">
        <v>2757.6056607608589</v>
      </c>
      <c r="AZ83" s="105">
        <v>4.9998922802299601</v>
      </c>
      <c r="BA83" s="105">
        <v>2987.9356266654245</v>
      </c>
      <c r="BB83" s="105">
        <v>5.2527109323771448</v>
      </c>
      <c r="BC83" s="105">
        <v>3139.0200531885816</v>
      </c>
      <c r="BD83" s="105">
        <v>5.0259484646665964</v>
      </c>
      <c r="BE83" s="105">
        <v>3003.5068024847583</v>
      </c>
      <c r="BF83" s="105">
        <v>5.1640962627791591</v>
      </c>
      <c r="BG83" s="105">
        <v>3086.0639266368257</v>
      </c>
      <c r="BH83" s="105">
        <v>5.2141447728149046</v>
      </c>
      <c r="BI83" s="105">
        <v>3115.9729162341873</v>
      </c>
      <c r="BJ83" s="105">
        <v>4.5523494747268591</v>
      </c>
      <c r="BK83" s="105">
        <v>2720.4840460967712</v>
      </c>
      <c r="BL83" s="105">
        <v>5.0464029060925641</v>
      </c>
      <c r="BM83" s="105">
        <v>3015.7303766809164</v>
      </c>
      <c r="BN83" s="105">
        <v>4.1097599424617473</v>
      </c>
      <c r="BO83" s="105">
        <v>2455.9925416151405</v>
      </c>
      <c r="BP83" s="105">
        <v>4.5349075227164111</v>
      </c>
      <c r="BQ83" s="105">
        <v>2710.0607355753273</v>
      </c>
      <c r="BR83" s="105">
        <v>5.3315804658963213</v>
      </c>
      <c r="BS83" s="105">
        <v>3186.1524864196417</v>
      </c>
      <c r="BT83" s="105">
        <v>4.6525584254283938</v>
      </c>
      <c r="BU83" s="105">
        <v>2780.3689150360083</v>
      </c>
      <c r="BV83" s="105">
        <v>4.6968685056705688</v>
      </c>
      <c r="BW83" s="105">
        <v>2806.8486189887321</v>
      </c>
      <c r="BX83" s="105">
        <v>4.2099979898388638</v>
      </c>
      <c r="BY83" s="105">
        <v>2515.8947987277052</v>
      </c>
      <c r="BZ83" s="105">
        <v>4.5523494747268591</v>
      </c>
      <c r="CA83" s="105">
        <v>2720.4840460967712</v>
      </c>
      <c r="CB83" s="105">
        <v>4.9317119309540978</v>
      </c>
      <c r="CC83" s="105">
        <v>2947.1910499381688</v>
      </c>
      <c r="CD83" s="105">
        <v>5.0437962930212361</v>
      </c>
      <c r="CE83" s="105">
        <v>3014.1726647094906</v>
      </c>
      <c r="CF83" s="105">
        <v>4.9564944029689419</v>
      </c>
      <c r="CG83" s="105">
        <v>2962.0010552142398</v>
      </c>
      <c r="CH83" s="105">
        <v>5.698867120213623</v>
      </c>
      <c r="CI83" s="105">
        <v>3405.6429910396614</v>
      </c>
      <c r="CJ83" s="105">
        <v>5.0581660830298434</v>
      </c>
      <c r="CK83" s="105">
        <v>3022.7600512186345</v>
      </c>
      <c r="CL83" s="105">
        <v>5.0153002687668788</v>
      </c>
      <c r="CM83" s="105">
        <v>2997.143440615087</v>
      </c>
      <c r="CN83" s="105">
        <v>4.6090765709851373</v>
      </c>
      <c r="CO83" s="105">
        <v>2754.3841588207183</v>
      </c>
      <c r="CP83" s="105">
        <v>5.2839770688793894</v>
      </c>
      <c r="CQ83" s="105">
        <v>3157.7046963623234</v>
      </c>
      <c r="CR83" s="105">
        <v>4.8221183324884507</v>
      </c>
      <c r="CS83" s="105">
        <v>2881.6979154950982</v>
      </c>
      <c r="CT83" s="105">
        <v>4.0814167704447701</v>
      </c>
      <c r="CU83" s="105">
        <v>2439.0546620177947</v>
      </c>
    </row>
    <row r="84" spans="2:99" x14ac:dyDescent="0.2">
      <c r="C84" s="104" t="s">
        <v>250</v>
      </c>
      <c r="D84" s="105">
        <v>7</v>
      </c>
      <c r="E84" s="105">
        <v>3578.4</v>
      </c>
      <c r="F84" s="105">
        <v>6</v>
      </c>
      <c r="G84" s="105">
        <v>3067.2</v>
      </c>
      <c r="H84" s="105">
        <v>0.93460873118279786</v>
      </c>
      <c r="I84" s="105">
        <v>477.77198338064625</v>
      </c>
      <c r="J84" s="105">
        <v>0</v>
      </c>
      <c r="K84" s="105">
        <v>0</v>
      </c>
      <c r="L84" s="105">
        <v>0</v>
      </c>
      <c r="M84" s="105">
        <v>0</v>
      </c>
      <c r="N84" s="105">
        <v>0</v>
      </c>
      <c r="O84" s="105">
        <v>0</v>
      </c>
      <c r="P84" s="105">
        <v>6.7811039050618831</v>
      </c>
      <c r="Q84" s="105">
        <v>3466.5003162676344</v>
      </c>
      <c r="R84" s="105">
        <v>6.3772137038199519</v>
      </c>
      <c r="S84" s="105">
        <v>3260.0316453927594</v>
      </c>
      <c r="T84" s="105">
        <v>6.0437646212672753</v>
      </c>
      <c r="U84" s="105">
        <v>3089.5724743918313</v>
      </c>
      <c r="V84" s="105">
        <v>6.2691253359585977</v>
      </c>
      <c r="W84" s="105">
        <v>3204.7768717420349</v>
      </c>
      <c r="X84" s="105">
        <v>4.6968685056705688</v>
      </c>
      <c r="Y84" s="105">
        <v>2401.0391800987945</v>
      </c>
      <c r="Z84" s="105">
        <v>4.7822661148645791</v>
      </c>
      <c r="AA84" s="105">
        <v>2444.6944379187726</v>
      </c>
      <c r="AB84" s="105">
        <v>5.2162337731245261</v>
      </c>
      <c r="AC84" s="105">
        <v>2666.5387048212579</v>
      </c>
      <c r="AD84" s="105">
        <v>5.1610938812310323</v>
      </c>
      <c r="AE84" s="105">
        <v>2638.3511920853039</v>
      </c>
      <c r="AF84" s="105">
        <v>5.3557052643845395</v>
      </c>
      <c r="AG84" s="105">
        <v>2737.8365311533767</v>
      </c>
      <c r="AH84" s="105">
        <v>5.1143679283968408</v>
      </c>
      <c r="AI84" s="105">
        <v>2614.4648849964651</v>
      </c>
      <c r="AJ84" s="105">
        <v>0</v>
      </c>
      <c r="AK84" s="105">
        <v>0</v>
      </c>
      <c r="AL84" s="105">
        <v>8</v>
      </c>
      <c r="AM84" s="105">
        <v>4089.6</v>
      </c>
      <c r="AN84" s="105">
        <v>5.675613826063806</v>
      </c>
      <c r="AO84" s="105">
        <v>2901.3737878838174</v>
      </c>
      <c r="AP84" s="105">
        <v>4.2619732736640339</v>
      </c>
      <c r="AQ84" s="105">
        <v>2178.720737497054</v>
      </c>
      <c r="AR84" s="105">
        <v>4.3595243588544506</v>
      </c>
      <c r="AS84" s="105">
        <v>2228.5888522463952</v>
      </c>
      <c r="AT84" s="105">
        <v>4.8622511995322082</v>
      </c>
      <c r="AU84" s="105">
        <v>2485.5828132008646</v>
      </c>
      <c r="AV84" s="105">
        <v>4.3698713312251494</v>
      </c>
      <c r="AW84" s="105">
        <v>2233.8782245222965</v>
      </c>
      <c r="AX84" s="105">
        <v>4.6144673038166983</v>
      </c>
      <c r="AY84" s="105">
        <v>2358.9156857110961</v>
      </c>
      <c r="AZ84" s="105">
        <v>4.9998922802299601</v>
      </c>
      <c r="BA84" s="105">
        <v>2555.9449336535554</v>
      </c>
      <c r="BB84" s="105">
        <v>5.2527109323771448</v>
      </c>
      <c r="BC84" s="105">
        <v>2685.1858286311963</v>
      </c>
      <c r="BD84" s="105">
        <v>4.3977049065832707</v>
      </c>
      <c r="BE84" s="105">
        <v>2248.1067482453677</v>
      </c>
      <c r="BF84" s="105">
        <v>4.647686636501243</v>
      </c>
      <c r="BG84" s="105">
        <v>2375.8974085794353</v>
      </c>
      <c r="BH84" s="105">
        <v>4.7796327084136623</v>
      </c>
      <c r="BI84" s="105">
        <v>2443.3482405410641</v>
      </c>
      <c r="BJ84" s="105">
        <v>4.5523494747268591</v>
      </c>
      <c r="BK84" s="105">
        <v>2327.1610514803701</v>
      </c>
      <c r="BL84" s="105">
        <v>5.0464029060925641</v>
      </c>
      <c r="BM84" s="105">
        <v>2579.7211655945189</v>
      </c>
      <c r="BN84" s="105">
        <v>5.1371999280771847</v>
      </c>
      <c r="BO84" s="105">
        <v>2626.1366032330566</v>
      </c>
      <c r="BP84" s="105">
        <v>5.1017709630559622</v>
      </c>
      <c r="BQ84" s="105">
        <v>2608.0253163142079</v>
      </c>
      <c r="BR84" s="105">
        <v>4.7984224193066893</v>
      </c>
      <c r="BS84" s="105">
        <v>2452.9535407495796</v>
      </c>
      <c r="BT84" s="105">
        <v>4.6525584254283938</v>
      </c>
      <c r="BU84" s="105">
        <v>2378.387867078995</v>
      </c>
      <c r="BV84" s="105">
        <v>4.1097599424617473</v>
      </c>
      <c r="BW84" s="105">
        <v>2100.909282586445</v>
      </c>
      <c r="BX84" s="105">
        <v>4.8114262741015583</v>
      </c>
      <c r="BY84" s="105">
        <v>2459.6011113207164</v>
      </c>
      <c r="BZ84" s="105">
        <v>5.0581660830298434</v>
      </c>
      <c r="CA84" s="105">
        <v>2585.7345016448558</v>
      </c>
      <c r="CB84" s="105">
        <v>4.9317119309540978</v>
      </c>
      <c r="CC84" s="105">
        <v>2521.0911391037348</v>
      </c>
      <c r="CD84" s="105">
        <v>5.0437962930212361</v>
      </c>
      <c r="CE84" s="105">
        <v>2578.3886649924557</v>
      </c>
      <c r="CF84" s="105">
        <v>4.9564944029689419</v>
      </c>
      <c r="CG84" s="105">
        <v>2533.759938797723</v>
      </c>
      <c r="CH84" s="105">
        <v>5.2604927263510373</v>
      </c>
      <c r="CI84" s="105">
        <v>2689.16388171065</v>
      </c>
      <c r="CJ84" s="105">
        <v>5.5639826913328276</v>
      </c>
      <c r="CK84" s="105">
        <v>2844.3079518093414</v>
      </c>
      <c r="CL84" s="105">
        <v>5.5725558541854205</v>
      </c>
      <c r="CM84" s="105">
        <v>2848.690552659587</v>
      </c>
      <c r="CN84" s="105">
        <v>5.0699842280836513</v>
      </c>
      <c r="CO84" s="105">
        <v>2591.7759373963627</v>
      </c>
      <c r="CP84" s="105">
        <v>5.2839770688793894</v>
      </c>
      <c r="CQ84" s="105">
        <v>2701.1690776111436</v>
      </c>
      <c r="CR84" s="105">
        <v>5.2604927263510373</v>
      </c>
      <c r="CS84" s="105">
        <v>2689.16388171065</v>
      </c>
      <c r="CT84" s="105">
        <v>4.7616528988522315</v>
      </c>
      <c r="CU84" s="105">
        <v>2434.1569618932608</v>
      </c>
    </row>
    <row r="85" spans="2:99" x14ac:dyDescent="0.2">
      <c r="C85" s="104" t="s">
        <v>251</v>
      </c>
      <c r="D85" s="105">
        <v>8</v>
      </c>
      <c r="E85" s="105">
        <v>2179.1999999999998</v>
      </c>
      <c r="F85" s="105">
        <v>7</v>
      </c>
      <c r="G85" s="105">
        <v>1906.7999999999997</v>
      </c>
      <c r="H85" s="105">
        <v>0.74768698494623831</v>
      </c>
      <c r="I85" s="105">
        <v>203.66993469935531</v>
      </c>
      <c r="J85" s="105">
        <v>0</v>
      </c>
      <c r="K85" s="105">
        <v>0</v>
      </c>
      <c r="L85" s="105">
        <v>0</v>
      </c>
      <c r="M85" s="105">
        <v>0</v>
      </c>
      <c r="N85" s="105">
        <v>0</v>
      </c>
      <c r="O85" s="105">
        <v>0</v>
      </c>
      <c r="P85" s="105">
        <v>6.1646399136926213</v>
      </c>
      <c r="Q85" s="105">
        <v>1679.2479124898698</v>
      </c>
      <c r="R85" s="105">
        <v>6.3772137038199519</v>
      </c>
      <c r="S85" s="105">
        <v>1737.1530129205548</v>
      </c>
      <c r="T85" s="105">
        <v>6.0437646212672753</v>
      </c>
      <c r="U85" s="105">
        <v>1646.3214828332057</v>
      </c>
      <c r="V85" s="105">
        <v>5.5725558541854197</v>
      </c>
      <c r="W85" s="105">
        <v>1517.9642146801082</v>
      </c>
      <c r="X85" s="105">
        <v>5.1665553562376259</v>
      </c>
      <c r="Y85" s="105">
        <v>1407.3696790391291</v>
      </c>
      <c r="Z85" s="105">
        <v>4.7822661148645791</v>
      </c>
      <c r="AA85" s="105">
        <v>1302.6892896891113</v>
      </c>
      <c r="AB85" s="105">
        <v>5.2162337731245261</v>
      </c>
      <c r="AC85" s="105">
        <v>1420.9020797991209</v>
      </c>
      <c r="AD85" s="105">
        <v>4.5876390055386951</v>
      </c>
      <c r="AE85" s="105">
        <v>1249.6728651087403</v>
      </c>
      <c r="AF85" s="105">
        <v>5.8020140364165851</v>
      </c>
      <c r="AG85" s="105">
        <v>1580.4686235198776</v>
      </c>
      <c r="AH85" s="105">
        <v>4.3837439386258641</v>
      </c>
      <c r="AI85" s="105">
        <v>1194.1318488816853</v>
      </c>
      <c r="AJ85" s="105">
        <v>0</v>
      </c>
      <c r="AK85" s="105">
        <v>0</v>
      </c>
      <c r="AL85" s="105">
        <v>8</v>
      </c>
      <c r="AM85" s="105">
        <v>2179.1999999999998</v>
      </c>
      <c r="AN85" s="105">
        <v>6.3850655543217814</v>
      </c>
      <c r="AO85" s="105">
        <v>1739.291856997253</v>
      </c>
      <c r="AP85" s="105">
        <v>4.8708265984731822</v>
      </c>
      <c r="AQ85" s="105">
        <v>1326.8131654240947</v>
      </c>
      <c r="AR85" s="105">
        <v>5.4494054485680632</v>
      </c>
      <c r="AS85" s="105">
        <v>1484.4180441899402</v>
      </c>
      <c r="AT85" s="105">
        <v>4.1676438853133213</v>
      </c>
      <c r="AU85" s="105">
        <v>1135.2661943593487</v>
      </c>
      <c r="AV85" s="105">
        <v>4.3698713312251494</v>
      </c>
      <c r="AW85" s="105">
        <v>1190.3529506257305</v>
      </c>
      <c r="AX85" s="105">
        <v>4.6144673038166983</v>
      </c>
      <c r="AY85" s="105">
        <v>1256.9808935596686</v>
      </c>
      <c r="AZ85" s="105">
        <v>5.4544279420690476</v>
      </c>
      <c r="BA85" s="105">
        <v>1485.7861714196085</v>
      </c>
      <c r="BB85" s="105">
        <v>4.6690763843352396</v>
      </c>
      <c r="BC85" s="105">
        <v>1271.8564070929192</v>
      </c>
      <c r="BD85" s="105">
        <v>5.0259484646665964</v>
      </c>
      <c r="BE85" s="105">
        <v>1369.0683617751808</v>
      </c>
      <c r="BF85" s="105">
        <v>5.1640962627791591</v>
      </c>
      <c r="BG85" s="105">
        <v>1406.6998219810428</v>
      </c>
      <c r="BH85" s="105">
        <v>5.6486568372161461</v>
      </c>
      <c r="BI85" s="105">
        <v>1538.6941224576781</v>
      </c>
      <c r="BJ85" s="105">
        <v>4.5523494747268591</v>
      </c>
      <c r="BK85" s="105">
        <v>1240.0599969155962</v>
      </c>
      <c r="BL85" s="105">
        <v>5.5051668066464341</v>
      </c>
      <c r="BM85" s="105">
        <v>1499.6074381304886</v>
      </c>
      <c r="BN85" s="105">
        <v>4.623479935269466</v>
      </c>
      <c r="BO85" s="105">
        <v>1259.4359343674025</v>
      </c>
      <c r="BP85" s="105">
        <v>5.1017709630559622</v>
      </c>
      <c r="BQ85" s="105">
        <v>1389.722410336444</v>
      </c>
      <c r="BR85" s="105">
        <v>5.3315804658963213</v>
      </c>
      <c r="BS85" s="105">
        <v>1452.3225189101579</v>
      </c>
      <c r="BT85" s="105">
        <v>5.5830701105140719</v>
      </c>
      <c r="BU85" s="105">
        <v>1520.8282981040331</v>
      </c>
      <c r="BV85" s="105">
        <v>4.6968685056705688</v>
      </c>
      <c r="BW85" s="105">
        <v>1279.4269809446628</v>
      </c>
      <c r="BX85" s="105">
        <v>4.8114262741015583</v>
      </c>
      <c r="BY85" s="105">
        <v>1310.6325170652644</v>
      </c>
      <c r="BZ85" s="105">
        <v>4.5523494747268591</v>
      </c>
      <c r="CA85" s="105">
        <v>1240.0599969155962</v>
      </c>
      <c r="CB85" s="105">
        <v>4.9317119309540978</v>
      </c>
      <c r="CC85" s="105">
        <v>1343.3983299918962</v>
      </c>
      <c r="CD85" s="105">
        <v>5.0437962930212361</v>
      </c>
      <c r="CE85" s="105">
        <v>1373.9301102189845</v>
      </c>
      <c r="CF85" s="105">
        <v>4.4608449626720477</v>
      </c>
      <c r="CG85" s="105">
        <v>1215.1341678318656</v>
      </c>
      <c r="CH85" s="105">
        <v>5.2604927263510373</v>
      </c>
      <c r="CI85" s="105">
        <v>1432.9582186580224</v>
      </c>
      <c r="CJ85" s="105">
        <v>5.0581660830298434</v>
      </c>
      <c r="CK85" s="105">
        <v>1377.8444410173292</v>
      </c>
      <c r="CL85" s="105">
        <v>5.0153002687668788</v>
      </c>
      <c r="CM85" s="105">
        <v>1366.1677932120976</v>
      </c>
      <c r="CN85" s="105">
        <v>4.6090765709851373</v>
      </c>
      <c r="CO85" s="105">
        <v>1255.5124579363512</v>
      </c>
      <c r="CP85" s="105">
        <v>4.8436456464727735</v>
      </c>
      <c r="CQ85" s="105">
        <v>1319.4090740991835</v>
      </c>
      <c r="CR85" s="105">
        <v>5.2604927263510373</v>
      </c>
      <c r="CS85" s="105">
        <v>1432.9582186580224</v>
      </c>
      <c r="CT85" s="105">
        <v>4.7616528988522315</v>
      </c>
      <c r="CU85" s="105">
        <v>1297.0742496473479</v>
      </c>
    </row>
    <row r="86" spans="2:99" x14ac:dyDescent="0.2">
      <c r="C86" s="104" t="s">
        <v>252</v>
      </c>
      <c r="D86" s="105">
        <v>6</v>
      </c>
      <c r="E86" s="105">
        <v>2973.6</v>
      </c>
      <c r="F86" s="105">
        <v>6</v>
      </c>
      <c r="G86" s="105">
        <v>2973.6</v>
      </c>
      <c r="H86" s="105">
        <v>0.74768698494623831</v>
      </c>
      <c r="I86" s="105">
        <v>370.55366973935566</v>
      </c>
      <c r="J86" s="105">
        <v>0</v>
      </c>
      <c r="K86" s="105">
        <v>0</v>
      </c>
      <c r="L86" s="105">
        <v>0</v>
      </c>
      <c r="M86" s="105">
        <v>0</v>
      </c>
      <c r="N86" s="105">
        <v>0</v>
      </c>
      <c r="O86" s="105">
        <v>0</v>
      </c>
      <c r="P86" s="105">
        <v>6.1646399136926213</v>
      </c>
      <c r="Q86" s="105">
        <v>3055.1955412260631</v>
      </c>
      <c r="R86" s="105">
        <v>5.6686344033955134</v>
      </c>
      <c r="S86" s="105">
        <v>2809.3752103228162</v>
      </c>
      <c r="T86" s="105">
        <v>6.6481410833940027</v>
      </c>
      <c r="U86" s="105">
        <v>3294.8187209300677</v>
      </c>
      <c r="V86" s="105">
        <v>6.2691253359585977</v>
      </c>
      <c r="W86" s="105">
        <v>3106.9785165010808</v>
      </c>
      <c r="X86" s="105">
        <v>5.1665553562376259</v>
      </c>
      <c r="Y86" s="105">
        <v>2560.5448345513673</v>
      </c>
      <c r="Z86" s="105">
        <v>4.184482850506507</v>
      </c>
      <c r="AA86" s="105">
        <v>2073.8297007110245</v>
      </c>
      <c r="AB86" s="105">
        <v>4.742030702840478</v>
      </c>
      <c r="AC86" s="105">
        <v>2350.1504163277409</v>
      </c>
      <c r="AD86" s="105">
        <v>4.5876390055386951</v>
      </c>
      <c r="AE86" s="105">
        <v>2273.633891144977</v>
      </c>
      <c r="AF86" s="105">
        <v>4.9093964923524949</v>
      </c>
      <c r="AG86" s="105">
        <v>2433.0969016098961</v>
      </c>
      <c r="AH86" s="105">
        <v>5.1143679283968408</v>
      </c>
      <c r="AI86" s="105">
        <v>2534.6807453134743</v>
      </c>
      <c r="AJ86" s="105">
        <v>0</v>
      </c>
      <c r="AK86" s="105">
        <v>0</v>
      </c>
      <c r="AL86" s="105">
        <v>7</v>
      </c>
      <c r="AM86" s="105">
        <v>3469.2</v>
      </c>
      <c r="AN86" s="105">
        <v>4.9661620978058298</v>
      </c>
      <c r="AO86" s="105">
        <v>2461.2299356725689</v>
      </c>
      <c r="AP86" s="105">
        <v>4.8708265984731822</v>
      </c>
      <c r="AQ86" s="105">
        <v>2413.981662203309</v>
      </c>
      <c r="AR86" s="105">
        <v>4.3595243588544506</v>
      </c>
      <c r="AS86" s="105">
        <v>2160.5802722482654</v>
      </c>
      <c r="AT86" s="105">
        <v>4.8622511995322082</v>
      </c>
      <c r="AU86" s="105">
        <v>2409.7316944881622</v>
      </c>
      <c r="AV86" s="105">
        <v>4.3698713312251494</v>
      </c>
      <c r="AW86" s="105">
        <v>2165.708231755184</v>
      </c>
      <c r="AX86" s="105">
        <v>4.6144673038166983</v>
      </c>
      <c r="AY86" s="105">
        <v>2286.9299957715557</v>
      </c>
      <c r="AZ86" s="105">
        <v>5.4544279420690476</v>
      </c>
      <c r="BA86" s="105">
        <v>2703.2144880894198</v>
      </c>
      <c r="BB86" s="105">
        <v>4.6690763843352396</v>
      </c>
      <c r="BC86" s="105">
        <v>2313.9942560765444</v>
      </c>
      <c r="BD86" s="105">
        <v>5.0259484646665964</v>
      </c>
      <c r="BE86" s="105">
        <v>2490.860059088765</v>
      </c>
      <c r="BF86" s="105">
        <v>4.647686636501243</v>
      </c>
      <c r="BG86" s="105">
        <v>2303.3934970500159</v>
      </c>
      <c r="BH86" s="105">
        <v>4.7796327084136623</v>
      </c>
      <c r="BI86" s="105">
        <v>2368.7859702898108</v>
      </c>
      <c r="BJ86" s="105">
        <v>5.3110743871813355</v>
      </c>
      <c r="BK86" s="105">
        <v>2632.1684662870698</v>
      </c>
      <c r="BL86" s="105">
        <v>5.0464029060925641</v>
      </c>
      <c r="BM86" s="105">
        <v>2500.9972802594748</v>
      </c>
      <c r="BN86" s="105">
        <v>5.1371999280771847</v>
      </c>
      <c r="BO86" s="105">
        <v>2545.9962843550525</v>
      </c>
      <c r="BP86" s="105">
        <v>4.5349075227164111</v>
      </c>
      <c r="BQ86" s="105">
        <v>2247.5001682582533</v>
      </c>
      <c r="BR86" s="105">
        <v>4.7984224193066893</v>
      </c>
      <c r="BS86" s="105">
        <v>2378.0981510083952</v>
      </c>
      <c r="BT86" s="105">
        <v>4.6525584254283938</v>
      </c>
      <c r="BU86" s="105">
        <v>2305.8079556423118</v>
      </c>
      <c r="BV86" s="105">
        <v>4.1097599424617473</v>
      </c>
      <c r="BW86" s="105">
        <v>2036.7970274840418</v>
      </c>
      <c r="BX86" s="105">
        <v>4.8114262741015583</v>
      </c>
      <c r="BY86" s="105">
        <v>2384.5428614447324</v>
      </c>
      <c r="BZ86" s="105">
        <v>5.0581660830298434</v>
      </c>
      <c r="CA86" s="105">
        <v>2506.8271107495902</v>
      </c>
      <c r="CB86" s="105">
        <v>4.9317119309540978</v>
      </c>
      <c r="CC86" s="105">
        <v>2444.1564329808507</v>
      </c>
      <c r="CD86" s="105">
        <v>4.4833744826855426</v>
      </c>
      <c r="CE86" s="105">
        <v>2221.9603936189546</v>
      </c>
      <c r="CF86" s="105">
        <v>5.4521438432658362</v>
      </c>
      <c r="CG86" s="105">
        <v>2702.0824887225481</v>
      </c>
      <c r="CH86" s="105">
        <v>4.8221183324884507</v>
      </c>
      <c r="CI86" s="105">
        <v>2389.8418455812762</v>
      </c>
      <c r="CJ86" s="105">
        <v>5.5639826913328276</v>
      </c>
      <c r="CK86" s="105">
        <v>2757.5098218245494</v>
      </c>
      <c r="CL86" s="105">
        <v>4.4580446833483363</v>
      </c>
      <c r="CM86" s="105">
        <v>2209.4069450674351</v>
      </c>
      <c r="CN86" s="105">
        <v>4.1481689138866233</v>
      </c>
      <c r="CO86" s="105">
        <v>2055.8325137222105</v>
      </c>
      <c r="CP86" s="105">
        <v>4.8436456464727735</v>
      </c>
      <c r="CQ86" s="105">
        <v>2400.5107823919066</v>
      </c>
      <c r="CR86" s="105">
        <v>5.2604927263510373</v>
      </c>
      <c r="CS86" s="105">
        <v>2607.1001951795738</v>
      </c>
      <c r="CT86" s="105">
        <v>4.7616528988522315</v>
      </c>
      <c r="CU86" s="105">
        <v>2359.8751766711657</v>
      </c>
    </row>
    <row r="87" spans="2:99" x14ac:dyDescent="0.2">
      <c r="B87" s="104" t="s">
        <v>131</v>
      </c>
      <c r="C87" s="104" t="s">
        <v>253</v>
      </c>
      <c r="D87" s="105">
        <v>4</v>
      </c>
      <c r="E87" s="105">
        <v>3763.2</v>
      </c>
      <c r="F87" s="105">
        <v>1.2457921825010436</v>
      </c>
      <c r="G87" s="105">
        <v>1172.0412852969819</v>
      </c>
      <c r="H87" s="105">
        <v>3</v>
      </c>
      <c r="I87" s="105">
        <v>2822.3999999999996</v>
      </c>
      <c r="J87" s="105">
        <v>1.0535003080627408</v>
      </c>
      <c r="K87" s="105">
        <v>991.13308982542651</v>
      </c>
      <c r="L87" s="105">
        <v>0</v>
      </c>
      <c r="M87" s="105">
        <v>0</v>
      </c>
      <c r="N87" s="105">
        <v>0</v>
      </c>
      <c r="O87" s="105">
        <v>0</v>
      </c>
      <c r="P87" s="105">
        <v>3.5568680965776274</v>
      </c>
      <c r="Q87" s="105">
        <v>3346.3015052602318</v>
      </c>
      <c r="R87" s="105">
        <v>3.7908725766156293</v>
      </c>
      <c r="S87" s="105">
        <v>3566.4529200799839</v>
      </c>
      <c r="T87" s="105">
        <v>0</v>
      </c>
      <c r="U87" s="105">
        <v>0</v>
      </c>
      <c r="V87" s="105">
        <v>5.8691154285714289</v>
      </c>
      <c r="W87" s="105">
        <v>5521.6637952000001</v>
      </c>
      <c r="X87" s="105">
        <v>4.6915906351601278</v>
      </c>
      <c r="Y87" s="105">
        <v>4413.8484695586476</v>
      </c>
      <c r="Z87" s="105">
        <v>4.3072372797426759</v>
      </c>
      <c r="AA87" s="105">
        <v>4052.2488327819092</v>
      </c>
      <c r="AB87" s="105">
        <v>4.1158045117541127</v>
      </c>
      <c r="AC87" s="105">
        <v>3872.1488846582688</v>
      </c>
      <c r="AD87" s="105">
        <v>3.9198138207182018</v>
      </c>
      <c r="AE87" s="105">
        <v>3687.7608425316839</v>
      </c>
      <c r="AF87" s="105">
        <v>0</v>
      </c>
      <c r="AG87" s="105">
        <v>0</v>
      </c>
      <c r="AH87" s="105">
        <v>7.8604224489795911</v>
      </c>
      <c r="AI87" s="105">
        <v>7395.0854399999989</v>
      </c>
      <c r="AJ87" s="105">
        <v>3.9198138207182018</v>
      </c>
      <c r="AK87" s="105">
        <v>3687.7608425316839</v>
      </c>
      <c r="AL87" s="105">
        <v>3.7416404652310113</v>
      </c>
      <c r="AM87" s="105">
        <v>3520.1353496893353</v>
      </c>
      <c r="AN87" s="105">
        <v>3.8787686498206293</v>
      </c>
      <c r="AO87" s="105">
        <v>3649.1455457512479</v>
      </c>
      <c r="AP87" s="105">
        <v>4.0866144088338707</v>
      </c>
      <c r="AQ87" s="105">
        <v>3844.6868358309052</v>
      </c>
      <c r="AR87" s="105">
        <v>3.6584928993369887</v>
      </c>
      <c r="AS87" s="105">
        <v>3441.9101196962388</v>
      </c>
      <c r="AT87" s="105">
        <v>4.4255962491979703</v>
      </c>
      <c r="AU87" s="105">
        <v>4163.6009512454502</v>
      </c>
      <c r="AV87" s="105">
        <v>4.2650823956001158</v>
      </c>
      <c r="AW87" s="105">
        <v>4012.5895177805887</v>
      </c>
      <c r="AX87" s="105">
        <v>5.7765677357952452</v>
      </c>
      <c r="AY87" s="105">
        <v>5434.5949258361661</v>
      </c>
      <c r="AZ87" s="105">
        <v>2.9398603655386513</v>
      </c>
      <c r="BA87" s="105">
        <v>2765.8206318987632</v>
      </c>
      <c r="BB87" s="105">
        <v>5.6769717403504991</v>
      </c>
      <c r="BC87" s="105">
        <v>5340.8950133217495</v>
      </c>
      <c r="BD87" s="105">
        <v>3.5596147128684215</v>
      </c>
      <c r="BE87" s="105">
        <v>3348.8855218666108</v>
      </c>
      <c r="BF87" s="105">
        <v>4.3041092933376337</v>
      </c>
      <c r="BG87" s="105">
        <v>4049.3060231720456</v>
      </c>
      <c r="BH87" s="105">
        <v>5.2145939515436712</v>
      </c>
      <c r="BI87" s="105">
        <v>4905.8899896122857</v>
      </c>
      <c r="BJ87" s="105">
        <v>5.978263536626085</v>
      </c>
      <c r="BK87" s="105">
        <v>5624.3503352578209</v>
      </c>
      <c r="BL87" s="105">
        <v>2.922464742073926</v>
      </c>
      <c r="BM87" s="105">
        <v>2749.4548293431494</v>
      </c>
      <c r="BN87" s="105">
        <v>4.6244994514091147</v>
      </c>
      <c r="BO87" s="105">
        <v>4350.7290838856952</v>
      </c>
      <c r="BP87" s="105">
        <v>4.6506265669537994</v>
      </c>
      <c r="BQ87" s="105">
        <v>4375.3094741901341</v>
      </c>
      <c r="BR87" s="105">
        <v>3.8585667297694801</v>
      </c>
      <c r="BS87" s="105">
        <v>3630.1395793671268</v>
      </c>
      <c r="BT87" s="105">
        <v>4.8421229550048377</v>
      </c>
      <c r="BU87" s="105">
        <v>4555.4692760685512</v>
      </c>
      <c r="BV87" s="105">
        <v>0</v>
      </c>
      <c r="BW87" s="105">
        <v>0</v>
      </c>
      <c r="BX87" s="105">
        <v>7.002921818181818</v>
      </c>
      <c r="BY87" s="105">
        <v>6588.3488465454539</v>
      </c>
      <c r="BZ87" s="105">
        <v>4.9389654141049339</v>
      </c>
      <c r="CA87" s="105">
        <v>4646.5786615899215</v>
      </c>
      <c r="CB87" s="105">
        <v>4.7951120525290625</v>
      </c>
      <c r="CC87" s="105">
        <v>4511.2414190193422</v>
      </c>
      <c r="CD87" s="105">
        <v>5.339422069302632</v>
      </c>
      <c r="CE87" s="105">
        <v>5023.3282827999155</v>
      </c>
      <c r="CF87" s="105">
        <v>3.8991832216617905</v>
      </c>
      <c r="CG87" s="105">
        <v>3668.3515749394123</v>
      </c>
      <c r="CH87" s="105">
        <v>5.0500668855878672</v>
      </c>
      <c r="CI87" s="105">
        <v>4751.102925961065</v>
      </c>
      <c r="CJ87" s="105">
        <v>5.3107154990375642</v>
      </c>
      <c r="CK87" s="105">
        <v>4996.3211414945399</v>
      </c>
      <c r="CL87" s="105">
        <v>4.4495183910855269</v>
      </c>
      <c r="CM87" s="105">
        <v>4186.1069023332639</v>
      </c>
      <c r="CN87" s="105">
        <v>3.8286553597712669</v>
      </c>
      <c r="CO87" s="105">
        <v>3601.9989624728078</v>
      </c>
      <c r="CP87" s="105">
        <v>4.1573782947011235</v>
      </c>
      <c r="CQ87" s="105">
        <v>3911.2614996548168</v>
      </c>
      <c r="CR87" s="105">
        <v>5.1447556396926402</v>
      </c>
      <c r="CS87" s="105">
        <v>4840.186105822836</v>
      </c>
      <c r="CT87" s="105">
        <v>3.9432857597644189</v>
      </c>
      <c r="CU87" s="105">
        <v>3709.843242786365</v>
      </c>
    </row>
    <row r="88" spans="2:99" x14ac:dyDescent="0.2">
      <c r="C88" s="104" t="s">
        <v>254</v>
      </c>
      <c r="D88" s="105">
        <v>4</v>
      </c>
      <c r="E88" s="105">
        <v>3504</v>
      </c>
      <c r="F88" s="105">
        <v>1.2457921825010436</v>
      </c>
      <c r="G88" s="105">
        <v>1091.3139518709143</v>
      </c>
      <c r="H88" s="105">
        <v>3</v>
      </c>
      <c r="I88" s="105">
        <v>2628</v>
      </c>
      <c r="J88" s="105">
        <v>1.0535003080627408</v>
      </c>
      <c r="K88" s="105">
        <v>922.86626986296085</v>
      </c>
      <c r="L88" s="105">
        <v>0</v>
      </c>
      <c r="M88" s="105">
        <v>0</v>
      </c>
      <c r="N88" s="105">
        <v>0</v>
      </c>
      <c r="O88" s="105">
        <v>0</v>
      </c>
      <c r="P88" s="105">
        <v>3.0487440827808236</v>
      </c>
      <c r="Q88" s="105">
        <v>2670.6998165160016</v>
      </c>
      <c r="R88" s="105">
        <v>3.7908725766156293</v>
      </c>
      <c r="S88" s="105">
        <v>3320.8043771152911</v>
      </c>
      <c r="T88" s="105">
        <v>0</v>
      </c>
      <c r="U88" s="105">
        <v>0</v>
      </c>
      <c r="V88" s="105">
        <v>5.8691154285714289</v>
      </c>
      <c r="W88" s="105">
        <v>5141.3451154285713</v>
      </c>
      <c r="X88" s="105">
        <v>4.6915906351601278</v>
      </c>
      <c r="Y88" s="105">
        <v>4109.8333964002722</v>
      </c>
      <c r="Z88" s="105">
        <v>4.3072372797426759</v>
      </c>
      <c r="AA88" s="105">
        <v>3773.1398570545839</v>
      </c>
      <c r="AB88" s="105">
        <v>3.527832438646382</v>
      </c>
      <c r="AC88" s="105">
        <v>3090.3812162542308</v>
      </c>
      <c r="AD88" s="105">
        <v>3.9198138207182018</v>
      </c>
      <c r="AE88" s="105">
        <v>3433.7569069491446</v>
      </c>
      <c r="AF88" s="105">
        <v>0</v>
      </c>
      <c r="AG88" s="105">
        <v>0</v>
      </c>
      <c r="AH88" s="105">
        <v>6.987042176870748</v>
      </c>
      <c r="AI88" s="105">
        <v>6120.6489469387752</v>
      </c>
      <c r="AJ88" s="105">
        <v>4.4797872236779446</v>
      </c>
      <c r="AK88" s="105">
        <v>3924.2936079418796</v>
      </c>
      <c r="AL88" s="105">
        <v>3.7416404652310113</v>
      </c>
      <c r="AM88" s="105">
        <v>3277.6770475423659</v>
      </c>
      <c r="AN88" s="105">
        <v>4.7407172386696574</v>
      </c>
      <c r="AO88" s="105">
        <v>4152.8683010746199</v>
      </c>
      <c r="AP88" s="105">
        <v>4.0866144088338707</v>
      </c>
      <c r="AQ88" s="105">
        <v>3579.8742221384709</v>
      </c>
      <c r="AR88" s="105">
        <v>3.6584928993369887</v>
      </c>
      <c r="AS88" s="105">
        <v>3204.8397798192022</v>
      </c>
      <c r="AT88" s="105">
        <v>4.8681558741177673</v>
      </c>
      <c r="AU88" s="105">
        <v>4264.5045457271644</v>
      </c>
      <c r="AV88" s="105">
        <v>3.4120659164800933</v>
      </c>
      <c r="AW88" s="105">
        <v>2988.9697428365616</v>
      </c>
      <c r="AX88" s="105">
        <v>5.7765677357952452</v>
      </c>
      <c r="AY88" s="105">
        <v>5060.2733365566346</v>
      </c>
      <c r="AZ88" s="105">
        <v>3.4298370931284268</v>
      </c>
      <c r="BA88" s="105">
        <v>3004.5372935805017</v>
      </c>
      <c r="BB88" s="105">
        <v>5.6769717403504991</v>
      </c>
      <c r="BC88" s="105">
        <v>4973.0272445470373</v>
      </c>
      <c r="BD88" s="105">
        <v>3.5596147128684215</v>
      </c>
      <c r="BE88" s="105">
        <v>3118.222488472737</v>
      </c>
      <c r="BF88" s="105">
        <v>4.3041092933376337</v>
      </c>
      <c r="BG88" s="105">
        <v>3770.3997409637673</v>
      </c>
      <c r="BH88" s="105">
        <v>4.4696519584660042</v>
      </c>
      <c r="BI88" s="105">
        <v>3915.4151156162197</v>
      </c>
      <c r="BJ88" s="105">
        <v>5.5183971107317706</v>
      </c>
      <c r="BK88" s="105">
        <v>4834.1158690010307</v>
      </c>
      <c r="BL88" s="105">
        <v>3.4095421990862471</v>
      </c>
      <c r="BM88" s="105">
        <v>2986.7589663995523</v>
      </c>
      <c r="BN88" s="105">
        <v>4.6244994514091147</v>
      </c>
      <c r="BO88" s="105">
        <v>4051.0615194343845</v>
      </c>
      <c r="BP88" s="105">
        <v>4.185563910258419</v>
      </c>
      <c r="BQ88" s="105">
        <v>3666.5539853863752</v>
      </c>
      <c r="BR88" s="105">
        <v>4.2872963664105335</v>
      </c>
      <c r="BS88" s="105">
        <v>3755.6716169756273</v>
      </c>
      <c r="BT88" s="105">
        <v>4.8421229550048377</v>
      </c>
      <c r="BU88" s="105">
        <v>4241.6997085842377</v>
      </c>
      <c r="BV88" s="105">
        <v>0</v>
      </c>
      <c r="BW88" s="105">
        <v>0</v>
      </c>
      <c r="BX88" s="105">
        <v>6.2248193939393941</v>
      </c>
      <c r="BY88" s="105">
        <v>5452.941789090909</v>
      </c>
      <c r="BZ88" s="105">
        <v>4.5273849629295233</v>
      </c>
      <c r="CA88" s="105">
        <v>3965.9892275262623</v>
      </c>
      <c r="CB88" s="105">
        <v>4.7951120525290625</v>
      </c>
      <c r="CC88" s="105">
        <v>4200.5181580154585</v>
      </c>
      <c r="CD88" s="105">
        <v>5.339422069302632</v>
      </c>
      <c r="CE88" s="105">
        <v>4677.3337327091058</v>
      </c>
      <c r="CF88" s="105">
        <v>3.4659406414771468</v>
      </c>
      <c r="CG88" s="105">
        <v>3036.1640019339807</v>
      </c>
      <c r="CH88" s="105">
        <v>5.0500668855878672</v>
      </c>
      <c r="CI88" s="105">
        <v>4423.8585917749715</v>
      </c>
      <c r="CJ88" s="105">
        <v>5.3107154990375642</v>
      </c>
      <c r="CK88" s="105">
        <v>4652.1867771569059</v>
      </c>
      <c r="CL88" s="105">
        <v>4.8944702301940799</v>
      </c>
      <c r="CM88" s="105">
        <v>4287.5559216500142</v>
      </c>
      <c r="CN88" s="105">
        <v>3.8286553597712669</v>
      </c>
      <c r="CO88" s="105">
        <v>3353.9020951596299</v>
      </c>
      <c r="CP88" s="105">
        <v>4.1573782947011235</v>
      </c>
      <c r="CQ88" s="105">
        <v>3641.8633861581843</v>
      </c>
      <c r="CR88" s="105">
        <v>5.1447556396926402</v>
      </c>
      <c r="CS88" s="105">
        <v>4506.805940370753</v>
      </c>
      <c r="CT88" s="105">
        <v>4.4361964797349716</v>
      </c>
      <c r="CU88" s="105">
        <v>3886.1081162478349</v>
      </c>
    </row>
    <row r="89" spans="2:99" x14ac:dyDescent="0.2">
      <c r="C89" s="104" t="s">
        <v>255</v>
      </c>
      <c r="D89" s="105">
        <v>4</v>
      </c>
      <c r="E89" s="105">
        <v>2332.7999999999997</v>
      </c>
      <c r="F89" s="105">
        <v>1.2457921825010436</v>
      </c>
      <c r="G89" s="105">
        <v>726.54600083460855</v>
      </c>
      <c r="H89" s="105">
        <v>3</v>
      </c>
      <c r="I89" s="105">
        <v>1749.6</v>
      </c>
      <c r="J89" s="105">
        <v>1.0535003080627408</v>
      </c>
      <c r="K89" s="105">
        <v>614.40137966219038</v>
      </c>
      <c r="L89" s="105">
        <v>0</v>
      </c>
      <c r="M89" s="105">
        <v>0</v>
      </c>
      <c r="N89" s="105">
        <v>0</v>
      </c>
      <c r="O89" s="105">
        <v>0</v>
      </c>
      <c r="P89" s="105">
        <v>3.5568680965776274</v>
      </c>
      <c r="Q89" s="105">
        <v>2074.3654739240719</v>
      </c>
      <c r="R89" s="105">
        <v>3.7908725766156293</v>
      </c>
      <c r="S89" s="105">
        <v>2210.8368866822348</v>
      </c>
      <c r="T89" s="105">
        <v>0</v>
      </c>
      <c r="U89" s="105">
        <v>0</v>
      </c>
      <c r="V89" s="105">
        <v>5.8691154285714289</v>
      </c>
      <c r="W89" s="105">
        <v>3422.8681179428568</v>
      </c>
      <c r="X89" s="105">
        <v>4.2650823956001158</v>
      </c>
      <c r="Y89" s="105">
        <v>2487.3960531139874</v>
      </c>
      <c r="Z89" s="105">
        <v>3.8286553597712669</v>
      </c>
      <c r="AA89" s="105">
        <v>2232.8718058186028</v>
      </c>
      <c r="AB89" s="105">
        <v>4.1158045117541127</v>
      </c>
      <c r="AC89" s="105">
        <v>2400.3371912549983</v>
      </c>
      <c r="AD89" s="105">
        <v>3.9198138207182018</v>
      </c>
      <c r="AE89" s="105">
        <v>2286.0354202428553</v>
      </c>
      <c r="AF89" s="105">
        <v>0</v>
      </c>
      <c r="AG89" s="105">
        <v>0</v>
      </c>
      <c r="AH89" s="105">
        <v>7.8604224489795911</v>
      </c>
      <c r="AI89" s="105">
        <v>4584.1983722448967</v>
      </c>
      <c r="AJ89" s="105">
        <v>3.9198138207182018</v>
      </c>
      <c r="AK89" s="105">
        <v>2286.0354202428553</v>
      </c>
      <c r="AL89" s="105">
        <v>3.7416404652310113</v>
      </c>
      <c r="AM89" s="105">
        <v>2182.1247193227255</v>
      </c>
      <c r="AN89" s="105">
        <v>3.8787686498206293</v>
      </c>
      <c r="AO89" s="105">
        <v>2262.0978765753907</v>
      </c>
      <c r="AP89" s="105">
        <v>4.6704164672387085</v>
      </c>
      <c r="AQ89" s="105">
        <v>2723.7868836936145</v>
      </c>
      <c r="AR89" s="105">
        <v>3.6584928993369887</v>
      </c>
      <c r="AS89" s="105">
        <v>2133.6330588933315</v>
      </c>
      <c r="AT89" s="105">
        <v>4.4255962491979703</v>
      </c>
      <c r="AU89" s="105">
        <v>2581.0077325322559</v>
      </c>
      <c r="AV89" s="105">
        <v>4.2650823956001158</v>
      </c>
      <c r="AW89" s="105">
        <v>2487.3960531139874</v>
      </c>
      <c r="AX89" s="105">
        <v>5.7765677357952452</v>
      </c>
      <c r="AY89" s="105">
        <v>3368.8943035157868</v>
      </c>
      <c r="AZ89" s="105">
        <v>3.4298370931284268</v>
      </c>
      <c r="BA89" s="105">
        <v>2000.2809927124983</v>
      </c>
      <c r="BB89" s="105">
        <v>6.1500527187130416</v>
      </c>
      <c r="BC89" s="105">
        <v>3586.7107455534456</v>
      </c>
      <c r="BD89" s="105">
        <v>3.1146628737598689</v>
      </c>
      <c r="BE89" s="105">
        <v>1816.4713879767553</v>
      </c>
      <c r="BF89" s="105">
        <v>4.3041092933376337</v>
      </c>
      <c r="BG89" s="105">
        <v>2510.1565398745079</v>
      </c>
      <c r="BH89" s="105">
        <v>4.8421229550048377</v>
      </c>
      <c r="BI89" s="105">
        <v>2823.9261073588209</v>
      </c>
      <c r="BJ89" s="105">
        <v>5.5183971107317706</v>
      </c>
      <c r="BK89" s="105">
        <v>3218.3291949787681</v>
      </c>
      <c r="BL89" s="105">
        <v>3.8966196560985678</v>
      </c>
      <c r="BM89" s="105">
        <v>2272.5085834366846</v>
      </c>
      <c r="BN89" s="105">
        <v>4.6244994514091147</v>
      </c>
      <c r="BO89" s="105">
        <v>2697.0080800617952</v>
      </c>
      <c r="BP89" s="105">
        <v>5.1156892236491789</v>
      </c>
      <c r="BQ89" s="105">
        <v>2983.4699552322008</v>
      </c>
      <c r="BR89" s="105">
        <v>3.8585667297694801</v>
      </c>
      <c r="BS89" s="105">
        <v>2250.3161168015604</v>
      </c>
      <c r="BT89" s="105">
        <v>4.8421229550048377</v>
      </c>
      <c r="BU89" s="105">
        <v>2823.9261073588209</v>
      </c>
      <c r="BV89" s="105">
        <v>0</v>
      </c>
      <c r="BW89" s="105">
        <v>0</v>
      </c>
      <c r="BX89" s="105">
        <v>7.002921818181818</v>
      </c>
      <c r="BY89" s="105">
        <v>4084.1040043636358</v>
      </c>
      <c r="BZ89" s="105">
        <v>4.5273849629295233</v>
      </c>
      <c r="CA89" s="105">
        <v>2640.3709103804977</v>
      </c>
      <c r="CB89" s="105">
        <v>5.1947047235731514</v>
      </c>
      <c r="CC89" s="105">
        <v>3029.5517947878616</v>
      </c>
      <c r="CD89" s="105">
        <v>4.8944702301940799</v>
      </c>
      <c r="CE89" s="105">
        <v>2854.4550382491871</v>
      </c>
      <c r="CF89" s="105">
        <v>3.8991832216617905</v>
      </c>
      <c r="CG89" s="105">
        <v>2274.0036548731559</v>
      </c>
      <c r="CH89" s="105">
        <v>5.5550735741466539</v>
      </c>
      <c r="CI89" s="105">
        <v>3239.718908442328</v>
      </c>
      <c r="CJ89" s="105">
        <v>5.8417870489413204</v>
      </c>
      <c r="CK89" s="105">
        <v>3406.9302069425776</v>
      </c>
      <c r="CL89" s="105">
        <v>5.339422069302632</v>
      </c>
      <c r="CM89" s="105">
        <v>3113.9509508172946</v>
      </c>
      <c r="CN89" s="105">
        <v>3.8286553597712669</v>
      </c>
      <c r="CO89" s="105">
        <v>2232.8718058186028</v>
      </c>
      <c r="CP89" s="105">
        <v>3.7416404652310113</v>
      </c>
      <c r="CQ89" s="105">
        <v>2182.1247193227255</v>
      </c>
      <c r="CR89" s="105">
        <v>4.6770505815387633</v>
      </c>
      <c r="CS89" s="105">
        <v>2727.6558991534066</v>
      </c>
      <c r="CT89" s="105">
        <v>4.4361964797349716</v>
      </c>
      <c r="CU89" s="105">
        <v>2587.1897869814352</v>
      </c>
    </row>
    <row r="90" spans="2:99" x14ac:dyDescent="0.2">
      <c r="C90" s="104" t="s">
        <v>256</v>
      </c>
      <c r="D90" s="105">
        <v>4</v>
      </c>
      <c r="E90" s="105">
        <v>3273.6</v>
      </c>
      <c r="F90" s="105">
        <v>1.2457921825010436</v>
      </c>
      <c r="G90" s="105">
        <v>1019.5563221588541</v>
      </c>
      <c r="H90" s="105">
        <v>3</v>
      </c>
      <c r="I90" s="105">
        <v>2455.1999999999998</v>
      </c>
      <c r="J90" s="105">
        <v>1.0535003080627408</v>
      </c>
      <c r="K90" s="105">
        <v>862.18465211854698</v>
      </c>
      <c r="L90" s="105">
        <v>0</v>
      </c>
      <c r="M90" s="105">
        <v>0</v>
      </c>
      <c r="N90" s="105">
        <v>0</v>
      </c>
      <c r="O90" s="105">
        <v>0</v>
      </c>
      <c r="P90" s="105">
        <v>3.5568680965776274</v>
      </c>
      <c r="Q90" s="105">
        <v>2910.9408502391302</v>
      </c>
      <c r="R90" s="105">
        <v>3.7908725766156293</v>
      </c>
      <c r="S90" s="105">
        <v>3102.4501167022308</v>
      </c>
      <c r="T90" s="105">
        <v>0</v>
      </c>
      <c r="U90" s="105">
        <v>0</v>
      </c>
      <c r="V90" s="105">
        <v>5.8691154285714289</v>
      </c>
      <c r="W90" s="105">
        <v>4803.2840667428572</v>
      </c>
      <c r="X90" s="105">
        <v>4.6915906351601278</v>
      </c>
      <c r="Y90" s="105">
        <v>3839.5977758150484</v>
      </c>
      <c r="Z90" s="105">
        <v>4.3072372797426759</v>
      </c>
      <c r="AA90" s="105">
        <v>3525.042989741406</v>
      </c>
      <c r="AB90" s="105">
        <v>4.1158045117541127</v>
      </c>
      <c r="AC90" s="105">
        <v>3368.3744124195655</v>
      </c>
      <c r="AD90" s="105">
        <v>3.4842789517495127</v>
      </c>
      <c r="AE90" s="105">
        <v>2851.5338941118011</v>
      </c>
      <c r="AF90" s="105">
        <v>0</v>
      </c>
      <c r="AG90" s="105">
        <v>0</v>
      </c>
      <c r="AH90" s="105">
        <v>7.8604224489795911</v>
      </c>
      <c r="AI90" s="105">
        <v>6432.9697322448974</v>
      </c>
      <c r="AJ90" s="105">
        <v>4.4797872236779446</v>
      </c>
      <c r="AK90" s="105">
        <v>3666.2578638580299</v>
      </c>
      <c r="AL90" s="105">
        <v>3.7416404652310113</v>
      </c>
      <c r="AM90" s="105">
        <v>3062.1585567450597</v>
      </c>
      <c r="AN90" s="105">
        <v>4.3097429442451434</v>
      </c>
      <c r="AO90" s="105">
        <v>3527.0936255702254</v>
      </c>
      <c r="AP90" s="105">
        <v>4.0866144088338707</v>
      </c>
      <c r="AQ90" s="105">
        <v>3344.4852321896396</v>
      </c>
      <c r="AR90" s="105">
        <v>4.1158045117541127</v>
      </c>
      <c r="AS90" s="105">
        <v>3368.3744124195655</v>
      </c>
      <c r="AT90" s="105">
        <v>4.4255962491979703</v>
      </c>
      <c r="AU90" s="105">
        <v>3621.9079703436187</v>
      </c>
      <c r="AV90" s="105">
        <v>4.2650823956001158</v>
      </c>
      <c r="AW90" s="105">
        <v>3490.5434325591345</v>
      </c>
      <c r="AX90" s="105">
        <v>5.2951870911456407</v>
      </c>
      <c r="AY90" s="105">
        <v>4333.581115393592</v>
      </c>
      <c r="AZ90" s="105">
        <v>2.9398603655386513</v>
      </c>
      <c r="BA90" s="105">
        <v>2405.9817231568322</v>
      </c>
      <c r="BB90" s="105">
        <v>5.2038907619879584</v>
      </c>
      <c r="BC90" s="105">
        <v>4258.8641996109454</v>
      </c>
      <c r="BD90" s="105">
        <v>3.1146628737598689</v>
      </c>
      <c r="BE90" s="105">
        <v>2549.0400958850769</v>
      </c>
      <c r="BF90" s="105">
        <v>4.3041092933376337</v>
      </c>
      <c r="BG90" s="105">
        <v>3522.4830456675195</v>
      </c>
      <c r="BH90" s="105">
        <v>4.4696519584660042</v>
      </c>
      <c r="BI90" s="105">
        <v>3657.9631628085776</v>
      </c>
      <c r="BJ90" s="105">
        <v>5.978263536626085</v>
      </c>
      <c r="BK90" s="105">
        <v>4892.6108783747877</v>
      </c>
      <c r="BL90" s="105">
        <v>3.4095421990862471</v>
      </c>
      <c r="BM90" s="105">
        <v>2790.3693357321845</v>
      </c>
      <c r="BN90" s="105">
        <v>4.6244994514091147</v>
      </c>
      <c r="BO90" s="105">
        <v>3784.6903510332195</v>
      </c>
      <c r="BP90" s="105">
        <v>4.6506265669537994</v>
      </c>
      <c r="BQ90" s="105">
        <v>3806.0727823949892</v>
      </c>
      <c r="BR90" s="105">
        <v>3.8585667297694801</v>
      </c>
      <c r="BS90" s="105">
        <v>3157.8510116433426</v>
      </c>
      <c r="BT90" s="105">
        <v>4.8421229550048377</v>
      </c>
      <c r="BU90" s="105">
        <v>3962.7934263759589</v>
      </c>
      <c r="BV90" s="105">
        <v>0</v>
      </c>
      <c r="BW90" s="105">
        <v>0</v>
      </c>
      <c r="BX90" s="105">
        <v>6.2248193939393941</v>
      </c>
      <c r="BY90" s="105">
        <v>5094.3921920000003</v>
      </c>
      <c r="BZ90" s="105">
        <v>4.5273849629295233</v>
      </c>
      <c r="CA90" s="105">
        <v>3705.2118536615217</v>
      </c>
      <c r="CB90" s="105">
        <v>4.7951120525290625</v>
      </c>
      <c r="CC90" s="105">
        <v>3924.3197037897844</v>
      </c>
      <c r="CD90" s="105">
        <v>4.4495183910855269</v>
      </c>
      <c r="CE90" s="105">
        <v>3641.485851264395</v>
      </c>
      <c r="CF90" s="105">
        <v>3.4659406414771468</v>
      </c>
      <c r="CG90" s="105">
        <v>2836.5258209848967</v>
      </c>
      <c r="CH90" s="105">
        <v>5.0500668855878672</v>
      </c>
      <c r="CI90" s="105">
        <v>4132.9747391651108</v>
      </c>
      <c r="CJ90" s="105">
        <v>4.7796439491338081</v>
      </c>
      <c r="CK90" s="105">
        <v>3911.6606079711082</v>
      </c>
      <c r="CL90" s="105">
        <v>4.8944702301940799</v>
      </c>
      <c r="CM90" s="105">
        <v>4005.6344363908347</v>
      </c>
      <c r="CN90" s="105">
        <v>3.4457898237941404</v>
      </c>
      <c r="CO90" s="105">
        <v>2820.0343917931245</v>
      </c>
      <c r="CP90" s="105">
        <v>4.1573782947011235</v>
      </c>
      <c r="CQ90" s="105">
        <v>3402.3983963833994</v>
      </c>
      <c r="CR90" s="105">
        <v>4.6770505815387633</v>
      </c>
      <c r="CS90" s="105">
        <v>3827.6981959313239</v>
      </c>
      <c r="CT90" s="105">
        <v>4.4361964797349716</v>
      </c>
      <c r="CU90" s="105">
        <v>3630.5831990151005</v>
      </c>
    </row>
    <row r="91" spans="2:99" x14ac:dyDescent="0.2">
      <c r="C91" s="104" t="s">
        <v>257</v>
      </c>
      <c r="D91" s="105">
        <v>4</v>
      </c>
      <c r="E91" s="105">
        <v>3144</v>
      </c>
      <c r="F91" s="105">
        <v>1.2457921825010436</v>
      </c>
      <c r="G91" s="105">
        <v>979.19265544582026</v>
      </c>
      <c r="H91" s="105">
        <v>3</v>
      </c>
      <c r="I91" s="105">
        <v>2358</v>
      </c>
      <c r="J91" s="105">
        <v>1.0535003080627408</v>
      </c>
      <c r="K91" s="105">
        <v>828.05124213731426</v>
      </c>
      <c r="L91" s="105">
        <v>0</v>
      </c>
      <c r="M91" s="105">
        <v>0</v>
      </c>
      <c r="N91" s="105">
        <v>0</v>
      </c>
      <c r="O91" s="105">
        <v>0</v>
      </c>
      <c r="P91" s="105">
        <v>3.5568680965776274</v>
      </c>
      <c r="Q91" s="105">
        <v>2795.698323910015</v>
      </c>
      <c r="R91" s="105">
        <v>4.3324258018464334</v>
      </c>
      <c r="S91" s="105">
        <v>3405.2866802512967</v>
      </c>
      <c r="T91" s="105">
        <v>0</v>
      </c>
      <c r="U91" s="105">
        <v>0</v>
      </c>
      <c r="V91" s="105">
        <v>6.6027548571428571</v>
      </c>
      <c r="W91" s="105">
        <v>5189.7653177142856</v>
      </c>
      <c r="X91" s="105">
        <v>4.6915906351601278</v>
      </c>
      <c r="Y91" s="105">
        <v>3687.5902392358603</v>
      </c>
      <c r="Z91" s="105">
        <v>3.8286553597712669</v>
      </c>
      <c r="AA91" s="105">
        <v>3009.323112780216</v>
      </c>
      <c r="AB91" s="105">
        <v>4.1158045117541127</v>
      </c>
      <c r="AC91" s="105">
        <v>3235.0223462387326</v>
      </c>
      <c r="AD91" s="105">
        <v>3.4842789517495127</v>
      </c>
      <c r="AE91" s="105">
        <v>2738.6432560751168</v>
      </c>
      <c r="AF91" s="105">
        <v>0</v>
      </c>
      <c r="AG91" s="105">
        <v>0</v>
      </c>
      <c r="AH91" s="105">
        <v>7.8604224489795911</v>
      </c>
      <c r="AI91" s="105">
        <v>6178.2920448979585</v>
      </c>
      <c r="AJ91" s="105">
        <v>3.9198138207182018</v>
      </c>
      <c r="AK91" s="105">
        <v>3080.9736630845068</v>
      </c>
      <c r="AL91" s="105">
        <v>3.3259026357608992</v>
      </c>
      <c r="AM91" s="105">
        <v>2614.1594717080666</v>
      </c>
      <c r="AN91" s="105">
        <v>4.3097429442451434</v>
      </c>
      <c r="AO91" s="105">
        <v>3387.4579541766825</v>
      </c>
      <c r="AP91" s="105">
        <v>4.6704164672387085</v>
      </c>
      <c r="AQ91" s="105">
        <v>3670.9473432496247</v>
      </c>
      <c r="AR91" s="105">
        <v>3.6584928993369887</v>
      </c>
      <c r="AS91" s="105">
        <v>2875.5754188788733</v>
      </c>
      <c r="AT91" s="105">
        <v>4.8681558741177673</v>
      </c>
      <c r="AU91" s="105">
        <v>3826.3705170565649</v>
      </c>
      <c r="AV91" s="105">
        <v>3.8385741560401043</v>
      </c>
      <c r="AW91" s="105">
        <v>3017.1192866475221</v>
      </c>
      <c r="AX91" s="105">
        <v>5.7765677357952452</v>
      </c>
      <c r="AY91" s="105">
        <v>4540.3822403350623</v>
      </c>
      <c r="AZ91" s="105">
        <v>3.4298370931284268</v>
      </c>
      <c r="BA91" s="105">
        <v>2695.8519551989434</v>
      </c>
      <c r="BB91" s="105">
        <v>5.6769717403504991</v>
      </c>
      <c r="BC91" s="105">
        <v>4462.099787915492</v>
      </c>
      <c r="BD91" s="105">
        <v>3.1146628737598689</v>
      </c>
      <c r="BE91" s="105">
        <v>2448.1250187752571</v>
      </c>
      <c r="BF91" s="105">
        <v>4.3041092933376337</v>
      </c>
      <c r="BG91" s="105">
        <v>3383.0299045633801</v>
      </c>
      <c r="BH91" s="105">
        <v>4.8421229550048377</v>
      </c>
      <c r="BI91" s="105">
        <v>3805.9086426338026</v>
      </c>
      <c r="BJ91" s="105">
        <v>5.5183971107317706</v>
      </c>
      <c r="BK91" s="105">
        <v>4337.460129035172</v>
      </c>
      <c r="BL91" s="105">
        <v>3.8966196560985678</v>
      </c>
      <c r="BM91" s="105">
        <v>3062.7430496934744</v>
      </c>
      <c r="BN91" s="105">
        <v>4.6244994514091147</v>
      </c>
      <c r="BO91" s="105">
        <v>3634.8565688075641</v>
      </c>
      <c r="BP91" s="105">
        <v>4.185563910258419</v>
      </c>
      <c r="BQ91" s="105">
        <v>3289.8532334631172</v>
      </c>
      <c r="BR91" s="105">
        <v>3.4298370931284268</v>
      </c>
      <c r="BS91" s="105">
        <v>2695.8519551989434</v>
      </c>
      <c r="BT91" s="105">
        <v>4.4386127087544347</v>
      </c>
      <c r="BU91" s="105">
        <v>3488.7495890809855</v>
      </c>
      <c r="BV91" s="105">
        <v>0</v>
      </c>
      <c r="BW91" s="105">
        <v>0</v>
      </c>
      <c r="BX91" s="105">
        <v>6.2248193939393941</v>
      </c>
      <c r="BY91" s="105">
        <v>4892.708043636364</v>
      </c>
      <c r="BZ91" s="105">
        <v>4.9389654141049339</v>
      </c>
      <c r="CA91" s="105">
        <v>3882.026815486478</v>
      </c>
      <c r="CB91" s="105">
        <v>5.1947047235731514</v>
      </c>
      <c r="CC91" s="105">
        <v>4083.0379127284968</v>
      </c>
      <c r="CD91" s="105">
        <v>5.339422069302632</v>
      </c>
      <c r="CE91" s="105">
        <v>4196.7857464718691</v>
      </c>
      <c r="CF91" s="105">
        <v>3.8991832216617905</v>
      </c>
      <c r="CG91" s="105">
        <v>3064.7580122261675</v>
      </c>
      <c r="CH91" s="105">
        <v>6.0600802627054415</v>
      </c>
      <c r="CI91" s="105">
        <v>4763.2230864864769</v>
      </c>
      <c r="CJ91" s="105">
        <v>5.3107154990375642</v>
      </c>
      <c r="CK91" s="105">
        <v>4174.2223822435253</v>
      </c>
      <c r="CL91" s="105">
        <v>4.8944702301940799</v>
      </c>
      <c r="CM91" s="105">
        <v>3847.0536009325469</v>
      </c>
      <c r="CN91" s="105">
        <v>3.8286553597712669</v>
      </c>
      <c r="CO91" s="105">
        <v>3009.323112780216</v>
      </c>
      <c r="CP91" s="105">
        <v>3.7416404652310113</v>
      </c>
      <c r="CQ91" s="105">
        <v>2940.9294056715748</v>
      </c>
      <c r="CR91" s="105">
        <v>4.6770505815387633</v>
      </c>
      <c r="CS91" s="105">
        <v>3676.1617570894678</v>
      </c>
      <c r="CT91" s="105">
        <v>3.9432857597644189</v>
      </c>
      <c r="CU91" s="105">
        <v>3099.422607174833</v>
      </c>
    </row>
    <row r="92" spans="2:99" x14ac:dyDescent="0.2">
      <c r="C92" s="104" t="s">
        <v>258</v>
      </c>
      <c r="D92" s="105">
        <v>4</v>
      </c>
      <c r="E92" s="105">
        <v>3748.7999999999997</v>
      </c>
      <c r="F92" s="105">
        <v>1.2457921825010436</v>
      </c>
      <c r="G92" s="105">
        <v>1167.556433439978</v>
      </c>
      <c r="H92" s="105">
        <v>3</v>
      </c>
      <c r="I92" s="105">
        <v>2811.6</v>
      </c>
      <c r="J92" s="105">
        <v>1.0535003080627408</v>
      </c>
      <c r="K92" s="105">
        <v>987.34048871640061</v>
      </c>
      <c r="L92" s="105">
        <v>0</v>
      </c>
      <c r="M92" s="105">
        <v>0</v>
      </c>
      <c r="N92" s="105">
        <v>0</v>
      </c>
      <c r="O92" s="105">
        <v>0</v>
      </c>
      <c r="P92" s="105">
        <v>3.5568680965776274</v>
      </c>
      <c r="Q92" s="105">
        <v>3333.4967801125522</v>
      </c>
      <c r="R92" s="105">
        <v>4.3324258018464334</v>
      </c>
      <c r="S92" s="105">
        <v>4060.3494614904771</v>
      </c>
      <c r="T92" s="105">
        <v>0</v>
      </c>
      <c r="U92" s="105">
        <v>0</v>
      </c>
      <c r="V92" s="105">
        <v>5.1354759999999997</v>
      </c>
      <c r="W92" s="105">
        <v>4812.9681071999994</v>
      </c>
      <c r="X92" s="105">
        <v>4.2650823956001158</v>
      </c>
      <c r="Y92" s="105">
        <v>3997.2352211564285</v>
      </c>
      <c r="Z92" s="105">
        <v>3.3500734397998588</v>
      </c>
      <c r="AA92" s="105">
        <v>3139.6888277804273</v>
      </c>
      <c r="AB92" s="105">
        <v>4.1158045117541127</v>
      </c>
      <c r="AC92" s="105">
        <v>3857.3319884159541</v>
      </c>
      <c r="AD92" s="105">
        <v>3.4842789517495127</v>
      </c>
      <c r="AE92" s="105">
        <v>3265.4662335796429</v>
      </c>
      <c r="AF92" s="105">
        <v>0</v>
      </c>
      <c r="AG92" s="105">
        <v>0</v>
      </c>
      <c r="AH92" s="105">
        <v>6.987042176870748</v>
      </c>
      <c r="AI92" s="105">
        <v>6548.2559281632648</v>
      </c>
      <c r="AJ92" s="105">
        <v>3.9198138207182018</v>
      </c>
      <c r="AK92" s="105">
        <v>3673.6495127770986</v>
      </c>
      <c r="AL92" s="105">
        <v>3.3259026357608992</v>
      </c>
      <c r="AM92" s="105">
        <v>3117.0359502351143</v>
      </c>
      <c r="AN92" s="105">
        <v>4.7407172386696574</v>
      </c>
      <c r="AO92" s="105">
        <v>4443.0001960812024</v>
      </c>
      <c r="AP92" s="105">
        <v>4.0866144088338707</v>
      </c>
      <c r="AQ92" s="105">
        <v>3829.9750239591035</v>
      </c>
      <c r="AR92" s="105">
        <v>3.6584928993369887</v>
      </c>
      <c r="AS92" s="105">
        <v>3428.7395452586256</v>
      </c>
      <c r="AT92" s="105">
        <v>4.8681558741177673</v>
      </c>
      <c r="AU92" s="105">
        <v>4562.4356852231713</v>
      </c>
      <c r="AV92" s="105">
        <v>3.4120659164800933</v>
      </c>
      <c r="AW92" s="105">
        <v>3197.788176925143</v>
      </c>
      <c r="AX92" s="105">
        <v>6.2579483804448488</v>
      </c>
      <c r="AY92" s="105">
        <v>5864.9492221529117</v>
      </c>
      <c r="AZ92" s="105">
        <v>3.9198138207182018</v>
      </c>
      <c r="BA92" s="105">
        <v>3673.6495127770986</v>
      </c>
      <c r="BB92" s="105">
        <v>5.2038907619879584</v>
      </c>
      <c r="BC92" s="105">
        <v>4877.0864221351139</v>
      </c>
      <c r="BD92" s="105">
        <v>3.1146628737598689</v>
      </c>
      <c r="BE92" s="105">
        <v>2919.0620452877488</v>
      </c>
      <c r="BF92" s="105">
        <v>3.7660956316704293</v>
      </c>
      <c r="BG92" s="105">
        <v>3529.5848260015259</v>
      </c>
      <c r="BH92" s="105">
        <v>5.2145939515436712</v>
      </c>
      <c r="BI92" s="105">
        <v>4887.1174513867281</v>
      </c>
      <c r="BJ92" s="105">
        <v>5.978263536626085</v>
      </c>
      <c r="BK92" s="105">
        <v>5602.8285865259668</v>
      </c>
      <c r="BL92" s="105">
        <v>3.4095421990862471</v>
      </c>
      <c r="BM92" s="105">
        <v>3195.4229489836307</v>
      </c>
      <c r="BN92" s="105">
        <v>4.162049506268203</v>
      </c>
      <c r="BO92" s="105">
        <v>3900.6727972745598</v>
      </c>
      <c r="BP92" s="105">
        <v>4.6506265669537994</v>
      </c>
      <c r="BQ92" s="105">
        <v>4358.5672185491003</v>
      </c>
      <c r="BR92" s="105">
        <v>4.2872963664105335</v>
      </c>
      <c r="BS92" s="105">
        <v>4018.0541545999517</v>
      </c>
      <c r="BT92" s="105">
        <v>4.8421229550048377</v>
      </c>
      <c r="BU92" s="105">
        <v>4538.0376334305338</v>
      </c>
      <c r="BV92" s="105">
        <v>0</v>
      </c>
      <c r="BW92" s="105">
        <v>0</v>
      </c>
      <c r="BX92" s="105">
        <v>6.2248193939393941</v>
      </c>
      <c r="BY92" s="105">
        <v>5833.9007359999996</v>
      </c>
      <c r="BZ92" s="105">
        <v>4.9389654141049339</v>
      </c>
      <c r="CA92" s="105">
        <v>4628.7983860991435</v>
      </c>
      <c r="CB92" s="105">
        <v>4.7951120525290625</v>
      </c>
      <c r="CC92" s="105">
        <v>4493.979015630237</v>
      </c>
      <c r="CD92" s="105">
        <v>5.339422069302632</v>
      </c>
      <c r="CE92" s="105">
        <v>5004.1063633504264</v>
      </c>
      <c r="CF92" s="105">
        <v>3.4659406414771468</v>
      </c>
      <c r="CG92" s="105">
        <v>3248.2795691923816</v>
      </c>
      <c r="CH92" s="105">
        <v>6.0600802627054415</v>
      </c>
      <c r="CI92" s="105">
        <v>5679.5072222075396</v>
      </c>
      <c r="CJ92" s="105">
        <v>5.3107154990375642</v>
      </c>
      <c r="CK92" s="105">
        <v>4977.2025656980049</v>
      </c>
      <c r="CL92" s="105">
        <v>4.8944702301940799</v>
      </c>
      <c r="CM92" s="105">
        <v>4587.0974997378917</v>
      </c>
      <c r="CN92" s="105">
        <v>3.4457898237941404</v>
      </c>
      <c r="CO92" s="105">
        <v>3229.394222859868</v>
      </c>
      <c r="CP92" s="105">
        <v>3.7416404652310113</v>
      </c>
      <c r="CQ92" s="105">
        <v>3506.6654440145035</v>
      </c>
      <c r="CR92" s="105">
        <v>4.6770505815387633</v>
      </c>
      <c r="CS92" s="105">
        <v>4383.3318050181288</v>
      </c>
      <c r="CT92" s="105">
        <v>3.9432857597644189</v>
      </c>
      <c r="CU92" s="105">
        <v>3695.6474140512132</v>
      </c>
    </row>
    <row r="93" spans="2:99" x14ac:dyDescent="0.2">
      <c r="C93" s="104" t="s">
        <v>259</v>
      </c>
      <c r="D93" s="105">
        <v>4</v>
      </c>
      <c r="E93" s="105">
        <v>2337.6</v>
      </c>
      <c r="F93" s="105">
        <v>1.2457921825010436</v>
      </c>
      <c r="G93" s="105">
        <v>728.04095145360986</v>
      </c>
      <c r="H93" s="105">
        <v>3</v>
      </c>
      <c r="I93" s="105">
        <v>1753.1999999999998</v>
      </c>
      <c r="J93" s="105">
        <v>1.0535003080627408</v>
      </c>
      <c r="K93" s="105">
        <v>615.66558003186572</v>
      </c>
      <c r="L93" s="105">
        <v>0</v>
      </c>
      <c r="M93" s="105">
        <v>0</v>
      </c>
      <c r="N93" s="105">
        <v>0</v>
      </c>
      <c r="O93" s="105">
        <v>0</v>
      </c>
      <c r="P93" s="105">
        <v>3.0487440827808236</v>
      </c>
      <c r="Q93" s="105">
        <v>1781.6860419771133</v>
      </c>
      <c r="R93" s="105">
        <v>3.7908725766156293</v>
      </c>
      <c r="S93" s="105">
        <v>2215.3859337741737</v>
      </c>
      <c r="T93" s="105">
        <v>0</v>
      </c>
      <c r="U93" s="105">
        <v>0</v>
      </c>
      <c r="V93" s="105">
        <v>6.6027548571428571</v>
      </c>
      <c r="W93" s="105">
        <v>3858.6499385142856</v>
      </c>
      <c r="X93" s="105">
        <v>5.1180988747201397</v>
      </c>
      <c r="Y93" s="105">
        <v>2991.0169823864494</v>
      </c>
      <c r="Z93" s="105">
        <v>3.8286553597712669</v>
      </c>
      <c r="AA93" s="105">
        <v>2237.4661922503283</v>
      </c>
      <c r="AB93" s="105">
        <v>4.703776584861842</v>
      </c>
      <c r="AC93" s="105">
        <v>2748.8870361932604</v>
      </c>
      <c r="AD93" s="105">
        <v>3.9198138207182018</v>
      </c>
      <c r="AE93" s="105">
        <v>2290.739196827717</v>
      </c>
      <c r="AF93" s="105">
        <v>0</v>
      </c>
      <c r="AG93" s="105">
        <v>0</v>
      </c>
      <c r="AH93" s="105">
        <v>7.8604224489795911</v>
      </c>
      <c r="AI93" s="105">
        <v>4593.6308791836727</v>
      </c>
      <c r="AJ93" s="105">
        <v>3.9198138207182018</v>
      </c>
      <c r="AK93" s="105">
        <v>2290.739196827717</v>
      </c>
      <c r="AL93" s="105">
        <v>3.7416404652310113</v>
      </c>
      <c r="AM93" s="105">
        <v>2186.6146878810027</v>
      </c>
      <c r="AN93" s="105">
        <v>4.3097429442451434</v>
      </c>
      <c r="AO93" s="105">
        <v>2518.6137766168617</v>
      </c>
      <c r="AP93" s="105">
        <v>4.0866144088338707</v>
      </c>
      <c r="AQ93" s="105">
        <v>2388.2174605225141</v>
      </c>
      <c r="AR93" s="105">
        <v>4.1158045117541127</v>
      </c>
      <c r="AS93" s="105">
        <v>2405.2761566691033</v>
      </c>
      <c r="AT93" s="105">
        <v>4.4255962491979703</v>
      </c>
      <c r="AU93" s="105">
        <v>2586.3184480312939</v>
      </c>
      <c r="AV93" s="105">
        <v>3.8385741560401043</v>
      </c>
      <c r="AW93" s="105">
        <v>2243.2627367898367</v>
      </c>
      <c r="AX93" s="105">
        <v>5.7765677357952452</v>
      </c>
      <c r="AY93" s="105">
        <v>3375.826184798741</v>
      </c>
      <c r="AZ93" s="105">
        <v>3.9198138207182018</v>
      </c>
      <c r="BA93" s="105">
        <v>2290.739196827717</v>
      </c>
      <c r="BB93" s="105">
        <v>6.1500527187130416</v>
      </c>
      <c r="BC93" s="105">
        <v>3594.0908088159013</v>
      </c>
      <c r="BD93" s="105">
        <v>3.1146628737598689</v>
      </c>
      <c r="BE93" s="105">
        <v>1820.2089834252674</v>
      </c>
      <c r="BF93" s="105">
        <v>4.3041092933376337</v>
      </c>
      <c r="BG93" s="105">
        <v>2515.3214710265129</v>
      </c>
      <c r="BH93" s="105">
        <v>4.8421229550048377</v>
      </c>
      <c r="BI93" s="105">
        <v>2829.736654904827</v>
      </c>
      <c r="BJ93" s="105">
        <v>5.5183971107317706</v>
      </c>
      <c r="BK93" s="105">
        <v>3224.9512715116466</v>
      </c>
      <c r="BL93" s="105">
        <v>3.8966196560985678</v>
      </c>
      <c r="BM93" s="105">
        <v>2277.1845270240028</v>
      </c>
      <c r="BN93" s="105">
        <v>4.162049506268203</v>
      </c>
      <c r="BO93" s="105">
        <v>2432.3017314631379</v>
      </c>
      <c r="BP93" s="105">
        <v>4.6506265669537994</v>
      </c>
      <c r="BQ93" s="105">
        <v>2717.8261657278003</v>
      </c>
      <c r="BR93" s="105">
        <v>4.2872963664105335</v>
      </c>
      <c r="BS93" s="105">
        <v>2505.4959965303156</v>
      </c>
      <c r="BT93" s="105">
        <v>4.8421229550048377</v>
      </c>
      <c r="BU93" s="105">
        <v>2829.736654904827</v>
      </c>
      <c r="BV93" s="105">
        <v>0</v>
      </c>
      <c r="BW93" s="105">
        <v>0</v>
      </c>
      <c r="BX93" s="105">
        <v>7.002921818181818</v>
      </c>
      <c r="BY93" s="105">
        <v>4092.5075105454544</v>
      </c>
      <c r="BZ93" s="105">
        <v>4.9389654141049339</v>
      </c>
      <c r="CA93" s="105">
        <v>2886.3313880029232</v>
      </c>
      <c r="CB93" s="105">
        <v>4.7951120525290625</v>
      </c>
      <c r="CC93" s="105">
        <v>2802.263483497984</v>
      </c>
      <c r="CD93" s="105">
        <v>4.8944702301940799</v>
      </c>
      <c r="CE93" s="105">
        <v>2860.3284025254202</v>
      </c>
      <c r="CF93" s="105">
        <v>3.4659406414771468</v>
      </c>
      <c r="CG93" s="105">
        <v>2025.4957108792446</v>
      </c>
      <c r="CH93" s="105">
        <v>5.5550735741466539</v>
      </c>
      <c r="CI93" s="105">
        <v>3246.3849967313045</v>
      </c>
      <c r="CJ93" s="105">
        <v>5.3107154990375642</v>
      </c>
      <c r="CK93" s="105">
        <v>3103.5821376375525</v>
      </c>
      <c r="CL93" s="105">
        <v>4.8944702301940799</v>
      </c>
      <c r="CM93" s="105">
        <v>2860.3284025254202</v>
      </c>
      <c r="CN93" s="105">
        <v>3.8286553597712669</v>
      </c>
      <c r="CO93" s="105">
        <v>2237.4661922503283</v>
      </c>
      <c r="CP93" s="105">
        <v>3.7416404652310113</v>
      </c>
      <c r="CQ93" s="105">
        <v>2186.6146878810027</v>
      </c>
      <c r="CR93" s="105">
        <v>5.1447556396926402</v>
      </c>
      <c r="CS93" s="105">
        <v>3006.5951958363789</v>
      </c>
      <c r="CT93" s="105">
        <v>4.4361964797349716</v>
      </c>
      <c r="CU93" s="105">
        <v>2592.5132227571171</v>
      </c>
    </row>
    <row r="94" spans="2:99" x14ac:dyDescent="0.2">
      <c r="C94" s="104" t="s">
        <v>260</v>
      </c>
      <c r="D94" s="105">
        <v>4</v>
      </c>
      <c r="E94" s="105">
        <v>3206.4</v>
      </c>
      <c r="F94" s="105">
        <v>1.2457921825010436</v>
      </c>
      <c r="G94" s="105">
        <v>998.62701349283657</v>
      </c>
      <c r="H94" s="105">
        <v>3</v>
      </c>
      <c r="I94" s="105">
        <v>2404.8000000000002</v>
      </c>
      <c r="J94" s="105">
        <v>1.0535003080627408</v>
      </c>
      <c r="K94" s="105">
        <v>844.48584694309307</v>
      </c>
      <c r="L94" s="105">
        <v>0</v>
      </c>
      <c r="M94" s="105">
        <v>0</v>
      </c>
      <c r="N94" s="105">
        <v>0</v>
      </c>
      <c r="O94" s="105">
        <v>0</v>
      </c>
      <c r="P94" s="105">
        <v>3.0487440827808236</v>
      </c>
      <c r="Q94" s="105">
        <v>2443.8732567571083</v>
      </c>
      <c r="R94" s="105">
        <v>4.3324258018464334</v>
      </c>
      <c r="S94" s="105">
        <v>3472.8725227601012</v>
      </c>
      <c r="T94" s="105">
        <v>0</v>
      </c>
      <c r="U94" s="105">
        <v>0</v>
      </c>
      <c r="V94" s="105">
        <v>6.6027548571428571</v>
      </c>
      <c r="W94" s="105">
        <v>5292.7682934857148</v>
      </c>
      <c r="X94" s="105">
        <v>4.2650823956001158</v>
      </c>
      <c r="Y94" s="105">
        <v>3418.8900483130528</v>
      </c>
      <c r="Z94" s="105">
        <v>4.3072372797426759</v>
      </c>
      <c r="AA94" s="105">
        <v>3452.6814034417289</v>
      </c>
      <c r="AB94" s="105">
        <v>4.1158045117541127</v>
      </c>
      <c r="AC94" s="105">
        <v>3299.2288966220967</v>
      </c>
      <c r="AD94" s="105">
        <v>3.4842789517495127</v>
      </c>
      <c r="AE94" s="105">
        <v>2792.9980077224095</v>
      </c>
      <c r="AF94" s="105">
        <v>0</v>
      </c>
      <c r="AG94" s="105">
        <v>0</v>
      </c>
      <c r="AH94" s="105">
        <v>7.8604224489795911</v>
      </c>
      <c r="AI94" s="105">
        <v>6300.9146351020399</v>
      </c>
      <c r="AJ94" s="105">
        <v>3.9198138207182018</v>
      </c>
      <c r="AK94" s="105">
        <v>3142.1227586877108</v>
      </c>
      <c r="AL94" s="105">
        <v>4.1573782947011235</v>
      </c>
      <c r="AM94" s="105">
        <v>3332.5544410324205</v>
      </c>
      <c r="AN94" s="105">
        <v>4.7407172386696574</v>
      </c>
      <c r="AO94" s="105">
        <v>3800.1589385175976</v>
      </c>
      <c r="AP94" s="105">
        <v>4.0866144088338707</v>
      </c>
      <c r="AQ94" s="105">
        <v>3275.830110121231</v>
      </c>
      <c r="AR94" s="105">
        <v>4.1158045117541127</v>
      </c>
      <c r="AS94" s="105">
        <v>3299.2288966220967</v>
      </c>
      <c r="AT94" s="105">
        <v>4.4255962491979703</v>
      </c>
      <c r="AU94" s="105">
        <v>3547.5579533570931</v>
      </c>
      <c r="AV94" s="105">
        <v>3.8385741560401043</v>
      </c>
      <c r="AW94" s="105">
        <v>3077.0010434817477</v>
      </c>
      <c r="AX94" s="105">
        <v>5.7765677357952452</v>
      </c>
      <c r="AY94" s="105">
        <v>4630.4966970134683</v>
      </c>
      <c r="AZ94" s="105">
        <v>3.9198138207182018</v>
      </c>
      <c r="BA94" s="105">
        <v>3142.1227586877108</v>
      </c>
      <c r="BB94" s="105">
        <v>5.6769717403504991</v>
      </c>
      <c r="BC94" s="105">
        <v>4550.6605470649602</v>
      </c>
      <c r="BD94" s="105">
        <v>3.1146628737598689</v>
      </c>
      <c r="BE94" s="105">
        <v>2496.713759605911</v>
      </c>
      <c r="BF94" s="105">
        <v>4.8421229550048377</v>
      </c>
      <c r="BG94" s="105">
        <v>3881.4457607318782</v>
      </c>
      <c r="BH94" s="105">
        <v>4.8421229550048377</v>
      </c>
      <c r="BI94" s="105">
        <v>3881.4457607318782</v>
      </c>
      <c r="BJ94" s="105">
        <v>5.978263536626085</v>
      </c>
      <c r="BK94" s="105">
        <v>4792.1760509594696</v>
      </c>
      <c r="BL94" s="105">
        <v>3.4095421990862471</v>
      </c>
      <c r="BM94" s="105">
        <v>2733.0890267875357</v>
      </c>
      <c r="BN94" s="105">
        <v>4.6244994514091147</v>
      </c>
      <c r="BO94" s="105">
        <v>3706.9987602495466</v>
      </c>
      <c r="BP94" s="105">
        <v>5.1156892236491789</v>
      </c>
      <c r="BQ94" s="105">
        <v>4100.7364816771815</v>
      </c>
      <c r="BR94" s="105">
        <v>4.2872963664105335</v>
      </c>
      <c r="BS94" s="105">
        <v>3436.6967673146837</v>
      </c>
      <c r="BT94" s="105">
        <v>5.2456332012552407</v>
      </c>
      <c r="BU94" s="105">
        <v>4204.8995741262006</v>
      </c>
      <c r="BV94" s="105">
        <v>0</v>
      </c>
      <c r="BW94" s="105">
        <v>0</v>
      </c>
      <c r="BX94" s="105">
        <v>7.002921818181818</v>
      </c>
      <c r="BY94" s="105">
        <v>5613.5421294545458</v>
      </c>
      <c r="BZ94" s="105">
        <v>4.1158045117541127</v>
      </c>
      <c r="CA94" s="105">
        <v>3299.2288966220967</v>
      </c>
      <c r="CB94" s="105">
        <v>5.1947047235731514</v>
      </c>
      <c r="CC94" s="105">
        <v>4164.0753064162382</v>
      </c>
      <c r="CD94" s="105">
        <v>4.4495183910855269</v>
      </c>
      <c r="CE94" s="105">
        <v>3566.7339422941586</v>
      </c>
      <c r="CF94" s="105">
        <v>3.4659406414771468</v>
      </c>
      <c r="CG94" s="105">
        <v>2778.298018208081</v>
      </c>
      <c r="CH94" s="105">
        <v>6.0600802627054415</v>
      </c>
      <c r="CI94" s="105">
        <v>4857.7603385846824</v>
      </c>
      <c r="CJ94" s="105">
        <v>4.7796439491338081</v>
      </c>
      <c r="CK94" s="105">
        <v>3831.3625896256608</v>
      </c>
      <c r="CL94" s="105">
        <v>4.8944702301940799</v>
      </c>
      <c r="CM94" s="105">
        <v>3923.4073365235745</v>
      </c>
      <c r="CN94" s="105">
        <v>3.4457898237941404</v>
      </c>
      <c r="CO94" s="105">
        <v>2762.145122753383</v>
      </c>
      <c r="CP94" s="105">
        <v>3.7416404652310113</v>
      </c>
      <c r="CQ94" s="105">
        <v>2999.2989969291789</v>
      </c>
      <c r="CR94" s="105">
        <v>5.1447556396926402</v>
      </c>
      <c r="CS94" s="105">
        <v>4124.0361207776205</v>
      </c>
      <c r="CT94" s="105">
        <v>4.4361964797349716</v>
      </c>
      <c r="CU94" s="105">
        <v>3556.0550981555534</v>
      </c>
    </row>
    <row r="95" spans="2:99" x14ac:dyDescent="0.2">
      <c r="B95" s="104" t="s">
        <v>132</v>
      </c>
      <c r="C95" s="104" t="s">
        <v>261</v>
      </c>
      <c r="D95" s="105">
        <v>4</v>
      </c>
      <c r="E95" s="105">
        <v>1536</v>
      </c>
      <c r="F95" s="105">
        <v>1.8686882737515651</v>
      </c>
      <c r="G95" s="105">
        <v>717.576297120601</v>
      </c>
      <c r="H95" s="105">
        <v>6</v>
      </c>
      <c r="I95" s="105">
        <v>2304</v>
      </c>
      <c r="J95" s="105">
        <v>1.264200369675289</v>
      </c>
      <c r="K95" s="105">
        <v>485.45294195531096</v>
      </c>
      <c r="L95" s="105">
        <v>0</v>
      </c>
      <c r="M95" s="105">
        <v>0</v>
      </c>
      <c r="N95" s="105">
        <v>0</v>
      </c>
      <c r="O95" s="105">
        <v>0</v>
      </c>
      <c r="P95" s="105">
        <v>6.0974881655616473</v>
      </c>
      <c r="Q95" s="105">
        <v>2341.4354555756727</v>
      </c>
      <c r="R95" s="105">
        <v>4.8739790270772376</v>
      </c>
      <c r="S95" s="105">
        <v>1871.6079463976594</v>
      </c>
      <c r="T95" s="105">
        <v>0</v>
      </c>
      <c r="U95" s="105">
        <v>0</v>
      </c>
      <c r="V95" s="105">
        <v>9.537312571428572</v>
      </c>
      <c r="W95" s="105">
        <v>3662.3280274285717</v>
      </c>
      <c r="X95" s="105">
        <v>4.6915906351601278</v>
      </c>
      <c r="Y95" s="105">
        <v>1801.5708039014889</v>
      </c>
      <c r="Z95" s="105">
        <v>5.7429830396569006</v>
      </c>
      <c r="AA95" s="105">
        <v>2205.3054872282501</v>
      </c>
      <c r="AB95" s="105">
        <v>5.2917486579695723</v>
      </c>
      <c r="AC95" s="105">
        <v>2032.0314846603158</v>
      </c>
      <c r="AD95" s="105">
        <v>5.6619532965929578</v>
      </c>
      <c r="AE95" s="105">
        <v>2174.1900658916957</v>
      </c>
      <c r="AF95" s="105">
        <v>0</v>
      </c>
      <c r="AG95" s="105">
        <v>0</v>
      </c>
      <c r="AH95" s="105">
        <v>7.8604224489795911</v>
      </c>
      <c r="AI95" s="105">
        <v>3018.402220408163</v>
      </c>
      <c r="AJ95" s="105">
        <v>5.0397606266376886</v>
      </c>
      <c r="AK95" s="105">
        <v>1935.2680806288724</v>
      </c>
      <c r="AL95" s="105">
        <v>5.8203296125815722</v>
      </c>
      <c r="AM95" s="105">
        <v>2235.0065712313235</v>
      </c>
      <c r="AN95" s="105">
        <v>5.6026658275186865</v>
      </c>
      <c r="AO95" s="105">
        <v>2151.4236777671758</v>
      </c>
      <c r="AP95" s="105">
        <v>5.2542185256435472</v>
      </c>
      <c r="AQ95" s="105">
        <v>2017.619913847122</v>
      </c>
      <c r="AR95" s="105">
        <v>6.4023625738397305</v>
      </c>
      <c r="AS95" s="105">
        <v>2458.5072283544564</v>
      </c>
      <c r="AT95" s="105">
        <v>5.7532751239573603</v>
      </c>
      <c r="AU95" s="105">
        <v>2209.2576475996266</v>
      </c>
      <c r="AV95" s="105">
        <v>5.5446071142801516</v>
      </c>
      <c r="AW95" s="105">
        <v>2129.1291318835783</v>
      </c>
      <c r="AX95" s="105">
        <v>4.3324258018464334</v>
      </c>
      <c r="AY95" s="105">
        <v>1663.6515079090304</v>
      </c>
      <c r="AZ95" s="105">
        <v>5.8797207310773025</v>
      </c>
      <c r="BA95" s="105">
        <v>2257.8127607336842</v>
      </c>
      <c r="BB95" s="105">
        <v>4.2577288052628743</v>
      </c>
      <c r="BC95" s="105">
        <v>1634.9678612209436</v>
      </c>
      <c r="BD95" s="105">
        <v>6.2293257475197379</v>
      </c>
      <c r="BE95" s="105">
        <v>2392.0610870475793</v>
      </c>
      <c r="BF95" s="105">
        <v>5.9181502783392457</v>
      </c>
      <c r="BG95" s="105">
        <v>2272.5697068822701</v>
      </c>
      <c r="BH95" s="105">
        <v>5.2145939515436712</v>
      </c>
      <c r="BI95" s="105">
        <v>2002.4040773927698</v>
      </c>
      <c r="BJ95" s="105">
        <v>4.5986642589431419</v>
      </c>
      <c r="BK95" s="105">
        <v>1765.8870754341665</v>
      </c>
      <c r="BL95" s="105">
        <v>5.3578520271355305</v>
      </c>
      <c r="BM95" s="105">
        <v>2057.415178420044</v>
      </c>
      <c r="BN95" s="105">
        <v>5.549399341690938</v>
      </c>
      <c r="BO95" s="105">
        <v>2130.9693472093204</v>
      </c>
      <c r="BP95" s="105">
        <v>5.5807518803445584</v>
      </c>
      <c r="BQ95" s="105">
        <v>2143.0087220523105</v>
      </c>
      <c r="BR95" s="105">
        <v>5.1447556396926402</v>
      </c>
      <c r="BS95" s="105">
        <v>1975.5861656419738</v>
      </c>
      <c r="BT95" s="105">
        <v>4.8421229550048377</v>
      </c>
      <c r="BU95" s="105">
        <v>1859.3752147218577</v>
      </c>
      <c r="BV95" s="105">
        <v>0</v>
      </c>
      <c r="BW95" s="105">
        <v>0</v>
      </c>
      <c r="BX95" s="105">
        <v>9.3372290909090907</v>
      </c>
      <c r="BY95" s="105">
        <v>3585.4959709090908</v>
      </c>
      <c r="BZ95" s="105">
        <v>4.9389654141049339</v>
      </c>
      <c r="CA95" s="105">
        <v>1896.5627190162945</v>
      </c>
      <c r="CB95" s="105">
        <v>5.1947047235731514</v>
      </c>
      <c r="CC95" s="105">
        <v>1994.7666138520901</v>
      </c>
      <c r="CD95" s="105">
        <v>4.8944702301940799</v>
      </c>
      <c r="CE95" s="105">
        <v>1879.4765683945266</v>
      </c>
      <c r="CF95" s="105">
        <v>6.4986387027696502</v>
      </c>
      <c r="CG95" s="105">
        <v>2495.4772618635457</v>
      </c>
      <c r="CH95" s="105">
        <v>4.5450601970290805</v>
      </c>
      <c r="CI95" s="105">
        <v>1745.3031156591669</v>
      </c>
      <c r="CJ95" s="105">
        <v>4.248572399230051</v>
      </c>
      <c r="CK95" s="105">
        <v>1631.4518013043396</v>
      </c>
      <c r="CL95" s="105">
        <v>4.8944702301940799</v>
      </c>
      <c r="CM95" s="105">
        <v>1879.4765683945266</v>
      </c>
      <c r="CN95" s="105">
        <v>5.7429830396569006</v>
      </c>
      <c r="CO95" s="105">
        <v>2205.3054872282501</v>
      </c>
      <c r="CP95" s="105">
        <v>5.8203296125815722</v>
      </c>
      <c r="CQ95" s="105">
        <v>2235.0065712313235</v>
      </c>
      <c r="CR95" s="105">
        <v>5.1447556396926402</v>
      </c>
      <c r="CS95" s="105">
        <v>1975.5861656419738</v>
      </c>
      <c r="CT95" s="105">
        <v>4.9291071997055234</v>
      </c>
      <c r="CU95" s="105">
        <v>1892.777164686921</v>
      </c>
    </row>
    <row r="96" spans="2:99" x14ac:dyDescent="0.2">
      <c r="C96" s="104" t="s">
        <v>262</v>
      </c>
      <c r="D96" s="105">
        <v>4</v>
      </c>
      <c r="E96" s="105">
        <v>3345.6</v>
      </c>
      <c r="F96" s="105">
        <v>7</v>
      </c>
      <c r="G96" s="105">
        <v>5854.8</v>
      </c>
      <c r="H96" s="105">
        <v>1.1215304774193573</v>
      </c>
      <c r="I96" s="105">
        <v>938.04809131355046</v>
      </c>
      <c r="J96" s="105">
        <v>0</v>
      </c>
      <c r="K96" s="105">
        <v>0</v>
      </c>
      <c r="L96" s="105">
        <v>0</v>
      </c>
      <c r="M96" s="105">
        <v>0</v>
      </c>
      <c r="N96" s="105">
        <v>0</v>
      </c>
      <c r="O96" s="105">
        <v>0</v>
      </c>
      <c r="P96" s="105">
        <v>8.0140318878004067</v>
      </c>
      <c r="Q96" s="105">
        <v>6702.9362709562602</v>
      </c>
      <c r="R96" s="105">
        <v>7.0857930042443913</v>
      </c>
      <c r="S96" s="105">
        <v>5926.5572687500089</v>
      </c>
      <c r="T96" s="105">
        <v>5.439388159140548</v>
      </c>
      <c r="U96" s="105">
        <v>4549.5042563051538</v>
      </c>
      <c r="V96" s="105">
        <v>8.358833781278129</v>
      </c>
      <c r="W96" s="105">
        <v>6991.3285746610272</v>
      </c>
      <c r="X96" s="105">
        <v>5.1665553562376259</v>
      </c>
      <c r="Y96" s="105">
        <v>4321.3068999571506</v>
      </c>
      <c r="Z96" s="105">
        <v>6.5756159079387961</v>
      </c>
      <c r="AA96" s="105">
        <v>5499.8451454000087</v>
      </c>
      <c r="AB96" s="105">
        <v>4.2678276325564299</v>
      </c>
      <c r="AC96" s="105">
        <v>3569.6110318701981</v>
      </c>
      <c r="AD96" s="105">
        <v>8.0283682596927175</v>
      </c>
      <c r="AE96" s="105">
        <v>6714.9272124069885</v>
      </c>
      <c r="AF96" s="105">
        <v>4.9093964923524949</v>
      </c>
      <c r="AG96" s="105">
        <v>4106.2192262036269</v>
      </c>
      <c r="AH96" s="105">
        <v>5.8449919181678194</v>
      </c>
      <c r="AI96" s="105">
        <v>4888.7512403555638</v>
      </c>
      <c r="AJ96" s="105">
        <v>0</v>
      </c>
      <c r="AK96" s="105">
        <v>0</v>
      </c>
      <c r="AL96" s="105">
        <v>14</v>
      </c>
      <c r="AM96" s="105">
        <v>11709.6</v>
      </c>
      <c r="AN96" s="105">
        <v>8.5134207390957073</v>
      </c>
      <c r="AO96" s="105">
        <v>7120.6251061796493</v>
      </c>
      <c r="AP96" s="105">
        <v>6.0885332480914771</v>
      </c>
      <c r="AQ96" s="105">
        <v>5092.4492087037115</v>
      </c>
      <c r="AR96" s="105">
        <v>6.5392865382816749</v>
      </c>
      <c r="AS96" s="105">
        <v>5469.4592606187925</v>
      </c>
      <c r="AT96" s="105">
        <v>9.0298950848455295</v>
      </c>
      <c r="AU96" s="105">
        <v>7552.6042489648007</v>
      </c>
      <c r="AV96" s="105">
        <v>8.7397426624502987</v>
      </c>
      <c r="AW96" s="105">
        <v>7309.9207628734293</v>
      </c>
      <c r="AX96" s="105">
        <v>4.6144673038166983</v>
      </c>
      <c r="AY96" s="105">
        <v>3859.5404529122866</v>
      </c>
      <c r="AZ96" s="105">
        <v>5.4544279420690476</v>
      </c>
      <c r="BA96" s="105">
        <v>4562.0835307465513</v>
      </c>
      <c r="BB96" s="105">
        <v>4.6690763843352396</v>
      </c>
      <c r="BC96" s="105">
        <v>3905.2154878579945</v>
      </c>
      <c r="BD96" s="105">
        <v>8.1671662550832185</v>
      </c>
      <c r="BE96" s="105">
        <v>6831.0178557516037</v>
      </c>
      <c r="BF96" s="105">
        <v>5.1640962627791591</v>
      </c>
      <c r="BG96" s="105">
        <v>4319.2501141884886</v>
      </c>
      <c r="BH96" s="105">
        <v>5.2141447728149046</v>
      </c>
      <c r="BI96" s="105">
        <v>4361.1106879823865</v>
      </c>
      <c r="BJ96" s="105">
        <v>6.8285242120902883</v>
      </c>
      <c r="BK96" s="105">
        <v>5711.3776509923173</v>
      </c>
      <c r="BL96" s="105">
        <v>5.9639307072003032</v>
      </c>
      <c r="BM96" s="105">
        <v>4988.2316435023331</v>
      </c>
      <c r="BN96" s="105">
        <v>6.1646399136926213</v>
      </c>
      <c r="BO96" s="105">
        <v>5156.1048238125086</v>
      </c>
      <c r="BP96" s="105">
        <v>5.6686344033955134</v>
      </c>
      <c r="BQ96" s="105">
        <v>4741.2458150000075</v>
      </c>
      <c r="BR96" s="105">
        <v>6.931054605665218</v>
      </c>
      <c r="BS96" s="105">
        <v>5797.1340721783881</v>
      </c>
      <c r="BT96" s="105">
        <v>6.0483259530569118</v>
      </c>
      <c r="BU96" s="105">
        <v>5058.819827136801</v>
      </c>
      <c r="BV96" s="105">
        <v>7.0453027585058523</v>
      </c>
      <c r="BW96" s="105">
        <v>5892.6912272142945</v>
      </c>
      <c r="BX96" s="105">
        <v>6.6157111268896429</v>
      </c>
      <c r="BY96" s="105">
        <v>5533.3807865304971</v>
      </c>
      <c r="BZ96" s="105">
        <v>5.5639826913328276</v>
      </c>
      <c r="CA96" s="105">
        <v>4653.7151230307772</v>
      </c>
      <c r="CB96" s="105">
        <v>6.5756159079387961</v>
      </c>
      <c r="CC96" s="105">
        <v>5499.8451454000087</v>
      </c>
      <c r="CD96" s="105">
        <v>5.6042181033569287</v>
      </c>
      <c r="CE96" s="105">
        <v>4687.3680216477351</v>
      </c>
      <c r="CF96" s="105">
        <v>6.4434427238596248</v>
      </c>
      <c r="CG96" s="105">
        <v>5389.2954942361903</v>
      </c>
      <c r="CH96" s="105">
        <v>3.5069951509006914</v>
      </c>
      <c r="CI96" s="105">
        <v>2933.2507442133383</v>
      </c>
      <c r="CJ96" s="105">
        <v>4.5523494747268591</v>
      </c>
      <c r="CK96" s="105">
        <v>3807.5851006615449</v>
      </c>
      <c r="CL96" s="105">
        <v>5.5725558541854205</v>
      </c>
      <c r="CM96" s="105">
        <v>4660.8857164406854</v>
      </c>
      <c r="CN96" s="105">
        <v>6.9136148564777056</v>
      </c>
      <c r="CO96" s="105">
        <v>5782.5474659579531</v>
      </c>
      <c r="CP96" s="105">
        <v>5.7243084912860054</v>
      </c>
      <c r="CQ96" s="105">
        <v>4787.8116221116152</v>
      </c>
      <c r="CR96" s="105">
        <v>3.9453695447632779</v>
      </c>
      <c r="CS96" s="105">
        <v>3299.9070872400057</v>
      </c>
      <c r="CT96" s="105">
        <v>7.482597412482078</v>
      </c>
      <c r="CU96" s="105">
        <v>6258.44447580001</v>
      </c>
    </row>
    <row r="97" spans="2:99" x14ac:dyDescent="0.2">
      <c r="C97" s="104" t="s">
        <v>263</v>
      </c>
      <c r="D97" s="105">
        <v>5</v>
      </c>
      <c r="E97" s="105">
        <v>1260</v>
      </c>
      <c r="F97" s="105">
        <v>1.8686882737515651</v>
      </c>
      <c r="G97" s="105">
        <v>470.90944498539443</v>
      </c>
      <c r="H97" s="105">
        <v>6</v>
      </c>
      <c r="I97" s="105">
        <v>1512</v>
      </c>
      <c r="J97" s="105">
        <v>1.264200369675289</v>
      </c>
      <c r="K97" s="105">
        <v>318.57849315817282</v>
      </c>
      <c r="L97" s="105">
        <v>0</v>
      </c>
      <c r="M97" s="105">
        <v>0</v>
      </c>
      <c r="N97" s="105">
        <v>0</v>
      </c>
      <c r="O97" s="105">
        <v>0</v>
      </c>
      <c r="P97" s="105">
        <v>6.6056121793584515</v>
      </c>
      <c r="Q97" s="105">
        <v>1664.6142691983298</v>
      </c>
      <c r="R97" s="105">
        <v>5.4155322523080418</v>
      </c>
      <c r="S97" s="105">
        <v>1364.7141275816266</v>
      </c>
      <c r="T97" s="105">
        <v>0</v>
      </c>
      <c r="U97" s="105">
        <v>0</v>
      </c>
      <c r="V97" s="105">
        <v>8.8036731428571429</v>
      </c>
      <c r="W97" s="105">
        <v>2218.5256319999999</v>
      </c>
      <c r="X97" s="105">
        <v>5.5446071142801516</v>
      </c>
      <c r="Y97" s="105">
        <v>1397.2409927985982</v>
      </c>
      <c r="Z97" s="105">
        <v>6.2215649596283082</v>
      </c>
      <c r="AA97" s="105">
        <v>1567.8343698263336</v>
      </c>
      <c r="AB97" s="105">
        <v>5.8797207310773025</v>
      </c>
      <c r="AC97" s="105">
        <v>1481.6896242314801</v>
      </c>
      <c r="AD97" s="105">
        <v>6.5330230345303359</v>
      </c>
      <c r="AE97" s="105">
        <v>1646.3218047016446</v>
      </c>
      <c r="AF97" s="105">
        <v>0</v>
      </c>
      <c r="AG97" s="105">
        <v>0</v>
      </c>
      <c r="AH97" s="105">
        <v>7.8604224489795911</v>
      </c>
      <c r="AI97" s="105">
        <v>1980.826457142857</v>
      </c>
      <c r="AJ97" s="105">
        <v>6.159707432557175</v>
      </c>
      <c r="AK97" s="105">
        <v>1552.2462730044081</v>
      </c>
      <c r="AL97" s="105">
        <v>6.6518052715217983</v>
      </c>
      <c r="AM97" s="105">
        <v>1676.2549284234931</v>
      </c>
      <c r="AN97" s="105">
        <v>5.1716915330941724</v>
      </c>
      <c r="AO97" s="105">
        <v>1303.2662663397314</v>
      </c>
      <c r="AP97" s="105">
        <v>5.8380205840483868</v>
      </c>
      <c r="AQ97" s="105">
        <v>1471.1811871801935</v>
      </c>
      <c r="AR97" s="105">
        <v>5.4877393490054827</v>
      </c>
      <c r="AS97" s="105">
        <v>1382.9103159493816</v>
      </c>
      <c r="AT97" s="105">
        <v>4.8681558741177673</v>
      </c>
      <c r="AU97" s="105">
        <v>1226.7752802776774</v>
      </c>
      <c r="AV97" s="105">
        <v>6.3976235934001746</v>
      </c>
      <c r="AW97" s="105">
        <v>1612.201145536844</v>
      </c>
      <c r="AX97" s="105">
        <v>3.8510451571968298</v>
      </c>
      <c r="AY97" s="105">
        <v>970.46337961360109</v>
      </c>
      <c r="AZ97" s="105">
        <v>6.3696974586670789</v>
      </c>
      <c r="BA97" s="105">
        <v>1605.1637595841039</v>
      </c>
      <c r="BB97" s="105">
        <v>4.2577288052628743</v>
      </c>
      <c r="BC97" s="105">
        <v>1072.9476589262442</v>
      </c>
      <c r="BD97" s="105">
        <v>5.7843739084111849</v>
      </c>
      <c r="BE97" s="105">
        <v>1457.6622249196187</v>
      </c>
      <c r="BF97" s="105">
        <v>5.3801366166720426</v>
      </c>
      <c r="BG97" s="105">
        <v>1355.7944274013548</v>
      </c>
      <c r="BH97" s="105">
        <v>4.4696519584660042</v>
      </c>
      <c r="BI97" s="105">
        <v>1126.3522935334331</v>
      </c>
      <c r="BJ97" s="105">
        <v>4.1387978330488284</v>
      </c>
      <c r="BK97" s="105">
        <v>1042.9770539283047</v>
      </c>
      <c r="BL97" s="105">
        <v>6.8190843981724942</v>
      </c>
      <c r="BM97" s="105">
        <v>1718.4092683394686</v>
      </c>
      <c r="BN97" s="105">
        <v>5.0869493965500263</v>
      </c>
      <c r="BO97" s="105">
        <v>1281.9112479306066</v>
      </c>
      <c r="BP97" s="105">
        <v>5.5807518803445584</v>
      </c>
      <c r="BQ97" s="105">
        <v>1406.3494738468287</v>
      </c>
      <c r="BR97" s="105">
        <v>5.5734852763336935</v>
      </c>
      <c r="BS97" s="105">
        <v>1404.5182896360907</v>
      </c>
      <c r="BT97" s="105">
        <v>4.8421229550048377</v>
      </c>
      <c r="BU97" s="105">
        <v>1220.2149846612192</v>
      </c>
      <c r="BV97" s="105">
        <v>0</v>
      </c>
      <c r="BW97" s="105">
        <v>0</v>
      </c>
      <c r="BX97" s="105">
        <v>9.3372290909090907</v>
      </c>
      <c r="BY97" s="105">
        <v>2352.9817309090909</v>
      </c>
      <c r="BZ97" s="105">
        <v>4.9389654141049339</v>
      </c>
      <c r="CA97" s="105">
        <v>1244.6192843544434</v>
      </c>
      <c r="CB97" s="105">
        <v>4.7951120525290625</v>
      </c>
      <c r="CC97" s="105">
        <v>1208.3682372373237</v>
      </c>
      <c r="CD97" s="105">
        <v>4.4495183910855269</v>
      </c>
      <c r="CE97" s="105">
        <v>1121.2786345535528</v>
      </c>
      <c r="CF97" s="105">
        <v>6.4986387027696502</v>
      </c>
      <c r="CG97" s="105">
        <v>1637.6569530979518</v>
      </c>
      <c r="CH97" s="105">
        <v>4.5450601970290805</v>
      </c>
      <c r="CI97" s="105">
        <v>1145.3551696513282</v>
      </c>
      <c r="CJ97" s="105">
        <v>4.7796439491338081</v>
      </c>
      <c r="CK97" s="105">
        <v>1204.4702751817197</v>
      </c>
      <c r="CL97" s="105">
        <v>4.8944702301940799</v>
      </c>
      <c r="CM97" s="105">
        <v>1233.4064980089081</v>
      </c>
      <c r="CN97" s="105">
        <v>5.7429830396569006</v>
      </c>
      <c r="CO97" s="105">
        <v>1447.2317259935389</v>
      </c>
      <c r="CP97" s="105">
        <v>5.4045917831114609</v>
      </c>
      <c r="CQ97" s="105">
        <v>1361.9571293440881</v>
      </c>
      <c r="CR97" s="105">
        <v>5.1447556396926402</v>
      </c>
      <c r="CS97" s="105">
        <v>1296.4784212025454</v>
      </c>
      <c r="CT97" s="105">
        <v>5.422017919676076</v>
      </c>
      <c r="CU97" s="105">
        <v>1366.3485157583711</v>
      </c>
    </row>
    <row r="98" spans="2:99" x14ac:dyDescent="0.2">
      <c r="C98" s="104" t="s">
        <v>264</v>
      </c>
      <c r="D98" s="105">
        <v>5</v>
      </c>
      <c r="E98" s="105">
        <v>4068</v>
      </c>
      <c r="F98" s="105">
        <v>2.1801363193768259</v>
      </c>
      <c r="G98" s="105">
        <v>1773.7589094449856</v>
      </c>
      <c r="H98" s="105">
        <v>5</v>
      </c>
      <c r="I98" s="105">
        <v>4068</v>
      </c>
      <c r="J98" s="105">
        <v>1.264200369675289</v>
      </c>
      <c r="K98" s="105">
        <v>1028.5534207678152</v>
      </c>
      <c r="L98" s="105">
        <v>0</v>
      </c>
      <c r="M98" s="105">
        <v>0</v>
      </c>
      <c r="N98" s="105">
        <v>0</v>
      </c>
      <c r="O98" s="105">
        <v>0</v>
      </c>
      <c r="P98" s="105">
        <v>6.0974881655616473</v>
      </c>
      <c r="Q98" s="105">
        <v>4960.9163715009563</v>
      </c>
      <c r="R98" s="105">
        <v>4.8739790270772376</v>
      </c>
      <c r="S98" s="105">
        <v>3965.4693364300406</v>
      </c>
      <c r="T98" s="105">
        <v>0</v>
      </c>
      <c r="U98" s="105">
        <v>0</v>
      </c>
      <c r="V98" s="105">
        <v>9.537312571428572</v>
      </c>
      <c r="W98" s="105">
        <v>7759.5575081142861</v>
      </c>
      <c r="X98" s="105">
        <v>4.6915906351601278</v>
      </c>
      <c r="Y98" s="105">
        <v>3817.0781407662798</v>
      </c>
      <c r="Z98" s="105">
        <v>4.7858191997140835</v>
      </c>
      <c r="AA98" s="105">
        <v>3893.7425008873784</v>
      </c>
      <c r="AB98" s="105">
        <v>5.8797207310773025</v>
      </c>
      <c r="AC98" s="105">
        <v>4783.7407868044938</v>
      </c>
      <c r="AD98" s="105">
        <v>5.6619532965929578</v>
      </c>
      <c r="AE98" s="105">
        <v>4606.5652021080305</v>
      </c>
      <c r="AF98" s="105">
        <v>0</v>
      </c>
      <c r="AG98" s="105">
        <v>0</v>
      </c>
      <c r="AH98" s="105">
        <v>7.8604224489795911</v>
      </c>
      <c r="AI98" s="105">
        <v>6395.2397044897953</v>
      </c>
      <c r="AJ98" s="105">
        <v>5.0397606266376886</v>
      </c>
      <c r="AK98" s="105">
        <v>4100.3492458324235</v>
      </c>
      <c r="AL98" s="105">
        <v>5.4045917831114609</v>
      </c>
      <c r="AM98" s="105">
        <v>4397.1758747394852</v>
      </c>
      <c r="AN98" s="105">
        <v>5.1716915330941724</v>
      </c>
      <c r="AO98" s="105">
        <v>4207.6882313254191</v>
      </c>
      <c r="AP98" s="105">
        <v>5.2542185256435472</v>
      </c>
      <c r="AQ98" s="105">
        <v>4274.8321924635902</v>
      </c>
      <c r="AR98" s="105">
        <v>5.9450509614226057</v>
      </c>
      <c r="AS98" s="105">
        <v>4836.893462213432</v>
      </c>
      <c r="AT98" s="105">
        <v>5.3107154990375642</v>
      </c>
      <c r="AU98" s="105">
        <v>4320.7981300169622</v>
      </c>
      <c r="AV98" s="105">
        <v>5.9711153538401618</v>
      </c>
      <c r="AW98" s="105">
        <v>4858.0994518843554</v>
      </c>
      <c r="AX98" s="105">
        <v>3.8510451571968298</v>
      </c>
      <c r="AY98" s="105">
        <v>3133.2103398953409</v>
      </c>
      <c r="AZ98" s="105">
        <v>5.8797207310773025</v>
      </c>
      <c r="BA98" s="105">
        <v>4783.7407868044938</v>
      </c>
      <c r="BB98" s="105">
        <v>3.7846478269003327</v>
      </c>
      <c r="BC98" s="105">
        <v>3079.1894719661109</v>
      </c>
      <c r="BD98" s="105">
        <v>5.7843739084111849</v>
      </c>
      <c r="BE98" s="105">
        <v>4706.16661188334</v>
      </c>
      <c r="BF98" s="105">
        <v>5.3801366166720426</v>
      </c>
      <c r="BG98" s="105">
        <v>4377.2791513243737</v>
      </c>
      <c r="BH98" s="105">
        <v>4.4696519584660042</v>
      </c>
      <c r="BI98" s="105">
        <v>3636.508833407941</v>
      </c>
      <c r="BJ98" s="105">
        <v>4.1387978330488284</v>
      </c>
      <c r="BK98" s="105">
        <v>3367.3259169685271</v>
      </c>
      <c r="BL98" s="105">
        <v>5.8449294841478521</v>
      </c>
      <c r="BM98" s="105">
        <v>4755.4346283026925</v>
      </c>
      <c r="BN98" s="105">
        <v>5.0869493965500263</v>
      </c>
      <c r="BO98" s="105">
        <v>4138.742029033102</v>
      </c>
      <c r="BP98" s="105">
        <v>4.6506265669537994</v>
      </c>
      <c r="BQ98" s="105">
        <v>3783.7497748736114</v>
      </c>
      <c r="BR98" s="105">
        <v>5.5734852763336935</v>
      </c>
      <c r="BS98" s="105">
        <v>4534.5876208250929</v>
      </c>
      <c r="BT98" s="105">
        <v>4.4386127087544347</v>
      </c>
      <c r="BU98" s="105">
        <v>3611.2552998426081</v>
      </c>
      <c r="BV98" s="105">
        <v>0</v>
      </c>
      <c r="BW98" s="105">
        <v>0</v>
      </c>
      <c r="BX98" s="105">
        <v>8.5591266666666659</v>
      </c>
      <c r="BY98" s="105">
        <v>6963.7054559999997</v>
      </c>
      <c r="BZ98" s="105">
        <v>4.5273849629295233</v>
      </c>
      <c r="CA98" s="105">
        <v>3683.4804058394602</v>
      </c>
      <c r="CB98" s="105">
        <v>4.3955193814849736</v>
      </c>
      <c r="CC98" s="105">
        <v>3576.1945687761745</v>
      </c>
      <c r="CD98" s="105">
        <v>4.4495183910855269</v>
      </c>
      <c r="CE98" s="105">
        <v>3620.1281629871846</v>
      </c>
      <c r="CF98" s="105">
        <v>6.4986387027696502</v>
      </c>
      <c r="CG98" s="105">
        <v>5287.2924485733874</v>
      </c>
      <c r="CH98" s="105">
        <v>4.5450601970290805</v>
      </c>
      <c r="CI98" s="105">
        <v>3697.8609763028599</v>
      </c>
      <c r="CJ98" s="105">
        <v>4.248572399230051</v>
      </c>
      <c r="CK98" s="105">
        <v>3456.6385040135697</v>
      </c>
      <c r="CL98" s="105">
        <v>4.4495183910855269</v>
      </c>
      <c r="CM98" s="105">
        <v>3620.1281629871846</v>
      </c>
      <c r="CN98" s="105">
        <v>6.1258485756340271</v>
      </c>
      <c r="CO98" s="105">
        <v>4983.9904011358449</v>
      </c>
      <c r="CP98" s="105">
        <v>5.8203296125815722</v>
      </c>
      <c r="CQ98" s="105">
        <v>4735.4201727963673</v>
      </c>
      <c r="CR98" s="105">
        <v>4.2093455233848873</v>
      </c>
      <c r="CS98" s="105">
        <v>3424.7235178259443</v>
      </c>
      <c r="CT98" s="105">
        <v>4.9291071997055234</v>
      </c>
      <c r="CU98" s="105">
        <v>4010.321617680414</v>
      </c>
    </row>
    <row r="99" spans="2:99" x14ac:dyDescent="0.2">
      <c r="C99" s="104" t="s">
        <v>265</v>
      </c>
      <c r="D99" s="105">
        <v>4</v>
      </c>
      <c r="E99" s="105">
        <v>15532.8</v>
      </c>
      <c r="F99" s="105">
        <v>1.5572402281263042</v>
      </c>
      <c r="G99" s="105">
        <v>6047.0752538600645</v>
      </c>
      <c r="H99" s="105">
        <v>5</v>
      </c>
      <c r="I99" s="105">
        <v>19416</v>
      </c>
      <c r="J99" s="105">
        <v>1.0535003080627408</v>
      </c>
      <c r="K99" s="105">
        <v>4090.9523962692347</v>
      </c>
      <c r="L99" s="105">
        <v>0</v>
      </c>
      <c r="M99" s="105">
        <v>0</v>
      </c>
      <c r="N99" s="105">
        <v>0</v>
      </c>
      <c r="O99" s="105">
        <v>0</v>
      </c>
      <c r="P99" s="105">
        <v>5.081240137968039</v>
      </c>
      <c r="Q99" s="105">
        <v>19731.471703757488</v>
      </c>
      <c r="R99" s="105">
        <v>4.3324258018464334</v>
      </c>
      <c r="S99" s="105">
        <v>16823.67587373007</v>
      </c>
      <c r="T99" s="105">
        <v>0</v>
      </c>
      <c r="U99" s="105">
        <v>0</v>
      </c>
      <c r="V99" s="105">
        <v>6.6027548571428571</v>
      </c>
      <c r="W99" s="105">
        <v>25639.817661257141</v>
      </c>
      <c r="X99" s="105">
        <v>4.2650823956001158</v>
      </c>
      <c r="Y99" s="105">
        <v>16562.167958594368</v>
      </c>
      <c r="Z99" s="105">
        <v>4.7858191997140835</v>
      </c>
      <c r="AA99" s="105">
        <v>18584.293116329729</v>
      </c>
      <c r="AB99" s="105">
        <v>4.703776584861842</v>
      </c>
      <c r="AC99" s="105">
        <v>18265.705234335503</v>
      </c>
      <c r="AD99" s="105">
        <v>4.7908835586555796</v>
      </c>
      <c r="AE99" s="105">
        <v>18603.959034971347</v>
      </c>
      <c r="AF99" s="105">
        <v>0</v>
      </c>
      <c r="AG99" s="105">
        <v>0</v>
      </c>
      <c r="AH99" s="105">
        <v>6.1136619047619041</v>
      </c>
      <c r="AI99" s="105">
        <v>23740.571908571426</v>
      </c>
      <c r="AJ99" s="105">
        <v>4.4797872236779446</v>
      </c>
      <c r="AK99" s="105">
        <v>17395.909746986192</v>
      </c>
      <c r="AL99" s="105">
        <v>4.5731161241712357</v>
      </c>
      <c r="AM99" s="105">
        <v>17758.324533381743</v>
      </c>
      <c r="AN99" s="105">
        <v>4.3097429442451434</v>
      </c>
      <c r="AO99" s="105">
        <v>16735.593801092738</v>
      </c>
      <c r="AP99" s="105">
        <v>4.6704164672387085</v>
      </c>
      <c r="AQ99" s="105">
        <v>18136.161225581352</v>
      </c>
      <c r="AR99" s="105">
        <v>4.5731161241712357</v>
      </c>
      <c r="AS99" s="105">
        <v>17758.324533381743</v>
      </c>
      <c r="AT99" s="105">
        <v>4.4255962491979703</v>
      </c>
      <c r="AU99" s="105">
        <v>17185.475354885559</v>
      </c>
      <c r="AV99" s="105">
        <v>4.6915906351601278</v>
      </c>
      <c r="AW99" s="105">
        <v>18218.384754453808</v>
      </c>
      <c r="AX99" s="105">
        <v>3.3696645125472262</v>
      </c>
      <c r="AY99" s="105">
        <v>13085.081235123389</v>
      </c>
      <c r="AZ99" s="105">
        <v>4.4097905483079769</v>
      </c>
      <c r="BA99" s="105">
        <v>17124.098657189534</v>
      </c>
      <c r="BB99" s="105">
        <v>3.3115668485377912</v>
      </c>
      <c r="BC99" s="105">
        <v>12859.47638624195</v>
      </c>
      <c r="BD99" s="105">
        <v>4.8944702301940799</v>
      </c>
      <c r="BE99" s="105">
        <v>19006.206797889648</v>
      </c>
      <c r="BF99" s="105">
        <v>3.7660956316704293</v>
      </c>
      <c r="BG99" s="105">
        <v>14624.502556902611</v>
      </c>
      <c r="BH99" s="105">
        <v>3.7247099653883367</v>
      </c>
      <c r="BI99" s="105">
        <v>14463.793737595988</v>
      </c>
      <c r="BJ99" s="105">
        <v>3.2190649812601992</v>
      </c>
      <c r="BK99" s="105">
        <v>12500.273135229605</v>
      </c>
      <c r="BL99" s="105">
        <v>4.870774570123209</v>
      </c>
      <c r="BM99" s="105">
        <v>18914.191810702443</v>
      </c>
      <c r="BN99" s="105">
        <v>4.6244994514091147</v>
      </c>
      <c r="BO99" s="105">
        <v>17957.856269711872</v>
      </c>
      <c r="BP99" s="105">
        <v>3.7205012535630391</v>
      </c>
      <c r="BQ99" s="105">
        <v>14447.450467835992</v>
      </c>
      <c r="BR99" s="105">
        <v>4.7160260030515868</v>
      </c>
      <c r="BS99" s="105">
        <v>18313.272175049922</v>
      </c>
      <c r="BT99" s="105">
        <v>3.6315922162536287</v>
      </c>
      <c r="BU99" s="105">
        <v>14102.19889415609</v>
      </c>
      <c r="BV99" s="105">
        <v>0</v>
      </c>
      <c r="BW99" s="105">
        <v>0</v>
      </c>
      <c r="BX99" s="105">
        <v>7.002921818181818</v>
      </c>
      <c r="BY99" s="105">
        <v>27193.746004363635</v>
      </c>
      <c r="BZ99" s="105">
        <v>4.1158045117541127</v>
      </c>
      <c r="CA99" s="105">
        <v>15982.49208004357</v>
      </c>
      <c r="CB99" s="105">
        <v>3.9959267104408855</v>
      </c>
      <c r="CC99" s="105">
        <v>15516.982601984046</v>
      </c>
      <c r="CD99" s="105">
        <v>3.5596147128684215</v>
      </c>
      <c r="CE99" s="105">
        <v>13822.695853010653</v>
      </c>
      <c r="CF99" s="105">
        <v>4.3324258018464334</v>
      </c>
      <c r="CG99" s="105">
        <v>16823.67587373007</v>
      </c>
      <c r="CH99" s="105">
        <v>3.0300401313527208</v>
      </c>
      <c r="CI99" s="105">
        <v>11766.251838068885</v>
      </c>
      <c r="CJ99" s="105">
        <v>3.7175008493262944</v>
      </c>
      <c r="CK99" s="105">
        <v>14435.799298103866</v>
      </c>
      <c r="CL99" s="105">
        <v>4.004566551976974</v>
      </c>
      <c r="CM99" s="105">
        <v>15550.532834636984</v>
      </c>
      <c r="CN99" s="105">
        <v>4.5943864317255203</v>
      </c>
      <c r="CO99" s="105">
        <v>17840.92139167654</v>
      </c>
      <c r="CP99" s="105">
        <v>4.5731161241712357</v>
      </c>
      <c r="CQ99" s="105">
        <v>17758.324533381743</v>
      </c>
      <c r="CR99" s="105">
        <v>3.7416404652310113</v>
      </c>
      <c r="CS99" s="105">
        <v>14529.538254585063</v>
      </c>
      <c r="CT99" s="105">
        <v>4.4361964797349716</v>
      </c>
      <c r="CU99" s="105">
        <v>17226.638170106842</v>
      </c>
    </row>
    <row r="100" spans="2:99" x14ac:dyDescent="0.2">
      <c r="C100" s="104" t="s">
        <v>266</v>
      </c>
      <c r="D100" s="105">
        <v>5</v>
      </c>
      <c r="E100" s="105">
        <v>2765.9999999999995</v>
      </c>
      <c r="F100" s="105">
        <v>2.1801363193768259</v>
      </c>
      <c r="G100" s="105">
        <v>1206.0514118792601</v>
      </c>
      <c r="H100" s="105">
        <v>6</v>
      </c>
      <c r="I100" s="105">
        <v>3319.2</v>
      </c>
      <c r="J100" s="105">
        <v>1.0535003080627408</v>
      </c>
      <c r="K100" s="105">
        <v>582.79637042030811</v>
      </c>
      <c r="L100" s="105">
        <v>0</v>
      </c>
      <c r="M100" s="105">
        <v>0</v>
      </c>
      <c r="N100" s="105">
        <v>0</v>
      </c>
      <c r="O100" s="105">
        <v>0</v>
      </c>
      <c r="P100" s="105">
        <v>6.0974881655616473</v>
      </c>
      <c r="Q100" s="105">
        <v>3373.1304531887031</v>
      </c>
      <c r="R100" s="105">
        <v>5.9570854775388469</v>
      </c>
      <c r="S100" s="105">
        <v>3295.4596861744899</v>
      </c>
      <c r="T100" s="105">
        <v>0</v>
      </c>
      <c r="U100" s="105">
        <v>0</v>
      </c>
      <c r="V100" s="105">
        <v>8.0700337142857155</v>
      </c>
      <c r="W100" s="105">
        <v>4464.3426507428576</v>
      </c>
      <c r="X100" s="105">
        <v>4.6915906351601278</v>
      </c>
      <c r="Y100" s="105">
        <v>2595.3879393705824</v>
      </c>
      <c r="Z100" s="105">
        <v>5.7429830396569006</v>
      </c>
      <c r="AA100" s="105">
        <v>3177.018217538197</v>
      </c>
      <c r="AB100" s="105">
        <v>5.8797207310773025</v>
      </c>
      <c r="AC100" s="105">
        <v>3252.6615084319633</v>
      </c>
      <c r="AD100" s="105">
        <v>5.6619532965929578</v>
      </c>
      <c r="AE100" s="105">
        <v>3132.1925636752239</v>
      </c>
      <c r="AF100" s="105">
        <v>0</v>
      </c>
      <c r="AG100" s="105">
        <v>0</v>
      </c>
      <c r="AH100" s="105">
        <v>7.8604224489795911</v>
      </c>
      <c r="AI100" s="105">
        <v>4348.3856987755089</v>
      </c>
      <c r="AJ100" s="105">
        <v>5.0397606266376886</v>
      </c>
      <c r="AK100" s="105">
        <v>2787.995578655969</v>
      </c>
      <c r="AL100" s="105">
        <v>6.2360674420516853</v>
      </c>
      <c r="AM100" s="105">
        <v>3449.7925089429918</v>
      </c>
      <c r="AN100" s="105">
        <v>5.1716915330941724</v>
      </c>
      <c r="AO100" s="105">
        <v>2860.9797561076957</v>
      </c>
      <c r="AP100" s="105">
        <v>5.2542185256435472</v>
      </c>
      <c r="AQ100" s="105">
        <v>2906.6336883860099</v>
      </c>
      <c r="AR100" s="105">
        <v>5.9450509614226057</v>
      </c>
      <c r="AS100" s="105">
        <v>3288.8021918589852</v>
      </c>
      <c r="AT100" s="105">
        <v>4.8681558741177673</v>
      </c>
      <c r="AU100" s="105">
        <v>2693.0638295619488</v>
      </c>
      <c r="AV100" s="105">
        <v>5.5446071142801516</v>
      </c>
      <c r="AW100" s="105">
        <v>3067.2766556197794</v>
      </c>
      <c r="AX100" s="105">
        <v>3.8510451571968298</v>
      </c>
      <c r="AY100" s="105">
        <v>2130.398180961286</v>
      </c>
      <c r="AZ100" s="105">
        <v>6.3696974586670789</v>
      </c>
      <c r="BA100" s="105">
        <v>3523.7166341346278</v>
      </c>
      <c r="BB100" s="105">
        <v>4.2577288052628743</v>
      </c>
      <c r="BC100" s="105">
        <v>2355.3755750714217</v>
      </c>
      <c r="BD100" s="105">
        <v>6.2293257475197379</v>
      </c>
      <c r="BE100" s="105">
        <v>3446.0630035279187</v>
      </c>
      <c r="BF100" s="105">
        <v>5.9181502783392457</v>
      </c>
      <c r="BG100" s="105">
        <v>3273.9207339772702</v>
      </c>
      <c r="BH100" s="105">
        <v>5.2145939515436712</v>
      </c>
      <c r="BI100" s="105">
        <v>2884.7133739939586</v>
      </c>
      <c r="BJ100" s="105">
        <v>4.1387978330488284</v>
      </c>
      <c r="BK100" s="105">
        <v>2289.5829612426114</v>
      </c>
      <c r="BL100" s="105">
        <v>6.3320069411601727</v>
      </c>
      <c r="BM100" s="105">
        <v>3502.8662398498072</v>
      </c>
      <c r="BN100" s="105">
        <v>5.0869493965500263</v>
      </c>
      <c r="BO100" s="105">
        <v>2814.1004061714743</v>
      </c>
      <c r="BP100" s="105">
        <v>4.6506265669537994</v>
      </c>
      <c r="BQ100" s="105">
        <v>2572.7266168388414</v>
      </c>
      <c r="BR100" s="105">
        <v>5.1447556396926402</v>
      </c>
      <c r="BS100" s="105">
        <v>2846.0788198779683</v>
      </c>
      <c r="BT100" s="105">
        <v>5.2456332012552407</v>
      </c>
      <c r="BU100" s="105">
        <v>2901.8842869343989</v>
      </c>
      <c r="BV100" s="105">
        <v>0</v>
      </c>
      <c r="BW100" s="105">
        <v>0</v>
      </c>
      <c r="BX100" s="105">
        <v>7.7810242424242428</v>
      </c>
      <c r="BY100" s="105">
        <v>4304.4626109090905</v>
      </c>
      <c r="BZ100" s="105">
        <v>5.3505458652803464</v>
      </c>
      <c r="CA100" s="105">
        <v>2959.9219726730871</v>
      </c>
      <c r="CB100" s="105">
        <v>4.3955193814849736</v>
      </c>
      <c r="CC100" s="105">
        <v>2431.6013218374869</v>
      </c>
      <c r="CD100" s="105">
        <v>4.8944702301940799</v>
      </c>
      <c r="CE100" s="105">
        <v>2707.6209313433646</v>
      </c>
      <c r="CF100" s="105">
        <v>5.6321535424003644</v>
      </c>
      <c r="CG100" s="105">
        <v>3115.7073396558812</v>
      </c>
      <c r="CH100" s="105">
        <v>4.0400535084702938</v>
      </c>
      <c r="CI100" s="105">
        <v>2234.9576008857662</v>
      </c>
      <c r="CJ100" s="105">
        <v>4.7796439491338081</v>
      </c>
      <c r="CK100" s="105">
        <v>2644.0990326608221</v>
      </c>
      <c r="CL100" s="105">
        <v>4.8944702301940799</v>
      </c>
      <c r="CM100" s="105">
        <v>2707.6209313433646</v>
      </c>
      <c r="CN100" s="105">
        <v>5.7429830396569006</v>
      </c>
      <c r="CO100" s="105">
        <v>3177.018217538197</v>
      </c>
      <c r="CP100" s="105">
        <v>5.4045917831114609</v>
      </c>
      <c r="CQ100" s="105">
        <v>2989.8201744172598</v>
      </c>
      <c r="CR100" s="105">
        <v>4.6770505815387633</v>
      </c>
      <c r="CS100" s="105">
        <v>2587.3443817072434</v>
      </c>
      <c r="CT100" s="105">
        <v>5.9149286396466279</v>
      </c>
      <c r="CU100" s="105">
        <v>3272.1385234525142</v>
      </c>
    </row>
    <row r="101" spans="2:99" x14ac:dyDescent="0.2">
      <c r="C101" s="104" t="s">
        <v>267</v>
      </c>
      <c r="D101" s="105">
        <v>4</v>
      </c>
      <c r="E101" s="105">
        <v>3408</v>
      </c>
      <c r="F101" s="105">
        <v>6</v>
      </c>
      <c r="G101" s="105">
        <v>5112</v>
      </c>
      <c r="H101" s="105">
        <v>1.1215304774193573</v>
      </c>
      <c r="I101" s="105">
        <v>955.54396676129238</v>
      </c>
      <c r="J101" s="105">
        <v>0</v>
      </c>
      <c r="K101" s="105">
        <v>0</v>
      </c>
      <c r="L101" s="105">
        <v>0</v>
      </c>
      <c r="M101" s="105">
        <v>0</v>
      </c>
      <c r="N101" s="105">
        <v>0</v>
      </c>
      <c r="O101" s="105">
        <v>0</v>
      </c>
      <c r="P101" s="105">
        <v>7.3975678964311449</v>
      </c>
      <c r="Q101" s="105">
        <v>6302.7278477593354</v>
      </c>
      <c r="R101" s="105">
        <v>7.0857930042443913</v>
      </c>
      <c r="S101" s="105">
        <v>6037.095639616221</v>
      </c>
      <c r="T101" s="105">
        <v>5.439388159140548</v>
      </c>
      <c r="U101" s="105">
        <v>4634.3587115877472</v>
      </c>
      <c r="V101" s="105">
        <v>7.6622642995049528</v>
      </c>
      <c r="W101" s="105">
        <v>6528.2491831782199</v>
      </c>
      <c r="X101" s="105">
        <v>5.636242206804682</v>
      </c>
      <c r="Y101" s="105">
        <v>4802.0783601975891</v>
      </c>
      <c r="Z101" s="105">
        <v>7.1733991722968682</v>
      </c>
      <c r="AA101" s="105">
        <v>6111.7360947969319</v>
      </c>
      <c r="AB101" s="105">
        <v>4.2678276325564299</v>
      </c>
      <c r="AC101" s="105">
        <v>3636.1891429380785</v>
      </c>
      <c r="AD101" s="105">
        <v>7.4549133840003785</v>
      </c>
      <c r="AE101" s="105">
        <v>6351.5862031683228</v>
      </c>
      <c r="AF101" s="105">
        <v>4.9093964923524949</v>
      </c>
      <c r="AG101" s="105">
        <v>4182.8058114843252</v>
      </c>
      <c r="AH101" s="105">
        <v>6.5756159079387961</v>
      </c>
      <c r="AI101" s="105">
        <v>5602.4247535638542</v>
      </c>
      <c r="AJ101" s="105">
        <v>0</v>
      </c>
      <c r="AK101" s="105">
        <v>0</v>
      </c>
      <c r="AL101" s="105">
        <v>13</v>
      </c>
      <c r="AM101" s="105">
        <v>11076</v>
      </c>
      <c r="AN101" s="105">
        <v>7.8039690108377338</v>
      </c>
      <c r="AO101" s="105">
        <v>6648.9815972337492</v>
      </c>
      <c r="AP101" s="105">
        <v>5.4796799232823297</v>
      </c>
      <c r="AQ101" s="105">
        <v>4668.6872946365447</v>
      </c>
      <c r="AR101" s="105">
        <v>6.5392865382816749</v>
      </c>
      <c r="AS101" s="105">
        <v>5571.4721306159872</v>
      </c>
      <c r="AT101" s="105">
        <v>7.6406804564077557</v>
      </c>
      <c r="AU101" s="105">
        <v>6509.8597488594078</v>
      </c>
      <c r="AV101" s="105">
        <v>8.7397426624502987</v>
      </c>
      <c r="AW101" s="105">
        <v>7446.2607484076543</v>
      </c>
      <c r="AX101" s="105">
        <v>4.6144673038166983</v>
      </c>
      <c r="AY101" s="105">
        <v>3931.526142851827</v>
      </c>
      <c r="AZ101" s="105">
        <v>5.9089636039081341</v>
      </c>
      <c r="BA101" s="105">
        <v>5034.4369905297299</v>
      </c>
      <c r="BB101" s="105">
        <v>4.6690763843352396</v>
      </c>
      <c r="BC101" s="105">
        <v>3978.0530794536244</v>
      </c>
      <c r="BD101" s="105">
        <v>8.7954098131665415</v>
      </c>
      <c r="BE101" s="105">
        <v>7493.689160817893</v>
      </c>
      <c r="BF101" s="105">
        <v>5.6805058890570752</v>
      </c>
      <c r="BG101" s="105">
        <v>4839.7910174766284</v>
      </c>
      <c r="BH101" s="105">
        <v>5.2141447728149046</v>
      </c>
      <c r="BI101" s="105">
        <v>4442.451346438299</v>
      </c>
      <c r="BJ101" s="105">
        <v>6.8285242120902883</v>
      </c>
      <c r="BK101" s="105">
        <v>5817.9026287009256</v>
      </c>
      <c r="BL101" s="105">
        <v>5.0464029060925641</v>
      </c>
      <c r="BM101" s="105">
        <v>4299.5352759908646</v>
      </c>
      <c r="BN101" s="105">
        <v>6.1646399136926213</v>
      </c>
      <c r="BO101" s="105">
        <v>5252.2732064661132</v>
      </c>
      <c r="BP101" s="105">
        <v>6.2354978437350654</v>
      </c>
      <c r="BQ101" s="105">
        <v>5312.6441628622761</v>
      </c>
      <c r="BR101" s="105">
        <v>6.931054605665218</v>
      </c>
      <c r="BS101" s="105">
        <v>5905.2585240267654</v>
      </c>
      <c r="BT101" s="105">
        <v>5.5830701105140719</v>
      </c>
      <c r="BU101" s="105">
        <v>4756.7757341579891</v>
      </c>
      <c r="BV101" s="105">
        <v>7.0453027585058523</v>
      </c>
      <c r="BW101" s="105">
        <v>6002.5979502469863</v>
      </c>
      <c r="BX101" s="105">
        <v>6.6157111268896429</v>
      </c>
      <c r="BY101" s="105">
        <v>5636.5858801099757</v>
      </c>
      <c r="BZ101" s="105">
        <v>5.5639826913328276</v>
      </c>
      <c r="CA101" s="105">
        <v>4740.5132530155688</v>
      </c>
      <c r="CB101" s="105">
        <v>6.5756159079387961</v>
      </c>
      <c r="CC101" s="105">
        <v>5602.4247535638542</v>
      </c>
      <c r="CD101" s="105">
        <v>6.1646399136926213</v>
      </c>
      <c r="CE101" s="105">
        <v>5252.2732064661132</v>
      </c>
      <c r="CF101" s="105">
        <v>6.9390921641565182</v>
      </c>
      <c r="CG101" s="105">
        <v>5912.1065238613537</v>
      </c>
      <c r="CH101" s="105">
        <v>3.5069951509006914</v>
      </c>
      <c r="CI101" s="105">
        <v>2987.9598685673891</v>
      </c>
      <c r="CJ101" s="105">
        <v>4.0465328664238749</v>
      </c>
      <c r="CK101" s="105">
        <v>3447.6460021931416</v>
      </c>
      <c r="CL101" s="105">
        <v>6.1298114396039631</v>
      </c>
      <c r="CM101" s="105">
        <v>5222.5993465425763</v>
      </c>
      <c r="CN101" s="105">
        <v>6.4527071993791916</v>
      </c>
      <c r="CO101" s="105">
        <v>5497.7065338710709</v>
      </c>
      <c r="CP101" s="105">
        <v>5.2839770688793894</v>
      </c>
      <c r="CQ101" s="105">
        <v>4501.94846268524</v>
      </c>
      <c r="CR101" s="105">
        <v>4.3837439386258641</v>
      </c>
      <c r="CS101" s="105">
        <v>3734.9498357092361</v>
      </c>
      <c r="CT101" s="105">
        <v>7.482597412482078</v>
      </c>
      <c r="CU101" s="105">
        <v>6375.1729954347302</v>
      </c>
    </row>
    <row r="102" spans="2:99" x14ac:dyDescent="0.2">
      <c r="C102" s="104" t="s">
        <v>268</v>
      </c>
      <c r="D102" s="105">
        <v>5</v>
      </c>
      <c r="E102" s="105">
        <v>306</v>
      </c>
      <c r="F102" s="105">
        <v>2.1801363193768259</v>
      </c>
      <c r="G102" s="105">
        <v>133.42434274586174</v>
      </c>
      <c r="H102" s="105">
        <v>5</v>
      </c>
      <c r="I102" s="105">
        <v>306</v>
      </c>
      <c r="J102" s="105">
        <v>1.264200369675289</v>
      </c>
      <c r="K102" s="105">
        <v>77.369062624127679</v>
      </c>
      <c r="L102" s="105">
        <v>0</v>
      </c>
      <c r="M102" s="105">
        <v>0</v>
      </c>
      <c r="N102" s="105">
        <v>0</v>
      </c>
      <c r="O102" s="105">
        <v>0</v>
      </c>
      <c r="P102" s="105">
        <v>6.0974881655616473</v>
      </c>
      <c r="Q102" s="105">
        <v>373.16627573237281</v>
      </c>
      <c r="R102" s="105">
        <v>6.4986387027696502</v>
      </c>
      <c r="S102" s="105">
        <v>397.71668860950257</v>
      </c>
      <c r="T102" s="105">
        <v>0</v>
      </c>
      <c r="U102" s="105">
        <v>0</v>
      </c>
      <c r="V102" s="105">
        <v>9.537312571428572</v>
      </c>
      <c r="W102" s="105">
        <v>583.68352937142856</v>
      </c>
      <c r="X102" s="105">
        <v>5.5446071142801516</v>
      </c>
      <c r="Y102" s="105">
        <v>339.32995539394528</v>
      </c>
      <c r="Z102" s="105">
        <v>5.7429830396569006</v>
      </c>
      <c r="AA102" s="105">
        <v>351.4705620270023</v>
      </c>
      <c r="AB102" s="105">
        <v>5.8797207310773025</v>
      </c>
      <c r="AC102" s="105">
        <v>359.83890874193088</v>
      </c>
      <c r="AD102" s="105">
        <v>6.0974881655616473</v>
      </c>
      <c r="AE102" s="105">
        <v>373.16627573237281</v>
      </c>
      <c r="AF102" s="105">
        <v>0</v>
      </c>
      <c r="AG102" s="105">
        <v>0</v>
      </c>
      <c r="AH102" s="105">
        <v>7.8604224489795911</v>
      </c>
      <c r="AI102" s="105">
        <v>481.05785387755094</v>
      </c>
      <c r="AJ102" s="105">
        <v>5.5997340295974318</v>
      </c>
      <c r="AK102" s="105">
        <v>342.70372261136282</v>
      </c>
      <c r="AL102" s="105">
        <v>5.8203296125815722</v>
      </c>
      <c r="AM102" s="105">
        <v>356.20417228999219</v>
      </c>
      <c r="AN102" s="105">
        <v>5.6026658275186865</v>
      </c>
      <c r="AO102" s="105">
        <v>342.8831486441436</v>
      </c>
      <c r="AP102" s="105">
        <v>5.8380205840483868</v>
      </c>
      <c r="AQ102" s="105">
        <v>357.28685974376123</v>
      </c>
      <c r="AR102" s="105">
        <v>5.4877393490054827</v>
      </c>
      <c r="AS102" s="105">
        <v>335.84964815913554</v>
      </c>
      <c r="AT102" s="105">
        <v>4.8681558741177673</v>
      </c>
      <c r="AU102" s="105">
        <v>297.93113949600735</v>
      </c>
      <c r="AV102" s="105">
        <v>5.9711153538401618</v>
      </c>
      <c r="AW102" s="105">
        <v>365.4322596550179</v>
      </c>
      <c r="AX102" s="105">
        <v>3.8510451571968298</v>
      </c>
      <c r="AY102" s="105">
        <v>235.68396362044598</v>
      </c>
      <c r="AZ102" s="105">
        <v>6.3696974586670789</v>
      </c>
      <c r="BA102" s="105">
        <v>389.82548447042518</v>
      </c>
      <c r="BB102" s="105">
        <v>4.2577288052628743</v>
      </c>
      <c r="BC102" s="105">
        <v>260.57300288208791</v>
      </c>
      <c r="BD102" s="105">
        <v>7.1192294257368429</v>
      </c>
      <c r="BE102" s="105">
        <v>435.69684085509476</v>
      </c>
      <c r="BF102" s="105">
        <v>5.9181502783392457</v>
      </c>
      <c r="BG102" s="105">
        <v>362.19079703436182</v>
      </c>
      <c r="BH102" s="105">
        <v>5.2145939515436712</v>
      </c>
      <c r="BI102" s="105">
        <v>319.13314983447265</v>
      </c>
      <c r="BJ102" s="105">
        <v>4.1387978330488284</v>
      </c>
      <c r="BK102" s="105">
        <v>253.29442738258828</v>
      </c>
      <c r="BL102" s="105">
        <v>6.3320069411601727</v>
      </c>
      <c r="BM102" s="105">
        <v>387.51882479900252</v>
      </c>
      <c r="BN102" s="105">
        <v>5.0869493965500263</v>
      </c>
      <c r="BO102" s="105">
        <v>311.3213030688616</v>
      </c>
      <c r="BP102" s="105">
        <v>4.6506265669537994</v>
      </c>
      <c r="BQ102" s="105">
        <v>284.61834589757251</v>
      </c>
      <c r="BR102" s="105">
        <v>6.4309445496158002</v>
      </c>
      <c r="BS102" s="105">
        <v>393.57380643648696</v>
      </c>
      <c r="BT102" s="105">
        <v>5.2456332012552407</v>
      </c>
      <c r="BU102" s="105">
        <v>321.0327519168207</v>
      </c>
      <c r="BV102" s="105">
        <v>0</v>
      </c>
      <c r="BW102" s="105">
        <v>0</v>
      </c>
      <c r="BX102" s="105">
        <v>8.5591266666666659</v>
      </c>
      <c r="BY102" s="105">
        <v>523.81855199999995</v>
      </c>
      <c r="BZ102" s="105">
        <v>5.3505458652803464</v>
      </c>
      <c r="CA102" s="105">
        <v>327.45340695515716</v>
      </c>
      <c r="CB102" s="105">
        <v>4.7951120525290625</v>
      </c>
      <c r="CC102" s="105">
        <v>293.4608576147786</v>
      </c>
      <c r="CD102" s="105">
        <v>5.339422069302632</v>
      </c>
      <c r="CE102" s="105">
        <v>326.77263064132103</v>
      </c>
      <c r="CF102" s="105">
        <v>6.0653961225850068</v>
      </c>
      <c r="CG102" s="105">
        <v>371.2022427022024</v>
      </c>
      <c r="CH102" s="105">
        <v>4.0400535084702938</v>
      </c>
      <c r="CI102" s="105">
        <v>247.25127471838195</v>
      </c>
      <c r="CJ102" s="105">
        <v>4.7796439491338081</v>
      </c>
      <c r="CK102" s="105">
        <v>292.51420968698903</v>
      </c>
      <c r="CL102" s="105">
        <v>5.339422069302632</v>
      </c>
      <c r="CM102" s="105">
        <v>326.77263064132103</v>
      </c>
      <c r="CN102" s="105">
        <v>5.7429830396569006</v>
      </c>
      <c r="CO102" s="105">
        <v>351.4705620270023</v>
      </c>
      <c r="CP102" s="105">
        <v>5.8203296125815722</v>
      </c>
      <c r="CQ102" s="105">
        <v>356.20417228999219</v>
      </c>
      <c r="CR102" s="105">
        <v>4.6770505815387633</v>
      </c>
      <c r="CS102" s="105">
        <v>286.23549559017232</v>
      </c>
      <c r="CT102" s="105">
        <v>5.422017919676076</v>
      </c>
      <c r="CU102" s="105">
        <v>331.82749668417586</v>
      </c>
    </row>
    <row r="103" spans="2:99" x14ac:dyDescent="0.2">
      <c r="C103" s="104" t="s">
        <v>269</v>
      </c>
      <c r="D103" s="105">
        <v>5</v>
      </c>
      <c r="E103" s="105">
        <v>624</v>
      </c>
      <c r="F103" s="105">
        <v>2.1801363193768259</v>
      </c>
      <c r="G103" s="105">
        <v>272.08101265822785</v>
      </c>
      <c r="H103" s="105">
        <v>6</v>
      </c>
      <c r="I103" s="105">
        <v>748.8</v>
      </c>
      <c r="J103" s="105">
        <v>1.264200369675289</v>
      </c>
      <c r="K103" s="105">
        <v>157.77220613547607</v>
      </c>
      <c r="L103" s="105">
        <v>0</v>
      </c>
      <c r="M103" s="105">
        <v>0</v>
      </c>
      <c r="N103" s="105">
        <v>0</v>
      </c>
      <c r="O103" s="105">
        <v>0</v>
      </c>
      <c r="P103" s="105">
        <v>6.0974881655616473</v>
      </c>
      <c r="Q103" s="105">
        <v>760.96652306209353</v>
      </c>
      <c r="R103" s="105">
        <v>5.4155322523080418</v>
      </c>
      <c r="S103" s="105">
        <v>675.85842508804365</v>
      </c>
      <c r="T103" s="105">
        <v>0</v>
      </c>
      <c r="U103" s="105">
        <v>0</v>
      </c>
      <c r="V103" s="105">
        <v>10.270951999999999</v>
      </c>
      <c r="W103" s="105">
        <v>1281.8148096</v>
      </c>
      <c r="X103" s="105">
        <v>5.5446071142801516</v>
      </c>
      <c r="Y103" s="105">
        <v>691.96696786216296</v>
      </c>
      <c r="Z103" s="105">
        <v>5.2644011196854921</v>
      </c>
      <c r="AA103" s="105">
        <v>656.99725973674936</v>
      </c>
      <c r="AB103" s="105">
        <v>5.2917486579695723</v>
      </c>
      <c r="AC103" s="105">
        <v>660.41023251460263</v>
      </c>
      <c r="AD103" s="105">
        <v>5.6619532965929578</v>
      </c>
      <c r="AE103" s="105">
        <v>706.61177141480107</v>
      </c>
      <c r="AF103" s="105">
        <v>0</v>
      </c>
      <c r="AG103" s="105">
        <v>0</v>
      </c>
      <c r="AH103" s="105">
        <v>7.8604224489795911</v>
      </c>
      <c r="AI103" s="105">
        <v>980.98072163265294</v>
      </c>
      <c r="AJ103" s="105">
        <v>5.5997340295974318</v>
      </c>
      <c r="AK103" s="105">
        <v>698.84680689375944</v>
      </c>
      <c r="AL103" s="105">
        <v>5.8203296125815722</v>
      </c>
      <c r="AM103" s="105">
        <v>726.37713565018021</v>
      </c>
      <c r="AN103" s="105">
        <v>5.1716915330941724</v>
      </c>
      <c r="AO103" s="105">
        <v>645.4271033301527</v>
      </c>
      <c r="AP103" s="105">
        <v>5.8380205840483868</v>
      </c>
      <c r="AQ103" s="105">
        <v>728.58496888923867</v>
      </c>
      <c r="AR103" s="105">
        <v>5.9450509614226057</v>
      </c>
      <c r="AS103" s="105">
        <v>741.9423599855412</v>
      </c>
      <c r="AT103" s="105">
        <v>5.3107154990375642</v>
      </c>
      <c r="AU103" s="105">
        <v>662.777294279888</v>
      </c>
      <c r="AV103" s="105">
        <v>5.5446071142801516</v>
      </c>
      <c r="AW103" s="105">
        <v>691.96696786216296</v>
      </c>
      <c r="AX103" s="105">
        <v>4.3324258018464334</v>
      </c>
      <c r="AY103" s="105">
        <v>540.68674007043489</v>
      </c>
      <c r="AZ103" s="105">
        <v>6.3696974586670789</v>
      </c>
      <c r="BA103" s="105">
        <v>794.93824284165146</v>
      </c>
      <c r="BB103" s="105">
        <v>3.7846478269003327</v>
      </c>
      <c r="BC103" s="105">
        <v>472.32404879716154</v>
      </c>
      <c r="BD103" s="105">
        <v>6.67427758662829</v>
      </c>
      <c r="BE103" s="105">
        <v>832.9498428112106</v>
      </c>
      <c r="BF103" s="105">
        <v>5.3801366166720426</v>
      </c>
      <c r="BG103" s="105">
        <v>671.44104976067092</v>
      </c>
      <c r="BH103" s="105">
        <v>4.8421229550048377</v>
      </c>
      <c r="BI103" s="105">
        <v>604.29694478460374</v>
      </c>
      <c r="BJ103" s="105">
        <v>4.1387978330488284</v>
      </c>
      <c r="BK103" s="105">
        <v>516.52196956449382</v>
      </c>
      <c r="BL103" s="105">
        <v>5.8449294841478521</v>
      </c>
      <c r="BM103" s="105">
        <v>729.44719962165198</v>
      </c>
      <c r="BN103" s="105">
        <v>5.0869493965500263</v>
      </c>
      <c r="BO103" s="105">
        <v>634.85128468944322</v>
      </c>
      <c r="BP103" s="105">
        <v>5.5807518803445584</v>
      </c>
      <c r="BQ103" s="105">
        <v>696.47783466700082</v>
      </c>
      <c r="BR103" s="105">
        <v>6.0022149129747469</v>
      </c>
      <c r="BS103" s="105">
        <v>749.0764211392484</v>
      </c>
      <c r="BT103" s="105">
        <v>5.2456332012552407</v>
      </c>
      <c r="BU103" s="105">
        <v>654.65502351665407</v>
      </c>
      <c r="BV103" s="105">
        <v>0</v>
      </c>
      <c r="BW103" s="105">
        <v>0</v>
      </c>
      <c r="BX103" s="105">
        <v>7.7810242424242428</v>
      </c>
      <c r="BY103" s="105">
        <v>971.07182545454543</v>
      </c>
      <c r="BZ103" s="105">
        <v>5.7621263164557579</v>
      </c>
      <c r="CA103" s="105">
        <v>719.11336429367861</v>
      </c>
      <c r="CB103" s="105">
        <v>5.1947047235731514</v>
      </c>
      <c r="CC103" s="105">
        <v>648.29914950192926</v>
      </c>
      <c r="CD103" s="105">
        <v>4.8944702301940799</v>
      </c>
      <c r="CE103" s="105">
        <v>610.82988472822115</v>
      </c>
      <c r="CF103" s="105">
        <v>5.6321535424003644</v>
      </c>
      <c r="CG103" s="105">
        <v>702.89276209156549</v>
      </c>
      <c r="CH103" s="105">
        <v>4.0400535084702938</v>
      </c>
      <c r="CI103" s="105">
        <v>504.19867785709266</v>
      </c>
      <c r="CJ103" s="105">
        <v>4.7796439491338081</v>
      </c>
      <c r="CK103" s="105">
        <v>596.49956485189921</v>
      </c>
      <c r="CL103" s="105">
        <v>4.8944702301940799</v>
      </c>
      <c r="CM103" s="105">
        <v>610.82988472822115</v>
      </c>
      <c r="CN103" s="105">
        <v>6.5087141116111535</v>
      </c>
      <c r="CO103" s="105">
        <v>812.28752112907193</v>
      </c>
      <c r="CP103" s="105">
        <v>6.2360674420516853</v>
      </c>
      <c r="CQ103" s="105">
        <v>778.2612167680503</v>
      </c>
      <c r="CR103" s="105">
        <v>5.1447556396926402</v>
      </c>
      <c r="CS103" s="105">
        <v>642.06550383364151</v>
      </c>
      <c r="CT103" s="105">
        <v>5.9149286396466279</v>
      </c>
      <c r="CU103" s="105">
        <v>738.18309422789912</v>
      </c>
    </row>
    <row r="104" spans="2:99" x14ac:dyDescent="0.2">
      <c r="C104" s="104" t="s">
        <v>270</v>
      </c>
      <c r="D104" s="105">
        <v>5</v>
      </c>
      <c r="E104" s="105">
        <v>1188</v>
      </c>
      <c r="F104" s="105">
        <v>2.1801363193768259</v>
      </c>
      <c r="G104" s="105">
        <v>518.00038948393387</v>
      </c>
      <c r="H104" s="105">
        <v>6</v>
      </c>
      <c r="I104" s="105">
        <v>1425.6</v>
      </c>
      <c r="J104" s="105">
        <v>1.264200369675289</v>
      </c>
      <c r="K104" s="105">
        <v>300.37400783484867</v>
      </c>
      <c r="L104" s="105">
        <v>0</v>
      </c>
      <c r="M104" s="105">
        <v>0</v>
      </c>
      <c r="N104" s="105">
        <v>0</v>
      </c>
      <c r="O104" s="105">
        <v>0</v>
      </c>
      <c r="P104" s="105">
        <v>6.0974881655616473</v>
      </c>
      <c r="Q104" s="105">
        <v>1448.7631881374473</v>
      </c>
      <c r="R104" s="105">
        <v>6.4986387027696502</v>
      </c>
      <c r="S104" s="105">
        <v>1544.076555778069</v>
      </c>
      <c r="T104" s="105">
        <v>0</v>
      </c>
      <c r="U104" s="105">
        <v>0</v>
      </c>
      <c r="V104" s="105">
        <v>8.8036731428571429</v>
      </c>
      <c r="W104" s="105">
        <v>2091.7527387428572</v>
      </c>
      <c r="X104" s="105">
        <v>5.1180988747201397</v>
      </c>
      <c r="Y104" s="105">
        <v>1216.0602926335052</v>
      </c>
      <c r="Z104" s="105">
        <v>5.7429830396569006</v>
      </c>
      <c r="AA104" s="105">
        <v>1364.5327702224795</v>
      </c>
      <c r="AB104" s="105">
        <v>5.2917486579695723</v>
      </c>
      <c r="AC104" s="105">
        <v>1257.3194811335704</v>
      </c>
      <c r="AD104" s="105">
        <v>6.0974881655616473</v>
      </c>
      <c r="AE104" s="105">
        <v>1448.7631881374473</v>
      </c>
      <c r="AF104" s="105">
        <v>0</v>
      </c>
      <c r="AG104" s="105">
        <v>0</v>
      </c>
      <c r="AH104" s="105">
        <v>6.987042176870748</v>
      </c>
      <c r="AI104" s="105">
        <v>1660.1212212244898</v>
      </c>
      <c r="AJ104" s="105">
        <v>6.7196808355169173</v>
      </c>
      <c r="AK104" s="105">
        <v>1596.5961665188195</v>
      </c>
      <c r="AL104" s="105">
        <v>6.6518052715217983</v>
      </c>
      <c r="AM104" s="105">
        <v>1580.4689325135791</v>
      </c>
      <c r="AN104" s="105">
        <v>5.1716915330941724</v>
      </c>
      <c r="AO104" s="105">
        <v>1228.7939082631754</v>
      </c>
      <c r="AP104" s="105">
        <v>5.2542185256435472</v>
      </c>
      <c r="AQ104" s="105">
        <v>1248.4023216929068</v>
      </c>
      <c r="AR104" s="105">
        <v>6.4023625738397305</v>
      </c>
      <c r="AS104" s="105">
        <v>1521.20134754432</v>
      </c>
      <c r="AT104" s="105">
        <v>5.3107154990375642</v>
      </c>
      <c r="AU104" s="105">
        <v>1261.8260025713253</v>
      </c>
      <c r="AV104" s="105">
        <v>5.9711153538401618</v>
      </c>
      <c r="AW104" s="105">
        <v>1418.7370080724224</v>
      </c>
      <c r="AX104" s="105">
        <v>4.3324258018464334</v>
      </c>
      <c r="AY104" s="105">
        <v>1029.3843705187126</v>
      </c>
      <c r="AZ104" s="105">
        <v>5.8797207310773025</v>
      </c>
      <c r="BA104" s="105">
        <v>1397.0216457039671</v>
      </c>
      <c r="BB104" s="105">
        <v>4.2577288052628743</v>
      </c>
      <c r="BC104" s="105">
        <v>1011.6363641304589</v>
      </c>
      <c r="BD104" s="105">
        <v>7.1192294257368429</v>
      </c>
      <c r="BE104" s="105">
        <v>1691.5289115550738</v>
      </c>
      <c r="BF104" s="105">
        <v>4.8421229550048377</v>
      </c>
      <c r="BG104" s="105">
        <v>1150.4884141091495</v>
      </c>
      <c r="BH104" s="105">
        <v>5.2145939515436712</v>
      </c>
      <c r="BI104" s="105">
        <v>1238.9875228867763</v>
      </c>
      <c r="BJ104" s="105">
        <v>3.6789314071545136</v>
      </c>
      <c r="BK104" s="105">
        <v>874.11410233991239</v>
      </c>
      <c r="BL104" s="105">
        <v>6.3320069411601727</v>
      </c>
      <c r="BM104" s="105">
        <v>1504.484849219657</v>
      </c>
      <c r="BN104" s="105">
        <v>5.549399341690938</v>
      </c>
      <c r="BO104" s="105">
        <v>1318.5372835857668</v>
      </c>
      <c r="BP104" s="105">
        <v>5.1156892236491789</v>
      </c>
      <c r="BQ104" s="105">
        <v>1215.4877595390449</v>
      </c>
      <c r="BR104" s="105">
        <v>5.5734852763336935</v>
      </c>
      <c r="BS104" s="105">
        <v>1324.2601016568856</v>
      </c>
      <c r="BT104" s="105">
        <v>5.2456332012552407</v>
      </c>
      <c r="BU104" s="105">
        <v>1246.3624486182453</v>
      </c>
      <c r="BV104" s="105">
        <v>0</v>
      </c>
      <c r="BW104" s="105">
        <v>0</v>
      </c>
      <c r="BX104" s="105">
        <v>8.5591266666666659</v>
      </c>
      <c r="BY104" s="105">
        <v>2033.6484959999998</v>
      </c>
      <c r="BZ104" s="105">
        <v>4.9389654141049339</v>
      </c>
      <c r="CA104" s="105">
        <v>1173.4981823913322</v>
      </c>
      <c r="CB104" s="105">
        <v>4.7951120525290625</v>
      </c>
      <c r="CC104" s="105">
        <v>1139.3186236809051</v>
      </c>
      <c r="CD104" s="105">
        <v>4.8944702301940799</v>
      </c>
      <c r="CE104" s="105">
        <v>1162.9261266941135</v>
      </c>
      <c r="CF104" s="105">
        <v>6.4986387027696502</v>
      </c>
      <c r="CG104" s="105">
        <v>1544.076555778069</v>
      </c>
      <c r="CH104" s="105">
        <v>4.5450601970290805</v>
      </c>
      <c r="CI104" s="105">
        <v>1079.9063028141095</v>
      </c>
      <c r="CJ104" s="105">
        <v>4.7796439491338081</v>
      </c>
      <c r="CK104" s="105">
        <v>1135.6434023141928</v>
      </c>
      <c r="CL104" s="105">
        <v>4.8944702301940799</v>
      </c>
      <c r="CM104" s="105">
        <v>1162.9261266941135</v>
      </c>
      <c r="CN104" s="105">
        <v>6.5087141116111535</v>
      </c>
      <c r="CO104" s="105">
        <v>1546.4704729188099</v>
      </c>
      <c r="CP104" s="105">
        <v>5.8203296125815722</v>
      </c>
      <c r="CQ104" s="105">
        <v>1382.9103159493816</v>
      </c>
      <c r="CR104" s="105">
        <v>5.1447556396926402</v>
      </c>
      <c r="CS104" s="105">
        <v>1222.3939399909714</v>
      </c>
      <c r="CT104" s="105">
        <v>5.422017919676076</v>
      </c>
      <c r="CU104" s="105">
        <v>1288.2714577150357</v>
      </c>
    </row>
    <row r="105" spans="2:99" x14ac:dyDescent="0.2">
      <c r="C105" s="104" t="s">
        <v>271</v>
      </c>
      <c r="D105" s="105">
        <v>5</v>
      </c>
      <c r="E105" s="105">
        <v>863.99999999999989</v>
      </c>
      <c r="F105" s="105">
        <v>2.1801363193768259</v>
      </c>
      <c r="G105" s="105">
        <v>376.72755598831549</v>
      </c>
      <c r="H105" s="105">
        <v>5</v>
      </c>
      <c r="I105" s="105">
        <v>863.99999999999989</v>
      </c>
      <c r="J105" s="105">
        <v>1.264200369675289</v>
      </c>
      <c r="K105" s="105">
        <v>218.45382387988991</v>
      </c>
      <c r="L105" s="105">
        <v>0</v>
      </c>
      <c r="M105" s="105">
        <v>0</v>
      </c>
      <c r="N105" s="105">
        <v>0</v>
      </c>
      <c r="O105" s="105">
        <v>0</v>
      </c>
      <c r="P105" s="105">
        <v>7.1137361931552547</v>
      </c>
      <c r="Q105" s="105">
        <v>1229.253614177228</v>
      </c>
      <c r="R105" s="105">
        <v>6.4986387027696502</v>
      </c>
      <c r="S105" s="105">
        <v>1122.9647678385954</v>
      </c>
      <c r="T105" s="105">
        <v>0</v>
      </c>
      <c r="U105" s="105">
        <v>0</v>
      </c>
      <c r="V105" s="105">
        <v>8.8036731428571429</v>
      </c>
      <c r="W105" s="105">
        <v>1521.2747190857142</v>
      </c>
      <c r="X105" s="105">
        <v>5.5446071142801516</v>
      </c>
      <c r="Y105" s="105">
        <v>958.10810934761014</v>
      </c>
      <c r="Z105" s="105">
        <v>6.2215649596283082</v>
      </c>
      <c r="AA105" s="105">
        <v>1075.0864250237717</v>
      </c>
      <c r="AB105" s="105">
        <v>5.2917486579695723</v>
      </c>
      <c r="AC105" s="105">
        <v>914.41416809714201</v>
      </c>
      <c r="AD105" s="105">
        <v>6.5330230345303359</v>
      </c>
      <c r="AE105" s="105">
        <v>1128.9063803668419</v>
      </c>
      <c r="AF105" s="105">
        <v>0</v>
      </c>
      <c r="AG105" s="105">
        <v>0</v>
      </c>
      <c r="AH105" s="105">
        <v>6.987042176870748</v>
      </c>
      <c r="AI105" s="105">
        <v>1207.3608881632651</v>
      </c>
      <c r="AJ105" s="105">
        <v>6.159707432557175</v>
      </c>
      <c r="AK105" s="105">
        <v>1064.3974443458796</v>
      </c>
      <c r="AL105" s="105">
        <v>5.8203296125815722</v>
      </c>
      <c r="AM105" s="105">
        <v>1005.7529570540955</v>
      </c>
      <c r="AN105" s="105">
        <v>6.0336401219432005</v>
      </c>
      <c r="AO105" s="105">
        <v>1042.613013071785</v>
      </c>
      <c r="AP105" s="105">
        <v>5.2542185256435472</v>
      </c>
      <c r="AQ105" s="105">
        <v>907.92896123120488</v>
      </c>
      <c r="AR105" s="105">
        <v>5.4877393490054827</v>
      </c>
      <c r="AS105" s="105">
        <v>948.28135950814726</v>
      </c>
      <c r="AT105" s="105">
        <v>4.8681558741177673</v>
      </c>
      <c r="AU105" s="105">
        <v>841.21733504755014</v>
      </c>
      <c r="AV105" s="105">
        <v>5.5446071142801516</v>
      </c>
      <c r="AW105" s="105">
        <v>958.10810934761014</v>
      </c>
      <c r="AX105" s="105">
        <v>4.3324258018464334</v>
      </c>
      <c r="AY105" s="105">
        <v>748.64317855906359</v>
      </c>
      <c r="AZ105" s="105">
        <v>6.8596741862568535</v>
      </c>
      <c r="BA105" s="105">
        <v>1185.3516993851842</v>
      </c>
      <c r="BB105" s="105">
        <v>4.7308097836254159</v>
      </c>
      <c r="BC105" s="105">
        <v>817.48393061047182</v>
      </c>
      <c r="BD105" s="105">
        <v>6.67427758662829</v>
      </c>
      <c r="BE105" s="105">
        <v>1153.3151669693684</v>
      </c>
      <c r="BF105" s="105">
        <v>5.3801366166720426</v>
      </c>
      <c r="BG105" s="105">
        <v>929.68760736092884</v>
      </c>
      <c r="BH105" s="105">
        <v>5.2145939515436712</v>
      </c>
      <c r="BI105" s="105">
        <v>901.08183482674633</v>
      </c>
      <c r="BJ105" s="105">
        <v>4.1387978330488284</v>
      </c>
      <c r="BK105" s="105">
        <v>715.18426555083749</v>
      </c>
      <c r="BL105" s="105">
        <v>6.3320069411601727</v>
      </c>
      <c r="BM105" s="105">
        <v>1094.1707994324777</v>
      </c>
      <c r="BN105" s="105">
        <v>5.0869493965500263</v>
      </c>
      <c r="BO105" s="105">
        <v>879.02485572384444</v>
      </c>
      <c r="BP105" s="105">
        <v>5.5807518803445584</v>
      </c>
      <c r="BQ105" s="105">
        <v>964.35392492353958</v>
      </c>
      <c r="BR105" s="105">
        <v>6.0022149129747469</v>
      </c>
      <c r="BS105" s="105">
        <v>1037.1827369620362</v>
      </c>
      <c r="BT105" s="105">
        <v>4.8421229550048377</v>
      </c>
      <c r="BU105" s="105">
        <v>836.71884662483592</v>
      </c>
      <c r="BV105" s="105">
        <v>0</v>
      </c>
      <c r="BW105" s="105">
        <v>0</v>
      </c>
      <c r="BX105" s="105">
        <v>8.5591266666666659</v>
      </c>
      <c r="BY105" s="105">
        <v>1479.0170879999998</v>
      </c>
      <c r="BZ105" s="105">
        <v>4.9389654141049339</v>
      </c>
      <c r="CA105" s="105">
        <v>853.45322355733254</v>
      </c>
      <c r="CB105" s="105">
        <v>5.1947047235731514</v>
      </c>
      <c r="CC105" s="105">
        <v>897.6449762334405</v>
      </c>
      <c r="CD105" s="105">
        <v>4.8944702301940799</v>
      </c>
      <c r="CE105" s="105">
        <v>845.76445577753691</v>
      </c>
      <c r="CF105" s="105">
        <v>5.6321535424003644</v>
      </c>
      <c r="CG105" s="105">
        <v>973.23613212678288</v>
      </c>
      <c r="CH105" s="105">
        <v>4.5450601970290805</v>
      </c>
      <c r="CI105" s="105">
        <v>785.38640204662499</v>
      </c>
      <c r="CJ105" s="105">
        <v>4.248572399230051</v>
      </c>
      <c r="CK105" s="105">
        <v>734.15331058695278</v>
      </c>
      <c r="CL105" s="105">
        <v>4.8944702301940799</v>
      </c>
      <c r="CM105" s="105">
        <v>845.76445577753691</v>
      </c>
      <c r="CN105" s="105">
        <v>6.1258485756340271</v>
      </c>
      <c r="CO105" s="105">
        <v>1058.5466338695599</v>
      </c>
      <c r="CP105" s="105">
        <v>6.2360674420516853</v>
      </c>
      <c r="CQ105" s="105">
        <v>1077.5924539865312</v>
      </c>
      <c r="CR105" s="105">
        <v>5.1447556396926402</v>
      </c>
      <c r="CS105" s="105">
        <v>889.01377453888813</v>
      </c>
      <c r="CT105" s="105">
        <v>5.9149286396466279</v>
      </c>
      <c r="CU105" s="105">
        <v>1022.0996689309372</v>
      </c>
    </row>
    <row r="107" spans="2:99" x14ac:dyDescent="0.2">
      <c r="B107" s="109" t="s">
        <v>276</v>
      </c>
    </row>
    <row r="108" spans="2:99" x14ac:dyDescent="0.2">
      <c r="C108" s="104" t="s">
        <v>277</v>
      </c>
      <c r="D108" s="104" t="s">
        <v>92</v>
      </c>
      <c r="E108" s="104" t="s">
        <v>93</v>
      </c>
      <c r="F108" s="104" t="s">
        <v>94</v>
      </c>
      <c r="G108" s="104" t="s">
        <v>95</v>
      </c>
      <c r="H108" s="104" t="s">
        <v>96</v>
      </c>
      <c r="I108" s="104" t="s">
        <v>97</v>
      </c>
      <c r="J108" s="104" t="s">
        <v>98</v>
      </c>
      <c r="K108" s="104" t="s">
        <v>99</v>
      </c>
      <c r="L108" s="104" t="s">
        <v>100</v>
      </c>
      <c r="M108" s="104" t="s">
        <v>101</v>
      </c>
      <c r="N108" s="104" t="s">
        <v>102</v>
      </c>
      <c r="O108" s="104" t="s">
        <v>103</v>
      </c>
    </row>
    <row r="109" spans="2:99" x14ac:dyDescent="0.2">
      <c r="C109" s="104" t="s">
        <v>126</v>
      </c>
      <c r="D109" s="105">
        <f>SUM(D$6:D$19)+SUM(F$6:F$19)+SUM(H$6:H$19)+SUM(J$6:J$19)</f>
        <v>162.5555367557059</v>
      </c>
      <c r="E109" s="105">
        <f>SUM(L$6:L$19)+SUM(N$6:N$19)+SUM(P$6:P$19)+SUM(R$6:R$19)</f>
        <v>108.33954716642583</v>
      </c>
      <c r="F109" s="105">
        <f>SUM(T$6:T$19)+SUM(V$6:V$19)+SUM(X$6:X$19)+SUM(Z$6:Z$19)</f>
        <v>185.19850642448782</v>
      </c>
      <c r="G109" s="105">
        <f>SUM(AB$6:AB$19)+SUM(AD$6:AD$19)+SUM(AF$6:AF$19)+SUM(AH$6:AH$19)</f>
        <v>205.39062591184256</v>
      </c>
      <c r="H109" s="105">
        <f>SUM(AJ$6:AJ$19)+SUM(AL$6:AL$19)+SUM(AN$6:AN$19)+SUM(AP$6:AP$19)</f>
        <v>224.98730730470533</v>
      </c>
      <c r="I109" s="105">
        <f>SUM(AR$6:AR$19)+SUM(AT$6:AT$19)+SUM(AV$6:AV$19)+SUM(AX$6:AX$19)</f>
        <v>204.41367519560944</v>
      </c>
      <c r="J109" s="105">
        <f>SUM(AZ$6:AZ$19)+SUM(BB$6:BB$19)+SUM(BD$6:BD$19)+SUM(BF$6:BF$19)</f>
        <v>237.03691968398442</v>
      </c>
      <c r="K109" s="105">
        <f>SUM(BH$6:BH$19)+SUM(BJ$6:BJ$19)+SUM(BL$6:BL$19)+SUM(BN$6:BN$19)</f>
        <v>233.2600441360816</v>
      </c>
      <c r="L109" s="105">
        <f>SUM(BP$6:BP$19)+SUM(BR$6:BR$19)+SUM(BT$6:BT$19)+SUM(BV$6:BV$19)</f>
        <v>240.40844802438528</v>
      </c>
      <c r="M109" s="105">
        <f>SUM(BX$6:BX$19)+SUM(BZ$6:BZ$19)+SUM(CB$6:CB$19)+SUM(CD$6:CD$19)</f>
        <v>202.81610833379386</v>
      </c>
      <c r="N109" s="105">
        <f>SUM(CF$6:CF$19)+SUM(CH$6:CH$19)+SUM(CJ$6:CJ$19)+SUM(CL$6:CL$19)</f>
        <v>171.99895611753689</v>
      </c>
      <c r="O109" s="105">
        <f>SUM(CN$6:CN$19)+SUM(CP$6:CP$19)+SUM(CR$6:CR$19)+SUM(CT$6:CT$19)</f>
        <v>246.78932635729512</v>
      </c>
    </row>
    <row r="110" spans="2:99" x14ac:dyDescent="0.2">
      <c r="C110" s="104" t="s">
        <v>127</v>
      </c>
      <c r="D110" s="105">
        <f>SUM(D$20:D$36)+SUM(F$20:F$36)+SUM(H$20:H$36)+SUM(J$20:J$36)</f>
        <v>479.58395558704927</v>
      </c>
      <c r="E110" s="105">
        <f>SUM(L$20:L$36)+SUM(N$20:N$36)+SUM(P$20:P$36)+SUM(R$20:R$36)</f>
        <v>217.4363610759014</v>
      </c>
      <c r="F110" s="105">
        <f>SUM(T$20:T$36)+SUM(V$20:V$36)+SUM(X$20:X$36)+SUM(Z$20:Z$36)</f>
        <v>432.17317861248762</v>
      </c>
      <c r="G110" s="105">
        <f>SUM(AB$20:AB$36)+SUM(AD$20:AD$36)+SUM(AF$20:AF$36)+SUM(AH$20:AH$36)</f>
        <v>390.57279320638463</v>
      </c>
      <c r="H110" s="105">
        <f>SUM(AJ$20:AJ$36)+SUM(AL$20:AL$36)+SUM(AN$20:AN$36)+SUM(AP$20:AP$36)</f>
        <v>381.21471252646785</v>
      </c>
      <c r="I110" s="105">
        <f>SUM(AR$20:AR$36)+SUM(AT$20:AT$36)+SUM(AV$20:AV$36)+SUM(AX$20:AX$36)</f>
        <v>412.92729283952497</v>
      </c>
      <c r="J110" s="105">
        <f>SUM(AZ$20:AZ$36)+SUM(BB$20:BB$36)+SUM(BD$20:BD$36)+SUM(BF$20:BF$36)</f>
        <v>397.71863886056576</v>
      </c>
      <c r="K110" s="105">
        <f>SUM(BH$20:BH$36)+SUM(BJ$20:BJ$36)+SUM(BL$20:BL$36)+SUM(BN$20:BN$36)</f>
        <v>410.03204416379754</v>
      </c>
      <c r="L110" s="105">
        <f>SUM(BP$20:BP$36)+SUM(BR$20:BR$36)+SUM(BT$20:BT$36)+SUM(BV$20:BV$36)</f>
        <v>392.59659091144766</v>
      </c>
      <c r="M110" s="105">
        <f>SUM(BX$20:BX$36)+SUM(BZ$20:BZ$36)+SUM(CB$20:CB$36)+SUM(CD$20:CD$36)</f>
        <v>410.57661610379751</v>
      </c>
      <c r="N110" s="105">
        <f>SUM(CF$20:CF$36)+SUM(CH$20:CH$36)+SUM(CJ$20:CJ$36)+SUM(CL$20:CL$36)</f>
        <v>424.58326252646941</v>
      </c>
      <c r="O110" s="105">
        <f>SUM(CN$20:CN$36)+SUM(CP$20:CP$36)+SUM(CR$20:CR$36)+SUM(CT$20:CT$36)</f>
        <v>345.81091725682347</v>
      </c>
    </row>
    <row r="111" spans="2:99" x14ac:dyDescent="0.2">
      <c r="C111" s="104" t="s">
        <v>128</v>
      </c>
      <c r="D111" s="105">
        <f>SUM(D$37:D$48)+SUM(F$37:F$48)+SUM(H$37:H$48)+SUM(J$37:J$48)</f>
        <v>217.27661943602402</v>
      </c>
      <c r="E111" s="105">
        <f>SUM(L$37:L$48)+SUM(N$37:N$48)+SUM(P$37:P$48)+SUM(R$37:R$48)</f>
        <v>97.077414770597173</v>
      </c>
      <c r="F111" s="105">
        <f>SUM(T$37:T$48)+SUM(V$37:V$48)+SUM(X$37:X$48)+SUM(Z$37:Z$48)</f>
        <v>215.73519835041287</v>
      </c>
      <c r="G111" s="105">
        <f>SUM(AB$37:AB$48)+SUM(AD$37:AD$48)+SUM(AF$37:AF$48)+SUM(AH$37:AH$48)</f>
        <v>230.53550373585898</v>
      </c>
      <c r="H111" s="105">
        <f>SUM(AJ$37:AJ$48)+SUM(AL$37:AL$48)+SUM(AN$37:AN$48)+SUM(AP$37:AP$48)</f>
        <v>215.66932368991758</v>
      </c>
      <c r="I111" s="105">
        <f>SUM(AR$37:AR$48)+SUM(AT$37:AT$48)+SUM(AV$37:AV$48)+SUM(AX$37:AX$48)</f>
        <v>218.93383414279182</v>
      </c>
      <c r="J111" s="105">
        <f>SUM(AZ$37:AZ$48)+SUM(BB$37:BB$48)+SUM(BD$37:BD$48)+SUM(BF$37:BF$48)</f>
        <v>212.97592752899794</v>
      </c>
      <c r="K111" s="105">
        <f>SUM(BH$37:BH$48)+SUM(BJ$37:BJ$48)+SUM(BL$37:BL$48)+SUM(BN$37:BN$48)</f>
        <v>204.80644655057699</v>
      </c>
      <c r="L111" s="105">
        <f>SUM(BP$37:BP$48)+SUM(BR$37:BR$48)+SUM(BT$37:BT$48)+SUM(BV$37:BV$48)</f>
        <v>209.49852157461402</v>
      </c>
      <c r="M111" s="105">
        <f>SUM(BX$37:BX$48)+SUM(BZ$37:BZ$48)+SUM(CB$37:CB$48)+SUM(CD$37:CD$48)</f>
        <v>224.03154762576972</v>
      </c>
      <c r="N111" s="105">
        <f>SUM(CF$37:CF$48)+SUM(CH$37:CH$48)+SUM(CJ$37:CJ$48)+SUM(CL$37:CL$48)</f>
        <v>245.96554885074465</v>
      </c>
      <c r="O111" s="105">
        <f>SUM(CN$37:CN$48)+SUM(CP$37:CP$48)+SUM(CR$37:CR$48)+SUM(CT$37:CT$48)</f>
        <v>234.12718746456562</v>
      </c>
    </row>
    <row r="112" spans="2:99" x14ac:dyDescent="0.2">
      <c r="C112" s="104" t="s">
        <v>129</v>
      </c>
      <c r="D112" s="105">
        <f>SUM(D$49:D$70)+SUM(F$49:F$70)+SUM(H$49:H$70)+SUM(J$49:J$70)</f>
        <v>228.14984624958677</v>
      </c>
      <c r="E112" s="105">
        <f>SUM(L$49:L$70)+SUM(N$49:N$70)+SUM(P$49:P$70)+SUM(R$49:R$70)</f>
        <v>114.87985693463725</v>
      </c>
      <c r="F112" s="105">
        <f>SUM(T$49:T$70)+SUM(V$49:V$70)+SUM(X$49:X$70)+SUM(Z$49:Z$70)</f>
        <v>243.07624230241919</v>
      </c>
      <c r="G112" s="105">
        <f>SUM(AB$49:AB$70)+SUM(AD$49:AD$70)+SUM(AF$49:AF$70)+SUM(AH$49:AH$70)</f>
        <v>246.7177725330593</v>
      </c>
      <c r="H112" s="105">
        <f>SUM(AJ$49:AJ$70)+SUM(AL$49:AL$70)+SUM(AN$49:AN$70)+SUM(AP$49:AP$70)</f>
        <v>254.37375662419905</v>
      </c>
      <c r="I112" s="105">
        <f>SUM(AR$49:AR$70)+SUM(AT$49:AT$70)+SUM(AV$49:AV$70)+SUM(AX$49:AX$70)</f>
        <v>238.63095545233381</v>
      </c>
      <c r="J112" s="105">
        <f>SUM(AZ$49:AZ$70)+SUM(BB$49:BB$70)+SUM(BD$49:BD$70)+SUM(BF$49:BF$70)</f>
        <v>216.20679356138166</v>
      </c>
      <c r="K112" s="105">
        <f>SUM(BH$49:BH$70)+SUM(BJ$49:BJ$70)+SUM(BL$49:BL$70)+SUM(BN$49:BN$70)</f>
        <v>218.97760596994175</v>
      </c>
      <c r="L112" s="105">
        <f>SUM(BP$49:BP$70)+SUM(BR$49:BR$70)+SUM(BT$49:BT$70)+SUM(BV$49:BV$70)</f>
        <v>225.13391332668562</v>
      </c>
      <c r="M112" s="105">
        <f>SUM(BX$49:BX$70)+SUM(BZ$49:BZ$70)+SUM(CB$49:CB$70)+SUM(CD$49:CD$70)</f>
        <v>230.16161119748082</v>
      </c>
      <c r="N112" s="105">
        <f>SUM(CF$49:CF$70)+SUM(CH$49:CH$70)+SUM(CJ$49:CJ$70)+SUM(CL$49:CL$70)</f>
        <v>227.41882935534883</v>
      </c>
      <c r="O112" s="105">
        <f>SUM(CN$49:CN$70)+SUM(CP$49:CP$70)+SUM(CR$49:CR$70)+SUM(CT$49:CT$70)</f>
        <v>244.20882146911697</v>
      </c>
    </row>
    <row r="113" spans="2:15" x14ac:dyDescent="0.2">
      <c r="C113" s="104" t="s">
        <v>130</v>
      </c>
      <c r="D113" s="105">
        <f>SUM(D$71:D$86)+SUM(F$71:F$86)+SUM(H$71:H$86)+SUM(J$71:J$86)</f>
        <v>233.71067874408607</v>
      </c>
      <c r="E113" s="105">
        <f>SUM(L$71:L$86)+SUM(N$71:N$86)+SUM(P$71:P$86)+SUM(R$71:R$86)</f>
        <v>196.41818207765454</v>
      </c>
      <c r="F113" s="105">
        <f>SUM(T$71:T$86)+SUM(V$71:V$86)+SUM(X$71:X$86)+SUM(Z$71:Z$86)</f>
        <v>350.51716359418231</v>
      </c>
      <c r="G113" s="105">
        <f>SUM(AB$71:AB$86)+SUM(AD$71:AD$86)+SUM(AF$71:AF$86)+SUM(AH$71:AH$86)</f>
        <v>309.35982391002801</v>
      </c>
      <c r="H113" s="105">
        <f>SUM(AJ$71:AJ$86)+SUM(AL$71:AL$86)+SUM(AN$71:AN$86)+SUM(AP$71:AP$86)</f>
        <v>282.2798767120301</v>
      </c>
      <c r="I113" s="105">
        <f>SUM(AR$71:AR$86)+SUM(AT$71:AT$86)+SUM(AV$71:AV$86)+SUM(AX$71:AX$86)</f>
        <v>297.47153083618048</v>
      </c>
      <c r="J113" s="105">
        <f>SUM(AZ$71:AZ$86)+SUM(BB$71:BB$86)+SUM(BD$71:BD$86)+SUM(BF$71:BF$86)</f>
        <v>316.38785484712764</v>
      </c>
      <c r="K113" s="105">
        <f>SUM(BH$71:BH$86)+SUM(BJ$71:BJ$86)+SUM(BL$71:BL$86)+SUM(BN$71:BN$86)</f>
        <v>314.33376478590452</v>
      </c>
      <c r="L113" s="105">
        <f>SUM(BP$71:BP$86)+SUM(BR$71:BR$86)+SUM(BT$71:BT$86)+SUM(BV$71:BV$86)</f>
        <v>309.70914014061492</v>
      </c>
      <c r="M113" s="105">
        <f>SUM(BX$71:BX$86)+SUM(BZ$71:BZ$86)+SUM(CB$71:CB$86)+SUM(CD$71:CD$86)</f>
        <v>311.96949628657717</v>
      </c>
      <c r="N113" s="105">
        <f>SUM(CF$71:CF$86)+SUM(CH$71:CH$86)+SUM(CJ$71:CJ$86)+SUM(CL$71:CL$86)</f>
        <v>318.17048534193339</v>
      </c>
      <c r="O113" s="105">
        <f>SUM(CN$71:CN$86)+SUM(CP$71:CP$86)+SUM(CR$71:CR$86)+SUM(CT$71:CT$86)</f>
        <v>310.22968854461431</v>
      </c>
    </row>
    <row r="114" spans="2:15" x14ac:dyDescent="0.2">
      <c r="C114" s="104" t="s">
        <v>131</v>
      </c>
      <c r="D114" s="105">
        <f>SUM(D$87:D$94)+SUM(F$87:F$94)+SUM(H$87:H$94)+SUM(J$87:J$94)</f>
        <v>74.394339924510277</v>
      </c>
      <c r="E114" s="105">
        <f>SUM(L$87:L$94)+SUM(N$87:N$94)+SUM(P$87:P$94)+SUM(R$87:R$94)</f>
        <v>58.882213019848052</v>
      </c>
      <c r="F114" s="105">
        <f>SUM(T$87:T$94)+SUM(V$87:V$94)+SUM(X$87:X$94)+SUM(Z$87:Z$94)</f>
        <v>117.16489952595964</v>
      </c>
      <c r="G114" s="105">
        <f>SUM(AB$87:AB$94)+SUM(AD$87:AD$94)+SUM(AF$87:AF$94)+SUM(AH$87:AH$94)</f>
        <v>123.6794262315228</v>
      </c>
      <c r="H114" s="105">
        <f>SUM(AJ$87:AJ$94)+SUM(AL$87:AL$94)+SUM(AN$87:AN$94)+SUM(AP$87:AP$94)</f>
        <v>130.76528049990938</v>
      </c>
      <c r="I114" s="105">
        <f>SUM(AR$87:AR$94)+SUM(AT$87:AT$94)+SUM(AV$87:AV$94)+SUM(AX$87:AX$94)</f>
        <v>144.71997027453324</v>
      </c>
      <c r="J114" s="105">
        <f>SUM(AZ$87:AZ$94)+SUM(BB$87:BB$94)+SUM(BD$87:BD$94)+SUM(BF$87:BF$94)</f>
        <v>133.58452841041833</v>
      </c>
      <c r="K114" s="105">
        <f>SUM(BH$87:BH$94)+SUM(BJ$87:BJ$94)+SUM(BL$87:BL$94)+SUM(BN$87:BN$94)</f>
        <v>149.04521445717586</v>
      </c>
      <c r="L114" s="105">
        <f>SUM(BP$87:BP$94)+SUM(BR$87:BR$94)+SUM(BT$87:BT$94)+SUM(BV$87:BV$94)</f>
        <v>108.0967189237481</v>
      </c>
      <c r="M114" s="105">
        <f>SUM(BX$87:BX$94)+SUM(BZ$87:BZ$94)+SUM(CB$87:CB$94)+SUM(CD$87:CD$94)</f>
        <v>169.97012585858175</v>
      </c>
      <c r="N114" s="105">
        <f>SUM(CF$87:CF$94)+SUM(CH$87:CH$94)+SUM(CJ$87:CJ$94)+SUM(CL$87:CL$94)</f>
        <v>154.57825574949374</v>
      </c>
      <c r="O114" s="105">
        <f>SUM(CN$87:CN$94)+SUM(CP$87:CP$94)+SUM(CR$87:CR$94)+SUM(CT$87:CT$94)</f>
        <v>133.95904804339091</v>
      </c>
    </row>
    <row r="115" spans="2:15" x14ac:dyDescent="0.2">
      <c r="C115" s="104" t="s">
        <v>132</v>
      </c>
      <c r="D115" s="105">
        <f>SUM(D$95:D$105)+SUM(F$95:F$105)+SUM(H$95:H$105)+SUM(J$95:J$105)</f>
        <v>145.57489885058163</v>
      </c>
      <c r="E115" s="105">
        <f>SUM(L$95:L$105)+SUM(N$95:N$105)+SUM(P$95:P$105)+SUM(R$95:R$105)</f>
        <v>135.33315324303675</v>
      </c>
      <c r="F115" s="105">
        <f>SUM(T$95:T$105)+SUM(V$95:V$105)+SUM(X$95:X$105)+SUM(Z$95:Z$105)</f>
        <v>227.30586798654699</v>
      </c>
      <c r="G115" s="105">
        <f>SUM(AB$95:AB$105)+SUM(AD$95:AD$105)+SUM(AF$95:AF$105)+SUM(AH$95:AH$105)</f>
        <v>215.59799195825923</v>
      </c>
      <c r="H115" s="105">
        <f>SUM(AJ$95:AJ$105)+SUM(AL$95:AL$105)+SUM(AN$95:AN$105)+SUM(AP$95:AP$105)</f>
        <v>253.38468336172684</v>
      </c>
      <c r="I115" s="105">
        <f>SUM(AR$95:AR$105)+SUM(AT$95:AT$105)+SUM(AV$95:AV$105)+SUM(AX$95:AX$105)</f>
        <v>241.00195921614639</v>
      </c>
      <c r="J115" s="105">
        <f>SUM(AZ$95:AZ$105)+SUM(BB$95:BB$105)+SUM(BD$95:BD$105)+SUM(BF$95:BF$105)</f>
        <v>244.18855506464433</v>
      </c>
      <c r="K115" s="105">
        <f>SUM(BH$95:BH$105)+SUM(BJ$95:BJ$105)+SUM(BL$95:BL$105)+SUM(BN$95:BN$105)</f>
        <v>227.64409789364163</v>
      </c>
      <c r="L115" s="105">
        <f>SUM(BP$95:BP$105)+SUM(BR$95:BR$105)+SUM(BT$95:BT$105)+SUM(BV$95:BV$105)</f>
        <v>190.33979482054232</v>
      </c>
      <c r="M115" s="105">
        <f>SUM(BX$95:BX$105)+SUM(BZ$95:BZ$105)+SUM(CB$95:CB$105)+SUM(CD$95:CD$105)</f>
        <v>254.64452231603707</v>
      </c>
      <c r="N115" s="105">
        <f>SUM(CF$95:CF$105)+SUM(CH$95:CH$105)+SUM(CJ$95:CJ$105)+SUM(CL$95:CL$105)</f>
        <v>215.38388001559287</v>
      </c>
      <c r="O115" s="105">
        <f>SUM(CN$95:CN$105)+SUM(CP$95:CP$105)+SUM(CR$95:CR$105)+SUM(CT$95:CT$105)</f>
        <v>242.9742288213136</v>
      </c>
    </row>
    <row r="116" spans="2:15" x14ac:dyDescent="0.2">
      <c r="C116" s="104" t="s">
        <v>278</v>
      </c>
      <c r="D116" s="105">
        <f t="shared" ref="D116:O116" si="0">SUM(D$109:D$115)</f>
        <v>1541.2458755475438</v>
      </c>
      <c r="E116" s="105">
        <f t="shared" si="0"/>
        <v>928.36672828810106</v>
      </c>
      <c r="F116" s="105">
        <f t="shared" si="0"/>
        <v>1771.1710567964963</v>
      </c>
      <c r="G116" s="105">
        <f t="shared" si="0"/>
        <v>1721.8539374869554</v>
      </c>
      <c r="H116" s="105">
        <f t="shared" si="0"/>
        <v>1742.6749407189559</v>
      </c>
      <c r="I116" s="105">
        <f t="shared" si="0"/>
        <v>1758.0992179571201</v>
      </c>
      <c r="J116" s="105">
        <f t="shared" si="0"/>
        <v>1758.0992179571203</v>
      </c>
      <c r="K116" s="105">
        <f t="shared" si="0"/>
        <v>1758.0992179571201</v>
      </c>
      <c r="L116" s="105">
        <f t="shared" si="0"/>
        <v>1675.7831277220378</v>
      </c>
      <c r="M116" s="105">
        <f t="shared" si="0"/>
        <v>1804.170027722038</v>
      </c>
      <c r="N116" s="105">
        <f t="shared" si="0"/>
        <v>1758.0992179571199</v>
      </c>
      <c r="O116" s="105">
        <f t="shared" si="0"/>
        <v>1758.0992179571201</v>
      </c>
    </row>
    <row r="118" spans="2:15" x14ac:dyDescent="0.2">
      <c r="B118" s="108" t="s">
        <v>279</v>
      </c>
    </row>
    <row r="119" spans="2:15" x14ac:dyDescent="0.2">
      <c r="C119" s="104" t="s">
        <v>277</v>
      </c>
      <c r="D119" s="104" t="s">
        <v>92</v>
      </c>
      <c r="E119" s="104" t="s">
        <v>93</v>
      </c>
      <c r="F119" s="104" t="s">
        <v>94</v>
      </c>
      <c r="G119" s="104" t="s">
        <v>95</v>
      </c>
      <c r="H119" s="104" t="s">
        <v>96</v>
      </c>
      <c r="I119" s="104" t="s">
        <v>97</v>
      </c>
      <c r="J119" s="104" t="s">
        <v>98</v>
      </c>
      <c r="K119" s="104" t="s">
        <v>99</v>
      </c>
      <c r="L119" s="104" t="s">
        <v>100</v>
      </c>
      <c r="M119" s="104" t="s">
        <v>101</v>
      </c>
      <c r="N119" s="104" t="s">
        <v>102</v>
      </c>
      <c r="O119" s="104" t="s">
        <v>103</v>
      </c>
    </row>
    <row r="120" spans="2:15" x14ac:dyDescent="0.2">
      <c r="C120" s="104" t="s">
        <v>126</v>
      </c>
      <c r="D120" s="105">
        <f>D109*pricing!D15*2000</f>
        <v>1300444.2940456471</v>
      </c>
      <c r="E120" s="105">
        <f>E109*pricing!E15*2000</f>
        <v>728041.75695838162</v>
      </c>
      <c r="F120" s="105">
        <f>F109*pricing!F15*2000</f>
        <v>1244533.963172558</v>
      </c>
      <c r="G120" s="105">
        <f>G109*pricing!G15*2000</f>
        <v>1380225.0061275819</v>
      </c>
      <c r="H120" s="105">
        <f>H109*pricing!H15*2000</f>
        <v>1511914.7050876198</v>
      </c>
      <c r="I120" s="105">
        <f>I109*pricing!I15*2000</f>
        <v>1373659.8973144954</v>
      </c>
      <c r="J120" s="105">
        <f>J109*pricing!J15*2000</f>
        <v>1592888.1002763754</v>
      </c>
      <c r="K120" s="105">
        <f>K109*pricing!K15*2000</f>
        <v>1567507.4965944684</v>
      </c>
      <c r="L120" s="105">
        <f>L109*pricing!L15*2000</f>
        <v>1615544.7707238691</v>
      </c>
      <c r="M120" s="105">
        <f>M109*pricing!M15*2000</f>
        <v>1362924.2480030949</v>
      </c>
      <c r="N120" s="105">
        <f>N109*pricing!N15*2000</f>
        <v>1155832.985109848</v>
      </c>
      <c r="O120" s="105">
        <f>O109*pricing!O15*2000</f>
        <v>1658424.2731210231</v>
      </c>
    </row>
    <row r="121" spans="2:15" x14ac:dyDescent="0.2">
      <c r="C121" s="104" t="s">
        <v>127</v>
      </c>
      <c r="D121" s="105">
        <f>D110*pricing!D16*2000</f>
        <v>3836671.644696394</v>
      </c>
      <c r="E121" s="105">
        <f>E110*pricing!E16*2000</f>
        <v>1582936.7086325621</v>
      </c>
      <c r="F121" s="105">
        <f>F110*pricing!F16*2000</f>
        <v>3146220.7402989101</v>
      </c>
      <c r="G121" s="105">
        <f>G110*pricing!G16*2000</f>
        <v>2843369.9345424804</v>
      </c>
      <c r="H121" s="105">
        <f>H110*pricing!H16*2000</f>
        <v>2775243.1071926863</v>
      </c>
      <c r="I121" s="105">
        <f>I110*pricing!I16*2000</f>
        <v>3006110.6918717418</v>
      </c>
      <c r="J121" s="105">
        <f>J110*pricing!J16*2000</f>
        <v>2895391.6909049191</v>
      </c>
      <c r="K121" s="105">
        <f>K110*pricing!K16*2000</f>
        <v>2985033.2815124462</v>
      </c>
      <c r="L121" s="105">
        <f>L110*pricing!L16*2000</f>
        <v>2858103.1818353389</v>
      </c>
      <c r="M121" s="105">
        <f>M110*pricing!M16*2000</f>
        <v>2988997.7652356462</v>
      </c>
      <c r="N121" s="105">
        <f>N110*pricing!N16*2000</f>
        <v>3090966.1511926972</v>
      </c>
      <c r="O121" s="105">
        <f>O110*pricing!O16*2000</f>
        <v>2517503.4776296746</v>
      </c>
    </row>
    <row r="122" spans="2:15" x14ac:dyDescent="0.2">
      <c r="C122" s="104" t="s">
        <v>128</v>
      </c>
      <c r="D122" s="105">
        <f>D111*pricing!D17*2000</f>
        <v>1738212.9554881922</v>
      </c>
      <c r="E122" s="105">
        <f>E111*pricing!E17*2000</f>
        <v>656243.32384923683</v>
      </c>
      <c r="F122" s="105">
        <f>F111*pricing!F17*2000</f>
        <v>1458369.940848791</v>
      </c>
      <c r="G122" s="105">
        <f>G111*pricing!G17*2000</f>
        <v>1558420.0052544067</v>
      </c>
      <c r="H122" s="105">
        <f>H111*pricing!H17*2000</f>
        <v>1457924.6281438428</v>
      </c>
      <c r="I122" s="105">
        <f>I111*pricing!I17*2000</f>
        <v>1479992.7188052728</v>
      </c>
      <c r="J122" s="105">
        <f>J111*pricing!J17*2000</f>
        <v>1439717.2700960261</v>
      </c>
      <c r="K122" s="105">
        <f>K111*pricing!K17*2000</f>
        <v>1384491.5786819004</v>
      </c>
      <c r="L122" s="105">
        <f>L111*pricing!L17*2000</f>
        <v>1416210.0058443907</v>
      </c>
      <c r="M122" s="105">
        <f>M111*pricing!M17*2000</f>
        <v>1514453.2619502035</v>
      </c>
      <c r="N122" s="105">
        <f>N111*pricing!N17*2000</f>
        <v>1662727.1102310338</v>
      </c>
      <c r="O122" s="105">
        <f>O111*pricing!O17*2000</f>
        <v>1582699.7872604637</v>
      </c>
    </row>
    <row r="123" spans="2:15" x14ac:dyDescent="0.2">
      <c r="C123" s="104" t="s">
        <v>129</v>
      </c>
      <c r="D123" s="105">
        <f>D112*pricing!D18*2000</f>
        <v>1825198.7699966943</v>
      </c>
      <c r="E123" s="105">
        <f>E112*pricing!E18*2000</f>
        <v>879979.70411932131</v>
      </c>
      <c r="F123" s="105">
        <f>F112*pricing!F18*2000</f>
        <v>1861964.0160365312</v>
      </c>
      <c r="G123" s="105">
        <f>G112*pricing!G18*2000</f>
        <v>1889858.1376032343</v>
      </c>
      <c r="H123" s="105">
        <f>H112*pricing!H18*2000</f>
        <v>1948502.9757413648</v>
      </c>
      <c r="I123" s="105">
        <f>I112*pricing!I18*2000</f>
        <v>1827913.1187648771</v>
      </c>
      <c r="J123" s="105">
        <f>J112*pricing!J18*2000</f>
        <v>1656144.0386801835</v>
      </c>
      <c r="K123" s="105">
        <f>K112*pricing!K18*2000</f>
        <v>1677368.4617297538</v>
      </c>
      <c r="L123" s="105">
        <f>L112*pricing!L18*2000</f>
        <v>1724525.7760824119</v>
      </c>
      <c r="M123" s="105">
        <f>M112*pricing!M18*2000</f>
        <v>1763037.9417727031</v>
      </c>
      <c r="N123" s="105">
        <f>N112*pricing!N18*2000</f>
        <v>1742028.2328619722</v>
      </c>
      <c r="O123" s="105">
        <f>O112*pricing!O18*2000</f>
        <v>1870639.5724534362</v>
      </c>
    </row>
    <row r="124" spans="2:15" x14ac:dyDescent="0.2">
      <c r="C124" s="104" t="s">
        <v>130</v>
      </c>
      <c r="D124" s="105">
        <f>D113*pricing!D19*2000</f>
        <v>1869685.4299526885</v>
      </c>
      <c r="E124" s="105">
        <f>E113*pricing!E19*2000</f>
        <v>1335643.6381280508</v>
      </c>
      <c r="F124" s="105">
        <f>F113*pricing!F19*2000</f>
        <v>2383516.7124404395</v>
      </c>
      <c r="G124" s="105">
        <f>G113*pricing!G19*2000</f>
        <v>2103646.8025881904</v>
      </c>
      <c r="H124" s="105">
        <f>H113*pricing!H19*2000</f>
        <v>1919503.1616418045</v>
      </c>
      <c r="I124" s="105">
        <f>I113*pricing!I19*2000</f>
        <v>2022806.4096860271</v>
      </c>
      <c r="J124" s="105">
        <f>J113*pricing!J19*2000</f>
        <v>2151437.4129604679</v>
      </c>
      <c r="K124" s="105">
        <f>K113*pricing!K19*2000</f>
        <v>2137469.6005441505</v>
      </c>
      <c r="L124" s="105">
        <f>L113*pricing!L19*2000</f>
        <v>2106022.1529561812</v>
      </c>
      <c r="M124" s="105">
        <f>M113*pricing!M19*2000</f>
        <v>2121392.5747487247</v>
      </c>
      <c r="N124" s="105">
        <f>N113*pricing!N19*2000</f>
        <v>2163559.3003251469</v>
      </c>
      <c r="O124" s="105">
        <f>O113*pricing!O19*2000</f>
        <v>2109561.882103377</v>
      </c>
    </row>
    <row r="125" spans="2:15" x14ac:dyDescent="0.2">
      <c r="C125" s="104" t="s">
        <v>131</v>
      </c>
      <c r="D125" s="105">
        <f>D114*pricing!D20*2000</f>
        <v>595154.71939608222</v>
      </c>
      <c r="E125" s="105">
        <f>E114*pricing!E20*2000</f>
        <v>336806.25847353082</v>
      </c>
      <c r="F125" s="105">
        <f>F114*pricing!F20*2000</f>
        <v>670183.22528848913</v>
      </c>
      <c r="G125" s="105">
        <f>G114*pricing!G20*2000</f>
        <v>707446.31804431032</v>
      </c>
      <c r="H125" s="105">
        <f>H114*pricing!H20*2000</f>
        <v>747977.40445948159</v>
      </c>
      <c r="I125" s="105">
        <f>I114*pricing!I20*2000</f>
        <v>827798.22997033014</v>
      </c>
      <c r="J125" s="105">
        <f>J114*pricing!J20*2000</f>
        <v>764103.50250759278</v>
      </c>
      <c r="K125" s="105">
        <f>K114*pricing!K20*2000</f>
        <v>852538.62669504585</v>
      </c>
      <c r="L125" s="105">
        <f>L114*pricing!L20*2000</f>
        <v>618313.23224383919</v>
      </c>
      <c r="M125" s="105">
        <f>M114*pricing!M20*2000</f>
        <v>972229.11991108756</v>
      </c>
      <c r="N125" s="105">
        <f>N114*pricing!N20*2000</f>
        <v>884187.62288710417</v>
      </c>
      <c r="O125" s="105">
        <f>O114*pricing!O20*2000</f>
        <v>766245.75480819598</v>
      </c>
    </row>
    <row r="126" spans="2:15" x14ac:dyDescent="0.2">
      <c r="C126" s="104" t="s">
        <v>132</v>
      </c>
      <c r="D126" s="105">
        <f>D115*pricing!D21*2000</f>
        <v>1164599.1908046531</v>
      </c>
      <c r="E126" s="105">
        <f>E115*pricing!E21*2000</f>
        <v>774105.63655017014</v>
      </c>
      <c r="F126" s="105">
        <f>F115*pricing!F21*2000</f>
        <v>1300189.5648830486</v>
      </c>
      <c r="G126" s="105">
        <f>G115*pricing!G21*2000</f>
        <v>1233220.5140012426</v>
      </c>
      <c r="H126" s="105">
        <f>H115*pricing!H21*2000</f>
        <v>1449360.3888290774</v>
      </c>
      <c r="I126" s="105">
        <f>I115*pricing!I21*2000</f>
        <v>1378531.2067163573</v>
      </c>
      <c r="J126" s="105">
        <f>J115*pricing!J21*2000</f>
        <v>1396758.5349697657</v>
      </c>
      <c r="K126" s="105">
        <f>K115*pricing!K21*2000</f>
        <v>1302124.2399516299</v>
      </c>
      <c r="L126" s="105">
        <f>L115*pricing!L21*2000</f>
        <v>1088743.6263735022</v>
      </c>
      <c r="M126" s="105">
        <f>M115*pricing!M21*2000</f>
        <v>1456566.667647732</v>
      </c>
      <c r="N126" s="105">
        <f>N115*pricing!N21*2000</f>
        <v>1231995.7936891911</v>
      </c>
      <c r="O126" s="105">
        <f>O115*pricing!O21*2000</f>
        <v>1389812.5888579139</v>
      </c>
    </row>
    <row r="127" spans="2:15" x14ac:dyDescent="0.2">
      <c r="C127" s="104" t="s">
        <v>278</v>
      </c>
      <c r="D127" s="105">
        <f t="shared" ref="D127:O127" si="1">SUM(D$120:D$126)</f>
        <v>12329967.004380351</v>
      </c>
      <c r="E127" s="105">
        <f t="shared" si="1"/>
        <v>6293757.0267112534</v>
      </c>
      <c r="F127" s="105">
        <f t="shared" si="1"/>
        <v>12064978.162968766</v>
      </c>
      <c r="G127" s="105">
        <f t="shared" si="1"/>
        <v>11716186.718161447</v>
      </c>
      <c r="H127" s="105">
        <f t="shared" si="1"/>
        <v>11810426.371095877</v>
      </c>
      <c r="I127" s="105">
        <f t="shared" si="1"/>
        <v>11916812.273129102</v>
      </c>
      <c r="J127" s="105">
        <f t="shared" si="1"/>
        <v>11896440.550395332</v>
      </c>
      <c r="K127" s="105">
        <f t="shared" si="1"/>
        <v>11906533.285709394</v>
      </c>
      <c r="L127" s="105">
        <f t="shared" si="1"/>
        <v>11427462.746059535</v>
      </c>
      <c r="M127" s="105">
        <f t="shared" si="1"/>
        <v>12179601.579269193</v>
      </c>
      <c r="N127" s="105">
        <f t="shared" si="1"/>
        <v>11931297.196296994</v>
      </c>
      <c r="O127" s="105">
        <f t="shared" si="1"/>
        <v>11894887.336234085</v>
      </c>
    </row>
    <row r="129" spans="2:15" x14ac:dyDescent="0.2">
      <c r="B129" s="108" t="s">
        <v>280</v>
      </c>
    </row>
    <row r="130" spans="2:15" x14ac:dyDescent="0.2">
      <c r="C130" s="110" t="s">
        <v>277</v>
      </c>
      <c r="D130" s="110" t="s">
        <v>92</v>
      </c>
      <c r="E130" s="110" t="s">
        <v>93</v>
      </c>
      <c r="F130" s="110" t="s">
        <v>94</v>
      </c>
      <c r="G130" s="110" t="s">
        <v>95</v>
      </c>
      <c r="H130" s="110" t="s">
        <v>96</v>
      </c>
      <c r="I130" s="110" t="s">
        <v>97</v>
      </c>
      <c r="J130" s="110" t="s">
        <v>98</v>
      </c>
      <c r="K130" s="110" t="s">
        <v>99</v>
      </c>
      <c r="L130" s="110" t="s">
        <v>100</v>
      </c>
      <c r="M130" s="110" t="s">
        <v>101</v>
      </c>
      <c r="N130" s="110" t="s">
        <v>102</v>
      </c>
      <c r="O130" s="110" t="s">
        <v>103</v>
      </c>
    </row>
    <row r="131" spans="2:15" x14ac:dyDescent="0.2">
      <c r="C131" s="110" t="s">
        <v>126</v>
      </c>
      <c r="D131" s="111">
        <f>SUM(E$6:E$19)+SUM(G$6:G$19)+SUM(I$6:I$19)+SUM(K$6:K$19)</f>
        <v>92494.579757053347</v>
      </c>
      <c r="E131" s="111">
        <f>SUM(M$6:M$19)+SUM(O$6:O$19)+SUM(Q$6:Q$19)+SUM(S$6:S$19)</f>
        <v>62071.654688196781</v>
      </c>
      <c r="F131" s="111">
        <f>SUM(U$6:U$19)+SUM(W$6:W$19)+SUM(Y$6:Y$19)+SUM(AA$6:AA$19)</f>
        <v>106325.91926845658</v>
      </c>
      <c r="G131" s="111">
        <f>SUM(AC$6:AC$19)+SUM(AE$6:AE$19)+SUM(AG$6:AG$19)+SUM(AI$6:AI$19)</f>
        <v>117087.03451048356</v>
      </c>
      <c r="H131" s="111">
        <f>SUM(AK$6:AK$19)+SUM(AM$6:AM$19)+SUM(AO$6:AO$19)+SUM(AQ$6:AQ$19)</f>
        <v>128466.30090980096</v>
      </c>
      <c r="I131" s="111">
        <f>SUM(AS$6:AS$19)+SUM(AU$6:AU$19)+SUM(AW$6:AW$19)+SUM(AY$6:AY$19)</f>
        <v>117497.53417139981</v>
      </c>
      <c r="J131" s="111">
        <f>SUM(BA$6:BA$19)+SUM(BC$6:BC$19)+SUM(BE$6:BE$19)+SUM(BG$6:BG$19)</f>
        <v>136120.2848563774</v>
      </c>
      <c r="K131" s="111">
        <f>SUM(BI$6:BI$19)+SUM(BK$6:BK$19)+SUM(BM$6:BM$19)+SUM(BO$6:BO$19)</f>
        <v>133785.00593741215</v>
      </c>
      <c r="L131" s="111">
        <f>SUM(BQ$6:BQ$19)+SUM(BS$6:BS$19)+SUM(BU$6:BU$19)+SUM(BW$6:BW$19)</f>
        <v>137673.54722890686</v>
      </c>
      <c r="M131" s="111">
        <f>SUM(BY$6:BY$19)+SUM(CA$6:CA$19)+SUM(CC$6:CC$19)+SUM(CE$6:CE$19)</f>
        <v>115719.75948927124</v>
      </c>
      <c r="N131" s="111">
        <f>SUM(CG$6:CG$19)+SUM(CI$6:CI$19)+SUM(CK$6:CK$19)+SUM(CM$6:CM$19)</f>
        <v>98138.009211552271</v>
      </c>
      <c r="O131" s="111">
        <f>SUM(CO$6:CO$19)+SUM(CQ$6:CQ$19)+SUM(CS$6:CS$19)+SUM(CU$6:CU$19)</f>
        <v>141721.49243014946</v>
      </c>
    </row>
    <row r="132" spans="2:15" x14ac:dyDescent="0.2">
      <c r="C132" s="110" t="s">
        <v>127</v>
      </c>
      <c r="D132" s="111">
        <f>SUM(E$20:E$36)+SUM(G$20:G$36)+SUM(I$20:I$36)+SUM(K$20:K$36)</f>
        <v>146920.25570658222</v>
      </c>
      <c r="E132" s="111">
        <f>SUM(M$20:M$36)+SUM(O$20:O$36)+SUM(Q$20:Q$36)+SUM(S$20:S$36)</f>
        <v>67186.407635489173</v>
      </c>
      <c r="F132" s="111">
        <f>SUM(U$20:U$36)+SUM(W$20:W$36)+SUM(Y$20:Y$36)+SUM(AA$20:AA$36)</f>
        <v>131947.60240774372</v>
      </c>
      <c r="G132" s="111">
        <f>SUM(AC$20:AC$36)+SUM(AE$20:AE$36)+SUM(AG$20:AG$36)+SUM(AI$20:AI$36)</f>
        <v>120278.7290977634</v>
      </c>
      <c r="H132" s="111">
        <f>SUM(AK$20:AK$36)+SUM(AM$20:AM$36)+SUM(AO$20:AO$36)+SUM(AQ$20:AQ$36)</f>
        <v>117213.70230606924</v>
      </c>
      <c r="I132" s="111">
        <f>SUM(AS$20:AS$36)+SUM(AU$20:AU$36)+SUM(AW$20:AW$36)+SUM(AY$20:AY$36)</f>
        <v>127702.72756391569</v>
      </c>
      <c r="J132" s="111">
        <f>SUM(BA$20:BA$36)+SUM(BC$20:BC$36)+SUM(BE$20:BE$36)+SUM(BG$20:BG$36)</f>
        <v>125490.09816978931</v>
      </c>
      <c r="K132" s="111">
        <f>SUM(BI$20:BI$36)+SUM(BK$20:BK$36)+SUM(BM$20:BM$36)+SUM(BO$20:BO$36)</f>
        <v>128313.11829910646</v>
      </c>
      <c r="L132" s="111">
        <f>SUM(BQ$20:BQ$36)+SUM(BS$20:BS$36)+SUM(BU$20:BU$36)+SUM(BW$20:BW$36)</f>
        <v>123642.12559894723</v>
      </c>
      <c r="M132" s="111">
        <f>SUM(BY$20:BY$36)+SUM(CA$20:CA$36)+SUM(CC$20:CC$36)+SUM(CE$20:CE$36)</f>
        <v>127043.78299707745</v>
      </c>
      <c r="N132" s="111">
        <f>SUM(CG$20:CG$36)+SUM(CI$20:CI$36)+SUM(CK$20:CK$36)+SUM(CM$20:CM$36)</f>
        <v>131710.05658979632</v>
      </c>
      <c r="O132" s="111">
        <f>SUM(CO$20:CO$36)+SUM(CQ$20:CQ$36)+SUM(CS$20:CS$36)+SUM(CU$20:CU$36)</f>
        <v>107035.86080060025</v>
      </c>
    </row>
    <row r="133" spans="2:15" x14ac:dyDescent="0.2">
      <c r="C133" s="110" t="s">
        <v>128</v>
      </c>
      <c r="D133" s="111">
        <f>SUM(E$37:E$48)+SUM(G$37:G$48)+SUM(I$37:I$48)+SUM(K$37:K$48)</f>
        <v>185530.62945710958</v>
      </c>
      <c r="E133" s="111">
        <f>SUM(M$37:M$48)+SUM(O$37:O$48)+SUM(Q$37:Q$48)+SUM(S$37:S$48)</f>
        <v>82415.2982903542</v>
      </c>
      <c r="F133" s="111">
        <f>SUM(U$37:U$48)+SUM(W$37:W$48)+SUM(Y$37:Y$48)+SUM(AA$37:AA$48)</f>
        <v>182424.47900918548</v>
      </c>
      <c r="G133" s="111">
        <f>SUM(AC$37:AC$48)+SUM(AE$37:AE$48)+SUM(AG$37:AG$48)+SUM(AI$37:AI$48)</f>
        <v>196210.37095874685</v>
      </c>
      <c r="H133" s="111">
        <f>SUM(AK$37:AK$48)+SUM(AM$37:AM$48)+SUM(AO$37:AO$48)+SUM(AQ$37:AQ$48)</f>
        <v>183259.12210568861</v>
      </c>
      <c r="I133" s="111">
        <f>SUM(AS$37:AS$48)+SUM(AU$37:AU$48)+SUM(AW$37:AW$48)+SUM(AY$37:AY$48)</f>
        <v>184959.47761900281</v>
      </c>
      <c r="J133" s="111">
        <f>SUM(BA$37:BA$48)+SUM(BC$37:BC$48)+SUM(BE$37:BE$48)+SUM(BG$37:BG$48)</f>
        <v>181251.96978430316</v>
      </c>
      <c r="K133" s="111">
        <f>SUM(BI$37:BI$48)+SUM(BK$37:BK$48)+SUM(BM$37:BM$48)+SUM(BO$37:BO$48)</f>
        <v>174114.89458126097</v>
      </c>
      <c r="L133" s="111">
        <f>SUM(BQ$37:BQ$48)+SUM(BS$37:BS$48)+SUM(BU$37:BU$48)+SUM(BW$37:BW$48)</f>
        <v>177476.51349590026</v>
      </c>
      <c r="M133" s="111">
        <f>SUM(BY$37:BY$48)+SUM(CA$37:CA$48)+SUM(CC$37:CC$48)+SUM(CE$37:CE$48)</f>
        <v>191178.68661230081</v>
      </c>
      <c r="N133" s="111">
        <f>SUM(CG$37:CG$48)+SUM(CI$37:CI$48)+SUM(CK$37:CK$48)+SUM(CM$37:CM$48)</f>
        <v>209053.07333529348</v>
      </c>
      <c r="O133" s="111">
        <f>SUM(CO$37:CO$48)+SUM(CQ$37:CQ$48)+SUM(CS$37:CS$48)+SUM(CU$37:CU$48)</f>
        <v>198429.31569494965</v>
      </c>
    </row>
    <row r="134" spans="2:15" x14ac:dyDescent="0.2">
      <c r="C134" s="110" t="s">
        <v>129</v>
      </c>
      <c r="D134" s="111">
        <f>SUM(E$49:E$70)+SUM(G$49:G$70)+SUM(I$49:I$70)+SUM(K$49:K$70)</f>
        <v>92455.817185659995</v>
      </c>
      <c r="E134" s="111">
        <f>SUM(M$49:M$70)+SUM(O$49:O$70)+SUM(Q$49:Q$70)+SUM(S$49:S$70)</f>
        <v>48199.087087598848</v>
      </c>
      <c r="F134" s="111">
        <f>SUM(U$49:U$70)+SUM(W$49:W$70)+SUM(Y$49:Y$70)+SUM(AA$49:AA$70)</f>
        <v>101947.27915975342</v>
      </c>
      <c r="G134" s="111">
        <f>SUM(AC$49:AC$70)+SUM(AE$49:AE$70)+SUM(AG$49:AG$70)+SUM(AI$49:AI$70)</f>
        <v>101510.83754214796</v>
      </c>
      <c r="H134" s="111">
        <f>SUM(AK$49:AK$70)+SUM(AM$49:AM$70)+SUM(AO$49:AO$70)+SUM(AQ$49:AQ$70)</f>
        <v>105911.78225849441</v>
      </c>
      <c r="I134" s="111">
        <f>SUM(AS$49:AS$70)+SUM(AU$49:AU$70)+SUM(AW$49:AW$70)+SUM(AY$49:AY$70)</f>
        <v>99521.867532626828</v>
      </c>
      <c r="J134" s="111">
        <f>SUM(BA$49:BA$70)+SUM(BC$49:BC$70)+SUM(BE$49:BE$70)+SUM(BG$49:BG$70)</f>
        <v>86665.732013512505</v>
      </c>
      <c r="K134" s="111">
        <f>SUM(BI$49:BI$70)+SUM(BK$49:BK$70)+SUM(BM$49:BM$70)+SUM(BO$49:BO$70)</f>
        <v>89760.163498221926</v>
      </c>
      <c r="L134" s="111">
        <f>SUM(BQ$49:BQ$70)+SUM(BS$49:BS$70)+SUM(BU$49:BU$70)+SUM(BW$49:BW$70)</f>
        <v>92701.848562683575</v>
      </c>
      <c r="M134" s="111">
        <f>SUM(BY$49:BY$70)+SUM(CA$49:CA$70)+SUM(CC$49:CC$70)+SUM(CE$49:CE$70)</f>
        <v>94840.073295868322</v>
      </c>
      <c r="N134" s="111">
        <f>SUM(CG$49:CG$70)+SUM(CI$49:CI$70)+SUM(CK$49:CK$70)+SUM(CM$49:CM$70)</f>
        <v>93596.40837311864</v>
      </c>
      <c r="O134" s="111">
        <f>SUM(CO$49:CO$70)+SUM(CQ$49:CQ$70)+SUM(CS$49:CS$70)+SUM(CU$49:CU$70)</f>
        <v>100044.61955516525</v>
      </c>
    </row>
    <row r="135" spans="2:15" x14ac:dyDescent="0.2">
      <c r="C135" s="110" t="s">
        <v>130</v>
      </c>
      <c r="D135" s="111">
        <f>SUM(E$71:E$86)+SUM(G$71:G$86)+SUM(I$71:I$86)+SUM(K$71:K$86)</f>
        <v>114740.78356617289</v>
      </c>
      <c r="E135" s="111">
        <f>SUM(M$71:M$86)+SUM(O$71:O$86)+SUM(Q$71:Q$86)+SUM(S$71:S$86)</f>
        <v>96357.675362237467</v>
      </c>
      <c r="F135" s="111">
        <f>SUM(U$71:U$86)+SUM(W$71:W$86)+SUM(Y$71:Y$86)+SUM(AA$71:AA$86)</f>
        <v>173466.57521134749</v>
      </c>
      <c r="G135" s="111">
        <f>SUM(AC$71:AC$86)+SUM(AE$71:AE$86)+SUM(AG$71:AG$86)+SUM(AI$71:AI$86)</f>
        <v>151942.51611821438</v>
      </c>
      <c r="H135" s="111">
        <f>SUM(AK$71:AK$86)+SUM(AM$71:AM$86)+SUM(AO$71:AO$86)+SUM(AQ$71:AQ$86)</f>
        <v>140357.94515480759</v>
      </c>
      <c r="I135" s="111">
        <f>SUM(AS$71:AS$86)+SUM(AU$71:AU$86)+SUM(AW$71:AW$86)+SUM(AY$71:AY$86)</f>
        <v>147348.34865375457</v>
      </c>
      <c r="J135" s="111">
        <f>SUM(BA$71:BA$86)+SUM(BC$71:BC$86)+SUM(BE$71:BE$86)+SUM(BG$71:BG$86)</f>
        <v>156020.51538688171</v>
      </c>
      <c r="K135" s="111">
        <f>SUM(BI$71:BI$86)+SUM(BK$71:BK$86)+SUM(BM$71:BM$86)+SUM(BO$71:BO$86)</f>
        <v>155481.85787316589</v>
      </c>
      <c r="L135" s="111">
        <f>SUM(BQ$71:BQ$86)+SUM(BS$71:BS$86)+SUM(BU$71:BU$86)+SUM(BW$71:BW$86)</f>
        <v>152201.06715888562</v>
      </c>
      <c r="M135" s="111">
        <f>SUM(BY$71:BY$86)+SUM(CA$71:CA$86)+SUM(CC$71:CC$86)+SUM(CE$71:CE$86)</f>
        <v>154548.16755244959</v>
      </c>
      <c r="N135" s="111">
        <f>SUM(CG$71:CG$86)+SUM(CI$71:CI$86)+SUM(CK$71:CK$86)+SUM(CM$71:CM$86)</f>
        <v>157057.95711143748</v>
      </c>
      <c r="O135" s="111">
        <f>SUM(CO$71:CO$86)+SUM(CQ$71:CQ$86)+SUM(CS$71:CS$86)+SUM(CU$71:CU$86)</f>
        <v>153568.21108382268</v>
      </c>
    </row>
    <row r="136" spans="2:15" x14ac:dyDescent="0.2">
      <c r="C136" s="110" t="s">
        <v>131</v>
      </c>
      <c r="D136" s="111">
        <f>SUM(E$87:E$94)+SUM(G$87:G$94)+SUM(I$87:I$94)+SUM(K$87:K$94)</f>
        <v>58842.203163291408</v>
      </c>
      <c r="E136" s="111">
        <f>SUM(M$87:M$94)+SUM(O$87:O$94)+SUM(Q$87:Q$94)+SUM(S$87:S$94)</f>
        <v>46711.50094755202</v>
      </c>
      <c r="F136" s="111">
        <f>SUM(U$87:U$94)+SUM(W$87:W$94)+SUM(Y$87:Y$94)+SUM(AA$87:AA$94)</f>
        <v>92411.183959857517</v>
      </c>
      <c r="G136" s="111">
        <f>SUM(AC$87:AC$94)+SUM(AE$87:AE$94)+SUM(AG$87:AG$94)+SUM(AI$87:AI$94)</f>
        <v>97372.64170887298</v>
      </c>
      <c r="H136" s="111">
        <f>SUM(AK$87:AK$94)+SUM(AM$87:AM$94)+SUM(AO$87:AO$94)+SUM(AQ$87:AQ$94)</f>
        <v>103442.53241617652</v>
      </c>
      <c r="I136" s="111">
        <f>SUM(AS$87:AS$94)+SUM(AU$87:AU$94)+SUM(AW$87:AW$94)+SUM(AY$87:AY$94)</f>
        <v>114434.94920751054</v>
      </c>
      <c r="J136" s="111">
        <f>SUM(BA$87:BA$94)+SUM(BC$87:BC$94)+SUM(BE$87:BE$94)+SUM(BG$87:BG$94)</f>
        <v>105300.87544710122</v>
      </c>
      <c r="K136" s="111">
        <f>SUM(BI$87:BI$94)+SUM(BK$87:BK$94)+SUM(BM$87:BM$94)+SUM(BO$87:BO$94)</f>
        <v>117860.07536030794</v>
      </c>
      <c r="L136" s="111">
        <f>SUM(BQ$87:BQ$94)+SUM(BS$87:BS$94)+SUM(BU$87:BU$94)+SUM(BW$87:BW$94)</f>
        <v>85393.778464982563</v>
      </c>
      <c r="M136" s="111">
        <f>SUM(BY$87:BY$94)+SUM(CA$87:CA$94)+SUM(CC$87:CC$94)+SUM(CE$87:CE$94)</f>
        <v>134340.52554455507</v>
      </c>
      <c r="N136" s="111">
        <f>SUM(CG$87:CG$94)+SUM(CI$87:CI$94)+SUM(CK$87:CK$94)+SUM(CM$87:CM$94)</f>
        <v>121891.01063227151</v>
      </c>
      <c r="O136" s="111">
        <f>SUM(CO$87:CO$94)+SUM(CQ$87:CQ$94)+SUM(CS$87:CS$94)+SUM(CU$87:CU$94)</f>
        <v>105868.12614907272</v>
      </c>
    </row>
    <row r="137" spans="2:15" x14ac:dyDescent="0.2">
      <c r="C137" s="110" t="s">
        <v>132</v>
      </c>
      <c r="D137" s="111">
        <f>SUM(E$95:E$105)+SUM(G$95:G$105)+SUM(I$95:I$105)+SUM(K$95:K$105)</f>
        <v>100498.29939928667</v>
      </c>
      <c r="E137" s="111">
        <f>SUM(M$95:M$105)+SUM(O$95:O$105)+SUM(Q$95:Q$105)+SUM(S$95:S$105)</f>
        <v>91914.578289040219</v>
      </c>
      <c r="F137" s="111">
        <f>SUM(U$95:U$105)+SUM(W$95:W$105)+SUM(Y$95:Y$105)+SUM(AA$95:AA$105)</f>
        <v>154916.69637191511</v>
      </c>
      <c r="G137" s="111">
        <f>SUM(AC$95:AC$105)+SUM(AE$95:AE$105)+SUM(AG$95:AG$105)+SUM(AI$95:AI$105)</f>
        <v>149693.94901222707</v>
      </c>
      <c r="H137" s="111">
        <f>SUM(AK$95:AK$105)+SUM(AM$95:AM$105)+SUM(AO$95:AO$105)+SUM(AQ$95:AQ$105)</f>
        <v>173543.31411141565</v>
      </c>
      <c r="I137" s="111">
        <f>SUM(AS$95:AS$105)+SUM(AU$95:AU$105)+SUM(AW$95:AW$105)+SUM(AY$95:AY$105)</f>
        <v>168479.01633738275</v>
      </c>
      <c r="J137" s="111">
        <f>SUM(BA$95:BA$105)+SUM(BC$95:BC$105)+SUM(BE$95:BE$105)+SUM(BG$95:BG$105)</f>
        <v>161728.70613972886</v>
      </c>
      <c r="K137" s="111">
        <f>SUM(BI$95:BI$105)+SUM(BK$95:BK$105)+SUM(BM$95:BM$105)+SUM(BO$95:BO$105)</f>
        <v>156662.67276559502</v>
      </c>
      <c r="L137" s="111">
        <f>SUM(BQ$95:BQ$105)+SUM(BS$95:BS$105)+SUM(BU$95:BU$105)+SUM(BW$95:BW$105)</f>
        <v>130313.22412151667</v>
      </c>
      <c r="M137" s="111">
        <f>SUM(BY$95:BY$105)+SUM(CA$95:CA$105)+SUM(CC$95:CC$105)+SUM(CE$95:CE$105)</f>
        <v>173658.778742283</v>
      </c>
      <c r="N137" s="111">
        <f>SUM(CG$95:CG$105)+SUM(CI$95:CI$105)+SUM(CK$95:CK$105)+SUM(CM$95:CM$105)</f>
        <v>144587.74521625639</v>
      </c>
      <c r="O137" s="111">
        <f>SUM(CO$95:CO$105)+SUM(CQ$95:CQ$105)+SUM(CS$95:CS$105)+SUM(CU$95:CU$105)</f>
        <v>164339.21279665097</v>
      </c>
    </row>
    <row r="138" spans="2:15" x14ac:dyDescent="0.2">
      <c r="C138" s="110" t="s">
        <v>278</v>
      </c>
      <c r="D138" s="105">
        <f t="shared" ref="D138:O138" si="2">SUM(D$131:D$137)</f>
        <v>791482.56823515613</v>
      </c>
      <c r="E138" s="105">
        <f t="shared" si="2"/>
        <v>494856.20230046881</v>
      </c>
      <c r="F138" s="105">
        <f t="shared" si="2"/>
        <v>943439.7353882594</v>
      </c>
      <c r="G138" s="105">
        <f t="shared" si="2"/>
        <v>934096.0789484561</v>
      </c>
      <c r="H138" s="105">
        <f t="shared" si="2"/>
        <v>952194.69926245289</v>
      </c>
      <c r="I138" s="105">
        <f t="shared" si="2"/>
        <v>959943.92108559294</v>
      </c>
      <c r="J138" s="105">
        <f t="shared" si="2"/>
        <v>952578.18179769418</v>
      </c>
      <c r="K138" s="105">
        <f t="shared" si="2"/>
        <v>955977.78831507033</v>
      </c>
      <c r="L138" s="105">
        <f t="shared" si="2"/>
        <v>899402.10463182279</v>
      </c>
      <c r="M138" s="105">
        <f t="shared" si="2"/>
        <v>991329.77423380548</v>
      </c>
      <c r="N138" s="105">
        <f t="shared" si="2"/>
        <v>956034.26046972605</v>
      </c>
      <c r="O138" s="105">
        <f t="shared" si="2"/>
        <v>971006.83851041098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5"/>
  </cols>
  <sheetData>
    <row r="2" spans="1:99" x14ac:dyDescent="0.2">
      <c r="B2" s="107" t="s">
        <v>272</v>
      </c>
    </row>
    <row r="3" spans="1:99" x14ac:dyDescent="0.2">
      <c r="B3" s="108" t="s">
        <v>281</v>
      </c>
    </row>
    <row r="4" spans="1:99" x14ac:dyDescent="0.2">
      <c r="A4" s="106"/>
      <c r="B4" s="106"/>
      <c r="C4" s="104" t="s">
        <v>274</v>
      </c>
      <c r="D4" s="104" t="s">
        <v>92</v>
      </c>
      <c r="E4" s="106"/>
      <c r="F4" s="106"/>
      <c r="G4" s="106"/>
      <c r="H4" s="106"/>
      <c r="I4" s="106"/>
      <c r="J4" s="106"/>
      <c r="K4" s="106"/>
      <c r="L4" s="104" t="s">
        <v>93</v>
      </c>
      <c r="M4" s="106"/>
      <c r="N4" s="106"/>
      <c r="O4" s="106"/>
      <c r="P4" s="106"/>
      <c r="Q4" s="106"/>
      <c r="R4" s="106"/>
      <c r="S4" s="106"/>
      <c r="T4" s="104" t="s">
        <v>94</v>
      </c>
      <c r="U4" s="106"/>
      <c r="V4" s="106"/>
      <c r="W4" s="106"/>
      <c r="X4" s="106"/>
      <c r="Y4" s="106"/>
      <c r="Z4" s="106"/>
      <c r="AA4" s="106"/>
      <c r="AB4" s="104" t="s">
        <v>95</v>
      </c>
      <c r="AC4" s="106"/>
      <c r="AD4" s="106"/>
      <c r="AE4" s="106"/>
      <c r="AF4" s="106"/>
      <c r="AG4" s="106"/>
      <c r="AH4" s="106"/>
      <c r="AI4" s="106"/>
      <c r="AJ4" s="104" t="s">
        <v>96</v>
      </c>
      <c r="AK4" s="106"/>
      <c r="AL4" s="106"/>
      <c r="AM4" s="106"/>
      <c r="AN4" s="106"/>
      <c r="AO4" s="106"/>
      <c r="AP4" s="106"/>
      <c r="AQ4" s="106"/>
      <c r="AR4" s="104" t="s">
        <v>97</v>
      </c>
      <c r="AS4" s="106"/>
      <c r="AT4" s="106"/>
      <c r="AU4" s="106"/>
      <c r="AV4" s="106"/>
      <c r="AW4" s="106"/>
      <c r="AX4" s="106"/>
      <c r="AY4" s="106"/>
      <c r="AZ4" s="104" t="s">
        <v>98</v>
      </c>
      <c r="BA4" s="106"/>
      <c r="BB4" s="106"/>
      <c r="BC4" s="106"/>
      <c r="BD4" s="106"/>
      <c r="BE4" s="106"/>
      <c r="BF4" s="106"/>
      <c r="BG4" s="106"/>
      <c r="BH4" s="104" t="s">
        <v>99</v>
      </c>
      <c r="BI4" s="106"/>
      <c r="BJ4" s="106"/>
      <c r="BK4" s="106"/>
      <c r="BL4" s="106"/>
      <c r="BM4" s="106"/>
      <c r="BN4" s="106"/>
      <c r="BO4" s="106"/>
      <c r="BP4" s="104" t="s">
        <v>100</v>
      </c>
      <c r="BQ4" s="106"/>
      <c r="BR4" s="106"/>
      <c r="BS4" s="106"/>
      <c r="BT4" s="106"/>
      <c r="BU4" s="106"/>
      <c r="BV4" s="106"/>
      <c r="BW4" s="106"/>
      <c r="BX4" s="104" t="s">
        <v>101</v>
      </c>
      <c r="BY4" s="106"/>
      <c r="BZ4" s="106"/>
      <c r="CA4" s="106"/>
      <c r="CB4" s="106"/>
      <c r="CC4" s="106"/>
      <c r="CD4" s="106"/>
      <c r="CE4" s="106"/>
      <c r="CF4" s="104" t="s">
        <v>102</v>
      </c>
      <c r="CG4" s="106"/>
      <c r="CH4" s="106"/>
      <c r="CI4" s="106"/>
      <c r="CJ4" s="106"/>
      <c r="CK4" s="106"/>
      <c r="CL4" s="106"/>
      <c r="CM4" s="106"/>
      <c r="CN4" s="104" t="s">
        <v>103</v>
      </c>
      <c r="CO4" s="106"/>
      <c r="CP4" s="106"/>
      <c r="CQ4" s="106"/>
      <c r="CR4" s="106"/>
      <c r="CS4" s="106"/>
      <c r="CT4" s="106"/>
      <c r="CU4" s="106"/>
    </row>
    <row r="5" spans="1:99" x14ac:dyDescent="0.2">
      <c r="B5" s="104" t="s">
        <v>167</v>
      </c>
      <c r="C5" s="104" t="s">
        <v>275</v>
      </c>
      <c r="D5" s="104">
        <v>1</v>
      </c>
      <c r="E5" s="104"/>
      <c r="F5" s="104">
        <v>2</v>
      </c>
      <c r="G5" s="104"/>
      <c r="H5" s="104">
        <v>3</v>
      </c>
      <c r="I5" s="104"/>
      <c r="J5" s="104">
        <v>4</v>
      </c>
      <c r="K5" s="104"/>
      <c r="L5" s="104">
        <v>1</v>
      </c>
      <c r="M5" s="104"/>
      <c r="N5" s="104">
        <v>2</v>
      </c>
      <c r="O5" s="104"/>
      <c r="P5" s="104">
        <v>3</v>
      </c>
      <c r="Q5" s="104"/>
      <c r="R5" s="104">
        <v>4</v>
      </c>
      <c r="S5" s="104"/>
      <c r="T5" s="104">
        <v>1</v>
      </c>
      <c r="U5" s="104"/>
      <c r="V5" s="104">
        <v>2</v>
      </c>
      <c r="W5" s="104"/>
      <c r="X5" s="104">
        <v>3</v>
      </c>
      <c r="Y5" s="104"/>
      <c r="Z5" s="104">
        <v>4</v>
      </c>
      <c r="AA5" s="104"/>
      <c r="AB5" s="104">
        <v>1</v>
      </c>
      <c r="AC5" s="104"/>
      <c r="AD5" s="104">
        <v>2</v>
      </c>
      <c r="AE5" s="104"/>
      <c r="AF5" s="104">
        <v>3</v>
      </c>
      <c r="AG5" s="104"/>
      <c r="AH5" s="104">
        <v>4</v>
      </c>
      <c r="AI5" s="104"/>
      <c r="AJ5" s="104">
        <v>1</v>
      </c>
      <c r="AK5" s="104"/>
      <c r="AL5" s="104">
        <v>2</v>
      </c>
      <c r="AM5" s="104"/>
      <c r="AN5" s="104">
        <v>3</v>
      </c>
      <c r="AO5" s="104"/>
      <c r="AP5" s="104">
        <v>4</v>
      </c>
      <c r="AQ5" s="104"/>
      <c r="AR5" s="104">
        <v>1</v>
      </c>
      <c r="AS5" s="104"/>
      <c r="AT5" s="104">
        <v>2</v>
      </c>
      <c r="AU5" s="104"/>
      <c r="AV5" s="104">
        <v>3</v>
      </c>
      <c r="AW5" s="104"/>
      <c r="AX5" s="104">
        <v>4</v>
      </c>
      <c r="AY5" s="104"/>
      <c r="AZ5" s="104">
        <v>1</v>
      </c>
      <c r="BA5" s="104"/>
      <c r="BB5" s="104">
        <v>2</v>
      </c>
      <c r="BC5" s="104"/>
      <c r="BD5" s="104">
        <v>3</v>
      </c>
      <c r="BE5" s="104"/>
      <c r="BF5" s="104">
        <v>4</v>
      </c>
      <c r="BG5" s="104"/>
      <c r="BH5" s="104">
        <v>1</v>
      </c>
      <c r="BI5" s="104"/>
      <c r="BJ5" s="104">
        <v>2</v>
      </c>
      <c r="BK5" s="104"/>
      <c r="BL5" s="104">
        <v>3</v>
      </c>
      <c r="BM5" s="104"/>
      <c r="BN5" s="104">
        <v>4</v>
      </c>
      <c r="BO5" s="104"/>
      <c r="BP5" s="104">
        <v>1</v>
      </c>
      <c r="BQ5" s="104"/>
      <c r="BR5" s="104">
        <v>2</v>
      </c>
      <c r="BS5" s="104"/>
      <c r="BT5" s="104">
        <v>3</v>
      </c>
      <c r="BU5" s="104"/>
      <c r="BV5" s="104">
        <v>4</v>
      </c>
      <c r="BW5" s="104"/>
      <c r="BX5" s="104">
        <v>1</v>
      </c>
      <c r="BY5" s="104"/>
      <c r="BZ5" s="104">
        <v>2</v>
      </c>
      <c r="CA5" s="104"/>
      <c r="CB5" s="104">
        <v>3</v>
      </c>
      <c r="CC5" s="104"/>
      <c r="CD5" s="104">
        <v>4</v>
      </c>
      <c r="CE5" s="104"/>
      <c r="CF5" s="104">
        <v>1</v>
      </c>
      <c r="CG5" s="104"/>
      <c r="CH5" s="104">
        <v>2</v>
      </c>
      <c r="CI5" s="104"/>
      <c r="CJ5" s="104">
        <v>3</v>
      </c>
      <c r="CK5" s="104"/>
      <c r="CL5" s="104">
        <v>4</v>
      </c>
      <c r="CM5" s="104"/>
      <c r="CN5" s="104">
        <v>1</v>
      </c>
      <c r="CO5" s="104"/>
      <c r="CP5" s="104">
        <v>2</v>
      </c>
      <c r="CQ5" s="104"/>
      <c r="CR5" s="104">
        <v>3</v>
      </c>
      <c r="CS5" s="104"/>
      <c r="CT5" s="104">
        <v>4</v>
      </c>
      <c r="CU5" s="104"/>
    </row>
    <row r="6" spans="1:99" x14ac:dyDescent="0.2">
      <c r="B6" s="104" t="s">
        <v>126</v>
      </c>
      <c r="C6" s="104" t="s">
        <v>172</v>
      </c>
      <c r="D6" s="105">
        <v>4</v>
      </c>
      <c r="E6" s="105">
        <v>2731.2</v>
      </c>
      <c r="F6" s="105">
        <v>4</v>
      </c>
      <c r="G6" s="105">
        <v>2731.2</v>
      </c>
      <c r="H6" s="105">
        <v>3</v>
      </c>
      <c r="I6" s="105">
        <v>2048.3999999999996</v>
      </c>
      <c r="J6" s="105">
        <v>5</v>
      </c>
      <c r="K6" s="105">
        <v>3414</v>
      </c>
      <c r="L6" s="105">
        <v>3.8424198917808319</v>
      </c>
      <c r="M6" s="105">
        <v>2623.6043021079518</v>
      </c>
      <c r="N6" s="105">
        <v>3.9644464059195474</v>
      </c>
      <c r="O6" s="105">
        <v>2706.9240059618669</v>
      </c>
      <c r="P6" s="105">
        <v>3.5258149303568738</v>
      </c>
      <c r="Q6" s="105">
        <v>2407.4264344476733</v>
      </c>
      <c r="R6" s="105">
        <v>4.5773347147591501</v>
      </c>
      <c r="S6" s="105">
        <v>3125.4041432375475</v>
      </c>
      <c r="T6" s="105">
        <v>3.9693866584488018</v>
      </c>
      <c r="U6" s="105">
        <v>2710.2972103888419</v>
      </c>
      <c r="V6" s="105">
        <v>4.6975210833377439</v>
      </c>
      <c r="W6" s="105">
        <v>3207.4673957030113</v>
      </c>
      <c r="X6" s="105">
        <v>4.3540557940875031</v>
      </c>
      <c r="Y6" s="105">
        <v>2972.9492962029467</v>
      </c>
      <c r="Z6" s="105">
        <v>3.9205472863339597</v>
      </c>
      <c r="AA6" s="105">
        <v>2676.9496871088277</v>
      </c>
      <c r="AB6" s="105">
        <v>5.1482174663641409</v>
      </c>
      <c r="AC6" s="105">
        <v>3515.2028860334353</v>
      </c>
      <c r="AD6" s="105">
        <v>4.2022543865336068</v>
      </c>
      <c r="AE6" s="105">
        <v>2869.2992951251467</v>
      </c>
      <c r="AF6" s="105">
        <v>3.5721426051567957</v>
      </c>
      <c r="AG6" s="105">
        <v>2439.0589708010598</v>
      </c>
      <c r="AH6" s="105">
        <v>4.37201867781482</v>
      </c>
      <c r="AI6" s="105">
        <v>2985.214353211959</v>
      </c>
      <c r="AJ6" s="105">
        <v>3.322406476923832</v>
      </c>
      <c r="AK6" s="105">
        <v>2268.5391424435925</v>
      </c>
      <c r="AL6" s="105">
        <v>4.9486756837587338</v>
      </c>
      <c r="AM6" s="105">
        <v>3378.9557568704631</v>
      </c>
      <c r="AN6" s="105">
        <v>3.6458290742461901</v>
      </c>
      <c r="AO6" s="105">
        <v>2489.3720918952986</v>
      </c>
      <c r="AP6" s="105">
        <v>5.33587517905009</v>
      </c>
      <c r="AQ6" s="105">
        <v>3643.3355722554011</v>
      </c>
      <c r="AR6" s="105">
        <v>4.3251660782607821</v>
      </c>
      <c r="AS6" s="105">
        <v>2953.2233982364619</v>
      </c>
      <c r="AT6" s="105">
        <v>3.5183325799377201</v>
      </c>
      <c r="AU6" s="105">
        <v>2402.317485581475</v>
      </c>
      <c r="AV6" s="105">
        <v>3.9950763090187031</v>
      </c>
      <c r="AW6" s="105">
        <v>2727.8381037979702</v>
      </c>
      <c r="AX6" s="105">
        <v>3.946692905167434</v>
      </c>
      <c r="AY6" s="105">
        <v>2694.8019156483238</v>
      </c>
      <c r="AZ6" s="105">
        <v>4.7028933957768775</v>
      </c>
      <c r="BA6" s="105">
        <v>3211.1356106364519</v>
      </c>
      <c r="BB6" s="105">
        <v>5.1343409041731523</v>
      </c>
      <c r="BC6" s="105">
        <v>3505.7279693694281</v>
      </c>
      <c r="BD6" s="105">
        <v>5.954491447977075</v>
      </c>
      <c r="BE6" s="105">
        <v>4065.7267606787464</v>
      </c>
      <c r="BF6" s="105">
        <v>5.758996293874338</v>
      </c>
      <c r="BG6" s="105">
        <v>3932.2426694573978</v>
      </c>
      <c r="BH6" s="105">
        <v>3.6835541596297148</v>
      </c>
      <c r="BI6" s="105">
        <v>2515.1307801951689</v>
      </c>
      <c r="BJ6" s="105">
        <v>4.9193362513635153</v>
      </c>
      <c r="BK6" s="105">
        <v>3358.922792431008</v>
      </c>
      <c r="BL6" s="105">
        <v>3.837253732795352</v>
      </c>
      <c r="BM6" s="105">
        <v>2620.0768487526661</v>
      </c>
      <c r="BN6" s="105">
        <v>4.524825501967209</v>
      </c>
      <c r="BO6" s="105">
        <v>3089.5508527432103</v>
      </c>
      <c r="BP6" s="105">
        <v>3.1647563930484512</v>
      </c>
      <c r="BQ6" s="105">
        <v>2160.8956651734825</v>
      </c>
      <c r="BR6" s="105">
        <v>5.3904112750094271</v>
      </c>
      <c r="BS6" s="105">
        <v>3680.5728185764365</v>
      </c>
      <c r="BT6" s="105">
        <v>3.5679508579492709</v>
      </c>
      <c r="BU6" s="105">
        <v>2436.1968458077622</v>
      </c>
      <c r="BV6" s="105">
        <v>4.0844656989328456</v>
      </c>
      <c r="BW6" s="105">
        <v>2788.873179231347</v>
      </c>
      <c r="BX6" s="105">
        <v>4.607639997437782</v>
      </c>
      <c r="BY6" s="105">
        <v>3146.0965902505172</v>
      </c>
      <c r="BZ6" s="105">
        <v>4.3497212506294343</v>
      </c>
      <c r="CA6" s="105">
        <v>2969.9896699297774</v>
      </c>
      <c r="CB6" s="105">
        <v>3.6669188802704946</v>
      </c>
      <c r="CC6" s="105">
        <v>2503.7722114486937</v>
      </c>
      <c r="CD6" s="105">
        <v>4.4616912807073934</v>
      </c>
      <c r="CE6" s="105">
        <v>3046.4428064670078</v>
      </c>
      <c r="CF6" s="105">
        <v>4.76851592215694</v>
      </c>
      <c r="CG6" s="105">
        <v>3255.9426716487583</v>
      </c>
      <c r="CH6" s="105">
        <v>4.2509638621032328</v>
      </c>
      <c r="CI6" s="105">
        <v>2902.5581250440873</v>
      </c>
      <c r="CJ6" s="105">
        <v>4.3624531459248415</v>
      </c>
      <c r="CK6" s="105">
        <v>2978.6830080374816</v>
      </c>
      <c r="CL6" s="105">
        <v>4.1413586292129692</v>
      </c>
      <c r="CM6" s="105">
        <v>2827.7196720266152</v>
      </c>
      <c r="CN6" s="105">
        <v>5.3923620702802149</v>
      </c>
      <c r="CO6" s="105">
        <v>3681.9048215873304</v>
      </c>
      <c r="CP6" s="105">
        <v>4.3334912572232342</v>
      </c>
      <c r="CQ6" s="105">
        <v>2958.9078304320242</v>
      </c>
      <c r="CR6" s="105">
        <v>4.316938886226402</v>
      </c>
      <c r="CS6" s="105">
        <v>2947.6058715153872</v>
      </c>
      <c r="CT6" s="105">
        <v>3.704407293520978</v>
      </c>
      <c r="CU6" s="105">
        <v>2529.3693000161238</v>
      </c>
    </row>
    <row r="7" spans="1:99" x14ac:dyDescent="0.2">
      <c r="C7" s="104" t="s">
        <v>173</v>
      </c>
      <c r="D7" s="105">
        <v>3</v>
      </c>
      <c r="E7" s="105">
        <v>2588.3999999999996</v>
      </c>
      <c r="F7" s="105">
        <v>4</v>
      </c>
      <c r="G7" s="105">
        <v>3451.2</v>
      </c>
      <c r="H7" s="105">
        <v>3</v>
      </c>
      <c r="I7" s="105">
        <v>2588.3999999999996</v>
      </c>
      <c r="J7" s="105">
        <v>5</v>
      </c>
      <c r="K7" s="105">
        <v>4314</v>
      </c>
      <c r="L7" s="105">
        <v>3.8424198917808319</v>
      </c>
      <c r="M7" s="105">
        <v>3315.2398826285016</v>
      </c>
      <c r="N7" s="105">
        <v>3.9644464059195474</v>
      </c>
      <c r="O7" s="105">
        <v>3420.5243590273853</v>
      </c>
      <c r="P7" s="105">
        <v>3.5258149303568738</v>
      </c>
      <c r="Q7" s="105">
        <v>3042.0731219119107</v>
      </c>
      <c r="R7" s="105">
        <v>3.932201310016803</v>
      </c>
      <c r="S7" s="105">
        <v>3392.7032902824976</v>
      </c>
      <c r="T7" s="105">
        <v>3.9693866584488018</v>
      </c>
      <c r="U7" s="105">
        <v>3424.786808909626</v>
      </c>
      <c r="V7" s="105">
        <v>4.6975210833377439</v>
      </c>
      <c r="W7" s="105">
        <v>4053.0211907038051</v>
      </c>
      <c r="X7" s="105">
        <v>4.3540557940875031</v>
      </c>
      <c r="Y7" s="105">
        <v>3756.6793391386973</v>
      </c>
      <c r="Z7" s="105">
        <v>3.9205472863339597</v>
      </c>
      <c r="AA7" s="105">
        <v>3382.6481986489403</v>
      </c>
      <c r="AB7" s="105">
        <v>5.1887116375290745</v>
      </c>
      <c r="AC7" s="105">
        <v>4476.8204008600851</v>
      </c>
      <c r="AD7" s="105">
        <v>4.1636517283207644</v>
      </c>
      <c r="AE7" s="105">
        <v>3592.3987111951551</v>
      </c>
      <c r="AF7" s="105">
        <v>2.9043198439787261</v>
      </c>
      <c r="AG7" s="105">
        <v>2505.8471613848446</v>
      </c>
      <c r="AH7" s="105">
        <v>4.37201867781482</v>
      </c>
      <c r="AI7" s="105">
        <v>3772.1777152186264</v>
      </c>
      <c r="AJ7" s="105">
        <v>3.936126475909314</v>
      </c>
      <c r="AK7" s="105">
        <v>3396.0899234145559</v>
      </c>
      <c r="AL7" s="105">
        <v>4.9486756837587338</v>
      </c>
      <c r="AM7" s="105">
        <v>4269.7173799470356</v>
      </c>
      <c r="AN7" s="105">
        <v>4.4642603208232829</v>
      </c>
      <c r="AO7" s="105">
        <v>3851.7638048063282</v>
      </c>
      <c r="AP7" s="105">
        <v>5.3043089667077963</v>
      </c>
      <c r="AQ7" s="105">
        <v>4576.5577764754862</v>
      </c>
      <c r="AR7" s="105">
        <v>4.3251660782607821</v>
      </c>
      <c r="AS7" s="105">
        <v>3731.7532923234025</v>
      </c>
      <c r="AT7" s="105">
        <v>3.5183325799377201</v>
      </c>
      <c r="AU7" s="105">
        <v>3035.6173499702645</v>
      </c>
      <c r="AV7" s="105">
        <v>3.2477721554365755</v>
      </c>
      <c r="AW7" s="105">
        <v>2802.1778157106774</v>
      </c>
      <c r="AX7" s="105">
        <v>3.946692905167434</v>
      </c>
      <c r="AY7" s="105">
        <v>3405.2066385784619</v>
      </c>
      <c r="AZ7" s="105">
        <v>4.7028933957768775</v>
      </c>
      <c r="BA7" s="105">
        <v>4057.6564218762896</v>
      </c>
      <c r="BB7" s="105">
        <v>4.4259209209205714</v>
      </c>
      <c r="BC7" s="105">
        <v>3818.684570570269</v>
      </c>
      <c r="BD7" s="105">
        <v>5.954491447977075</v>
      </c>
      <c r="BE7" s="105">
        <v>5137.5352213146198</v>
      </c>
      <c r="BF7" s="105">
        <v>4.5465610492535671</v>
      </c>
      <c r="BG7" s="105">
        <v>3922.7728732959777</v>
      </c>
      <c r="BH7" s="105">
        <v>3.6835541596297148</v>
      </c>
      <c r="BI7" s="105">
        <v>3178.1705289285178</v>
      </c>
      <c r="BJ7" s="105">
        <v>5.6220985729868751</v>
      </c>
      <c r="BK7" s="105">
        <v>4850.7466487730753</v>
      </c>
      <c r="BL7" s="105">
        <v>3.1266080885231102</v>
      </c>
      <c r="BM7" s="105">
        <v>2697.6374587777395</v>
      </c>
      <c r="BN7" s="105">
        <v>4.524825501967209</v>
      </c>
      <c r="BO7" s="105">
        <v>3904.0194430973079</v>
      </c>
      <c r="BP7" s="105">
        <v>3.7116809747653967</v>
      </c>
      <c r="BQ7" s="105">
        <v>3202.4383450275841</v>
      </c>
      <c r="BR7" s="105">
        <v>5.4268327178028883</v>
      </c>
      <c r="BS7" s="105">
        <v>4682.2712689203317</v>
      </c>
      <c r="BT7" s="105">
        <v>3.5679508579492709</v>
      </c>
      <c r="BU7" s="105">
        <v>3078.4280002386308</v>
      </c>
      <c r="BV7" s="105">
        <v>4.7189642384449195</v>
      </c>
      <c r="BW7" s="105">
        <v>4071.5223449302762</v>
      </c>
      <c r="BX7" s="105">
        <v>4.607639997437782</v>
      </c>
      <c r="BY7" s="105">
        <v>3975.4717897893179</v>
      </c>
      <c r="BZ7" s="105">
        <v>3.7529974967544728</v>
      </c>
      <c r="CA7" s="105">
        <v>3238.0862401997588</v>
      </c>
      <c r="CB7" s="105">
        <v>4.3459883612499306</v>
      </c>
      <c r="CC7" s="105">
        <v>3749.7187580864397</v>
      </c>
      <c r="CD7" s="105">
        <v>4.4616912807073934</v>
      </c>
      <c r="CE7" s="105">
        <v>3849.5472369943386</v>
      </c>
      <c r="CF7" s="105">
        <v>4.7405889457039834</v>
      </c>
      <c r="CG7" s="105">
        <v>4090.1801423533966</v>
      </c>
      <c r="CH7" s="105">
        <v>4.2172471536615408</v>
      </c>
      <c r="CI7" s="105">
        <v>3638.6408441791773</v>
      </c>
      <c r="CJ7" s="105">
        <v>4.3624531459248415</v>
      </c>
      <c r="CK7" s="105">
        <v>3763.9245743039528</v>
      </c>
      <c r="CL7" s="105">
        <v>4.1413586292129692</v>
      </c>
      <c r="CM7" s="105">
        <v>3573.1642252849497</v>
      </c>
      <c r="CN7" s="105">
        <v>5.4240029102136207</v>
      </c>
      <c r="CO7" s="105">
        <v>4679.8297109323121</v>
      </c>
      <c r="CP7" s="105">
        <v>3.6667999149849511</v>
      </c>
      <c r="CQ7" s="105">
        <v>3163.7149666490154</v>
      </c>
      <c r="CR7" s="105">
        <v>4.316938886226402</v>
      </c>
      <c r="CS7" s="105">
        <v>3724.6548710361394</v>
      </c>
      <c r="CT7" s="105">
        <v>3.704407293520978</v>
      </c>
      <c r="CU7" s="105">
        <v>3196.1626128498997</v>
      </c>
    </row>
    <row r="8" spans="1:99" x14ac:dyDescent="0.2">
      <c r="C8" s="104" t="s">
        <v>174</v>
      </c>
      <c r="D8" s="105">
        <v>3</v>
      </c>
      <c r="E8" s="105">
        <v>982.8</v>
      </c>
      <c r="F8" s="105">
        <v>4</v>
      </c>
      <c r="G8" s="105">
        <v>1310.3999999999999</v>
      </c>
      <c r="H8" s="105">
        <v>3</v>
      </c>
      <c r="I8" s="105">
        <v>982.8</v>
      </c>
      <c r="J8" s="105">
        <v>5</v>
      </c>
      <c r="K8" s="105">
        <v>1637.9999999999998</v>
      </c>
      <c r="L8" s="105">
        <v>3.8424198917808319</v>
      </c>
      <c r="M8" s="105">
        <v>1258.7767565474003</v>
      </c>
      <c r="N8" s="105">
        <v>3.9644464059195474</v>
      </c>
      <c r="O8" s="105">
        <v>1298.7526425792437</v>
      </c>
      <c r="P8" s="105">
        <v>4.1848519558207444</v>
      </c>
      <c r="Q8" s="105">
        <v>1370.9575007268757</v>
      </c>
      <c r="R8" s="105">
        <v>5.161067237938771</v>
      </c>
      <c r="S8" s="105">
        <v>1690.7656271487413</v>
      </c>
      <c r="T8" s="105">
        <v>4.0061400692193994</v>
      </c>
      <c r="U8" s="105">
        <v>1312.411486676275</v>
      </c>
      <c r="V8" s="105">
        <v>4.6975210833377439</v>
      </c>
      <c r="W8" s="105">
        <v>1538.9079069014447</v>
      </c>
      <c r="X8" s="105">
        <v>4.3540557940875031</v>
      </c>
      <c r="Y8" s="105">
        <v>1426.3886781430658</v>
      </c>
      <c r="Z8" s="105">
        <v>4.8785481407764131</v>
      </c>
      <c r="AA8" s="105">
        <v>1598.2123709183527</v>
      </c>
      <c r="AB8" s="105">
        <v>5.1887116375290745</v>
      </c>
      <c r="AC8" s="105">
        <v>1699.8219324545246</v>
      </c>
      <c r="AD8" s="105">
        <v>5.0272642005551917</v>
      </c>
      <c r="AE8" s="105">
        <v>1646.9317521018806</v>
      </c>
      <c r="AF8" s="105">
        <v>3.5721426051567957</v>
      </c>
      <c r="AG8" s="105">
        <v>1170.2339174493661</v>
      </c>
      <c r="AH8" s="105">
        <v>4.37201867781482</v>
      </c>
      <c r="AI8" s="105">
        <v>1432.2733188521349</v>
      </c>
      <c r="AJ8" s="105">
        <v>3.9615071241089561</v>
      </c>
      <c r="AK8" s="105">
        <v>1297.789733858094</v>
      </c>
      <c r="AL8" s="105">
        <v>4.3539081627181062</v>
      </c>
      <c r="AM8" s="105">
        <v>1426.3403141064514</v>
      </c>
      <c r="AN8" s="105">
        <v>4.5056052194830407</v>
      </c>
      <c r="AO8" s="105">
        <v>1476.0362699026439</v>
      </c>
      <c r="AP8" s="105">
        <v>4.735968982896205</v>
      </c>
      <c r="AQ8" s="105">
        <v>1551.5034387967967</v>
      </c>
      <c r="AR8" s="105">
        <v>5.6543375178211344</v>
      </c>
      <c r="AS8" s="105">
        <v>1852.3609708382035</v>
      </c>
      <c r="AT8" s="105">
        <v>3.5514705000784534</v>
      </c>
      <c r="AU8" s="105">
        <v>1163.4617358257012</v>
      </c>
      <c r="AV8" s="105">
        <v>3.9950763090187031</v>
      </c>
      <c r="AW8" s="105">
        <v>1308.7869988345269</v>
      </c>
      <c r="AX8" s="105">
        <v>3.9836983123350134</v>
      </c>
      <c r="AY8" s="105">
        <v>1305.0595671209503</v>
      </c>
      <c r="AZ8" s="105">
        <v>4.1707643490019395</v>
      </c>
      <c r="BA8" s="105">
        <v>1366.3424007330352</v>
      </c>
      <c r="BB8" s="105">
        <v>5.1343409041731523</v>
      </c>
      <c r="BC8" s="105">
        <v>1682.0100802071245</v>
      </c>
      <c r="BD8" s="105">
        <v>5.2189287738221495</v>
      </c>
      <c r="BE8" s="105">
        <v>1709.721066304136</v>
      </c>
      <c r="BF8" s="105">
        <v>5.758996293874338</v>
      </c>
      <c r="BG8" s="105">
        <v>1886.647185873233</v>
      </c>
      <c r="BH8" s="105">
        <v>4.2974798529013336</v>
      </c>
      <c r="BI8" s="105">
        <v>1407.8543998104767</v>
      </c>
      <c r="BJ8" s="105">
        <v>5.6220985729868751</v>
      </c>
      <c r="BK8" s="105">
        <v>1841.7994925105002</v>
      </c>
      <c r="BL8" s="105">
        <v>3.1266080885231102</v>
      </c>
      <c r="BM8" s="105">
        <v>1024.2768098001709</v>
      </c>
      <c r="BN8" s="105">
        <v>4.551532460758632</v>
      </c>
      <c r="BO8" s="105">
        <v>1491.0820341445276</v>
      </c>
      <c r="BP8" s="105">
        <v>3.7116809747653967</v>
      </c>
      <c r="BQ8" s="105">
        <v>1215.9466873331439</v>
      </c>
      <c r="BR8" s="105">
        <v>6.1188455225325304</v>
      </c>
      <c r="BS8" s="105">
        <v>2004.5337931816568</v>
      </c>
      <c r="BT8" s="105">
        <v>3.6015692832971968</v>
      </c>
      <c r="BU8" s="105">
        <v>1179.8740972081616</v>
      </c>
      <c r="BV8" s="105">
        <v>4.7497947342071871</v>
      </c>
      <c r="BW8" s="105">
        <v>1556.0327549262743</v>
      </c>
      <c r="BX8" s="105">
        <v>4.6376525847049059</v>
      </c>
      <c r="BY8" s="105">
        <v>1519.2949867493271</v>
      </c>
      <c r="BZ8" s="105">
        <v>4.3784970795468849</v>
      </c>
      <c r="CA8" s="105">
        <v>1434.3956432595594</v>
      </c>
      <c r="CB8" s="105">
        <v>4.3799347956715948</v>
      </c>
      <c r="CC8" s="105">
        <v>1434.8666390620144</v>
      </c>
      <c r="CD8" s="105">
        <v>5.1702409786416217</v>
      </c>
      <c r="CE8" s="105">
        <v>1693.7709446029951</v>
      </c>
      <c r="CF8" s="105">
        <v>5.3610895403699379</v>
      </c>
      <c r="CG8" s="105">
        <v>1756.2929334251914</v>
      </c>
      <c r="CH8" s="105">
        <v>4.2509638621032328</v>
      </c>
      <c r="CI8" s="105">
        <v>1392.615761225019</v>
      </c>
      <c r="CJ8" s="105">
        <v>4.3624531459248415</v>
      </c>
      <c r="CK8" s="105">
        <v>1429.139650604978</v>
      </c>
      <c r="CL8" s="105">
        <v>4.2355324757021986</v>
      </c>
      <c r="CM8" s="105">
        <v>1387.5604390400401</v>
      </c>
      <c r="CN8" s="105">
        <v>6.0584971190818901</v>
      </c>
      <c r="CO8" s="105">
        <v>1984.763656211227</v>
      </c>
      <c r="CP8" s="105">
        <v>3.6334655946055974</v>
      </c>
      <c r="CQ8" s="105">
        <v>1190.3233287927935</v>
      </c>
      <c r="CR8" s="105">
        <v>4.9008070158933323</v>
      </c>
      <c r="CS8" s="105">
        <v>1605.5043784066554</v>
      </c>
      <c r="CT8" s="105">
        <v>3.704407293520978</v>
      </c>
      <c r="CU8" s="105">
        <v>1213.5638293574723</v>
      </c>
    </row>
    <row r="9" spans="1:99" x14ac:dyDescent="0.2">
      <c r="C9" s="104" t="s">
        <v>175</v>
      </c>
      <c r="D9" s="105">
        <v>3</v>
      </c>
      <c r="E9" s="105">
        <v>2408.3999999999996</v>
      </c>
      <c r="F9" s="105">
        <v>4</v>
      </c>
      <c r="G9" s="105">
        <v>3211.2</v>
      </c>
      <c r="H9" s="105">
        <v>3</v>
      </c>
      <c r="I9" s="105">
        <v>2408.3999999999996</v>
      </c>
      <c r="J9" s="105">
        <v>5</v>
      </c>
      <c r="K9" s="105">
        <v>4014</v>
      </c>
      <c r="L9" s="105">
        <v>3.8424198917808319</v>
      </c>
      <c r="M9" s="105">
        <v>3084.6946891216517</v>
      </c>
      <c r="N9" s="105">
        <v>3.9644464059195474</v>
      </c>
      <c r="O9" s="105">
        <v>3182.6575746722124</v>
      </c>
      <c r="P9" s="105">
        <v>3.5587620450765192</v>
      </c>
      <c r="Q9" s="105">
        <v>2856.9741697874292</v>
      </c>
      <c r="R9" s="105">
        <v>4.5466342739777872</v>
      </c>
      <c r="S9" s="105">
        <v>3650.0379951493674</v>
      </c>
      <c r="T9" s="105">
        <v>4.0061400692193994</v>
      </c>
      <c r="U9" s="105">
        <v>3216.1292475693335</v>
      </c>
      <c r="V9" s="105">
        <v>4.6975210833377439</v>
      </c>
      <c r="W9" s="105">
        <v>3771.1699257035407</v>
      </c>
      <c r="X9" s="105">
        <v>4.3540557940875031</v>
      </c>
      <c r="Y9" s="105">
        <v>3495.4359914934471</v>
      </c>
      <c r="Z9" s="105">
        <v>4.8342762064943416</v>
      </c>
      <c r="AA9" s="105">
        <v>3880.9569385736572</v>
      </c>
      <c r="AB9" s="105">
        <v>5.1482174663641409</v>
      </c>
      <c r="AC9" s="105">
        <v>4132.9889819971322</v>
      </c>
      <c r="AD9" s="105">
        <v>4.2022543865336068</v>
      </c>
      <c r="AE9" s="105">
        <v>3373.5698215091793</v>
      </c>
      <c r="AF9" s="105">
        <v>2.9043198439787261</v>
      </c>
      <c r="AG9" s="105">
        <v>2331.5879707461213</v>
      </c>
      <c r="AH9" s="105">
        <v>4.37201867781482</v>
      </c>
      <c r="AI9" s="105">
        <v>3509.8565945497371</v>
      </c>
      <c r="AJ9" s="105">
        <v>3.9615071241089561</v>
      </c>
      <c r="AK9" s="105">
        <v>3180.2979192346697</v>
      </c>
      <c r="AL9" s="105">
        <v>4.3811275220657793</v>
      </c>
      <c r="AM9" s="105">
        <v>3517.1691747144073</v>
      </c>
      <c r="AN9" s="105">
        <v>4.5056052194830407</v>
      </c>
      <c r="AO9" s="105">
        <v>3617.0998702009847</v>
      </c>
      <c r="AP9" s="105">
        <v>5.3674413913923855</v>
      </c>
      <c r="AQ9" s="105">
        <v>4308.9819490098071</v>
      </c>
      <c r="AR9" s="105">
        <v>4.9728692100619725</v>
      </c>
      <c r="AS9" s="105">
        <v>3992.2194018377513</v>
      </c>
      <c r="AT9" s="105">
        <v>3.5514705000784534</v>
      </c>
      <c r="AU9" s="105">
        <v>2851.1205174629822</v>
      </c>
      <c r="AV9" s="105">
        <v>4.0320128148912842</v>
      </c>
      <c r="AW9" s="105">
        <v>3236.8998877947229</v>
      </c>
      <c r="AX9" s="105">
        <v>3.946692905167434</v>
      </c>
      <c r="AY9" s="105">
        <v>3168.405064268416</v>
      </c>
      <c r="AZ9" s="105">
        <v>4.1428980351533538</v>
      </c>
      <c r="BA9" s="105">
        <v>3325.918542621112</v>
      </c>
      <c r="BB9" s="105">
        <v>5.1343409041731523</v>
      </c>
      <c r="BC9" s="105">
        <v>4121.8488778702067</v>
      </c>
      <c r="BD9" s="105">
        <v>5.9194964206082377</v>
      </c>
      <c r="BE9" s="105">
        <v>4752.171726464293</v>
      </c>
      <c r="BF9" s="105">
        <v>5.1527786715639534</v>
      </c>
      <c r="BG9" s="105">
        <v>4136.6507175315419</v>
      </c>
      <c r="BH9" s="105">
        <v>3.6835541596297148</v>
      </c>
      <c r="BI9" s="105">
        <v>2957.1572793507348</v>
      </c>
      <c r="BJ9" s="105">
        <v>5.6220985729868751</v>
      </c>
      <c r="BK9" s="105">
        <v>4513.4207343938633</v>
      </c>
      <c r="BL9" s="105">
        <v>3.8017505438660844</v>
      </c>
      <c r="BM9" s="105">
        <v>3052.0453366156921</v>
      </c>
      <c r="BN9" s="105">
        <v>4.498118543175786</v>
      </c>
      <c r="BO9" s="105">
        <v>3611.0895664615209</v>
      </c>
      <c r="BP9" s="105">
        <v>3.1647563930484512</v>
      </c>
      <c r="BQ9" s="105">
        <v>2540.6664323392965</v>
      </c>
      <c r="BR9" s="105">
        <v>6.1188455225325304</v>
      </c>
      <c r="BS9" s="105">
        <v>4912.209185489115</v>
      </c>
      <c r="BT9" s="105">
        <v>3.5679508579492709</v>
      </c>
      <c r="BU9" s="105">
        <v>2864.3509487616743</v>
      </c>
      <c r="BV9" s="105">
        <v>4.1152961946951123</v>
      </c>
      <c r="BW9" s="105">
        <v>3303.759785101236</v>
      </c>
      <c r="BX9" s="105">
        <v>5.2744493077195003</v>
      </c>
      <c r="BY9" s="105">
        <v>4234.3279042372142</v>
      </c>
      <c r="BZ9" s="105">
        <v>4.3784970795468849</v>
      </c>
      <c r="CA9" s="105">
        <v>3515.057455460239</v>
      </c>
      <c r="CB9" s="105">
        <v>4.3459883612499306</v>
      </c>
      <c r="CC9" s="105">
        <v>3488.9594564114441</v>
      </c>
      <c r="CD9" s="105">
        <v>4.4616912807073934</v>
      </c>
      <c r="CE9" s="105">
        <v>3581.8457601518953</v>
      </c>
      <c r="CF9" s="105">
        <v>4.76851592215694</v>
      </c>
      <c r="CG9" s="105">
        <v>3828.164582307591</v>
      </c>
      <c r="CH9" s="105">
        <v>3.5424698850860277</v>
      </c>
      <c r="CI9" s="105">
        <v>2843.8948237470627</v>
      </c>
      <c r="CJ9" s="105">
        <v>4.9077597891654472</v>
      </c>
      <c r="CK9" s="105">
        <v>3939.9495587420206</v>
      </c>
      <c r="CL9" s="105">
        <v>4.2198368346206605</v>
      </c>
      <c r="CM9" s="105">
        <v>3387.6850108334661</v>
      </c>
      <c r="CN9" s="105">
        <v>5.4240029102136207</v>
      </c>
      <c r="CO9" s="105">
        <v>4354.3895363194943</v>
      </c>
      <c r="CP9" s="105">
        <v>4.3001569368438819</v>
      </c>
      <c r="CQ9" s="105">
        <v>3452.1659888982681</v>
      </c>
      <c r="CR9" s="105">
        <v>4.2882061389066664</v>
      </c>
      <c r="CS9" s="105">
        <v>3442.5718883142717</v>
      </c>
      <c r="CT9" s="105">
        <v>3.6751519149265772</v>
      </c>
      <c r="CU9" s="105">
        <v>2950.4119573030562</v>
      </c>
    </row>
    <row r="10" spans="1:99" x14ac:dyDescent="0.2">
      <c r="C10" s="104" t="s">
        <v>176</v>
      </c>
      <c r="D10" s="105">
        <v>3</v>
      </c>
      <c r="E10" s="105">
        <v>1670.3999999999999</v>
      </c>
      <c r="F10" s="105">
        <v>4</v>
      </c>
      <c r="G10" s="105">
        <v>2227.1999999999998</v>
      </c>
      <c r="H10" s="105">
        <v>3</v>
      </c>
      <c r="I10" s="105">
        <v>1670.3999999999999</v>
      </c>
      <c r="J10" s="105">
        <v>5</v>
      </c>
      <c r="K10" s="105">
        <v>2784</v>
      </c>
      <c r="L10" s="105">
        <v>3.8424198917808319</v>
      </c>
      <c r="M10" s="105">
        <v>2139.4593957435668</v>
      </c>
      <c r="N10" s="105">
        <v>3.9644464059195474</v>
      </c>
      <c r="O10" s="105">
        <v>2207.403758816004</v>
      </c>
      <c r="P10" s="105">
        <v>3.5587620450765192</v>
      </c>
      <c r="Q10" s="105">
        <v>1981.5187066986057</v>
      </c>
      <c r="R10" s="105">
        <v>4.5773347147591501</v>
      </c>
      <c r="S10" s="105">
        <v>2548.6599691778947</v>
      </c>
      <c r="T10" s="105">
        <v>3.9693866584488018</v>
      </c>
      <c r="U10" s="105">
        <v>2210.1544914242927</v>
      </c>
      <c r="V10" s="105">
        <v>4.6975210833377439</v>
      </c>
      <c r="W10" s="105">
        <v>2615.5797392024556</v>
      </c>
      <c r="X10" s="105">
        <v>3.7320478235035739</v>
      </c>
      <c r="Y10" s="105">
        <v>2078.0042281267897</v>
      </c>
      <c r="Z10" s="105">
        <v>4.8785481407764131</v>
      </c>
      <c r="AA10" s="105">
        <v>2716.3756047843067</v>
      </c>
      <c r="AB10" s="105">
        <v>5.1482174663641409</v>
      </c>
      <c r="AC10" s="105">
        <v>2866.5274852715534</v>
      </c>
      <c r="AD10" s="105">
        <v>4.9886615423423484</v>
      </c>
      <c r="AE10" s="105">
        <v>2777.6867467762195</v>
      </c>
      <c r="AF10" s="105">
        <v>3.5721426051567957</v>
      </c>
      <c r="AG10" s="105">
        <v>1988.9690025513037</v>
      </c>
      <c r="AH10" s="105">
        <v>4.37201867781482</v>
      </c>
      <c r="AI10" s="105">
        <v>2434.3399998072914</v>
      </c>
      <c r="AJ10" s="105">
        <v>3.936126475909314</v>
      </c>
      <c r="AK10" s="105">
        <v>2191.6352217863059</v>
      </c>
      <c r="AL10" s="105">
        <v>4.9758950431064077</v>
      </c>
      <c r="AM10" s="105">
        <v>2770.5783600016475</v>
      </c>
      <c r="AN10" s="105">
        <v>4.5056052194830407</v>
      </c>
      <c r="AO10" s="105">
        <v>2508.7209862081568</v>
      </c>
      <c r="AP10" s="105">
        <v>5.3674413913923855</v>
      </c>
      <c r="AQ10" s="105">
        <v>2988.5913667272798</v>
      </c>
      <c r="AR10" s="105">
        <v>5.0066343860199449</v>
      </c>
      <c r="AS10" s="105">
        <v>2787.694026135905</v>
      </c>
      <c r="AT10" s="105">
        <v>3.5514705000784534</v>
      </c>
      <c r="AU10" s="105">
        <v>1977.4587744436826</v>
      </c>
      <c r="AV10" s="105">
        <v>3.2847086613091565</v>
      </c>
      <c r="AW10" s="105">
        <v>1828.9257826169382</v>
      </c>
      <c r="AX10" s="105">
        <v>3.9836983123350134</v>
      </c>
      <c r="AY10" s="105">
        <v>2218.1232203081354</v>
      </c>
      <c r="AZ10" s="105">
        <v>4.1428980351533538</v>
      </c>
      <c r="BA10" s="105">
        <v>2306.7656259733872</v>
      </c>
      <c r="BB10" s="105">
        <v>5.1343409041731523</v>
      </c>
      <c r="BC10" s="105">
        <v>2858.801015443611</v>
      </c>
      <c r="BD10" s="105">
        <v>5.954491447977075</v>
      </c>
      <c r="BE10" s="105">
        <v>3315.4608382336351</v>
      </c>
      <c r="BF10" s="105">
        <v>5.758996293874338</v>
      </c>
      <c r="BG10" s="105">
        <v>3206.6091364292311</v>
      </c>
      <c r="BH10" s="105">
        <v>3.6835541596297148</v>
      </c>
      <c r="BI10" s="105">
        <v>2051.0029560818252</v>
      </c>
      <c r="BJ10" s="105">
        <v>5.6220985729868751</v>
      </c>
      <c r="BK10" s="105">
        <v>3130.3844854390918</v>
      </c>
      <c r="BL10" s="105">
        <v>3.837253732795352</v>
      </c>
      <c r="BM10" s="105">
        <v>2136.5828784204518</v>
      </c>
      <c r="BN10" s="105">
        <v>4.524825501967209</v>
      </c>
      <c r="BO10" s="105">
        <v>2519.4228394953416</v>
      </c>
      <c r="BP10" s="105">
        <v>3.6830054091344815</v>
      </c>
      <c r="BQ10" s="105">
        <v>2050.6974118060793</v>
      </c>
      <c r="BR10" s="105">
        <v>6.1188455225325304</v>
      </c>
      <c r="BS10" s="105">
        <v>3406.9731869461125</v>
      </c>
      <c r="BT10" s="105">
        <v>2.8947027967769285</v>
      </c>
      <c r="BU10" s="105">
        <v>1611.7705172453936</v>
      </c>
      <c r="BV10" s="105">
        <v>4.7497947342071871</v>
      </c>
      <c r="BW10" s="105">
        <v>2644.6857080065615</v>
      </c>
      <c r="BX10" s="105">
        <v>5.2744493077195003</v>
      </c>
      <c r="BY10" s="105">
        <v>2936.8133745382174</v>
      </c>
      <c r="BZ10" s="105">
        <v>4.9752208334218464</v>
      </c>
      <c r="CA10" s="105">
        <v>2770.2029600492838</v>
      </c>
      <c r="CB10" s="105">
        <v>3.6669188802704946</v>
      </c>
      <c r="CC10" s="105">
        <v>2041.7404325346113</v>
      </c>
      <c r="CD10" s="105">
        <v>4.4616912807073934</v>
      </c>
      <c r="CE10" s="105">
        <v>2484.2697050978763</v>
      </c>
      <c r="CF10" s="105">
        <v>4.7964428986098966</v>
      </c>
      <c r="CG10" s="105">
        <v>2670.6594059459903</v>
      </c>
      <c r="CH10" s="105">
        <v>4.2509638621032328</v>
      </c>
      <c r="CI10" s="105">
        <v>2366.9366784190797</v>
      </c>
      <c r="CJ10" s="105">
        <v>4.3624531459248415</v>
      </c>
      <c r="CK10" s="105">
        <v>2429.0139116509517</v>
      </c>
      <c r="CL10" s="105">
        <v>4.2355324757021986</v>
      </c>
      <c r="CM10" s="105">
        <v>2358.3444824709841</v>
      </c>
      <c r="CN10" s="105">
        <v>5.4240029102136207</v>
      </c>
      <c r="CO10" s="105">
        <v>3020.0848204069439</v>
      </c>
      <c r="CP10" s="105">
        <v>4.3668255776025875</v>
      </c>
      <c r="CQ10" s="105">
        <v>2431.4484816091203</v>
      </c>
      <c r="CR10" s="105">
        <v>4.316938886226402</v>
      </c>
      <c r="CS10" s="105">
        <v>2403.6715718508603</v>
      </c>
      <c r="CT10" s="105">
        <v>3.6751519149265772</v>
      </c>
      <c r="CU10" s="105">
        <v>2046.324586231118</v>
      </c>
    </row>
    <row r="11" spans="1:99" x14ac:dyDescent="0.2">
      <c r="C11" s="104" t="s">
        <v>177</v>
      </c>
      <c r="D11" s="105">
        <v>3</v>
      </c>
      <c r="E11" s="105">
        <v>1796.3999999999999</v>
      </c>
      <c r="F11" s="105">
        <v>4</v>
      </c>
      <c r="G11" s="105">
        <v>2395.1999999999998</v>
      </c>
      <c r="H11" s="105">
        <v>3</v>
      </c>
      <c r="I11" s="105">
        <v>1796.3999999999999</v>
      </c>
      <c r="J11" s="105">
        <v>5</v>
      </c>
      <c r="K11" s="105">
        <v>2994</v>
      </c>
      <c r="L11" s="105">
        <v>4.6109038701369984</v>
      </c>
      <c r="M11" s="105">
        <v>2761.0092374380342</v>
      </c>
      <c r="N11" s="105">
        <v>3.9644464059195474</v>
      </c>
      <c r="O11" s="105">
        <v>2373.9105078646248</v>
      </c>
      <c r="P11" s="105">
        <v>3.5258149303568738</v>
      </c>
      <c r="Q11" s="105">
        <v>2111.2579802976957</v>
      </c>
      <c r="R11" s="105">
        <v>4.5466342739777872</v>
      </c>
      <c r="S11" s="105">
        <v>2722.5246032578989</v>
      </c>
      <c r="T11" s="105">
        <v>3.2710681947625959</v>
      </c>
      <c r="U11" s="105">
        <v>1958.7156350238422</v>
      </c>
      <c r="V11" s="105">
        <v>3.7580168666701947</v>
      </c>
      <c r="W11" s="105">
        <v>2250.3004997621124</v>
      </c>
      <c r="X11" s="105">
        <v>4.3540557940875031</v>
      </c>
      <c r="Y11" s="105">
        <v>2607.2086094995966</v>
      </c>
      <c r="Z11" s="105">
        <v>3.9205472863339597</v>
      </c>
      <c r="AA11" s="105">
        <v>2347.6237150567749</v>
      </c>
      <c r="AB11" s="105">
        <v>4.3779185928274726</v>
      </c>
      <c r="AC11" s="105">
        <v>2621.4976533850904</v>
      </c>
      <c r="AD11" s="105">
        <v>4.9886615423423484</v>
      </c>
      <c r="AE11" s="105">
        <v>2987.2105315545978</v>
      </c>
      <c r="AF11" s="105">
        <v>3.5721426051567957</v>
      </c>
      <c r="AG11" s="105">
        <v>2138.9989919678892</v>
      </c>
      <c r="AH11" s="105">
        <v>4.401733511934304</v>
      </c>
      <c r="AI11" s="105">
        <v>2635.758026946261</v>
      </c>
      <c r="AJ11" s="105">
        <v>3.322406476923832</v>
      </c>
      <c r="AK11" s="105">
        <v>1989.4569983819904</v>
      </c>
      <c r="AL11" s="105">
        <v>4.3539081627181062</v>
      </c>
      <c r="AM11" s="105">
        <v>2607.1202078356018</v>
      </c>
      <c r="AN11" s="105">
        <v>4.5056052194830407</v>
      </c>
      <c r="AO11" s="105">
        <v>2697.9564054264447</v>
      </c>
      <c r="AP11" s="105">
        <v>5.3674413913923855</v>
      </c>
      <c r="AQ11" s="105">
        <v>3214.0239051657604</v>
      </c>
      <c r="AR11" s="105">
        <v>4.9728692100619725</v>
      </c>
      <c r="AS11" s="105">
        <v>2977.7540829851091</v>
      </c>
      <c r="AT11" s="105">
        <v>3.5514705000784534</v>
      </c>
      <c r="AU11" s="105">
        <v>2126.6205354469776</v>
      </c>
      <c r="AV11" s="105">
        <v>3.9950763090187031</v>
      </c>
      <c r="AW11" s="105">
        <v>2392.2516938403992</v>
      </c>
      <c r="AX11" s="105">
        <v>3.946692905167434</v>
      </c>
      <c r="AY11" s="105">
        <v>2363.2797116142592</v>
      </c>
      <c r="AZ11" s="105">
        <v>4.1428980351533538</v>
      </c>
      <c r="BA11" s="105">
        <v>2480.7673434498279</v>
      </c>
      <c r="BB11" s="105">
        <v>4.4259209209205714</v>
      </c>
      <c r="BC11" s="105">
        <v>2650.241447447238</v>
      </c>
      <c r="BD11" s="105">
        <v>5.9194964206082377</v>
      </c>
      <c r="BE11" s="105">
        <v>3544.5944566602125</v>
      </c>
      <c r="BF11" s="105">
        <v>4.5162572799454797</v>
      </c>
      <c r="BG11" s="105">
        <v>2704.3348592313532</v>
      </c>
      <c r="BH11" s="105">
        <v>3.6835541596297148</v>
      </c>
      <c r="BI11" s="105">
        <v>2205.7122307862733</v>
      </c>
      <c r="BJ11" s="105">
        <v>4.9193362513635153</v>
      </c>
      <c r="BK11" s="105">
        <v>2945.6985473164727</v>
      </c>
      <c r="BL11" s="105">
        <v>3.8017505438660844</v>
      </c>
      <c r="BM11" s="105">
        <v>2276.4882256670112</v>
      </c>
      <c r="BN11" s="105">
        <v>5.0370147721302647</v>
      </c>
      <c r="BO11" s="105">
        <v>3016.1644455516021</v>
      </c>
      <c r="BP11" s="105">
        <v>3.1647563930484512</v>
      </c>
      <c r="BQ11" s="105">
        <v>1895.0561281574126</v>
      </c>
      <c r="BR11" s="105">
        <v>5.3904112750094271</v>
      </c>
      <c r="BS11" s="105">
        <v>3227.7782714756445</v>
      </c>
      <c r="BT11" s="105">
        <v>3.5679508579492709</v>
      </c>
      <c r="BU11" s="105">
        <v>2136.4889737400231</v>
      </c>
      <c r="BV11" s="105">
        <v>4.0844656989328456</v>
      </c>
      <c r="BW11" s="105">
        <v>2445.7780605209878</v>
      </c>
      <c r="BX11" s="105">
        <v>4.607639997437782</v>
      </c>
      <c r="BY11" s="105">
        <v>2759.0548304657436</v>
      </c>
      <c r="BZ11" s="105">
        <v>4.3497212506294343</v>
      </c>
      <c r="CA11" s="105">
        <v>2604.6130848769048</v>
      </c>
      <c r="CB11" s="105">
        <v>3.6669188802704946</v>
      </c>
      <c r="CC11" s="105">
        <v>2195.7510255059719</v>
      </c>
      <c r="CD11" s="105">
        <v>4.4616912807073934</v>
      </c>
      <c r="CE11" s="105">
        <v>2671.6607388875868</v>
      </c>
      <c r="CF11" s="105">
        <v>4.7964428986098966</v>
      </c>
      <c r="CG11" s="105">
        <v>2872.110007687606</v>
      </c>
      <c r="CH11" s="105">
        <v>4.2172471536615408</v>
      </c>
      <c r="CI11" s="105">
        <v>2525.2875956125304</v>
      </c>
      <c r="CJ11" s="105">
        <v>4.9077597891654472</v>
      </c>
      <c r="CK11" s="105">
        <v>2938.7665617522694</v>
      </c>
      <c r="CL11" s="105">
        <v>4.2355324757021986</v>
      </c>
      <c r="CM11" s="105">
        <v>2536.2368464504762</v>
      </c>
      <c r="CN11" s="105">
        <v>5.360721230346809</v>
      </c>
      <c r="CO11" s="105">
        <v>3209.9998727316688</v>
      </c>
      <c r="CP11" s="105">
        <v>3.6667999149849511</v>
      </c>
      <c r="CQ11" s="105">
        <v>2195.6797890929884</v>
      </c>
      <c r="CR11" s="105">
        <v>4.316938886226402</v>
      </c>
      <c r="CS11" s="105">
        <v>2584.9830050723695</v>
      </c>
      <c r="CT11" s="105">
        <v>3.0870060779341486</v>
      </c>
      <c r="CU11" s="105">
        <v>1848.499239466968</v>
      </c>
    </row>
    <row r="12" spans="1:99" x14ac:dyDescent="0.2">
      <c r="C12" s="104" t="s">
        <v>178</v>
      </c>
      <c r="D12" s="105">
        <v>3</v>
      </c>
      <c r="E12" s="105">
        <v>1814.3999999999999</v>
      </c>
      <c r="F12" s="105">
        <v>4</v>
      </c>
      <c r="G12" s="105">
        <v>2419.1999999999998</v>
      </c>
      <c r="H12" s="105">
        <v>3</v>
      </c>
      <c r="I12" s="105">
        <v>1814.3999999999999</v>
      </c>
      <c r="J12" s="105">
        <v>5</v>
      </c>
      <c r="K12" s="105">
        <v>3024</v>
      </c>
      <c r="L12" s="105">
        <v>4.6109038701369984</v>
      </c>
      <c r="M12" s="105">
        <v>2788.6746606588563</v>
      </c>
      <c r="N12" s="105">
        <v>3.9644464059195474</v>
      </c>
      <c r="O12" s="105">
        <v>2397.6971863001422</v>
      </c>
      <c r="P12" s="105">
        <v>3.5587620450765192</v>
      </c>
      <c r="Q12" s="105">
        <v>2152.3392848622784</v>
      </c>
      <c r="R12" s="105">
        <v>3.962901750798165</v>
      </c>
      <c r="S12" s="105">
        <v>2396.7629788827298</v>
      </c>
      <c r="T12" s="105">
        <v>3.9693866584488018</v>
      </c>
      <c r="U12" s="105">
        <v>2400.685051029835</v>
      </c>
      <c r="V12" s="105">
        <v>4.6975210833377439</v>
      </c>
      <c r="W12" s="105">
        <v>2841.0607512026672</v>
      </c>
      <c r="X12" s="105">
        <v>4.3540557940875031</v>
      </c>
      <c r="Y12" s="105">
        <v>2633.3329442641216</v>
      </c>
      <c r="Z12" s="105">
        <v>4.8342762064943416</v>
      </c>
      <c r="AA12" s="105">
        <v>2923.7702496877778</v>
      </c>
      <c r="AB12" s="105">
        <v>5.1482174663641409</v>
      </c>
      <c r="AC12" s="105">
        <v>3113.6419236570323</v>
      </c>
      <c r="AD12" s="105">
        <v>4.2408570447464502</v>
      </c>
      <c r="AE12" s="105">
        <v>2564.8703406626528</v>
      </c>
      <c r="AF12" s="105">
        <v>3.5721426051567957</v>
      </c>
      <c r="AG12" s="105">
        <v>2160.4318475988298</v>
      </c>
      <c r="AH12" s="105">
        <v>4.401733511934304</v>
      </c>
      <c r="AI12" s="105">
        <v>2662.168428017867</v>
      </c>
      <c r="AJ12" s="105">
        <v>3.9615071241089561</v>
      </c>
      <c r="AK12" s="105">
        <v>2395.9195086610966</v>
      </c>
      <c r="AL12" s="105">
        <v>4.3811275220657793</v>
      </c>
      <c r="AM12" s="105">
        <v>2649.7059253453831</v>
      </c>
      <c r="AN12" s="105">
        <v>4.5056052194830407</v>
      </c>
      <c r="AO12" s="105">
        <v>2724.9900367433429</v>
      </c>
      <c r="AP12" s="105">
        <v>5.3674413913923855</v>
      </c>
      <c r="AQ12" s="105">
        <v>3246.2285535141145</v>
      </c>
      <c r="AR12" s="105">
        <v>4.9728692100619725</v>
      </c>
      <c r="AS12" s="105">
        <v>3007.5912982454806</v>
      </c>
      <c r="AT12" s="105">
        <v>3.5183325799377201</v>
      </c>
      <c r="AU12" s="105">
        <v>2127.887544346333</v>
      </c>
      <c r="AV12" s="105">
        <v>3.2847086613091565</v>
      </c>
      <c r="AW12" s="105">
        <v>1986.5917983597776</v>
      </c>
      <c r="AX12" s="105">
        <v>3.9836983123350134</v>
      </c>
      <c r="AY12" s="105">
        <v>2409.3407393002158</v>
      </c>
      <c r="AZ12" s="105">
        <v>4.1428980351533538</v>
      </c>
      <c r="BA12" s="105">
        <v>2505.6247316607482</v>
      </c>
      <c r="BB12" s="105">
        <v>5.1343409041731523</v>
      </c>
      <c r="BC12" s="105">
        <v>3105.2493788439224</v>
      </c>
      <c r="BD12" s="105">
        <v>6.6550590947631623</v>
      </c>
      <c r="BE12" s="105">
        <v>4024.9797405127601</v>
      </c>
      <c r="BF12" s="105">
        <v>5.758996293874338</v>
      </c>
      <c r="BG12" s="105">
        <v>3483.0409585351995</v>
      </c>
      <c r="BH12" s="105">
        <v>3.6835541596297148</v>
      </c>
      <c r="BI12" s="105">
        <v>2227.8135557440514</v>
      </c>
      <c r="BJ12" s="105">
        <v>4.9193362513635153</v>
      </c>
      <c r="BK12" s="105">
        <v>2975.2145648246537</v>
      </c>
      <c r="BL12" s="105">
        <v>3.837253732795352</v>
      </c>
      <c r="BM12" s="105">
        <v>2320.7710575946289</v>
      </c>
      <c r="BN12" s="105">
        <v>4.551532460758632</v>
      </c>
      <c r="BO12" s="105">
        <v>2752.7668322668205</v>
      </c>
      <c r="BP12" s="105">
        <v>3.1074052617866212</v>
      </c>
      <c r="BQ12" s="105">
        <v>1879.3587023285484</v>
      </c>
      <c r="BR12" s="105">
        <v>5.4268327178028883</v>
      </c>
      <c r="BS12" s="105">
        <v>3282.1484277271866</v>
      </c>
      <c r="BT12" s="105">
        <v>3.5679508579492709</v>
      </c>
      <c r="BU12" s="105">
        <v>2157.8966788877187</v>
      </c>
      <c r="BV12" s="105">
        <v>4.0844656989328456</v>
      </c>
      <c r="BW12" s="105">
        <v>2470.284854714585</v>
      </c>
      <c r="BX12" s="105">
        <v>4.6376525847049059</v>
      </c>
      <c r="BY12" s="105">
        <v>2804.8522832295271</v>
      </c>
      <c r="BZ12" s="105">
        <v>4.9752208334218464</v>
      </c>
      <c r="CA12" s="105">
        <v>3009.0135600535323</v>
      </c>
      <c r="CB12" s="105">
        <v>3.6669188802704946</v>
      </c>
      <c r="CC12" s="105">
        <v>2217.7525387875949</v>
      </c>
      <c r="CD12" s="105">
        <v>5.1702409786416217</v>
      </c>
      <c r="CE12" s="105">
        <v>3126.9617438824525</v>
      </c>
      <c r="CF12" s="105">
        <v>5.3331625639169804</v>
      </c>
      <c r="CG12" s="105">
        <v>3225.4967186569893</v>
      </c>
      <c r="CH12" s="105">
        <v>4.2509638621032328</v>
      </c>
      <c r="CI12" s="105">
        <v>2570.9829438000352</v>
      </c>
      <c r="CJ12" s="105">
        <v>4.3624531459248415</v>
      </c>
      <c r="CK12" s="105">
        <v>2638.4116626553441</v>
      </c>
      <c r="CL12" s="105">
        <v>4.2198368346206605</v>
      </c>
      <c r="CM12" s="105">
        <v>2552.1573175785752</v>
      </c>
      <c r="CN12" s="105">
        <v>5.9952154392150785</v>
      </c>
      <c r="CO12" s="105">
        <v>3625.9062976372793</v>
      </c>
      <c r="CP12" s="105">
        <v>4.3668255776025875</v>
      </c>
      <c r="CQ12" s="105">
        <v>2641.0561093340448</v>
      </c>
      <c r="CR12" s="105">
        <v>4.2882061389066664</v>
      </c>
      <c r="CS12" s="105">
        <v>2593.5070728107517</v>
      </c>
      <c r="CT12" s="105">
        <v>3.1162614565285494</v>
      </c>
      <c r="CU12" s="105">
        <v>1884.7149289084666</v>
      </c>
    </row>
    <row r="13" spans="1:99" x14ac:dyDescent="0.2">
      <c r="C13" s="104" t="s">
        <v>179</v>
      </c>
      <c r="D13" s="105">
        <v>3</v>
      </c>
      <c r="E13" s="105">
        <v>500.4</v>
      </c>
      <c r="F13" s="105">
        <v>4</v>
      </c>
      <c r="G13" s="105">
        <v>667.19999999999993</v>
      </c>
      <c r="H13" s="105">
        <v>3</v>
      </c>
      <c r="I13" s="105">
        <v>500.4</v>
      </c>
      <c r="J13" s="105">
        <v>5</v>
      </c>
      <c r="K13" s="105">
        <v>833.99999999999989</v>
      </c>
      <c r="L13" s="105">
        <v>3.8424198917808319</v>
      </c>
      <c r="M13" s="105">
        <v>640.91563794904266</v>
      </c>
      <c r="N13" s="105">
        <v>3.9644464059195474</v>
      </c>
      <c r="O13" s="105">
        <v>661.26966050738042</v>
      </c>
      <c r="P13" s="105">
        <v>3.5587620450765192</v>
      </c>
      <c r="Q13" s="105">
        <v>593.60150911876337</v>
      </c>
      <c r="R13" s="105">
        <v>4.5466342739777872</v>
      </c>
      <c r="S13" s="105">
        <v>758.37859689949482</v>
      </c>
      <c r="T13" s="105">
        <v>4.0061400692193994</v>
      </c>
      <c r="U13" s="105">
        <v>668.2241635457957</v>
      </c>
      <c r="V13" s="105">
        <v>4.6975210833377439</v>
      </c>
      <c r="W13" s="105">
        <v>783.54651670073565</v>
      </c>
      <c r="X13" s="105">
        <v>4.3540557940875031</v>
      </c>
      <c r="Y13" s="105">
        <v>726.2565064537954</v>
      </c>
      <c r="Z13" s="105">
        <v>3.9205472863339597</v>
      </c>
      <c r="AA13" s="105">
        <v>653.94728736050445</v>
      </c>
      <c r="AB13" s="105">
        <v>5.1887116375290745</v>
      </c>
      <c r="AC13" s="105">
        <v>865.47710113984954</v>
      </c>
      <c r="AD13" s="105">
        <v>4.9886615423423484</v>
      </c>
      <c r="AE13" s="105">
        <v>832.10874526270368</v>
      </c>
      <c r="AF13" s="105">
        <v>3.6054324336234309</v>
      </c>
      <c r="AG13" s="105">
        <v>601.38612992838819</v>
      </c>
      <c r="AH13" s="105">
        <v>4.401733511934304</v>
      </c>
      <c r="AI13" s="105">
        <v>734.20914979064185</v>
      </c>
      <c r="AJ13" s="105">
        <v>3.9615071241089561</v>
      </c>
      <c r="AK13" s="105">
        <v>660.77938830137384</v>
      </c>
      <c r="AL13" s="105">
        <v>4.9758950431064077</v>
      </c>
      <c r="AM13" s="105">
        <v>829.97929319014872</v>
      </c>
      <c r="AN13" s="105">
        <v>4.5056052194830407</v>
      </c>
      <c r="AO13" s="105">
        <v>751.53495060977116</v>
      </c>
      <c r="AP13" s="105">
        <v>4.735968982896205</v>
      </c>
      <c r="AQ13" s="105">
        <v>789.9596263470869</v>
      </c>
      <c r="AR13" s="105">
        <v>5.0066343860199449</v>
      </c>
      <c r="AS13" s="105">
        <v>835.10661558812672</v>
      </c>
      <c r="AT13" s="105">
        <v>3.5514705000784534</v>
      </c>
      <c r="AU13" s="105">
        <v>592.38527941308598</v>
      </c>
      <c r="AV13" s="105">
        <v>3.9950763090187031</v>
      </c>
      <c r="AW13" s="105">
        <v>666.3787283443196</v>
      </c>
      <c r="AX13" s="105">
        <v>3.9836983123350134</v>
      </c>
      <c r="AY13" s="105">
        <v>664.48087849748015</v>
      </c>
      <c r="AZ13" s="105">
        <v>4.1428980351533538</v>
      </c>
      <c r="BA13" s="105">
        <v>691.0353922635793</v>
      </c>
      <c r="BB13" s="105">
        <v>5.8778410917067516</v>
      </c>
      <c r="BC13" s="105">
        <v>980.42389409668613</v>
      </c>
      <c r="BD13" s="105">
        <v>6.620064067394325</v>
      </c>
      <c r="BE13" s="105">
        <v>1104.2266864413732</v>
      </c>
      <c r="BF13" s="105">
        <v>5.1224749022558651</v>
      </c>
      <c r="BG13" s="105">
        <v>854.42881369627821</v>
      </c>
      <c r="BH13" s="105">
        <v>3.6835541596297148</v>
      </c>
      <c r="BI13" s="105">
        <v>614.41683382623637</v>
      </c>
      <c r="BJ13" s="105">
        <v>5.6220985729868751</v>
      </c>
      <c r="BK13" s="105">
        <v>937.76604197421068</v>
      </c>
      <c r="BL13" s="105">
        <v>3.8017505438660844</v>
      </c>
      <c r="BM13" s="105">
        <v>634.13199071686279</v>
      </c>
      <c r="BN13" s="105">
        <v>5.0637217309216878</v>
      </c>
      <c r="BO13" s="105">
        <v>844.6287847177374</v>
      </c>
      <c r="BP13" s="105">
        <v>3.1647563930484512</v>
      </c>
      <c r="BQ13" s="105">
        <v>527.88136636048159</v>
      </c>
      <c r="BR13" s="105">
        <v>6.1188455225325304</v>
      </c>
      <c r="BS13" s="105">
        <v>1020.623433158426</v>
      </c>
      <c r="BT13" s="105">
        <v>3.5679508579492709</v>
      </c>
      <c r="BU13" s="105">
        <v>595.13420310593835</v>
      </c>
      <c r="BV13" s="105">
        <v>4.7497947342071871</v>
      </c>
      <c r="BW13" s="105">
        <v>792.26576166575876</v>
      </c>
      <c r="BX13" s="105">
        <v>5.2744493077195003</v>
      </c>
      <c r="BY13" s="105">
        <v>879.77814452761254</v>
      </c>
      <c r="BZ13" s="105">
        <v>3.7817733256719239</v>
      </c>
      <c r="CA13" s="105">
        <v>630.79979072207686</v>
      </c>
      <c r="CB13" s="105">
        <v>3.6669188802704946</v>
      </c>
      <c r="CC13" s="105">
        <v>611.64206922911842</v>
      </c>
      <c r="CD13" s="105">
        <v>4.4616912807073934</v>
      </c>
      <c r="CE13" s="105">
        <v>744.21010562199319</v>
      </c>
      <c r="CF13" s="105">
        <v>5.3331625639169804</v>
      </c>
      <c r="CG13" s="105">
        <v>889.57151566135224</v>
      </c>
      <c r="CH13" s="105">
        <v>4.2172471536615408</v>
      </c>
      <c r="CI13" s="105">
        <v>703.43682523074494</v>
      </c>
      <c r="CJ13" s="105">
        <v>4.3624531459248415</v>
      </c>
      <c r="CK13" s="105">
        <v>727.65718474026346</v>
      </c>
      <c r="CL13" s="105">
        <v>4.2355324757021986</v>
      </c>
      <c r="CM13" s="105">
        <v>706.48681694712661</v>
      </c>
      <c r="CN13" s="105">
        <v>6.0268562791484843</v>
      </c>
      <c r="CO13" s="105">
        <v>1005.2796273619671</v>
      </c>
      <c r="CP13" s="105">
        <v>4.3334912572232342</v>
      </c>
      <c r="CQ13" s="105">
        <v>722.82634170483539</v>
      </c>
      <c r="CR13" s="105">
        <v>4.9008070158933323</v>
      </c>
      <c r="CS13" s="105">
        <v>817.45461025100781</v>
      </c>
      <c r="CT13" s="105">
        <v>3.704407293520978</v>
      </c>
      <c r="CU13" s="105">
        <v>617.89513655929909</v>
      </c>
    </row>
    <row r="14" spans="1:99" x14ac:dyDescent="0.2">
      <c r="C14" s="104" t="s">
        <v>180</v>
      </c>
      <c r="D14" s="105">
        <v>3</v>
      </c>
      <c r="E14" s="105">
        <v>1497.6</v>
      </c>
      <c r="F14" s="105">
        <v>4</v>
      </c>
      <c r="G14" s="105">
        <v>1996.8</v>
      </c>
      <c r="H14" s="105">
        <v>3</v>
      </c>
      <c r="I14" s="105">
        <v>1497.6</v>
      </c>
      <c r="J14" s="105">
        <v>5</v>
      </c>
      <c r="K14" s="105">
        <v>2496</v>
      </c>
      <c r="L14" s="105">
        <v>4.6109038701369984</v>
      </c>
      <c r="M14" s="105">
        <v>2301.7632119723894</v>
      </c>
      <c r="N14" s="105">
        <v>4.7573356871034571</v>
      </c>
      <c r="O14" s="105">
        <v>2374.8619750020457</v>
      </c>
      <c r="P14" s="105">
        <v>3.5258149303568738</v>
      </c>
      <c r="Q14" s="105">
        <v>1760.0868132341514</v>
      </c>
      <c r="R14" s="105">
        <v>4.5466342739777872</v>
      </c>
      <c r="S14" s="105">
        <v>2269.6798295697113</v>
      </c>
      <c r="T14" s="105">
        <v>3.9693866584488018</v>
      </c>
      <c r="U14" s="105">
        <v>1981.5178198976419</v>
      </c>
      <c r="V14" s="105">
        <v>4.6975210833377439</v>
      </c>
      <c r="W14" s="105">
        <v>2345.0025248022016</v>
      </c>
      <c r="X14" s="105">
        <v>4.3540557940875031</v>
      </c>
      <c r="Y14" s="105">
        <v>2173.5446524084814</v>
      </c>
      <c r="Z14" s="105">
        <v>3.9648192206160311</v>
      </c>
      <c r="AA14" s="105">
        <v>1979.2377549315227</v>
      </c>
      <c r="AB14" s="105">
        <v>5.1482174663641409</v>
      </c>
      <c r="AC14" s="105">
        <v>2569.9901592089791</v>
      </c>
      <c r="AD14" s="105">
        <v>4.9886615423423484</v>
      </c>
      <c r="AE14" s="105">
        <v>2490.3398419373002</v>
      </c>
      <c r="AF14" s="105">
        <v>3.5721426051567957</v>
      </c>
      <c r="AG14" s="105">
        <v>1783.2135884942725</v>
      </c>
      <c r="AH14" s="105">
        <v>4.37201867781482</v>
      </c>
      <c r="AI14" s="105">
        <v>2182.5117239651581</v>
      </c>
      <c r="AJ14" s="105">
        <v>3.9615071241089561</v>
      </c>
      <c r="AK14" s="105">
        <v>1977.5843563551909</v>
      </c>
      <c r="AL14" s="105">
        <v>4.9758950431064077</v>
      </c>
      <c r="AM14" s="105">
        <v>2483.9668055187185</v>
      </c>
      <c r="AN14" s="105">
        <v>4.5056052194830407</v>
      </c>
      <c r="AO14" s="105">
        <v>2249.1981255659339</v>
      </c>
      <c r="AP14" s="105">
        <v>5.3674413913923855</v>
      </c>
      <c r="AQ14" s="105">
        <v>2679.426742583079</v>
      </c>
      <c r="AR14" s="105">
        <v>4.9728692100619725</v>
      </c>
      <c r="AS14" s="105">
        <v>2482.4563096629367</v>
      </c>
      <c r="AT14" s="105">
        <v>3.5514705000784534</v>
      </c>
      <c r="AU14" s="105">
        <v>1772.8940736391639</v>
      </c>
      <c r="AV14" s="105">
        <v>4.0320128148912842</v>
      </c>
      <c r="AW14" s="105">
        <v>2012.7807971937291</v>
      </c>
      <c r="AX14" s="105">
        <v>3.946692905167434</v>
      </c>
      <c r="AY14" s="105">
        <v>1970.189098259583</v>
      </c>
      <c r="AZ14" s="105">
        <v>4.1428980351533538</v>
      </c>
      <c r="BA14" s="105">
        <v>2068.1346991485543</v>
      </c>
      <c r="BB14" s="105">
        <v>5.1343409041731523</v>
      </c>
      <c r="BC14" s="105">
        <v>2563.0629793632374</v>
      </c>
      <c r="BD14" s="105">
        <v>5.9194964206082377</v>
      </c>
      <c r="BE14" s="105">
        <v>2955.012613167632</v>
      </c>
      <c r="BF14" s="105">
        <v>5.1224749022558651</v>
      </c>
      <c r="BG14" s="105">
        <v>2557.1394712061278</v>
      </c>
      <c r="BH14" s="105">
        <v>3.6835541596297148</v>
      </c>
      <c r="BI14" s="105">
        <v>1838.8302364871536</v>
      </c>
      <c r="BJ14" s="105">
        <v>4.9193362513635153</v>
      </c>
      <c r="BK14" s="105">
        <v>2455.7326566806669</v>
      </c>
      <c r="BL14" s="105">
        <v>3.8017505438660844</v>
      </c>
      <c r="BM14" s="105">
        <v>1897.8338714979493</v>
      </c>
      <c r="BN14" s="105">
        <v>4.524825501967209</v>
      </c>
      <c r="BO14" s="105">
        <v>2258.7928905820309</v>
      </c>
      <c r="BP14" s="105">
        <v>3.1647563930484512</v>
      </c>
      <c r="BQ14" s="105">
        <v>1579.8463914097867</v>
      </c>
      <c r="BR14" s="105">
        <v>6.1552669653259944</v>
      </c>
      <c r="BS14" s="105">
        <v>3072.7092690907361</v>
      </c>
      <c r="BT14" s="105">
        <v>3.5679508579492709</v>
      </c>
      <c r="BU14" s="105">
        <v>1781.1210682882761</v>
      </c>
      <c r="BV14" s="105">
        <v>4.0844656989328456</v>
      </c>
      <c r="BW14" s="105">
        <v>2038.9652769072766</v>
      </c>
      <c r="BX14" s="105">
        <v>5.2444367204523754</v>
      </c>
      <c r="BY14" s="105">
        <v>2618.0228108498259</v>
      </c>
      <c r="BZ14" s="105">
        <v>4.3497212506294343</v>
      </c>
      <c r="CA14" s="105">
        <v>2171.3808483142134</v>
      </c>
      <c r="CB14" s="105">
        <v>3.6669188802704946</v>
      </c>
      <c r="CC14" s="105">
        <v>1830.5259050310308</v>
      </c>
      <c r="CD14" s="105">
        <v>4.4616912807073934</v>
      </c>
      <c r="CE14" s="105">
        <v>2227.2762873291308</v>
      </c>
      <c r="CF14" s="105">
        <v>4.7964428986098966</v>
      </c>
      <c r="CG14" s="105">
        <v>2394.3842949860605</v>
      </c>
      <c r="CH14" s="105">
        <v>4.2172471536615408</v>
      </c>
      <c r="CI14" s="105">
        <v>2105.2497791078413</v>
      </c>
      <c r="CJ14" s="105">
        <v>4.9077597891654472</v>
      </c>
      <c r="CK14" s="105">
        <v>2449.9536867513912</v>
      </c>
      <c r="CL14" s="105">
        <v>4.2355324757021986</v>
      </c>
      <c r="CM14" s="105">
        <v>2114.3778118705377</v>
      </c>
      <c r="CN14" s="105">
        <v>6.0584971190818901</v>
      </c>
      <c r="CO14" s="105">
        <v>3024.4017618456796</v>
      </c>
      <c r="CP14" s="105">
        <v>3.7001342353643043</v>
      </c>
      <c r="CQ14" s="105">
        <v>1847.1070102938606</v>
      </c>
      <c r="CR14" s="105">
        <v>4.316938886226402</v>
      </c>
      <c r="CS14" s="105">
        <v>2155.0158920042199</v>
      </c>
      <c r="CT14" s="105">
        <v>3.704407293520978</v>
      </c>
      <c r="CU14" s="105">
        <v>1849.2401209256723</v>
      </c>
    </row>
    <row r="15" spans="1:99" x14ac:dyDescent="0.2">
      <c r="C15" s="104" t="s">
        <v>181</v>
      </c>
      <c r="D15" s="105">
        <v>3</v>
      </c>
      <c r="E15" s="105">
        <v>2473.1999999999998</v>
      </c>
      <c r="F15" s="105">
        <v>4</v>
      </c>
      <c r="G15" s="105">
        <v>3297.6</v>
      </c>
      <c r="H15" s="105">
        <v>3</v>
      </c>
      <c r="I15" s="105">
        <v>2473.1999999999998</v>
      </c>
      <c r="J15" s="105">
        <v>5</v>
      </c>
      <c r="K15" s="105">
        <v>4122</v>
      </c>
      <c r="L15" s="105">
        <v>3.8424198917808319</v>
      </c>
      <c r="M15" s="105">
        <v>3167.6909587841178</v>
      </c>
      <c r="N15" s="105">
        <v>3.9644464059195474</v>
      </c>
      <c r="O15" s="105">
        <v>3268.289617040075</v>
      </c>
      <c r="P15" s="105">
        <v>3.5258149303568738</v>
      </c>
      <c r="Q15" s="105">
        <v>2906.6818285862068</v>
      </c>
      <c r="R15" s="105">
        <v>4.5466342739777872</v>
      </c>
      <c r="S15" s="105">
        <v>3748.2452954672876</v>
      </c>
      <c r="T15" s="105">
        <v>4.0061400692193994</v>
      </c>
      <c r="U15" s="105">
        <v>3302.6618730644727</v>
      </c>
      <c r="V15" s="105">
        <v>4.6975210833377439</v>
      </c>
      <c r="W15" s="105">
        <v>3872.6363811036358</v>
      </c>
      <c r="X15" s="105">
        <v>3.7320478235035739</v>
      </c>
      <c r="Y15" s="105">
        <v>3076.700225696346</v>
      </c>
      <c r="Z15" s="105">
        <v>3.9648192206160311</v>
      </c>
      <c r="AA15" s="105">
        <v>3268.596965475856</v>
      </c>
      <c r="AB15" s="105">
        <v>4.3374244216625391</v>
      </c>
      <c r="AC15" s="105">
        <v>3575.7726932185969</v>
      </c>
      <c r="AD15" s="105">
        <v>5.0272642005551917</v>
      </c>
      <c r="AE15" s="105">
        <v>4144.4766069377001</v>
      </c>
      <c r="AF15" s="105">
        <v>3.5721426051567957</v>
      </c>
      <c r="AG15" s="105">
        <v>2944.8743636912623</v>
      </c>
      <c r="AH15" s="105">
        <v>3.7686694624980479</v>
      </c>
      <c r="AI15" s="105">
        <v>3106.8911048833907</v>
      </c>
      <c r="AJ15" s="105">
        <v>3.936126475909314</v>
      </c>
      <c r="AK15" s="105">
        <v>3244.9426667396383</v>
      </c>
      <c r="AL15" s="105">
        <v>4.3811275220657793</v>
      </c>
      <c r="AM15" s="105">
        <v>3611.8015291910283</v>
      </c>
      <c r="AN15" s="105">
        <v>4.5056052194830407</v>
      </c>
      <c r="AO15" s="105">
        <v>3714.4209429418188</v>
      </c>
      <c r="AP15" s="105">
        <v>5.3674413913923855</v>
      </c>
      <c r="AQ15" s="105">
        <v>4424.9186830638828</v>
      </c>
      <c r="AR15" s="105">
        <v>4.3251660782607821</v>
      </c>
      <c r="AS15" s="105">
        <v>3565.6669149181889</v>
      </c>
      <c r="AT15" s="105">
        <v>3.5514705000784534</v>
      </c>
      <c r="AU15" s="105">
        <v>2927.8322802646771</v>
      </c>
      <c r="AV15" s="105">
        <v>3.9950763090187031</v>
      </c>
      <c r="AW15" s="105">
        <v>3293.5409091550187</v>
      </c>
      <c r="AX15" s="105">
        <v>3.9836983123350134</v>
      </c>
      <c r="AY15" s="105">
        <v>3284.1608886889849</v>
      </c>
      <c r="AZ15" s="105">
        <v>4.1428980351533538</v>
      </c>
      <c r="BA15" s="105">
        <v>3415.405140180425</v>
      </c>
      <c r="BB15" s="105">
        <v>5.1343409041731523</v>
      </c>
      <c r="BC15" s="105">
        <v>4232.7506414003465</v>
      </c>
      <c r="BD15" s="105">
        <v>5.2539238011909877</v>
      </c>
      <c r="BE15" s="105">
        <v>4331.3347817018503</v>
      </c>
      <c r="BF15" s="105">
        <v>5.1224749022558651</v>
      </c>
      <c r="BG15" s="105">
        <v>4222.9683094197353</v>
      </c>
      <c r="BH15" s="105">
        <v>4.2974798529013336</v>
      </c>
      <c r="BI15" s="105">
        <v>3542.8423907318593</v>
      </c>
      <c r="BJ15" s="105">
        <v>5.6220985729868751</v>
      </c>
      <c r="BK15" s="105">
        <v>4634.8580635703793</v>
      </c>
      <c r="BL15" s="105">
        <v>3.837253732795352</v>
      </c>
      <c r="BM15" s="105">
        <v>3163.431977316488</v>
      </c>
      <c r="BN15" s="105">
        <v>4.524825501967209</v>
      </c>
      <c r="BO15" s="105">
        <v>3730.2661438217669</v>
      </c>
      <c r="BP15" s="105">
        <v>3.7116809747653967</v>
      </c>
      <c r="BQ15" s="105">
        <v>3059.9097955965931</v>
      </c>
      <c r="BR15" s="105">
        <v>6.1188455225325304</v>
      </c>
      <c r="BS15" s="105">
        <v>5044.3762487758177</v>
      </c>
      <c r="BT15" s="105">
        <v>3.5679508579492709</v>
      </c>
      <c r="BU15" s="105">
        <v>2941.4186872933788</v>
      </c>
      <c r="BV15" s="105">
        <v>4.0844656989328456</v>
      </c>
      <c r="BW15" s="105">
        <v>3367.233522200238</v>
      </c>
      <c r="BX15" s="105">
        <v>5.2744493077195003</v>
      </c>
      <c r="BY15" s="105">
        <v>4348.2560092839558</v>
      </c>
      <c r="BZ15" s="105">
        <v>4.3497212506294343</v>
      </c>
      <c r="CA15" s="105">
        <v>3585.9101990189056</v>
      </c>
      <c r="CB15" s="105">
        <v>4.3120419268282664</v>
      </c>
      <c r="CC15" s="105">
        <v>3554.8473644772225</v>
      </c>
      <c r="CD15" s="105">
        <v>4.4616912807073934</v>
      </c>
      <c r="CE15" s="105">
        <v>3678.2182918151752</v>
      </c>
      <c r="CF15" s="105">
        <v>4.7964428986098966</v>
      </c>
      <c r="CG15" s="105">
        <v>3954.1875256139988</v>
      </c>
      <c r="CH15" s="105">
        <v>3.5761865935277206</v>
      </c>
      <c r="CI15" s="105">
        <v>2948.2082277042527</v>
      </c>
      <c r="CJ15" s="105">
        <v>4.3624531459248415</v>
      </c>
      <c r="CK15" s="105">
        <v>3596.4063735004393</v>
      </c>
      <c r="CL15" s="105">
        <v>3.3915651087780665</v>
      </c>
      <c r="CM15" s="105">
        <v>2796.0062756766379</v>
      </c>
      <c r="CN15" s="105">
        <v>5.3923620702802149</v>
      </c>
      <c r="CO15" s="105">
        <v>4445.4632907390087</v>
      </c>
      <c r="CP15" s="105">
        <v>3.7001342353643043</v>
      </c>
      <c r="CQ15" s="105">
        <v>3050.3906636343322</v>
      </c>
      <c r="CR15" s="105">
        <v>4.316938886226402</v>
      </c>
      <c r="CS15" s="105">
        <v>3558.8844178050458</v>
      </c>
      <c r="CT15" s="105">
        <v>3.1162614565285494</v>
      </c>
      <c r="CU15" s="105">
        <v>2569.0459447621361</v>
      </c>
    </row>
    <row r="16" spans="1:99" x14ac:dyDescent="0.2">
      <c r="C16" s="104" t="s">
        <v>182</v>
      </c>
      <c r="D16" s="105">
        <v>3</v>
      </c>
      <c r="E16" s="105">
        <v>1526.3999999999996</v>
      </c>
      <c r="F16" s="105">
        <v>3</v>
      </c>
      <c r="G16" s="105">
        <v>1526.3999999999996</v>
      </c>
      <c r="H16" s="105">
        <v>3</v>
      </c>
      <c r="I16" s="105">
        <v>1526.3999999999996</v>
      </c>
      <c r="J16" s="105">
        <v>6</v>
      </c>
      <c r="K16" s="105">
        <v>3052.7999999999993</v>
      </c>
      <c r="L16" s="105">
        <v>3.8424198917808319</v>
      </c>
      <c r="M16" s="105">
        <v>1955.0232409380869</v>
      </c>
      <c r="N16" s="105">
        <v>3.9644464059195474</v>
      </c>
      <c r="O16" s="105">
        <v>2017.1103313318654</v>
      </c>
      <c r="P16" s="105">
        <v>3.5587620450765192</v>
      </c>
      <c r="Q16" s="105">
        <v>1810.6981285349325</v>
      </c>
      <c r="R16" s="105">
        <v>4.5773347147591501</v>
      </c>
      <c r="S16" s="105">
        <v>2328.947902869455</v>
      </c>
      <c r="T16" s="105">
        <v>3.9693866584488018</v>
      </c>
      <c r="U16" s="105">
        <v>2019.62393181875</v>
      </c>
      <c r="V16" s="105">
        <v>4.6975210833377439</v>
      </c>
      <c r="W16" s="105">
        <v>2390.0987272022435</v>
      </c>
      <c r="X16" s="105">
        <v>4.3540557940875031</v>
      </c>
      <c r="Y16" s="105">
        <v>2215.3435880317211</v>
      </c>
      <c r="Z16" s="105">
        <v>4.8342762064943416</v>
      </c>
      <c r="AA16" s="105">
        <v>2459.6797338643205</v>
      </c>
      <c r="AB16" s="105">
        <v>4.3779185928274726</v>
      </c>
      <c r="AC16" s="105">
        <v>2227.4849800306174</v>
      </c>
      <c r="AD16" s="105">
        <v>4.9886615423423484</v>
      </c>
      <c r="AE16" s="105">
        <v>2538.2309927437864</v>
      </c>
      <c r="AF16" s="105">
        <v>3.5388527766901605</v>
      </c>
      <c r="AG16" s="105">
        <v>1800.5682927799533</v>
      </c>
      <c r="AH16" s="105">
        <v>4.401733511934304</v>
      </c>
      <c r="AI16" s="105">
        <v>2239.6020108721732</v>
      </c>
      <c r="AJ16" s="105">
        <v>3.936126475909314</v>
      </c>
      <c r="AK16" s="105">
        <v>2002.7011509426586</v>
      </c>
      <c r="AL16" s="105">
        <v>4.3811275220657793</v>
      </c>
      <c r="AM16" s="105">
        <v>2229.117683227068</v>
      </c>
      <c r="AN16" s="105">
        <v>3.6458290742461901</v>
      </c>
      <c r="AO16" s="105">
        <v>1854.997832976461</v>
      </c>
      <c r="AP16" s="105">
        <v>5.9673475875462714</v>
      </c>
      <c r="AQ16" s="105">
        <v>3036.1864525435421</v>
      </c>
      <c r="AR16" s="105">
        <v>5.6543375178211344</v>
      </c>
      <c r="AS16" s="105">
        <v>2876.9269290673924</v>
      </c>
      <c r="AT16" s="105">
        <v>3.5514705000784534</v>
      </c>
      <c r="AU16" s="105">
        <v>1806.9881904399167</v>
      </c>
      <c r="AV16" s="105">
        <v>4.0320128148912842</v>
      </c>
      <c r="AW16" s="105">
        <v>2051.4881202166848</v>
      </c>
      <c r="AX16" s="105">
        <v>3.946692905167434</v>
      </c>
      <c r="AY16" s="105">
        <v>2008.0773501491899</v>
      </c>
      <c r="AZ16" s="105">
        <v>4.1707643490019395</v>
      </c>
      <c r="BA16" s="105">
        <v>2122.0849007721863</v>
      </c>
      <c r="BB16" s="105">
        <v>5.8427608874257331</v>
      </c>
      <c r="BC16" s="105">
        <v>2972.7967395222122</v>
      </c>
      <c r="BD16" s="105">
        <v>5.2189287738221495</v>
      </c>
      <c r="BE16" s="105">
        <v>2655.3909601207092</v>
      </c>
      <c r="BF16" s="105">
        <v>5.1527786715639534</v>
      </c>
      <c r="BG16" s="105">
        <v>2621.7337880917389</v>
      </c>
      <c r="BH16" s="105">
        <v>3.6835541596297148</v>
      </c>
      <c r="BI16" s="105">
        <v>1874.1923564195986</v>
      </c>
      <c r="BJ16" s="105">
        <v>4.9193362513635153</v>
      </c>
      <c r="BK16" s="105">
        <v>2502.958284693756</v>
      </c>
      <c r="BL16" s="105">
        <v>3.837253732795352</v>
      </c>
      <c r="BM16" s="105">
        <v>1952.3946992462747</v>
      </c>
      <c r="BN16" s="105">
        <v>4.551532460758632</v>
      </c>
      <c r="BO16" s="105">
        <v>2315.8197160339914</v>
      </c>
      <c r="BP16" s="105">
        <v>3.7116809747653967</v>
      </c>
      <c r="BQ16" s="105">
        <v>1888.5032799606336</v>
      </c>
      <c r="BR16" s="105">
        <v>6.1552669653259944</v>
      </c>
      <c r="BS16" s="105">
        <v>3131.7998319578655</v>
      </c>
      <c r="BT16" s="105">
        <v>3.6015692832971968</v>
      </c>
      <c r="BU16" s="105">
        <v>1832.4784513416134</v>
      </c>
      <c r="BV16" s="105">
        <v>4.7189642384449195</v>
      </c>
      <c r="BW16" s="105">
        <v>2401.0090045207744</v>
      </c>
      <c r="BX16" s="105">
        <v>5.2444367204523754</v>
      </c>
      <c r="BY16" s="105">
        <v>2668.3694033661682</v>
      </c>
      <c r="BZ16" s="105">
        <v>4.3784970795468849</v>
      </c>
      <c r="CA16" s="105">
        <v>2227.7793140734548</v>
      </c>
      <c r="CB16" s="105">
        <v>4.3459883612499306</v>
      </c>
      <c r="CC16" s="105">
        <v>2211.2388782039643</v>
      </c>
      <c r="CD16" s="105">
        <v>4.4616912807073934</v>
      </c>
      <c r="CE16" s="105">
        <v>2270.1085236239214</v>
      </c>
      <c r="CF16" s="105">
        <v>5.3610895403699379</v>
      </c>
      <c r="CG16" s="105">
        <v>2727.7223581402241</v>
      </c>
      <c r="CH16" s="105">
        <v>4.2172471536615408</v>
      </c>
      <c r="CI16" s="105">
        <v>2145.7353517829915</v>
      </c>
      <c r="CJ16" s="105">
        <v>4.3624531459248415</v>
      </c>
      <c r="CK16" s="105">
        <v>2219.6161606465589</v>
      </c>
      <c r="CL16" s="105">
        <v>4.2355324757021986</v>
      </c>
      <c r="CM16" s="105">
        <v>2155.038923637278</v>
      </c>
      <c r="CN16" s="105">
        <v>6.0268562791484843</v>
      </c>
      <c r="CO16" s="105">
        <v>3066.4644748307483</v>
      </c>
      <c r="CP16" s="105">
        <v>4.3668255776025875</v>
      </c>
      <c r="CQ16" s="105">
        <v>2221.8408538841959</v>
      </c>
      <c r="CR16" s="105">
        <v>4.316938886226402</v>
      </c>
      <c r="CS16" s="105">
        <v>2196.4585053119927</v>
      </c>
      <c r="CT16" s="105">
        <v>3.704407293520978</v>
      </c>
      <c r="CU16" s="105">
        <v>1884.8024309434732</v>
      </c>
    </row>
    <row r="17" spans="2:99" x14ac:dyDescent="0.2">
      <c r="C17" s="104" t="s">
        <v>183</v>
      </c>
      <c r="D17" s="105">
        <v>3</v>
      </c>
      <c r="E17" s="105">
        <v>1490.3999999999999</v>
      </c>
      <c r="F17" s="105">
        <v>4</v>
      </c>
      <c r="G17" s="105">
        <v>1987.1999999999998</v>
      </c>
      <c r="H17" s="105">
        <v>3</v>
      </c>
      <c r="I17" s="105">
        <v>1490.3999999999999</v>
      </c>
      <c r="J17" s="105">
        <v>5</v>
      </c>
      <c r="K17" s="105">
        <v>2484</v>
      </c>
      <c r="L17" s="105">
        <v>4.6109038701369984</v>
      </c>
      <c r="M17" s="105">
        <v>2290.6970426840608</v>
      </c>
      <c r="N17" s="105">
        <v>3.9644464059195474</v>
      </c>
      <c r="O17" s="105">
        <v>1969.5369744608311</v>
      </c>
      <c r="P17" s="105">
        <v>3.5587620450765192</v>
      </c>
      <c r="Q17" s="105">
        <v>1767.9929839940146</v>
      </c>
      <c r="R17" s="105">
        <v>5.161067237938771</v>
      </c>
      <c r="S17" s="105">
        <v>2564.0182038079811</v>
      </c>
      <c r="T17" s="105">
        <v>4.0061400692193994</v>
      </c>
      <c r="U17" s="105">
        <v>1990.2503863881975</v>
      </c>
      <c r="V17" s="105">
        <v>4.6975210833377439</v>
      </c>
      <c r="W17" s="105">
        <v>2333.7284742021911</v>
      </c>
      <c r="X17" s="105">
        <v>3.7320478235035739</v>
      </c>
      <c r="Y17" s="105">
        <v>1854.0813587165753</v>
      </c>
      <c r="Z17" s="105">
        <v>4.8785481407764131</v>
      </c>
      <c r="AA17" s="105">
        <v>2423.6627163377216</v>
      </c>
      <c r="AB17" s="105">
        <v>5.1887116375290745</v>
      </c>
      <c r="AC17" s="105">
        <v>2577.7519415244442</v>
      </c>
      <c r="AD17" s="105">
        <v>5.0272642005551917</v>
      </c>
      <c r="AE17" s="105">
        <v>2497.544854835819</v>
      </c>
      <c r="AF17" s="105">
        <v>3.6054324336234309</v>
      </c>
      <c r="AG17" s="105">
        <v>1791.1788330241204</v>
      </c>
      <c r="AH17" s="105">
        <v>4.37201867781482</v>
      </c>
      <c r="AI17" s="105">
        <v>2172.0188791384026</v>
      </c>
      <c r="AJ17" s="105">
        <v>3.2970258287241898</v>
      </c>
      <c r="AK17" s="105">
        <v>1637.9624317101773</v>
      </c>
      <c r="AL17" s="105">
        <v>4.3539081627181062</v>
      </c>
      <c r="AM17" s="105">
        <v>2163.0215752383551</v>
      </c>
      <c r="AN17" s="105">
        <v>3.6458290742461901</v>
      </c>
      <c r="AO17" s="105">
        <v>1811.2478840855072</v>
      </c>
      <c r="AP17" s="105">
        <v>4.735968982896205</v>
      </c>
      <c r="AQ17" s="105">
        <v>2352.8293907028346</v>
      </c>
      <c r="AR17" s="105">
        <v>5.6543375178211344</v>
      </c>
      <c r="AS17" s="105">
        <v>2809.0748788535393</v>
      </c>
      <c r="AT17" s="105">
        <v>3.5514705000784534</v>
      </c>
      <c r="AU17" s="105">
        <v>1764.3705444389755</v>
      </c>
      <c r="AV17" s="105">
        <v>3.9950763090187031</v>
      </c>
      <c r="AW17" s="105">
        <v>1984.7539103204915</v>
      </c>
      <c r="AX17" s="105">
        <v>3.9836983123350134</v>
      </c>
      <c r="AY17" s="105">
        <v>1979.1013215680346</v>
      </c>
      <c r="AZ17" s="105">
        <v>4.1428980351533538</v>
      </c>
      <c r="BA17" s="105">
        <v>2058.1917438641858</v>
      </c>
      <c r="BB17" s="105">
        <v>5.1343409041731523</v>
      </c>
      <c r="BC17" s="105">
        <v>2550.7405611932218</v>
      </c>
      <c r="BD17" s="105">
        <v>5.954491447977075</v>
      </c>
      <c r="BE17" s="105">
        <v>2958.1913513550107</v>
      </c>
      <c r="BF17" s="105">
        <v>5.1527786715639534</v>
      </c>
      <c r="BG17" s="105">
        <v>2559.9004440329718</v>
      </c>
      <c r="BH17" s="105">
        <v>3.6835541596297148</v>
      </c>
      <c r="BI17" s="105">
        <v>1829.989706504042</v>
      </c>
      <c r="BJ17" s="105">
        <v>5.6220985729868751</v>
      </c>
      <c r="BK17" s="105">
        <v>2793.0585710598793</v>
      </c>
      <c r="BL17" s="105">
        <v>3.8017505438660844</v>
      </c>
      <c r="BM17" s="105">
        <v>1888.7096701926705</v>
      </c>
      <c r="BN17" s="105">
        <v>4.524825501967209</v>
      </c>
      <c r="BO17" s="105">
        <v>2247.9333093773093</v>
      </c>
      <c r="BP17" s="105">
        <v>3.7116809747653967</v>
      </c>
      <c r="BQ17" s="105">
        <v>1843.9631082634489</v>
      </c>
      <c r="BR17" s="105">
        <v>6.1188455225325304</v>
      </c>
      <c r="BS17" s="105">
        <v>3039.842455594161</v>
      </c>
      <c r="BT17" s="105">
        <v>3.5679508579492709</v>
      </c>
      <c r="BU17" s="105">
        <v>1772.5579862291977</v>
      </c>
      <c r="BV17" s="105">
        <v>4.1152961946951123</v>
      </c>
      <c r="BW17" s="105">
        <v>2044.4791495245315</v>
      </c>
      <c r="BX17" s="105">
        <v>4.6376525847049059</v>
      </c>
      <c r="BY17" s="105">
        <v>2303.985804081397</v>
      </c>
      <c r="BZ17" s="105">
        <v>4.3784970795468849</v>
      </c>
      <c r="CA17" s="105">
        <v>2175.2373491188923</v>
      </c>
      <c r="CB17" s="105">
        <v>4.3120419268282664</v>
      </c>
      <c r="CC17" s="105">
        <v>2142.2224292482824</v>
      </c>
      <c r="CD17" s="105">
        <v>4.4616912807073934</v>
      </c>
      <c r="CE17" s="105">
        <v>2216.568228255433</v>
      </c>
      <c r="CF17" s="105">
        <v>4.7964428986098966</v>
      </c>
      <c r="CG17" s="105">
        <v>2382.8728320293962</v>
      </c>
      <c r="CH17" s="105">
        <v>4.2509638621032328</v>
      </c>
      <c r="CI17" s="105">
        <v>2111.8788466928859</v>
      </c>
      <c r="CJ17" s="105">
        <v>4.9077597891654472</v>
      </c>
      <c r="CK17" s="105">
        <v>2438.175063257394</v>
      </c>
      <c r="CL17" s="105">
        <v>4.1413586292129692</v>
      </c>
      <c r="CM17" s="105">
        <v>2057.4269669930027</v>
      </c>
      <c r="CN17" s="105">
        <v>5.3923620702802149</v>
      </c>
      <c r="CO17" s="105">
        <v>2678.9254765152104</v>
      </c>
      <c r="CP17" s="105">
        <v>4.3334912572232342</v>
      </c>
      <c r="CQ17" s="105">
        <v>2152.8784565885026</v>
      </c>
      <c r="CR17" s="105">
        <v>4.316938886226402</v>
      </c>
      <c r="CS17" s="105">
        <v>2144.6552386772764</v>
      </c>
      <c r="CT17" s="105">
        <v>3.704407293520978</v>
      </c>
      <c r="CU17" s="105">
        <v>1840.3495434212216</v>
      </c>
    </row>
    <row r="18" spans="2:99" x14ac:dyDescent="0.2">
      <c r="C18" s="104" t="s">
        <v>184</v>
      </c>
      <c r="D18" s="105">
        <v>3</v>
      </c>
      <c r="E18" s="105">
        <v>2192.3999999999996</v>
      </c>
      <c r="F18" s="105">
        <v>4</v>
      </c>
      <c r="G18" s="105">
        <v>2923.2</v>
      </c>
      <c r="H18" s="105">
        <v>3</v>
      </c>
      <c r="I18" s="105">
        <v>2192.3999999999996</v>
      </c>
      <c r="J18" s="105">
        <v>5</v>
      </c>
      <c r="K18" s="105">
        <v>3654</v>
      </c>
      <c r="L18" s="105">
        <v>3.8424198917808319</v>
      </c>
      <c r="M18" s="105">
        <v>2808.0404569134316</v>
      </c>
      <c r="N18" s="105">
        <v>3.9644464059195474</v>
      </c>
      <c r="O18" s="105">
        <v>2897.2174334460051</v>
      </c>
      <c r="P18" s="105">
        <v>3.5258149303568738</v>
      </c>
      <c r="Q18" s="105">
        <v>2576.6655511048034</v>
      </c>
      <c r="R18" s="105">
        <v>3.932201310016803</v>
      </c>
      <c r="S18" s="105">
        <v>2873.6527173602794</v>
      </c>
      <c r="T18" s="105">
        <v>3.9693866584488018</v>
      </c>
      <c r="U18" s="105">
        <v>2900.8277699943842</v>
      </c>
      <c r="V18" s="105">
        <v>4.6975210833377439</v>
      </c>
      <c r="W18" s="105">
        <v>3432.948407703223</v>
      </c>
      <c r="X18" s="105">
        <v>4.3540557940875031</v>
      </c>
      <c r="Y18" s="105">
        <v>3181.9439743191469</v>
      </c>
      <c r="Z18" s="105">
        <v>4.8342762064943416</v>
      </c>
      <c r="AA18" s="105">
        <v>3532.8890517060645</v>
      </c>
      <c r="AB18" s="105">
        <v>5.1482174663641409</v>
      </c>
      <c r="AC18" s="105">
        <v>3762.3173244189138</v>
      </c>
      <c r="AD18" s="105">
        <v>4.2022543865336068</v>
      </c>
      <c r="AE18" s="105">
        <v>3071.0075056787596</v>
      </c>
      <c r="AF18" s="105">
        <v>3.5721426051567957</v>
      </c>
      <c r="AG18" s="105">
        <v>2610.5218158485864</v>
      </c>
      <c r="AH18" s="105">
        <v>4.37201867781482</v>
      </c>
      <c r="AI18" s="105">
        <v>3195.0712497470704</v>
      </c>
      <c r="AJ18" s="105">
        <v>3.9615071241089561</v>
      </c>
      <c r="AK18" s="105">
        <v>2895.069406298825</v>
      </c>
      <c r="AL18" s="105">
        <v>4.3811275220657793</v>
      </c>
      <c r="AM18" s="105">
        <v>3201.7279931256712</v>
      </c>
      <c r="AN18" s="105">
        <v>4.4642603208232829</v>
      </c>
      <c r="AO18" s="105">
        <v>3262.4814424576548</v>
      </c>
      <c r="AP18" s="105">
        <v>5.33587517905009</v>
      </c>
      <c r="AQ18" s="105">
        <v>3899.4575808498057</v>
      </c>
      <c r="AR18" s="105">
        <v>4.9728692100619725</v>
      </c>
      <c r="AS18" s="105">
        <v>3634.1728187132894</v>
      </c>
      <c r="AT18" s="105">
        <v>2.8875694882597895</v>
      </c>
      <c r="AU18" s="105">
        <v>2110.2357820202542</v>
      </c>
      <c r="AV18" s="105">
        <v>4.0320128148912842</v>
      </c>
      <c r="AW18" s="105">
        <v>2946.5949651225501</v>
      </c>
      <c r="AX18" s="105">
        <v>3.9836983123350134</v>
      </c>
      <c r="AY18" s="105">
        <v>2911.2867266544276</v>
      </c>
      <c r="AZ18" s="105">
        <v>4.7028933957768775</v>
      </c>
      <c r="BA18" s="105">
        <v>3436.8744936337421</v>
      </c>
      <c r="BB18" s="105">
        <v>5.1343409041731523</v>
      </c>
      <c r="BC18" s="105">
        <v>3752.1763327697395</v>
      </c>
      <c r="BD18" s="105">
        <v>5.2189287738221495</v>
      </c>
      <c r="BE18" s="105">
        <v>3813.9931479092265</v>
      </c>
      <c r="BF18" s="105">
        <v>4.5162572799454797</v>
      </c>
      <c r="BG18" s="105">
        <v>3300.4808201841565</v>
      </c>
      <c r="BH18" s="105">
        <v>3.6835541596297148</v>
      </c>
      <c r="BI18" s="105">
        <v>2691.9413798573955</v>
      </c>
      <c r="BJ18" s="105">
        <v>5.6220985729868751</v>
      </c>
      <c r="BK18" s="105">
        <v>4108.629637138808</v>
      </c>
      <c r="BL18" s="105">
        <v>3.837253732795352</v>
      </c>
      <c r="BM18" s="105">
        <v>2804.2650279268432</v>
      </c>
      <c r="BN18" s="105">
        <v>4.524825501967209</v>
      </c>
      <c r="BO18" s="105">
        <v>3306.7424768376363</v>
      </c>
      <c r="BP18" s="105">
        <v>3.136080827417536</v>
      </c>
      <c r="BQ18" s="105">
        <v>2291.8478686767353</v>
      </c>
      <c r="BR18" s="105">
        <v>6.1188455225325304</v>
      </c>
      <c r="BS18" s="105">
        <v>4471.6523078667733</v>
      </c>
      <c r="BT18" s="105">
        <v>3.5679508579492709</v>
      </c>
      <c r="BU18" s="105">
        <v>2607.458486989327</v>
      </c>
      <c r="BV18" s="105">
        <v>4.0844656989328456</v>
      </c>
      <c r="BW18" s="105">
        <v>2984.9275327801233</v>
      </c>
      <c r="BX18" s="105">
        <v>5.2444367204523754</v>
      </c>
      <c r="BY18" s="105">
        <v>3832.6343553065958</v>
      </c>
      <c r="BZ18" s="105">
        <v>4.9464450045043957</v>
      </c>
      <c r="CA18" s="105">
        <v>3614.8620092918122</v>
      </c>
      <c r="CB18" s="105">
        <v>4.3459883612499306</v>
      </c>
      <c r="CC18" s="105">
        <v>3176.0482944014489</v>
      </c>
      <c r="CD18" s="105">
        <v>4.4266257651903897</v>
      </c>
      <c r="CE18" s="105">
        <v>3234.9781092011367</v>
      </c>
      <c r="CF18" s="105">
        <v>5.3331625639169804</v>
      </c>
      <c r="CG18" s="105">
        <v>3897.4752017105288</v>
      </c>
      <c r="CH18" s="105">
        <v>4.2509638621032328</v>
      </c>
      <c r="CI18" s="105">
        <v>3106.6043904250423</v>
      </c>
      <c r="CJ18" s="105">
        <v>4.3624531459248415</v>
      </c>
      <c r="CK18" s="105">
        <v>3188.080759041874</v>
      </c>
      <c r="CL18" s="105">
        <v>4.1413586292129692</v>
      </c>
      <c r="CM18" s="105">
        <v>3026.5048862288377</v>
      </c>
      <c r="CN18" s="105">
        <v>6.0584971190818901</v>
      </c>
      <c r="CO18" s="105">
        <v>4427.549694625045</v>
      </c>
      <c r="CP18" s="105">
        <v>3.7001342353643043</v>
      </c>
      <c r="CQ18" s="105">
        <v>2704.0580992042333</v>
      </c>
      <c r="CR18" s="105">
        <v>4.9008070158933323</v>
      </c>
      <c r="CS18" s="105">
        <v>3581.5097672148472</v>
      </c>
      <c r="CT18" s="105">
        <v>3.704407293520978</v>
      </c>
      <c r="CU18" s="105">
        <v>2707.1808501051305</v>
      </c>
    </row>
    <row r="19" spans="2:99" x14ac:dyDescent="0.2">
      <c r="C19" s="104" t="s">
        <v>185</v>
      </c>
      <c r="D19" s="105">
        <v>3</v>
      </c>
      <c r="E19" s="105">
        <v>1159.1999999999998</v>
      </c>
      <c r="F19" s="105">
        <v>4</v>
      </c>
      <c r="G19" s="105">
        <v>1545.6</v>
      </c>
      <c r="H19" s="105">
        <v>3</v>
      </c>
      <c r="I19" s="105">
        <v>1159.1999999999998</v>
      </c>
      <c r="J19" s="105">
        <v>5</v>
      </c>
      <c r="K19" s="105">
        <v>1932</v>
      </c>
      <c r="L19" s="105">
        <v>3.8424198917808319</v>
      </c>
      <c r="M19" s="105">
        <v>1484.7110461841135</v>
      </c>
      <c r="N19" s="105">
        <v>3.9644464059195474</v>
      </c>
      <c r="O19" s="105">
        <v>1531.8620912473129</v>
      </c>
      <c r="P19" s="105">
        <v>3.5258149303568738</v>
      </c>
      <c r="Q19" s="105">
        <v>1362.374889089896</v>
      </c>
      <c r="R19" s="105">
        <v>5.1917676787201339</v>
      </c>
      <c r="S19" s="105">
        <v>2006.0990310574596</v>
      </c>
      <c r="T19" s="105">
        <v>3.9693866584488018</v>
      </c>
      <c r="U19" s="105">
        <v>1533.771004824617</v>
      </c>
      <c r="V19" s="105">
        <v>4.6975210833377439</v>
      </c>
      <c r="W19" s="105">
        <v>1815.1221466017041</v>
      </c>
      <c r="X19" s="105">
        <v>4.3540557940875031</v>
      </c>
      <c r="Y19" s="105">
        <v>1682.4071588354111</v>
      </c>
      <c r="Z19" s="105">
        <v>3.9205472863339597</v>
      </c>
      <c r="AA19" s="105">
        <v>1514.8994714394419</v>
      </c>
      <c r="AB19" s="105">
        <v>5.1482174663641409</v>
      </c>
      <c r="AC19" s="105">
        <v>1989.2712290031038</v>
      </c>
      <c r="AD19" s="105">
        <v>4.2408570447464502</v>
      </c>
      <c r="AE19" s="105">
        <v>1638.6671620900283</v>
      </c>
      <c r="AF19" s="105">
        <v>3.5721426051567957</v>
      </c>
      <c r="AG19" s="105">
        <v>1380.2759026325857</v>
      </c>
      <c r="AH19" s="105">
        <v>4.37201867781482</v>
      </c>
      <c r="AI19" s="105">
        <v>1689.3480171076465</v>
      </c>
      <c r="AJ19" s="105">
        <v>3.9615071241089561</v>
      </c>
      <c r="AK19" s="105">
        <v>1530.7263527557006</v>
      </c>
      <c r="AL19" s="105">
        <v>4.3811275220657793</v>
      </c>
      <c r="AM19" s="105">
        <v>1692.8676745262171</v>
      </c>
      <c r="AN19" s="105">
        <v>4.5056052194830407</v>
      </c>
      <c r="AO19" s="105">
        <v>1740.9658568082468</v>
      </c>
      <c r="AP19" s="105">
        <v>5.33587517905009</v>
      </c>
      <c r="AQ19" s="105">
        <v>2061.7821691849545</v>
      </c>
      <c r="AR19" s="105">
        <v>5.6543375178211344</v>
      </c>
      <c r="AS19" s="105">
        <v>2184.8360168860863</v>
      </c>
      <c r="AT19" s="105">
        <v>3.5183325799377201</v>
      </c>
      <c r="AU19" s="105">
        <v>1359.4837088879349</v>
      </c>
      <c r="AV19" s="105">
        <v>3.9950763090187031</v>
      </c>
      <c r="AW19" s="105">
        <v>1543.6974858048268</v>
      </c>
      <c r="AX19" s="105">
        <v>3.946692905167434</v>
      </c>
      <c r="AY19" s="105">
        <v>1525.0021385566963</v>
      </c>
      <c r="AZ19" s="105">
        <v>4.1428980351533538</v>
      </c>
      <c r="BA19" s="105">
        <v>1600.8158007832558</v>
      </c>
      <c r="BB19" s="105">
        <v>5.1694211084541699</v>
      </c>
      <c r="BC19" s="105">
        <v>1997.4643163066912</v>
      </c>
      <c r="BD19" s="105">
        <v>5.9194964206082377</v>
      </c>
      <c r="BE19" s="105">
        <v>2287.293416923023</v>
      </c>
      <c r="BF19" s="105">
        <v>5.758996293874338</v>
      </c>
      <c r="BG19" s="105">
        <v>2225.276167953044</v>
      </c>
      <c r="BH19" s="105">
        <v>4.2974798529013336</v>
      </c>
      <c r="BI19" s="105">
        <v>1660.5462151610752</v>
      </c>
      <c r="BJ19" s="105">
        <v>5.6220985729868751</v>
      </c>
      <c r="BK19" s="105">
        <v>2172.3788886021284</v>
      </c>
      <c r="BL19" s="105">
        <v>3.837253732795352</v>
      </c>
      <c r="BM19" s="105">
        <v>1482.7148423521239</v>
      </c>
      <c r="BN19" s="105">
        <v>5.0637217309216878</v>
      </c>
      <c r="BO19" s="105">
        <v>1956.6220768281401</v>
      </c>
      <c r="BP19" s="105">
        <v>3.136080827417536</v>
      </c>
      <c r="BQ19" s="105">
        <v>1211.7816317141358</v>
      </c>
      <c r="BR19" s="105">
        <v>5.3904112750094271</v>
      </c>
      <c r="BS19" s="105">
        <v>2082.8549166636426</v>
      </c>
      <c r="BT19" s="105">
        <v>3.5679508579492709</v>
      </c>
      <c r="BU19" s="105">
        <v>1378.6562115115983</v>
      </c>
      <c r="BV19" s="105">
        <v>4.1152961946951123</v>
      </c>
      <c r="BW19" s="105">
        <v>1590.1504496301914</v>
      </c>
      <c r="BX19" s="105">
        <v>5.2744493077195003</v>
      </c>
      <c r="BY19" s="105">
        <v>2038.0472125028148</v>
      </c>
      <c r="BZ19" s="105">
        <v>4.3497212506294343</v>
      </c>
      <c r="CA19" s="105">
        <v>1680.7322912432132</v>
      </c>
      <c r="CB19" s="105">
        <v>4.3459883612499306</v>
      </c>
      <c r="CC19" s="105">
        <v>1679.289902786973</v>
      </c>
      <c r="CD19" s="105">
        <v>4.4616912807073934</v>
      </c>
      <c r="CE19" s="105">
        <v>1723.9975108653366</v>
      </c>
      <c r="CF19" s="105">
        <v>4.7964428986098966</v>
      </c>
      <c r="CG19" s="105">
        <v>1853.3455360228638</v>
      </c>
      <c r="CH19" s="105">
        <v>4.2509638621032328</v>
      </c>
      <c r="CI19" s="105">
        <v>1642.5724363166892</v>
      </c>
      <c r="CJ19" s="105">
        <v>4.9077597891654472</v>
      </c>
      <c r="CK19" s="105">
        <v>1896.3583825335286</v>
      </c>
      <c r="CL19" s="105">
        <v>4.2355324757021986</v>
      </c>
      <c r="CM19" s="105">
        <v>1636.6097486113295</v>
      </c>
      <c r="CN19" s="105">
        <v>6.0584971190818901</v>
      </c>
      <c r="CO19" s="105">
        <v>2341.0032868132421</v>
      </c>
      <c r="CP19" s="105">
        <v>4.3668255776025875</v>
      </c>
      <c r="CQ19" s="105">
        <v>1687.3414031856398</v>
      </c>
      <c r="CR19" s="105">
        <v>4.316938886226402</v>
      </c>
      <c r="CS19" s="105">
        <v>1668.0651856378815</v>
      </c>
      <c r="CT19" s="105">
        <v>3.704407293520978</v>
      </c>
      <c r="CU19" s="105">
        <v>1431.3829782165058</v>
      </c>
    </row>
    <row r="20" spans="2:99" x14ac:dyDescent="0.2">
      <c r="B20" s="104" t="s">
        <v>127</v>
      </c>
      <c r="C20" s="104" t="s">
        <v>186</v>
      </c>
      <c r="D20" s="105">
        <v>7</v>
      </c>
      <c r="E20" s="105">
        <v>672</v>
      </c>
      <c r="F20" s="105">
        <v>8</v>
      </c>
      <c r="G20" s="105">
        <v>768</v>
      </c>
      <c r="H20" s="105">
        <v>5</v>
      </c>
      <c r="I20" s="105">
        <v>480</v>
      </c>
      <c r="J20" s="105">
        <v>8</v>
      </c>
      <c r="K20" s="105">
        <v>768</v>
      </c>
      <c r="L20" s="105">
        <v>6.1478718268493306</v>
      </c>
      <c r="M20" s="105">
        <v>590.19569537753569</v>
      </c>
      <c r="N20" s="105">
        <v>7.9288928118390949</v>
      </c>
      <c r="O20" s="105">
        <v>761.17370993655311</v>
      </c>
      <c r="P20" s="105">
        <v>7.6777197714579728</v>
      </c>
      <c r="Q20" s="105">
        <v>737.06109805996539</v>
      </c>
      <c r="R20" s="105">
        <v>9.0318676663928503</v>
      </c>
      <c r="S20" s="105">
        <v>867.05929597371369</v>
      </c>
      <c r="T20" s="105">
        <v>9.2251500119582222</v>
      </c>
      <c r="U20" s="105">
        <v>885.61440114798938</v>
      </c>
      <c r="V20" s="105">
        <v>7.5160337333403895</v>
      </c>
      <c r="W20" s="105">
        <v>721.53923840067739</v>
      </c>
      <c r="X20" s="105">
        <v>8.7081115881750062</v>
      </c>
      <c r="Y20" s="105">
        <v>835.97871246480054</v>
      </c>
      <c r="Z20" s="105">
        <v>8.7548234928283009</v>
      </c>
      <c r="AA20" s="105">
        <v>840.46305531151688</v>
      </c>
      <c r="AB20" s="105">
        <v>7.7830674562936109</v>
      </c>
      <c r="AC20" s="105">
        <v>747.17447580418661</v>
      </c>
      <c r="AD20" s="105">
        <v>7.5022936426199438</v>
      </c>
      <c r="AE20" s="105">
        <v>720.22018969151463</v>
      </c>
      <c r="AF20" s="105">
        <v>8.3467714188031881</v>
      </c>
      <c r="AG20" s="105">
        <v>801.29005620510611</v>
      </c>
      <c r="AH20" s="105">
        <v>10.01016545450215</v>
      </c>
      <c r="AI20" s="105">
        <v>960.97588363220643</v>
      </c>
      <c r="AJ20" s="105">
        <v>7.8976336000182696</v>
      </c>
      <c r="AK20" s="105">
        <v>758.17282560175386</v>
      </c>
      <c r="AL20" s="105">
        <v>7.9497326483095474</v>
      </c>
      <c r="AM20" s="105">
        <v>763.17433423771649</v>
      </c>
      <c r="AN20" s="105">
        <v>7.4156928444716534</v>
      </c>
      <c r="AO20" s="105">
        <v>711.90651306927873</v>
      </c>
      <c r="AP20" s="105">
        <v>7.8617648130348119</v>
      </c>
      <c r="AQ20" s="105">
        <v>754.729422051342</v>
      </c>
      <c r="AR20" s="105">
        <v>6.5383968813281328</v>
      </c>
      <c r="AS20" s="105">
        <v>627.68610060750075</v>
      </c>
      <c r="AT20" s="105">
        <v>9.1277819557536333</v>
      </c>
      <c r="AU20" s="105">
        <v>876.26706775234879</v>
      </c>
      <c r="AV20" s="105">
        <v>7.879343100419665</v>
      </c>
      <c r="AW20" s="105">
        <v>756.41693764028787</v>
      </c>
      <c r="AX20" s="105">
        <v>7.8193749959997083</v>
      </c>
      <c r="AY20" s="105">
        <v>750.65999961597197</v>
      </c>
      <c r="AZ20" s="105">
        <v>9.2664552223108281</v>
      </c>
      <c r="BA20" s="105">
        <v>889.5797013418395</v>
      </c>
      <c r="BB20" s="105">
        <v>6.0532421131118381</v>
      </c>
      <c r="BC20" s="105">
        <v>581.11124285873643</v>
      </c>
      <c r="BD20" s="105">
        <v>7.4606118236557624</v>
      </c>
      <c r="BE20" s="105">
        <v>716.21873507095324</v>
      </c>
      <c r="BF20" s="105">
        <v>6.971431538495108</v>
      </c>
      <c r="BG20" s="105">
        <v>669.2574276955304</v>
      </c>
      <c r="BH20" s="105">
        <v>9.2088853990742887</v>
      </c>
      <c r="BI20" s="105">
        <v>884.05299831113166</v>
      </c>
      <c r="BJ20" s="105">
        <v>6.324860894610234</v>
      </c>
      <c r="BK20" s="105">
        <v>607.18664588258252</v>
      </c>
      <c r="BL20" s="105">
        <v>10.410580475891869</v>
      </c>
      <c r="BM20" s="105">
        <v>999.41572568561946</v>
      </c>
      <c r="BN20" s="105">
        <v>7.838323752068348</v>
      </c>
      <c r="BO20" s="105">
        <v>752.47908019856141</v>
      </c>
      <c r="BP20" s="105">
        <v>9.5537091451367431</v>
      </c>
      <c r="BQ20" s="105">
        <v>917.15607793312734</v>
      </c>
      <c r="BR20" s="105">
        <v>7.0658084268164094</v>
      </c>
      <c r="BS20" s="105">
        <v>678.31760897437528</v>
      </c>
      <c r="BT20" s="105">
        <v>9.8288939605879104</v>
      </c>
      <c r="BU20" s="105">
        <v>943.57382021643934</v>
      </c>
      <c r="BV20" s="105">
        <v>9.7949525545415117</v>
      </c>
      <c r="BW20" s="105">
        <v>940.31544523598518</v>
      </c>
      <c r="BX20" s="105">
        <v>9.1852674076084408</v>
      </c>
      <c r="BY20" s="105">
        <v>881.78567113041026</v>
      </c>
      <c r="BZ20" s="105">
        <v>9.8065625222564385</v>
      </c>
      <c r="CA20" s="105">
        <v>941.4300021366181</v>
      </c>
      <c r="CB20" s="105">
        <v>9.3031533346359687</v>
      </c>
      <c r="CC20" s="105">
        <v>893.102720125053</v>
      </c>
      <c r="CD20" s="105">
        <v>7.541348681063333</v>
      </c>
      <c r="CE20" s="105">
        <v>723.96947338207997</v>
      </c>
      <c r="CF20" s="105">
        <v>8.2960306549819691</v>
      </c>
      <c r="CG20" s="105">
        <v>796.41894287826904</v>
      </c>
      <c r="CH20" s="105">
        <v>9.8177655529157981</v>
      </c>
      <c r="CI20" s="105">
        <v>942.50549307991662</v>
      </c>
      <c r="CJ20" s="105">
        <v>8.179599648609079</v>
      </c>
      <c r="CK20" s="105">
        <v>785.24156626647164</v>
      </c>
      <c r="CL20" s="105">
        <v>7.4544455325833452</v>
      </c>
      <c r="CM20" s="105">
        <v>715.62677112800111</v>
      </c>
      <c r="CN20" s="105">
        <v>7.9303389057532936</v>
      </c>
      <c r="CO20" s="105">
        <v>761.31253495231613</v>
      </c>
      <c r="CP20" s="105">
        <v>8.3336393106529361</v>
      </c>
      <c r="CQ20" s="105">
        <v>800.02937382268192</v>
      </c>
      <c r="CR20" s="105">
        <v>9.016616670881584</v>
      </c>
      <c r="CS20" s="105">
        <v>865.59520040463212</v>
      </c>
      <c r="CT20" s="105">
        <v>8.0554711812231865</v>
      </c>
      <c r="CU20" s="105">
        <v>773.3252333974259</v>
      </c>
    </row>
    <row r="21" spans="2:99" x14ac:dyDescent="0.2">
      <c r="C21" s="104" t="s">
        <v>187</v>
      </c>
      <c r="D21" s="105">
        <v>7</v>
      </c>
      <c r="E21" s="105">
        <v>1696.7999999999997</v>
      </c>
      <c r="F21" s="105">
        <v>8</v>
      </c>
      <c r="G21" s="105">
        <v>1939.1999999999998</v>
      </c>
      <c r="H21" s="105">
        <v>5</v>
      </c>
      <c r="I21" s="105">
        <v>1212</v>
      </c>
      <c r="J21" s="105">
        <v>8</v>
      </c>
      <c r="K21" s="105">
        <v>1939.1999999999998</v>
      </c>
      <c r="L21" s="105">
        <v>6.1478718268493306</v>
      </c>
      <c r="M21" s="105">
        <v>1490.2441308282775</v>
      </c>
      <c r="N21" s="105">
        <v>7.9288928118390949</v>
      </c>
      <c r="O21" s="105">
        <v>1921.9636175897965</v>
      </c>
      <c r="P21" s="105">
        <v>8.3697039116414889</v>
      </c>
      <c r="Q21" s="105">
        <v>2028.8162281818968</v>
      </c>
      <c r="R21" s="105">
        <v>9.646300630353835</v>
      </c>
      <c r="S21" s="105">
        <v>2338.2632727977693</v>
      </c>
      <c r="T21" s="105">
        <v>8.4533247267308198</v>
      </c>
      <c r="U21" s="105">
        <v>2049.0859137595507</v>
      </c>
      <c r="V21" s="105">
        <v>7.5160337333403895</v>
      </c>
      <c r="W21" s="105">
        <v>1821.8865769617103</v>
      </c>
      <c r="X21" s="105">
        <v>8.7081115881750062</v>
      </c>
      <c r="Y21" s="105">
        <v>2110.8462489736212</v>
      </c>
      <c r="Z21" s="105">
        <v>8.7990954271103732</v>
      </c>
      <c r="AA21" s="105">
        <v>2132.9007315315544</v>
      </c>
      <c r="AB21" s="105">
        <v>6.0804930245605417</v>
      </c>
      <c r="AC21" s="105">
        <v>1473.9115091534752</v>
      </c>
      <c r="AD21" s="105">
        <v>7.5022936426199438</v>
      </c>
      <c r="AE21" s="105">
        <v>1818.5559789710742</v>
      </c>
      <c r="AF21" s="105">
        <v>8.9813043515146234</v>
      </c>
      <c r="AG21" s="105">
        <v>2177.0681748071447</v>
      </c>
      <c r="AH21" s="105">
        <v>9.3771014050658952</v>
      </c>
      <c r="AI21" s="105">
        <v>2273.0093805879728</v>
      </c>
      <c r="AJ21" s="105">
        <v>7.8722529518186279</v>
      </c>
      <c r="AK21" s="105">
        <v>1908.2341155208353</v>
      </c>
      <c r="AL21" s="105">
        <v>7.9497326483095474</v>
      </c>
      <c r="AM21" s="105">
        <v>1927.0151939502341</v>
      </c>
      <c r="AN21" s="105">
        <v>8.2754689897085054</v>
      </c>
      <c r="AO21" s="105">
        <v>2005.9736831053415</v>
      </c>
      <c r="AP21" s="105">
        <v>7.8933310253771056</v>
      </c>
      <c r="AQ21" s="105">
        <v>1913.3434405514101</v>
      </c>
      <c r="AR21" s="105">
        <v>6.5383968813281328</v>
      </c>
      <c r="AS21" s="105">
        <v>1584.9074040339392</v>
      </c>
      <c r="AT21" s="105">
        <v>8.3976051036535022</v>
      </c>
      <c r="AU21" s="105">
        <v>2035.5794771256087</v>
      </c>
      <c r="AV21" s="105">
        <v>8.6635837598743741</v>
      </c>
      <c r="AW21" s="105">
        <v>2100.0527033935482</v>
      </c>
      <c r="AX21" s="105">
        <v>8.5273016812645217</v>
      </c>
      <c r="AY21" s="105">
        <v>2067.0179275385199</v>
      </c>
      <c r="AZ21" s="105">
        <v>8.7064598616873035</v>
      </c>
      <c r="BA21" s="105">
        <v>2110.4458704730023</v>
      </c>
      <c r="BB21" s="105">
        <v>6.7967423006454366</v>
      </c>
      <c r="BC21" s="105">
        <v>1647.5303336764537</v>
      </c>
      <c r="BD21" s="105">
        <v>8.1261844430730115</v>
      </c>
      <c r="BE21" s="105">
        <v>1969.7871090008978</v>
      </c>
      <c r="BF21" s="105">
        <v>7.5776491608054934</v>
      </c>
      <c r="BG21" s="105">
        <v>1836.8221565792514</v>
      </c>
      <c r="BH21" s="105">
        <v>9.8228110923459067</v>
      </c>
      <c r="BI21" s="105">
        <v>2381.0494087846478</v>
      </c>
      <c r="BJ21" s="105">
        <v>5.6220985729868751</v>
      </c>
      <c r="BK21" s="105">
        <v>1362.7966940920185</v>
      </c>
      <c r="BL21" s="105">
        <v>9.0247923762766522</v>
      </c>
      <c r="BM21" s="105">
        <v>2187.6096720094602</v>
      </c>
      <c r="BN21" s="105">
        <v>8.3772199810228258</v>
      </c>
      <c r="BO21" s="105">
        <v>2030.6381233999327</v>
      </c>
      <c r="BP21" s="105">
        <v>9.5537091451367431</v>
      </c>
      <c r="BQ21" s="105">
        <v>2315.8190967811465</v>
      </c>
      <c r="BR21" s="105">
        <v>6.2645312937063808</v>
      </c>
      <c r="BS21" s="105">
        <v>1518.5223855944266</v>
      </c>
      <c r="BT21" s="105">
        <v>9.1556458994155694</v>
      </c>
      <c r="BU21" s="105">
        <v>2219.3285660183337</v>
      </c>
      <c r="BV21" s="105">
        <v>9.1296235192671702</v>
      </c>
      <c r="BW21" s="105">
        <v>2213.020741070362</v>
      </c>
      <c r="BX21" s="105">
        <v>7.9416865488463744</v>
      </c>
      <c r="BY21" s="105">
        <v>1925.0648194403609</v>
      </c>
      <c r="BZ21" s="105">
        <v>9.2098387683814753</v>
      </c>
      <c r="CA21" s="105">
        <v>2232.4649174556694</v>
      </c>
      <c r="CB21" s="105">
        <v>9.2692069002143036</v>
      </c>
      <c r="CC21" s="105">
        <v>2246.8557526119471</v>
      </c>
      <c r="CD21" s="105">
        <v>8.2148328634805576</v>
      </c>
      <c r="CE21" s="105">
        <v>1991.2754861076869</v>
      </c>
      <c r="CF21" s="105">
        <v>8.2401767020760559</v>
      </c>
      <c r="CG21" s="105">
        <v>1997.4188325832358</v>
      </c>
      <c r="CH21" s="105">
        <v>8.4682110157647745</v>
      </c>
      <c r="CI21" s="105">
        <v>2052.6943502213812</v>
      </c>
      <c r="CJ21" s="105">
        <v>9.2702129350902887</v>
      </c>
      <c r="CK21" s="105">
        <v>2247.0996154658856</v>
      </c>
      <c r="CL21" s="105">
        <v>7.4544455325833452</v>
      </c>
      <c r="CM21" s="105">
        <v>1806.9575970982028</v>
      </c>
      <c r="CN21" s="105">
        <v>7.8986980658198878</v>
      </c>
      <c r="CO21" s="105">
        <v>1914.6444111547405</v>
      </c>
      <c r="CP21" s="105">
        <v>8.3003049902735828</v>
      </c>
      <c r="CQ21" s="105">
        <v>2011.9939296423163</v>
      </c>
      <c r="CR21" s="105">
        <v>8.4327485412146537</v>
      </c>
      <c r="CS21" s="105">
        <v>2044.0982463904318</v>
      </c>
      <c r="CT21" s="105">
        <v>9.2317628552080446</v>
      </c>
      <c r="CU21" s="105">
        <v>2237.7793161024297</v>
      </c>
    </row>
    <row r="22" spans="2:99" x14ac:dyDescent="0.2">
      <c r="C22" s="104" t="s">
        <v>188</v>
      </c>
      <c r="D22" s="105">
        <v>7</v>
      </c>
      <c r="E22" s="105">
        <v>436.8</v>
      </c>
      <c r="F22" s="105">
        <v>9</v>
      </c>
      <c r="G22" s="105">
        <v>561.6</v>
      </c>
      <c r="H22" s="105">
        <v>5</v>
      </c>
      <c r="I22" s="105">
        <v>312</v>
      </c>
      <c r="J22" s="105">
        <v>8</v>
      </c>
      <c r="K22" s="105">
        <v>499.2</v>
      </c>
      <c r="L22" s="105">
        <v>6.1478718268493306</v>
      </c>
      <c r="M22" s="105">
        <v>383.6272019953982</v>
      </c>
      <c r="N22" s="105">
        <v>7.1360035306551852</v>
      </c>
      <c r="O22" s="105">
        <v>445.28662031288354</v>
      </c>
      <c r="P22" s="105">
        <v>8.4026510263611343</v>
      </c>
      <c r="Q22" s="105">
        <v>524.32542404493472</v>
      </c>
      <c r="R22" s="105">
        <v>9.0011672256114892</v>
      </c>
      <c r="S22" s="105">
        <v>561.67283487815689</v>
      </c>
      <c r="T22" s="105">
        <v>7.7917596738152106</v>
      </c>
      <c r="U22" s="105">
        <v>486.20580364606911</v>
      </c>
      <c r="V22" s="105">
        <v>7.5160337333403895</v>
      </c>
      <c r="W22" s="105">
        <v>469.00050496044031</v>
      </c>
      <c r="X22" s="105">
        <v>7.4640956470071478</v>
      </c>
      <c r="Y22" s="105">
        <v>465.759568373246</v>
      </c>
      <c r="Z22" s="105">
        <v>8.7990954271103732</v>
      </c>
      <c r="AA22" s="105">
        <v>549.06355465168724</v>
      </c>
      <c r="AB22" s="105">
        <v>6.9317802404270754</v>
      </c>
      <c r="AC22" s="105">
        <v>432.54308700264949</v>
      </c>
      <c r="AD22" s="105">
        <v>7.5408963008327872</v>
      </c>
      <c r="AE22" s="105">
        <v>470.55192917196592</v>
      </c>
      <c r="AF22" s="105">
        <v>9.6824169411593282</v>
      </c>
      <c r="AG22" s="105">
        <v>604.18281712834209</v>
      </c>
      <c r="AH22" s="105">
        <v>8.7737521897491231</v>
      </c>
      <c r="AI22" s="105">
        <v>547.48213664034529</v>
      </c>
      <c r="AJ22" s="105">
        <v>7.8722529518186279</v>
      </c>
      <c r="AK22" s="105">
        <v>491.22858419348239</v>
      </c>
      <c r="AL22" s="105">
        <v>8.5172808100025037</v>
      </c>
      <c r="AM22" s="105">
        <v>531.47832254415619</v>
      </c>
      <c r="AN22" s="105">
        <v>7.3330030471521379</v>
      </c>
      <c r="AO22" s="105">
        <v>457.57939014229339</v>
      </c>
      <c r="AP22" s="105">
        <v>7.8933310253771056</v>
      </c>
      <c r="AQ22" s="105">
        <v>492.54385598353139</v>
      </c>
      <c r="AR22" s="105">
        <v>6.5721620572861044</v>
      </c>
      <c r="AS22" s="105">
        <v>410.10291237465293</v>
      </c>
      <c r="AT22" s="105">
        <v>9.0615061154721666</v>
      </c>
      <c r="AU22" s="105">
        <v>565.43798160546316</v>
      </c>
      <c r="AV22" s="105">
        <v>7.1320389468375369</v>
      </c>
      <c r="AW22" s="105">
        <v>445.03923028266229</v>
      </c>
      <c r="AX22" s="105">
        <v>8.5273016812645217</v>
      </c>
      <c r="AY22" s="105">
        <v>532.10362491090609</v>
      </c>
      <c r="AZ22" s="105">
        <v>9.2385889084622423</v>
      </c>
      <c r="BA22" s="105">
        <v>576.48794788804389</v>
      </c>
      <c r="BB22" s="105">
        <v>6.0181619088308205</v>
      </c>
      <c r="BC22" s="105">
        <v>375.53330311104321</v>
      </c>
      <c r="BD22" s="105">
        <v>7.4256167962869259</v>
      </c>
      <c r="BE22" s="105">
        <v>463.35848808830417</v>
      </c>
      <c r="BF22" s="105">
        <v>7.60795293011358</v>
      </c>
      <c r="BG22" s="105">
        <v>474.73626283908737</v>
      </c>
      <c r="BH22" s="105">
        <v>9.2088853990742887</v>
      </c>
      <c r="BI22" s="105">
        <v>574.63444890223559</v>
      </c>
      <c r="BJ22" s="105">
        <v>5.6220985729868751</v>
      </c>
      <c r="BK22" s="105">
        <v>350.81895095438102</v>
      </c>
      <c r="BL22" s="105">
        <v>9.699934831619629</v>
      </c>
      <c r="BM22" s="105">
        <v>605.27593349306483</v>
      </c>
      <c r="BN22" s="105">
        <v>7.3261344819052914</v>
      </c>
      <c r="BO22" s="105">
        <v>457.15079167089016</v>
      </c>
      <c r="BP22" s="105">
        <v>9.0067845634197994</v>
      </c>
      <c r="BQ22" s="105">
        <v>562.0233567573955</v>
      </c>
      <c r="BR22" s="105">
        <v>6.2645312937063808</v>
      </c>
      <c r="BS22" s="105">
        <v>390.90675272727816</v>
      </c>
      <c r="BT22" s="105">
        <v>10.569378872456106</v>
      </c>
      <c r="BU22" s="105">
        <v>659.52924164126102</v>
      </c>
      <c r="BV22" s="105">
        <v>10.36779010252905</v>
      </c>
      <c r="BW22" s="105">
        <v>646.95010239781266</v>
      </c>
      <c r="BX22" s="105">
        <v>7.9116739615792495</v>
      </c>
      <c r="BY22" s="105">
        <v>493.68845520254519</v>
      </c>
      <c r="BZ22" s="105">
        <v>9.2098387683814753</v>
      </c>
      <c r="CA22" s="105">
        <v>574.69393914700402</v>
      </c>
      <c r="CB22" s="105">
        <v>9.9482763811937378</v>
      </c>
      <c r="CC22" s="105">
        <v>620.77244618648922</v>
      </c>
      <c r="CD22" s="105">
        <v>7.5764141965803358</v>
      </c>
      <c r="CE22" s="105">
        <v>472.76824586661292</v>
      </c>
      <c r="CF22" s="105">
        <v>8.2681036785290125</v>
      </c>
      <c r="CG22" s="105">
        <v>515.9296695402104</v>
      </c>
      <c r="CH22" s="105">
        <v>9.1767049927819802</v>
      </c>
      <c r="CI22" s="105">
        <v>572.6263915495955</v>
      </c>
      <c r="CJ22" s="105">
        <v>9.2702129350902887</v>
      </c>
      <c r="CK22" s="105">
        <v>578.46128714963402</v>
      </c>
      <c r="CL22" s="105">
        <v>7.4544455325833452</v>
      </c>
      <c r="CM22" s="105">
        <v>465.15740123320074</v>
      </c>
      <c r="CN22" s="105">
        <v>7.2325630170182116</v>
      </c>
      <c r="CO22" s="105">
        <v>451.31193226193642</v>
      </c>
      <c r="CP22" s="105">
        <v>8.3003049902735828</v>
      </c>
      <c r="CQ22" s="105">
        <v>517.93903139307156</v>
      </c>
      <c r="CR22" s="105">
        <v>7.8488804115477215</v>
      </c>
      <c r="CS22" s="105">
        <v>489.77013768057782</v>
      </c>
      <c r="CT22" s="105">
        <v>8.6436170182156147</v>
      </c>
      <c r="CU22" s="105">
        <v>539.3617019366543</v>
      </c>
    </row>
    <row r="23" spans="2:99" x14ac:dyDescent="0.2">
      <c r="C23" s="104" t="s">
        <v>189</v>
      </c>
      <c r="D23" s="105">
        <v>7</v>
      </c>
      <c r="E23" s="105">
        <v>1957.1999999999998</v>
      </c>
      <c r="F23" s="105">
        <v>8</v>
      </c>
      <c r="G23" s="105">
        <v>2236.7999999999997</v>
      </c>
      <c r="H23" s="105">
        <v>5</v>
      </c>
      <c r="I23" s="105">
        <v>1397.9999999999998</v>
      </c>
      <c r="J23" s="105">
        <v>8</v>
      </c>
      <c r="K23" s="105">
        <v>2236.7999999999997</v>
      </c>
      <c r="L23" s="105">
        <v>6.9163558052054972</v>
      </c>
      <c r="M23" s="105">
        <v>1933.8130831354567</v>
      </c>
      <c r="N23" s="105">
        <v>7.1360035306551852</v>
      </c>
      <c r="O23" s="105">
        <v>1995.2265871711895</v>
      </c>
      <c r="P23" s="105">
        <v>8.4026510263611343</v>
      </c>
      <c r="Q23" s="105">
        <v>2349.3812269705727</v>
      </c>
      <c r="R23" s="105">
        <v>8.9704667848301263</v>
      </c>
      <c r="S23" s="105">
        <v>2508.1425130385028</v>
      </c>
      <c r="T23" s="105">
        <v>8.4533247267308198</v>
      </c>
      <c r="U23" s="105">
        <v>2363.5495935939371</v>
      </c>
      <c r="V23" s="105">
        <v>7.5160337333403895</v>
      </c>
      <c r="W23" s="105">
        <v>2101.4830318419727</v>
      </c>
      <c r="X23" s="105">
        <v>8.7081115881750062</v>
      </c>
      <c r="Y23" s="105">
        <v>2434.7880000537316</v>
      </c>
      <c r="Z23" s="105">
        <v>8.7105515585462303</v>
      </c>
      <c r="AA23" s="105">
        <v>2435.4702157695256</v>
      </c>
      <c r="AB23" s="105">
        <v>7.7425732851286764</v>
      </c>
      <c r="AC23" s="105">
        <v>2164.8234905219779</v>
      </c>
      <c r="AD23" s="105">
        <v>7.5794989590456288</v>
      </c>
      <c r="AE23" s="105">
        <v>2119.2279089491576</v>
      </c>
      <c r="AF23" s="105">
        <v>8.3467714188031881</v>
      </c>
      <c r="AG23" s="105">
        <v>2333.7572886973712</v>
      </c>
      <c r="AH23" s="105">
        <v>9.3771014050658952</v>
      </c>
      <c r="AI23" s="105">
        <v>2621.8375528564238</v>
      </c>
      <c r="AJ23" s="105">
        <v>8.5367342472033965</v>
      </c>
      <c r="AK23" s="105">
        <v>2386.8708955180696</v>
      </c>
      <c r="AL23" s="105">
        <v>8.5445001693501759</v>
      </c>
      <c r="AM23" s="105">
        <v>2389.042247350309</v>
      </c>
      <c r="AN23" s="105">
        <v>7.3330030471521379</v>
      </c>
      <c r="AO23" s="105">
        <v>2050.3076519837373</v>
      </c>
      <c r="AP23" s="105">
        <v>7.8617648130348119</v>
      </c>
      <c r="AQ23" s="105">
        <v>2198.1494417245331</v>
      </c>
      <c r="AR23" s="105">
        <v>6.5721620572861044</v>
      </c>
      <c r="AS23" s="105">
        <v>1837.5765112171946</v>
      </c>
      <c r="AT23" s="105">
        <v>9.0946440356128981</v>
      </c>
      <c r="AU23" s="105">
        <v>2542.8624723573662</v>
      </c>
      <c r="AV23" s="105">
        <v>7.2059119585826981</v>
      </c>
      <c r="AW23" s="105">
        <v>2014.772983619722</v>
      </c>
      <c r="AX23" s="105">
        <v>7.7453641816645504</v>
      </c>
      <c r="AY23" s="105">
        <v>2165.6038251934078</v>
      </c>
      <c r="AZ23" s="105">
        <v>9.2385889084622423</v>
      </c>
      <c r="BA23" s="105">
        <v>2583.1094588060428</v>
      </c>
      <c r="BB23" s="105">
        <v>6.761662096364419</v>
      </c>
      <c r="BC23" s="105">
        <v>1890.5607221434914</v>
      </c>
      <c r="BD23" s="105">
        <v>7.4606118236557624</v>
      </c>
      <c r="BE23" s="105">
        <v>2085.9870658941509</v>
      </c>
      <c r="BF23" s="105">
        <v>7.0017353078031954</v>
      </c>
      <c r="BG23" s="105">
        <v>1957.6851920617733</v>
      </c>
      <c r="BH23" s="105">
        <v>9.2088853990742887</v>
      </c>
      <c r="BI23" s="105">
        <v>2574.8043575811707</v>
      </c>
      <c r="BJ23" s="105">
        <v>5.6220985729868751</v>
      </c>
      <c r="BK23" s="105">
        <v>1571.9387610071301</v>
      </c>
      <c r="BL23" s="105">
        <v>9.7709412094781634</v>
      </c>
      <c r="BM23" s="105">
        <v>2731.9551621700944</v>
      </c>
      <c r="BN23" s="105">
        <v>7.8650307108597701</v>
      </c>
      <c r="BO23" s="105">
        <v>2199.0625867563913</v>
      </c>
      <c r="BP23" s="105">
        <v>9.5537091451367431</v>
      </c>
      <c r="BQ23" s="105">
        <v>2671.2170769802328</v>
      </c>
      <c r="BR23" s="105">
        <v>5.5360970461832766</v>
      </c>
      <c r="BS23" s="105">
        <v>1547.892734112844</v>
      </c>
      <c r="BT23" s="105">
        <v>8.5496346889390775</v>
      </c>
      <c r="BU23" s="105">
        <v>2390.4778590273659</v>
      </c>
      <c r="BV23" s="105">
        <v>9.764122058779245</v>
      </c>
      <c r="BW23" s="105">
        <v>2730.0485276346767</v>
      </c>
      <c r="BX23" s="105">
        <v>8.548470684593843</v>
      </c>
      <c r="BY23" s="105">
        <v>2390.1524034124382</v>
      </c>
      <c r="BZ23" s="105">
        <v>9.2098387683814753</v>
      </c>
      <c r="CA23" s="105">
        <v>2575.07091963946</v>
      </c>
      <c r="CB23" s="105">
        <v>9.2352604657926385</v>
      </c>
      <c r="CC23" s="105">
        <v>2582.1788262356213</v>
      </c>
      <c r="CD23" s="105">
        <v>7.541348681063333</v>
      </c>
      <c r="CE23" s="105">
        <v>2108.5610912253078</v>
      </c>
      <c r="CF23" s="105">
        <v>7.7313840132219287</v>
      </c>
      <c r="CG23" s="105">
        <v>2161.6949700968512</v>
      </c>
      <c r="CH23" s="105">
        <v>9.8514822613574928</v>
      </c>
      <c r="CI23" s="105">
        <v>2754.4744402755546</v>
      </c>
      <c r="CJ23" s="105">
        <v>8.179599648609079</v>
      </c>
      <c r="CK23" s="105">
        <v>2287.0160617510983</v>
      </c>
      <c r="CL23" s="105">
        <v>7.4544455325833452</v>
      </c>
      <c r="CM23" s="105">
        <v>2084.262970910303</v>
      </c>
      <c r="CN23" s="105">
        <v>8.5648331146215622</v>
      </c>
      <c r="CO23" s="105">
        <v>2394.7273388481885</v>
      </c>
      <c r="CP23" s="105">
        <v>8.9669963325118687</v>
      </c>
      <c r="CQ23" s="105">
        <v>2507.172174570318</v>
      </c>
      <c r="CR23" s="105">
        <v>8.4040157938949154</v>
      </c>
      <c r="CS23" s="105">
        <v>2349.762815973018</v>
      </c>
      <c r="CT23" s="105">
        <v>9.2025074766136434</v>
      </c>
      <c r="CU23" s="105">
        <v>2573.0210904611745</v>
      </c>
    </row>
    <row r="24" spans="2:99" x14ac:dyDescent="0.2">
      <c r="C24" s="104" t="s">
        <v>190</v>
      </c>
      <c r="D24" s="105">
        <v>6</v>
      </c>
      <c r="E24" s="105">
        <v>1828.8000000000002</v>
      </c>
      <c r="F24" s="105">
        <v>9</v>
      </c>
      <c r="G24" s="105">
        <v>2743.2000000000003</v>
      </c>
      <c r="H24" s="105">
        <v>4</v>
      </c>
      <c r="I24" s="105">
        <v>1219.2</v>
      </c>
      <c r="J24" s="105">
        <v>8</v>
      </c>
      <c r="K24" s="105">
        <v>2438.4</v>
      </c>
      <c r="L24" s="105">
        <v>6.1478718268493306</v>
      </c>
      <c r="M24" s="105">
        <v>1873.8713328236761</v>
      </c>
      <c r="N24" s="105">
        <v>7.9288928118390949</v>
      </c>
      <c r="O24" s="105">
        <v>2416.7265290485561</v>
      </c>
      <c r="P24" s="105">
        <v>7.6777197714579728</v>
      </c>
      <c r="Q24" s="105">
        <v>2340.1689863403903</v>
      </c>
      <c r="R24" s="105">
        <v>8.3867342616505045</v>
      </c>
      <c r="S24" s="105">
        <v>2556.276602951074</v>
      </c>
      <c r="T24" s="105">
        <v>8.5268315482720141</v>
      </c>
      <c r="U24" s="105">
        <v>2598.97825591331</v>
      </c>
      <c r="V24" s="105">
        <v>8.4555379500079386</v>
      </c>
      <c r="W24" s="105">
        <v>2577.2479671624196</v>
      </c>
      <c r="X24" s="105">
        <v>8.0861036175910783</v>
      </c>
      <c r="Y24" s="105">
        <v>2464.6443826417608</v>
      </c>
      <c r="Z24" s="105">
        <v>8.7105515585462303</v>
      </c>
      <c r="AA24" s="105">
        <v>2654.9761150448912</v>
      </c>
      <c r="AB24" s="105">
        <v>6.9317802404270754</v>
      </c>
      <c r="AC24" s="105">
        <v>2112.8066172821727</v>
      </c>
      <c r="AD24" s="105">
        <v>6.7544891450240456</v>
      </c>
      <c r="AE24" s="105">
        <v>2058.7682914033294</v>
      </c>
      <c r="AF24" s="105">
        <v>7.6456588291584833</v>
      </c>
      <c r="AG24" s="105">
        <v>2330.3968111275058</v>
      </c>
      <c r="AH24" s="105">
        <v>8.7737521897491231</v>
      </c>
      <c r="AI24" s="105">
        <v>2674.2396674355327</v>
      </c>
      <c r="AJ24" s="105">
        <v>7.8976336000182696</v>
      </c>
      <c r="AK24" s="105">
        <v>2407.1987212855688</v>
      </c>
      <c r="AL24" s="105">
        <v>7.9497326483095474</v>
      </c>
      <c r="AM24" s="105">
        <v>2423.0785112047502</v>
      </c>
      <c r="AN24" s="105">
        <v>7.3330030471521379</v>
      </c>
      <c r="AO24" s="105">
        <v>2235.0993287719716</v>
      </c>
      <c r="AP24" s="105">
        <v>8.5248034338732861</v>
      </c>
      <c r="AQ24" s="105">
        <v>2598.3600866445777</v>
      </c>
      <c r="AR24" s="105">
        <v>7.1861000131293222</v>
      </c>
      <c r="AS24" s="105">
        <v>2190.3232840018177</v>
      </c>
      <c r="AT24" s="105">
        <v>8.4307430237942338</v>
      </c>
      <c r="AU24" s="105">
        <v>2569.6904736524825</v>
      </c>
      <c r="AV24" s="105">
        <v>7.1320389468375369</v>
      </c>
      <c r="AW24" s="105">
        <v>2173.8454709960815</v>
      </c>
      <c r="AX24" s="105">
        <v>8.4902962740969414</v>
      </c>
      <c r="AY24" s="105">
        <v>2587.8423043447478</v>
      </c>
      <c r="AZ24" s="105">
        <v>9.2385889084622423</v>
      </c>
      <c r="BA24" s="105">
        <v>2815.9218992992915</v>
      </c>
      <c r="BB24" s="105">
        <v>6.0181619088308205</v>
      </c>
      <c r="BC24" s="105">
        <v>1834.3357498116341</v>
      </c>
      <c r="BD24" s="105">
        <v>7.4256167962869259</v>
      </c>
      <c r="BE24" s="105">
        <v>2263.3279995082553</v>
      </c>
      <c r="BF24" s="105">
        <v>7.60795293011358</v>
      </c>
      <c r="BG24" s="105">
        <v>2318.9040530986194</v>
      </c>
      <c r="BH24" s="105">
        <v>9.2088853990742887</v>
      </c>
      <c r="BI24" s="105">
        <v>2806.8682696378432</v>
      </c>
      <c r="BJ24" s="105">
        <v>5.6220985729868751</v>
      </c>
      <c r="BK24" s="105">
        <v>1713.6156450463995</v>
      </c>
      <c r="BL24" s="105">
        <v>9.7709412094781634</v>
      </c>
      <c r="BM24" s="105">
        <v>2978.1828806489443</v>
      </c>
      <c r="BN24" s="105">
        <v>8.3772199810228258</v>
      </c>
      <c r="BO24" s="105">
        <v>2553.3766502157573</v>
      </c>
      <c r="BP24" s="105">
        <v>8.4311844160719396</v>
      </c>
      <c r="BQ24" s="105">
        <v>2569.8250100187274</v>
      </c>
      <c r="BR24" s="105">
        <v>6.3373741792933052</v>
      </c>
      <c r="BS24" s="105">
        <v>1931.6316498485994</v>
      </c>
      <c r="BT24" s="105">
        <v>9.1892643247634958</v>
      </c>
      <c r="BU24" s="105">
        <v>2800.8877661879137</v>
      </c>
      <c r="BV24" s="105">
        <v>9.1604540150294369</v>
      </c>
      <c r="BW24" s="105">
        <v>2792.1063837809725</v>
      </c>
      <c r="BX24" s="105">
        <v>7.9416865488463744</v>
      </c>
      <c r="BY24" s="105">
        <v>2420.6260600883752</v>
      </c>
      <c r="BZ24" s="105">
        <v>7.9876154317141035</v>
      </c>
      <c r="CA24" s="105">
        <v>2434.6251835864587</v>
      </c>
      <c r="CB24" s="105">
        <v>9.3031533346359687</v>
      </c>
      <c r="CC24" s="105">
        <v>2835.6011363970433</v>
      </c>
      <c r="CD24" s="105">
        <v>7.541348681063333</v>
      </c>
      <c r="CE24" s="105">
        <v>2298.6030779881039</v>
      </c>
      <c r="CF24" s="105">
        <v>7.703457036768973</v>
      </c>
      <c r="CG24" s="105">
        <v>2348.0137048071829</v>
      </c>
      <c r="CH24" s="105">
        <v>8.4682110157647745</v>
      </c>
      <c r="CI24" s="105">
        <v>2581.1107176051032</v>
      </c>
      <c r="CJ24" s="105">
        <v>8.179599648609079</v>
      </c>
      <c r="CK24" s="105">
        <v>2493.1419728960473</v>
      </c>
      <c r="CL24" s="105">
        <v>8.2827172584259383</v>
      </c>
      <c r="CM24" s="105">
        <v>2524.5722203682262</v>
      </c>
      <c r="CN24" s="105">
        <v>7.2325630170182116</v>
      </c>
      <c r="CO24" s="105">
        <v>2204.4852075871509</v>
      </c>
      <c r="CP24" s="105">
        <v>7.6336136480353005</v>
      </c>
      <c r="CQ24" s="105">
        <v>2326.7254399211597</v>
      </c>
      <c r="CR24" s="105">
        <v>7.8488804115477215</v>
      </c>
      <c r="CS24" s="105">
        <v>2392.3387494397457</v>
      </c>
      <c r="CT24" s="105">
        <v>9.2317628552080446</v>
      </c>
      <c r="CU24" s="105">
        <v>2813.8413182674121</v>
      </c>
    </row>
    <row r="25" spans="2:99" x14ac:dyDescent="0.2">
      <c r="C25" s="104" t="s">
        <v>191</v>
      </c>
      <c r="D25" s="105">
        <v>7</v>
      </c>
      <c r="E25" s="105">
        <v>2276.4</v>
      </c>
      <c r="F25" s="105">
        <v>9</v>
      </c>
      <c r="G25" s="105">
        <v>2926.7999999999997</v>
      </c>
      <c r="H25" s="105">
        <v>4</v>
      </c>
      <c r="I25" s="105">
        <v>1300.8</v>
      </c>
      <c r="J25" s="105">
        <v>9</v>
      </c>
      <c r="K25" s="105">
        <v>2926.7999999999997</v>
      </c>
      <c r="L25" s="105">
        <v>6.1478718268493306</v>
      </c>
      <c r="M25" s="105">
        <v>1999.2879180914022</v>
      </c>
      <c r="N25" s="105">
        <v>7.1360035306551852</v>
      </c>
      <c r="O25" s="105">
        <v>2320.6283481690662</v>
      </c>
      <c r="P25" s="105">
        <v>7.7436140008972636</v>
      </c>
      <c r="Q25" s="105">
        <v>2518.2232730917899</v>
      </c>
      <c r="R25" s="105">
        <v>8.9704667848301263</v>
      </c>
      <c r="S25" s="105">
        <v>2917.1957984267569</v>
      </c>
      <c r="T25" s="105">
        <v>7.7917596738152106</v>
      </c>
      <c r="U25" s="105">
        <v>2533.8802459247063</v>
      </c>
      <c r="V25" s="105">
        <v>8.4555379500079386</v>
      </c>
      <c r="W25" s="105">
        <v>2749.7409413425817</v>
      </c>
      <c r="X25" s="105">
        <v>8.7081115881750062</v>
      </c>
      <c r="Y25" s="105">
        <v>2831.877888474512</v>
      </c>
      <c r="Z25" s="105">
        <v>8.7548234928283009</v>
      </c>
      <c r="AA25" s="105">
        <v>2847.0685998677632</v>
      </c>
      <c r="AB25" s="105">
        <v>6.8912860692621427</v>
      </c>
      <c r="AC25" s="105">
        <v>2241.0462297240488</v>
      </c>
      <c r="AD25" s="105">
        <v>7.5022936426199438</v>
      </c>
      <c r="AE25" s="105">
        <v>2439.7458925800056</v>
      </c>
      <c r="AF25" s="105">
        <v>9.0145941799812572</v>
      </c>
      <c r="AG25" s="105">
        <v>2931.546027329905</v>
      </c>
      <c r="AH25" s="105">
        <v>9.4365310733048631</v>
      </c>
      <c r="AI25" s="105">
        <v>3068.7599050387412</v>
      </c>
      <c r="AJ25" s="105">
        <v>7.2331523046335029</v>
      </c>
      <c r="AK25" s="105">
        <v>2352.221129466815</v>
      </c>
      <c r="AL25" s="105">
        <v>9.1120483310431304</v>
      </c>
      <c r="AM25" s="105">
        <v>2963.2381172552259</v>
      </c>
      <c r="AN25" s="105">
        <v>6.5559166992348032</v>
      </c>
      <c r="AO25" s="105">
        <v>2131.9841105911578</v>
      </c>
      <c r="AP25" s="105">
        <v>7.8933310253771056</v>
      </c>
      <c r="AQ25" s="105">
        <v>2566.9112494526348</v>
      </c>
      <c r="AR25" s="105">
        <v>5.8569285735689709</v>
      </c>
      <c r="AS25" s="105">
        <v>1904.6731721246292</v>
      </c>
      <c r="AT25" s="105">
        <v>8.4638809439349689</v>
      </c>
      <c r="AU25" s="105">
        <v>2752.4540829676516</v>
      </c>
      <c r="AV25" s="105">
        <v>7.2059119585826981</v>
      </c>
      <c r="AW25" s="105">
        <v>2343.3625689310934</v>
      </c>
      <c r="AX25" s="105">
        <v>8.5273016812645217</v>
      </c>
      <c r="AY25" s="105">
        <v>2773.0785067472225</v>
      </c>
      <c r="AZ25" s="105">
        <v>8.1464645010637788</v>
      </c>
      <c r="BA25" s="105">
        <v>2649.2302557459407</v>
      </c>
      <c r="BB25" s="105">
        <v>6.761662096364419</v>
      </c>
      <c r="BC25" s="105">
        <v>2198.8925137377091</v>
      </c>
      <c r="BD25" s="105">
        <v>7.4256167962869259</v>
      </c>
      <c r="BE25" s="105">
        <v>2414.8105821525082</v>
      </c>
      <c r="BF25" s="105">
        <v>6.3652139161847225</v>
      </c>
      <c r="BG25" s="105">
        <v>2069.9675655432716</v>
      </c>
      <c r="BH25" s="105">
        <v>9.2088853990742887</v>
      </c>
      <c r="BI25" s="105">
        <v>2994.7295317789585</v>
      </c>
      <c r="BJ25" s="105">
        <v>6.324860894610234</v>
      </c>
      <c r="BK25" s="105">
        <v>2056.8447629272482</v>
      </c>
      <c r="BL25" s="105">
        <v>8.9537859984181196</v>
      </c>
      <c r="BM25" s="105">
        <v>2911.7712066855725</v>
      </c>
      <c r="BN25" s="105">
        <v>7.8650307108597701</v>
      </c>
      <c r="BO25" s="105">
        <v>2557.7079871715973</v>
      </c>
      <c r="BP25" s="105">
        <v>8.4025088504410252</v>
      </c>
      <c r="BQ25" s="105">
        <v>2732.4958781634214</v>
      </c>
      <c r="BR25" s="105">
        <v>6.3009527364998421</v>
      </c>
      <c r="BS25" s="105">
        <v>2049.0698299097485</v>
      </c>
      <c r="BT25" s="105">
        <v>8.5160162635911529</v>
      </c>
      <c r="BU25" s="105">
        <v>2769.408488919843</v>
      </c>
      <c r="BV25" s="105">
        <v>10.398620598291318</v>
      </c>
      <c r="BW25" s="105">
        <v>3381.6314185643364</v>
      </c>
      <c r="BX25" s="105">
        <v>8.548470684593843</v>
      </c>
      <c r="BY25" s="105">
        <v>2779.9626666299177</v>
      </c>
      <c r="BZ25" s="105">
        <v>8.6131150145065156</v>
      </c>
      <c r="CA25" s="105">
        <v>2800.9850027175189</v>
      </c>
      <c r="CB25" s="105">
        <v>9.2692069002143036</v>
      </c>
      <c r="CC25" s="105">
        <v>3014.3460839496915</v>
      </c>
      <c r="CD25" s="105">
        <v>8.2148328634805576</v>
      </c>
      <c r="CE25" s="105">
        <v>2671.4636472038774</v>
      </c>
      <c r="CF25" s="105">
        <v>7.6755300603160137</v>
      </c>
      <c r="CG25" s="105">
        <v>2496.0823756147674</v>
      </c>
      <c r="CH25" s="105">
        <v>9.8851989697991858</v>
      </c>
      <c r="CI25" s="105">
        <v>3214.6667049786952</v>
      </c>
      <c r="CJ25" s="105">
        <v>8.7249062918496829</v>
      </c>
      <c r="CK25" s="105">
        <v>2837.339526109517</v>
      </c>
      <c r="CL25" s="105">
        <v>6.6261738067407503</v>
      </c>
      <c r="CM25" s="105">
        <v>2154.8317219520918</v>
      </c>
      <c r="CN25" s="105">
        <v>7.8986980658198878</v>
      </c>
      <c r="CO25" s="105">
        <v>2568.6566110046274</v>
      </c>
      <c r="CP25" s="105">
        <v>7.6669479684146529</v>
      </c>
      <c r="CQ25" s="105">
        <v>2493.2914793284449</v>
      </c>
      <c r="CR25" s="105">
        <v>9.016616670881584</v>
      </c>
      <c r="CS25" s="105">
        <v>2932.2037413706912</v>
      </c>
      <c r="CT25" s="105">
        <v>8.0554711812231865</v>
      </c>
      <c r="CU25" s="105">
        <v>2619.6392281337803</v>
      </c>
    </row>
    <row r="26" spans="2:99" x14ac:dyDescent="0.2">
      <c r="C26" s="104" t="s">
        <v>192</v>
      </c>
      <c r="D26" s="105">
        <v>7</v>
      </c>
      <c r="E26" s="105">
        <v>2007.6000000000001</v>
      </c>
      <c r="F26" s="105">
        <v>9</v>
      </c>
      <c r="G26" s="105">
        <v>2581.2000000000003</v>
      </c>
      <c r="H26" s="105">
        <v>5</v>
      </c>
      <c r="I26" s="105">
        <v>1434</v>
      </c>
      <c r="J26" s="105">
        <v>7</v>
      </c>
      <c r="K26" s="105">
        <v>2007.6000000000001</v>
      </c>
      <c r="L26" s="105">
        <v>6.1478718268493306</v>
      </c>
      <c r="M26" s="105">
        <v>1763.2096399403881</v>
      </c>
      <c r="N26" s="105">
        <v>7.9288928118390949</v>
      </c>
      <c r="O26" s="105">
        <v>2274.0064584354527</v>
      </c>
      <c r="P26" s="105">
        <v>9.0287409371053613</v>
      </c>
      <c r="Q26" s="105">
        <v>2589.4429007618178</v>
      </c>
      <c r="R26" s="105">
        <v>9.0011672256114892</v>
      </c>
      <c r="S26" s="105">
        <v>2581.5347603053751</v>
      </c>
      <c r="T26" s="105">
        <v>8.4533247267308198</v>
      </c>
      <c r="U26" s="105">
        <v>2424.4135316263992</v>
      </c>
      <c r="V26" s="105">
        <v>8.4555379500079386</v>
      </c>
      <c r="W26" s="105">
        <v>2425.0482840622767</v>
      </c>
      <c r="X26" s="105">
        <v>8.7081115881750062</v>
      </c>
      <c r="Y26" s="105">
        <v>2497.4864034885918</v>
      </c>
      <c r="Z26" s="105">
        <v>8.7548234928283009</v>
      </c>
      <c r="AA26" s="105">
        <v>2510.8833777431569</v>
      </c>
      <c r="AB26" s="105">
        <v>6.9722744115920099</v>
      </c>
      <c r="AC26" s="105">
        <v>1999.6483012445885</v>
      </c>
      <c r="AD26" s="105">
        <v>6.7158864868112023</v>
      </c>
      <c r="AE26" s="105">
        <v>1926.1162444174529</v>
      </c>
      <c r="AF26" s="105">
        <v>9.0478840084478946</v>
      </c>
      <c r="AG26" s="105">
        <v>2594.9331336228561</v>
      </c>
      <c r="AH26" s="105">
        <v>9.3771014050658952</v>
      </c>
      <c r="AI26" s="105">
        <v>2689.3526829728989</v>
      </c>
      <c r="AJ26" s="105">
        <v>8.511353599003753</v>
      </c>
      <c r="AK26" s="105">
        <v>2441.0562121942767</v>
      </c>
      <c r="AL26" s="105">
        <v>8.5445001693501759</v>
      </c>
      <c r="AM26" s="105">
        <v>2450.5626485696307</v>
      </c>
      <c r="AN26" s="105">
        <v>7.3743479458118957</v>
      </c>
      <c r="AO26" s="105">
        <v>2114.9629908588518</v>
      </c>
      <c r="AP26" s="105">
        <v>7.2302924045386314</v>
      </c>
      <c r="AQ26" s="105">
        <v>2073.6478616216796</v>
      </c>
      <c r="AR26" s="105">
        <v>7.2536303650452671</v>
      </c>
      <c r="AS26" s="105">
        <v>2080.3411886949825</v>
      </c>
      <c r="AT26" s="105">
        <v>9.0615061154721666</v>
      </c>
      <c r="AU26" s="105">
        <v>2598.8399539174175</v>
      </c>
      <c r="AV26" s="105">
        <v>7.916279606292246</v>
      </c>
      <c r="AW26" s="105">
        <v>2270.3889910846165</v>
      </c>
      <c r="AX26" s="105">
        <v>8.4902962740969414</v>
      </c>
      <c r="AY26" s="105">
        <v>2435.0169714110029</v>
      </c>
      <c r="AZ26" s="105">
        <v>8.1185981872151931</v>
      </c>
      <c r="BA26" s="105">
        <v>2328.4139600933177</v>
      </c>
      <c r="BB26" s="105">
        <v>6.0883223173928558</v>
      </c>
      <c r="BC26" s="105">
        <v>1746.130840628271</v>
      </c>
      <c r="BD26" s="105">
        <v>6.7600441768696751</v>
      </c>
      <c r="BE26" s="105">
        <v>1938.7806699262228</v>
      </c>
      <c r="BF26" s="105">
        <v>6.3652139161847225</v>
      </c>
      <c r="BG26" s="105">
        <v>1825.5433511617784</v>
      </c>
      <c r="BH26" s="105">
        <v>9.8228110923459067</v>
      </c>
      <c r="BI26" s="105">
        <v>2817.182221284806</v>
      </c>
      <c r="BJ26" s="105">
        <v>6.324860894610234</v>
      </c>
      <c r="BK26" s="105">
        <v>1813.9701045742152</v>
      </c>
      <c r="BL26" s="105">
        <v>9.7709412094781634</v>
      </c>
      <c r="BM26" s="105">
        <v>2802.3059388783372</v>
      </c>
      <c r="BN26" s="105">
        <v>8.9428231687687276</v>
      </c>
      <c r="BO26" s="105">
        <v>2564.801684802871</v>
      </c>
      <c r="BP26" s="105">
        <v>8.9494334321579689</v>
      </c>
      <c r="BQ26" s="105">
        <v>2566.6975083429056</v>
      </c>
      <c r="BR26" s="105">
        <v>6.2645312937063808</v>
      </c>
      <c r="BS26" s="105">
        <v>1796.66757503499</v>
      </c>
      <c r="BT26" s="105">
        <v>9.1892643247634958</v>
      </c>
      <c r="BU26" s="105">
        <v>2635.4810083421708</v>
      </c>
      <c r="BV26" s="105">
        <v>9.7332915630169765</v>
      </c>
      <c r="BW26" s="105">
        <v>2791.5080202732688</v>
      </c>
      <c r="BX26" s="105">
        <v>7.9716991361134983</v>
      </c>
      <c r="BY26" s="105">
        <v>2286.2833122373513</v>
      </c>
      <c r="BZ26" s="105">
        <v>8.5843391855890641</v>
      </c>
      <c r="CA26" s="105">
        <v>2461.9884784269439</v>
      </c>
      <c r="CB26" s="105">
        <v>7.9110679382554316</v>
      </c>
      <c r="CC26" s="105">
        <v>2268.894284691658</v>
      </c>
      <c r="CD26" s="105">
        <v>8.2148328634805576</v>
      </c>
      <c r="CE26" s="105">
        <v>2356.0140652462242</v>
      </c>
      <c r="CF26" s="105">
        <v>8.2960306549819691</v>
      </c>
      <c r="CG26" s="105">
        <v>2379.301591848829</v>
      </c>
      <c r="CH26" s="105">
        <v>9.1429882843402872</v>
      </c>
      <c r="CI26" s="105">
        <v>2622.2090399487943</v>
      </c>
      <c r="CJ26" s="105">
        <v>8.179599648609079</v>
      </c>
      <c r="CK26" s="105">
        <v>2345.9091792210838</v>
      </c>
      <c r="CL26" s="105">
        <v>7.4544455325833452</v>
      </c>
      <c r="CM26" s="105">
        <v>2137.9349787449037</v>
      </c>
      <c r="CN26" s="105">
        <v>7.8986980658198878</v>
      </c>
      <c r="CO26" s="105">
        <v>2265.3466052771437</v>
      </c>
      <c r="CP26" s="105">
        <v>8.9669963325118687</v>
      </c>
      <c r="CQ26" s="105">
        <v>2571.7345481644043</v>
      </c>
      <c r="CR26" s="105">
        <v>7.8776131588674572</v>
      </c>
      <c r="CS26" s="105">
        <v>2259.2994539631868</v>
      </c>
      <c r="CT26" s="105">
        <v>8.5851062610268141</v>
      </c>
      <c r="CU26" s="105">
        <v>2462.2084756624904</v>
      </c>
    </row>
    <row r="27" spans="2:99" x14ac:dyDescent="0.2">
      <c r="C27" s="104" t="s">
        <v>193</v>
      </c>
      <c r="D27" s="105">
        <v>7</v>
      </c>
      <c r="E27" s="105">
        <v>2209.1999999999998</v>
      </c>
      <c r="F27" s="105">
        <v>9</v>
      </c>
      <c r="G27" s="105">
        <v>2840.3999999999996</v>
      </c>
      <c r="H27" s="105">
        <v>5</v>
      </c>
      <c r="I27" s="105">
        <v>1577.9999999999998</v>
      </c>
      <c r="J27" s="105">
        <v>8</v>
      </c>
      <c r="K27" s="105">
        <v>2524.7999999999997</v>
      </c>
      <c r="L27" s="105">
        <v>6.1478718268493306</v>
      </c>
      <c r="M27" s="105">
        <v>1940.2683485536486</v>
      </c>
      <c r="N27" s="105">
        <v>7.1360035306551852</v>
      </c>
      <c r="O27" s="105">
        <v>2252.1227142747762</v>
      </c>
      <c r="P27" s="105">
        <v>8.9957938223857159</v>
      </c>
      <c r="Q27" s="105">
        <v>2839.0725303449317</v>
      </c>
      <c r="R27" s="105">
        <v>9.0011672256114892</v>
      </c>
      <c r="S27" s="105">
        <v>2840.7683764029857</v>
      </c>
      <c r="T27" s="105">
        <v>8.5268315482720141</v>
      </c>
      <c r="U27" s="105">
        <v>2691.0680366346473</v>
      </c>
      <c r="V27" s="105">
        <v>8.4555379500079386</v>
      </c>
      <c r="W27" s="105">
        <v>2668.5677770225052</v>
      </c>
      <c r="X27" s="105">
        <v>8.0861036175910783</v>
      </c>
      <c r="Y27" s="105">
        <v>2551.9743017117439</v>
      </c>
      <c r="Z27" s="105">
        <v>8.7105515585462303</v>
      </c>
      <c r="AA27" s="105">
        <v>2749.05007187719</v>
      </c>
      <c r="AB27" s="105">
        <v>6.9317802404270754</v>
      </c>
      <c r="AC27" s="105">
        <v>2187.6698438787848</v>
      </c>
      <c r="AD27" s="105">
        <v>6.7158864868112023</v>
      </c>
      <c r="AE27" s="105">
        <v>2119.5337752376154</v>
      </c>
      <c r="AF27" s="105">
        <v>7.6456588291584833</v>
      </c>
      <c r="AG27" s="105">
        <v>2412.9699264824171</v>
      </c>
      <c r="AH27" s="105">
        <v>9.4365310733048631</v>
      </c>
      <c r="AI27" s="105">
        <v>2978.1692067350145</v>
      </c>
      <c r="AJ27" s="105">
        <v>8.5367342472033965</v>
      </c>
      <c r="AK27" s="105">
        <v>2694.1933284173915</v>
      </c>
      <c r="AL27" s="105">
        <v>8.5445001693501759</v>
      </c>
      <c r="AM27" s="105">
        <v>2696.6442534469152</v>
      </c>
      <c r="AN27" s="105">
        <v>8.1927791923889881</v>
      </c>
      <c r="AO27" s="105">
        <v>2585.6411131179643</v>
      </c>
      <c r="AP27" s="105">
        <v>8.5248034338732861</v>
      </c>
      <c r="AQ27" s="105">
        <v>2690.4279637304089</v>
      </c>
      <c r="AR27" s="105">
        <v>5.8231633976109975</v>
      </c>
      <c r="AS27" s="105">
        <v>1837.7903682860306</v>
      </c>
      <c r="AT27" s="105">
        <v>8.4307430237942338</v>
      </c>
      <c r="AU27" s="105">
        <v>2660.7424983094597</v>
      </c>
      <c r="AV27" s="105">
        <v>7.1689754527101179</v>
      </c>
      <c r="AW27" s="105">
        <v>2262.5286528753131</v>
      </c>
      <c r="AX27" s="105">
        <v>7.7453641816645504</v>
      </c>
      <c r="AY27" s="105">
        <v>2444.4369357333317</v>
      </c>
      <c r="AZ27" s="105">
        <v>8.6785935478387159</v>
      </c>
      <c r="BA27" s="105">
        <v>2738.9641236978982</v>
      </c>
      <c r="BB27" s="105">
        <v>6.0883223173928558</v>
      </c>
      <c r="BC27" s="105">
        <v>1921.4745233691851</v>
      </c>
      <c r="BD27" s="105">
        <v>7.4256167962869259</v>
      </c>
      <c r="BE27" s="105">
        <v>2343.5246609081537</v>
      </c>
      <c r="BF27" s="105">
        <v>6.971431538495108</v>
      </c>
      <c r="BG27" s="105">
        <v>2200.1837935490557</v>
      </c>
      <c r="BH27" s="105">
        <v>8.5949597058026672</v>
      </c>
      <c r="BI27" s="105">
        <v>2712.5692831513215</v>
      </c>
      <c r="BJ27" s="105">
        <v>5.6220985729868751</v>
      </c>
      <c r="BK27" s="105">
        <v>1774.3343096346575</v>
      </c>
      <c r="BL27" s="105">
        <v>10.446083664821138</v>
      </c>
      <c r="BM27" s="105">
        <v>3296.7840046175511</v>
      </c>
      <c r="BN27" s="105">
        <v>8.9161162099773037</v>
      </c>
      <c r="BO27" s="105">
        <v>2813.9262758688369</v>
      </c>
      <c r="BP27" s="105">
        <v>8.9494334321579689</v>
      </c>
      <c r="BQ27" s="105">
        <v>2824.4411911890547</v>
      </c>
      <c r="BR27" s="105">
        <v>6.2645312937063808</v>
      </c>
      <c r="BS27" s="105">
        <v>1977.0860762937336</v>
      </c>
      <c r="BT27" s="105">
        <v>8.4823978382432266</v>
      </c>
      <c r="BU27" s="105">
        <v>2677.044757749562</v>
      </c>
      <c r="BV27" s="105">
        <v>10.398620598291318</v>
      </c>
      <c r="BW27" s="105">
        <v>3281.8046608207396</v>
      </c>
      <c r="BX27" s="105">
        <v>8.6084958591280927</v>
      </c>
      <c r="BY27" s="105">
        <v>2716.8412931408257</v>
      </c>
      <c r="BZ27" s="105">
        <v>8.6131150145065156</v>
      </c>
      <c r="CA27" s="105">
        <v>2718.2990985782562</v>
      </c>
      <c r="CB27" s="105">
        <v>8.5561909848132025</v>
      </c>
      <c r="CC27" s="105">
        <v>2700.3338748070464</v>
      </c>
      <c r="CD27" s="105">
        <v>8.2498983789975622</v>
      </c>
      <c r="CE27" s="105">
        <v>2603.6679284116303</v>
      </c>
      <c r="CF27" s="105">
        <v>8.2401767020760559</v>
      </c>
      <c r="CG27" s="105">
        <v>2600.5997671752029</v>
      </c>
      <c r="CH27" s="105">
        <v>8.4682110157647745</v>
      </c>
      <c r="CI27" s="105">
        <v>2672.5673965753626</v>
      </c>
      <c r="CJ27" s="105">
        <v>9.2702129350902887</v>
      </c>
      <c r="CK27" s="105">
        <v>2925.6792023144949</v>
      </c>
      <c r="CL27" s="105">
        <v>7.4544455325833452</v>
      </c>
      <c r="CM27" s="105">
        <v>2352.6230100833036</v>
      </c>
      <c r="CN27" s="105">
        <v>7.2325630170182116</v>
      </c>
      <c r="CO27" s="105">
        <v>2282.5968881709473</v>
      </c>
      <c r="CP27" s="105">
        <v>9.0003306528912219</v>
      </c>
      <c r="CQ27" s="105">
        <v>2840.5043540524694</v>
      </c>
      <c r="CR27" s="105">
        <v>8.4327485412146537</v>
      </c>
      <c r="CS27" s="105">
        <v>2661.3754396073446</v>
      </c>
      <c r="CT27" s="105">
        <v>8.5851062610268141</v>
      </c>
      <c r="CU27" s="105">
        <v>2709.4595359800624</v>
      </c>
    </row>
    <row r="28" spans="2:99" x14ac:dyDescent="0.2">
      <c r="C28" s="104" t="s">
        <v>194</v>
      </c>
      <c r="D28" s="105">
        <v>6</v>
      </c>
      <c r="E28" s="105">
        <v>3441.6000000000004</v>
      </c>
      <c r="F28" s="105">
        <v>0.64203750511284841</v>
      </c>
      <c r="G28" s="105">
        <v>368.27271293272986</v>
      </c>
      <c r="H28" s="105">
        <v>0</v>
      </c>
      <c r="I28" s="105">
        <v>0</v>
      </c>
      <c r="J28" s="105">
        <v>0</v>
      </c>
      <c r="K28" s="105">
        <v>0</v>
      </c>
      <c r="L28" s="105">
        <v>0</v>
      </c>
      <c r="M28" s="105">
        <v>0</v>
      </c>
      <c r="N28" s="105">
        <v>4.8062256042763636</v>
      </c>
      <c r="O28" s="105">
        <v>2756.8510066129224</v>
      </c>
      <c r="P28" s="105">
        <v>7.2346310821079953</v>
      </c>
      <c r="Q28" s="105">
        <v>4149.7843886971459</v>
      </c>
      <c r="R28" s="105">
        <v>7.7828403895564504</v>
      </c>
      <c r="S28" s="105">
        <v>4464.2372474495805</v>
      </c>
      <c r="T28" s="105">
        <v>7.647302104949433</v>
      </c>
      <c r="U28" s="105">
        <v>4386.4924873989949</v>
      </c>
      <c r="V28" s="105">
        <v>7.7533606644765403</v>
      </c>
      <c r="W28" s="105">
        <v>4447.327677143744</v>
      </c>
      <c r="X28" s="105">
        <v>10.846816330443884</v>
      </c>
      <c r="Y28" s="105">
        <v>6221.7338471426119</v>
      </c>
      <c r="Z28" s="105">
        <v>6.0920864077546772</v>
      </c>
      <c r="AA28" s="105">
        <v>3494.4207634880831</v>
      </c>
      <c r="AB28" s="105">
        <v>6.2948962464200617</v>
      </c>
      <c r="AC28" s="105">
        <v>3610.7524869465474</v>
      </c>
      <c r="AD28" s="105">
        <v>6.4474096913803995</v>
      </c>
      <c r="AE28" s="105">
        <v>3698.2341989757974</v>
      </c>
      <c r="AF28" s="105">
        <v>7.9398019166857852</v>
      </c>
      <c r="AG28" s="105">
        <v>4554.2703794109666</v>
      </c>
      <c r="AH28" s="105">
        <v>7.5628111626519914</v>
      </c>
      <c r="AI28" s="105">
        <v>4338.0284828971826</v>
      </c>
      <c r="AJ28" s="105">
        <v>5.7729482009582727</v>
      </c>
      <c r="AK28" s="105">
        <v>3311.3630880696655</v>
      </c>
      <c r="AL28" s="105">
        <v>6.6165435354897362</v>
      </c>
      <c r="AM28" s="105">
        <v>3795.2493719569129</v>
      </c>
      <c r="AN28" s="105">
        <v>5.23415115276973</v>
      </c>
      <c r="AO28" s="105">
        <v>3002.3091012287173</v>
      </c>
      <c r="AP28" s="105">
        <v>7.0816734191857655</v>
      </c>
      <c r="AQ28" s="105">
        <v>4062.0478732449551</v>
      </c>
      <c r="AR28" s="105">
        <v>4.7627010723934591</v>
      </c>
      <c r="AS28" s="105">
        <v>2731.8853351248881</v>
      </c>
      <c r="AT28" s="105">
        <v>9.0160505541329492</v>
      </c>
      <c r="AU28" s="105">
        <v>5171.6065978506595</v>
      </c>
      <c r="AV28" s="105">
        <v>6.8922328494684759</v>
      </c>
      <c r="AW28" s="105">
        <v>3953.3847624551181</v>
      </c>
      <c r="AX28" s="105">
        <v>6.6415862344847438</v>
      </c>
      <c r="AY28" s="105">
        <v>3809.6138641004491</v>
      </c>
      <c r="AZ28" s="105">
        <v>11.883238959368647</v>
      </c>
      <c r="BA28" s="105">
        <v>6816.2258670938563</v>
      </c>
      <c r="BB28" s="105">
        <v>7.8135393685709893</v>
      </c>
      <c r="BC28" s="105">
        <v>4481.8461818123196</v>
      </c>
      <c r="BD28" s="105">
        <v>9.4084723112593096</v>
      </c>
      <c r="BE28" s="105">
        <v>5396.69971773834</v>
      </c>
      <c r="BF28" s="105">
        <v>7.4685865358936718</v>
      </c>
      <c r="BG28" s="105">
        <v>4283.9812369886104</v>
      </c>
      <c r="BH28" s="105">
        <v>7.6523891428210229</v>
      </c>
      <c r="BI28" s="105">
        <v>4389.4104123221387</v>
      </c>
      <c r="BJ28" s="105">
        <v>5.9931224834474204</v>
      </c>
      <c r="BK28" s="105">
        <v>3437.6550565054404</v>
      </c>
      <c r="BL28" s="105">
        <v>6.6534869938316605</v>
      </c>
      <c r="BM28" s="105">
        <v>3816.4401396618405</v>
      </c>
      <c r="BN28" s="105">
        <v>7.2943114100776816</v>
      </c>
      <c r="BO28" s="105">
        <v>4184.0170248205586</v>
      </c>
      <c r="BP28" s="105">
        <v>7.69839147744384</v>
      </c>
      <c r="BQ28" s="105">
        <v>4415.797351461787</v>
      </c>
      <c r="BR28" s="105">
        <v>4.3001127449409253</v>
      </c>
      <c r="BS28" s="105">
        <v>2466.544670498115</v>
      </c>
      <c r="BT28" s="105">
        <v>5.7779958480935454</v>
      </c>
      <c r="BU28" s="105">
        <v>3314.2584184664579</v>
      </c>
      <c r="BV28" s="105">
        <v>8.6141703707460522</v>
      </c>
      <c r="BW28" s="105">
        <v>4941.0881246599356</v>
      </c>
      <c r="BX28" s="105">
        <v>7.3270935679307243</v>
      </c>
      <c r="BY28" s="105">
        <v>4202.8208705650641</v>
      </c>
      <c r="BZ28" s="105">
        <v>7.3988290745286491</v>
      </c>
      <c r="CA28" s="105">
        <v>4243.9683571496334</v>
      </c>
      <c r="CB28" s="105">
        <v>7.1281359878418513</v>
      </c>
      <c r="CC28" s="105">
        <v>4088.698802626086</v>
      </c>
      <c r="CD28" s="105">
        <v>6.623309840425911</v>
      </c>
      <c r="CE28" s="105">
        <v>3799.1305244683026</v>
      </c>
      <c r="CF28" s="105">
        <v>8.9068855285438762</v>
      </c>
      <c r="CG28" s="105">
        <v>5108.9895391727678</v>
      </c>
      <c r="CH28" s="105">
        <v>10.333266144668489</v>
      </c>
      <c r="CI28" s="105">
        <v>5927.1614605818459</v>
      </c>
      <c r="CJ28" s="105">
        <v>7.7662233568420813</v>
      </c>
      <c r="CK28" s="105">
        <v>4454.7057174846177</v>
      </c>
      <c r="CL28" s="105">
        <v>5.6715055231455578</v>
      </c>
      <c r="CM28" s="105">
        <v>3253.1755680762922</v>
      </c>
      <c r="CN28" s="105">
        <v>6.1291133691273458</v>
      </c>
      <c r="CO28" s="105">
        <v>3515.6594285314459</v>
      </c>
      <c r="CP28" s="105">
        <v>6.7037735432533179</v>
      </c>
      <c r="CQ28" s="105">
        <v>3845.2845044101032</v>
      </c>
      <c r="CR28" s="105">
        <v>9.1824917546646656</v>
      </c>
      <c r="CS28" s="105">
        <v>5267.0772704756528</v>
      </c>
      <c r="CT28" s="105">
        <v>6.5406642293756416</v>
      </c>
      <c r="CU28" s="105">
        <v>3751.7250019698681</v>
      </c>
    </row>
    <row r="29" spans="2:99" x14ac:dyDescent="0.2">
      <c r="C29" s="104" t="s">
        <v>195</v>
      </c>
      <c r="D29" s="105">
        <v>6</v>
      </c>
      <c r="E29" s="105">
        <v>1411.1999999999998</v>
      </c>
      <c r="F29" s="105">
        <v>9</v>
      </c>
      <c r="G29" s="105">
        <v>2116.7999999999997</v>
      </c>
      <c r="H29" s="105">
        <v>4</v>
      </c>
      <c r="I29" s="105">
        <v>940.8</v>
      </c>
      <c r="J29" s="105">
        <v>7</v>
      </c>
      <c r="K29" s="105">
        <v>1646.3999999999999</v>
      </c>
      <c r="L29" s="105">
        <v>6.9163558052054972</v>
      </c>
      <c r="M29" s="105">
        <v>1626.7268853843329</v>
      </c>
      <c r="N29" s="105">
        <v>7.1360035306551852</v>
      </c>
      <c r="O29" s="105">
        <v>1678.3880304100994</v>
      </c>
      <c r="P29" s="105">
        <v>7.6777197714579728</v>
      </c>
      <c r="Q29" s="105">
        <v>1805.7996902469151</v>
      </c>
      <c r="R29" s="105">
        <v>8.9704667848301263</v>
      </c>
      <c r="S29" s="105">
        <v>2109.8537877920458</v>
      </c>
      <c r="T29" s="105">
        <v>8.4900781375014187</v>
      </c>
      <c r="U29" s="105">
        <v>1996.8663779403337</v>
      </c>
      <c r="V29" s="105">
        <v>7.5160337333403895</v>
      </c>
      <c r="W29" s="105">
        <v>1767.7711340816595</v>
      </c>
      <c r="X29" s="105">
        <v>8.7081115881750062</v>
      </c>
      <c r="Y29" s="105">
        <v>2048.1478455387614</v>
      </c>
      <c r="Z29" s="105">
        <v>7.8410945726679193</v>
      </c>
      <c r="AA29" s="105">
        <v>1844.2254434914946</v>
      </c>
      <c r="AB29" s="105">
        <v>6.9317802404270754</v>
      </c>
      <c r="AC29" s="105">
        <v>1630.3547125484481</v>
      </c>
      <c r="AD29" s="105">
        <v>6.7544891450240456</v>
      </c>
      <c r="AE29" s="105">
        <v>1588.6558469096556</v>
      </c>
      <c r="AF29" s="105">
        <v>8.3467714188031881</v>
      </c>
      <c r="AG29" s="105">
        <v>1963.1606377025098</v>
      </c>
      <c r="AH29" s="105">
        <v>8.7737521897491231</v>
      </c>
      <c r="AI29" s="105">
        <v>2063.5865150289937</v>
      </c>
      <c r="AJ29" s="105">
        <v>7.8722529518186279</v>
      </c>
      <c r="AK29" s="105">
        <v>1851.5538942677413</v>
      </c>
      <c r="AL29" s="105">
        <v>8.5445001693501759</v>
      </c>
      <c r="AM29" s="105">
        <v>2009.6664398311614</v>
      </c>
      <c r="AN29" s="105">
        <v>7.3743479458118957</v>
      </c>
      <c r="AO29" s="105">
        <v>1734.4466368549579</v>
      </c>
      <c r="AP29" s="105">
        <v>7.8933310253771056</v>
      </c>
      <c r="AQ29" s="105">
        <v>1856.5114571686952</v>
      </c>
      <c r="AR29" s="105">
        <v>5.8569285735689709</v>
      </c>
      <c r="AS29" s="105">
        <v>1377.549600503422</v>
      </c>
      <c r="AT29" s="105">
        <v>9.7585450474315625</v>
      </c>
      <c r="AU29" s="105">
        <v>2295.2097951559035</v>
      </c>
      <c r="AV29" s="105">
        <v>7.1320389468375369</v>
      </c>
      <c r="AW29" s="105">
        <v>1677.4555602961887</v>
      </c>
      <c r="AX29" s="105">
        <v>8.5273016812645217</v>
      </c>
      <c r="AY29" s="105">
        <v>2005.6213554334154</v>
      </c>
      <c r="AZ29" s="105">
        <v>8.1464645010637788</v>
      </c>
      <c r="BA29" s="105">
        <v>1916.0484506502007</v>
      </c>
      <c r="BB29" s="105">
        <v>6.7967423006454366</v>
      </c>
      <c r="BC29" s="105">
        <v>1598.5937891118067</v>
      </c>
      <c r="BD29" s="105">
        <v>7.4606118236557624</v>
      </c>
      <c r="BE29" s="105">
        <v>1754.7359009238353</v>
      </c>
      <c r="BF29" s="105">
        <v>7.5776491608054934</v>
      </c>
      <c r="BG29" s="105">
        <v>1782.263082621452</v>
      </c>
      <c r="BH29" s="105">
        <v>9.2088853990742887</v>
      </c>
      <c r="BI29" s="105">
        <v>2165.9298458622725</v>
      </c>
      <c r="BJ29" s="105">
        <v>5.6220985729868751</v>
      </c>
      <c r="BK29" s="105">
        <v>1322.3175843665128</v>
      </c>
      <c r="BL29" s="105">
        <v>9.699934831619629</v>
      </c>
      <c r="BM29" s="105">
        <v>2281.4246723969368</v>
      </c>
      <c r="BN29" s="105">
        <v>7.8650307108597701</v>
      </c>
      <c r="BO29" s="105">
        <v>1849.8552231942178</v>
      </c>
      <c r="BP29" s="105">
        <v>8.3738332848101091</v>
      </c>
      <c r="BQ29" s="105">
        <v>1969.5255885873376</v>
      </c>
      <c r="BR29" s="105">
        <v>6.3373741792933052</v>
      </c>
      <c r="BS29" s="105">
        <v>1490.5504069697854</v>
      </c>
      <c r="BT29" s="105">
        <v>9.8625123859358386</v>
      </c>
      <c r="BU29" s="105">
        <v>2319.6629131721093</v>
      </c>
      <c r="BV29" s="105">
        <v>9.1296235192671702</v>
      </c>
      <c r="BW29" s="105">
        <v>2147.2874517316382</v>
      </c>
      <c r="BX29" s="105">
        <v>7.9716991361134983</v>
      </c>
      <c r="BY29" s="105">
        <v>1874.9436368138947</v>
      </c>
      <c r="BZ29" s="105">
        <v>9.777786693338987</v>
      </c>
      <c r="CA29" s="105">
        <v>2299.7354302733297</v>
      </c>
      <c r="CB29" s="105">
        <v>9.3031533346359687</v>
      </c>
      <c r="CC29" s="105">
        <v>2188.1016643063799</v>
      </c>
      <c r="CD29" s="105">
        <v>7.541348681063333</v>
      </c>
      <c r="CE29" s="105">
        <v>1773.7252097860958</v>
      </c>
      <c r="CF29" s="105">
        <v>8.8327503202890529</v>
      </c>
      <c r="CG29" s="105">
        <v>2077.4628753319853</v>
      </c>
      <c r="CH29" s="105">
        <v>9.1767049927819802</v>
      </c>
      <c r="CI29" s="105">
        <v>2158.3610143023216</v>
      </c>
      <c r="CJ29" s="105">
        <v>8.7249062918496829</v>
      </c>
      <c r="CK29" s="105">
        <v>2052.0979598430454</v>
      </c>
      <c r="CL29" s="105">
        <v>7.4544455325833452</v>
      </c>
      <c r="CM29" s="105">
        <v>1753.2855892636028</v>
      </c>
      <c r="CN29" s="105">
        <v>7.8670572258864819</v>
      </c>
      <c r="CO29" s="105">
        <v>1850.3318595285004</v>
      </c>
      <c r="CP29" s="105">
        <v>8.9669963325118687</v>
      </c>
      <c r="CQ29" s="105">
        <v>2109.0375374067912</v>
      </c>
      <c r="CR29" s="105">
        <v>8.4040157938949154</v>
      </c>
      <c r="CS29" s="105">
        <v>1976.6245147240841</v>
      </c>
      <c r="CT29" s="105">
        <v>8.6143616396212153</v>
      </c>
      <c r="CU29" s="105">
        <v>2026.0978576389098</v>
      </c>
    </row>
    <row r="30" spans="2:99" x14ac:dyDescent="0.2">
      <c r="C30" s="104" t="s">
        <v>196</v>
      </c>
      <c r="D30" s="105">
        <v>6</v>
      </c>
      <c r="E30" s="105">
        <v>1389.6</v>
      </c>
      <c r="F30" s="105">
        <v>9</v>
      </c>
      <c r="G30" s="105">
        <v>2084.4</v>
      </c>
      <c r="H30" s="105">
        <v>5</v>
      </c>
      <c r="I30" s="105">
        <v>1158</v>
      </c>
      <c r="J30" s="105">
        <v>8</v>
      </c>
      <c r="K30" s="105">
        <v>1852.8</v>
      </c>
      <c r="L30" s="105">
        <v>6.1478718268493306</v>
      </c>
      <c r="M30" s="105">
        <v>1423.847115098305</v>
      </c>
      <c r="N30" s="105">
        <v>7.1360035306551852</v>
      </c>
      <c r="O30" s="105">
        <v>1652.698417699741</v>
      </c>
      <c r="P30" s="105">
        <v>7.7436140008972636</v>
      </c>
      <c r="Q30" s="105">
        <v>1793.4210026078063</v>
      </c>
      <c r="R30" s="105">
        <v>8.3560338208691416</v>
      </c>
      <c r="S30" s="105">
        <v>1935.2574329132931</v>
      </c>
      <c r="T30" s="105">
        <v>7.7550062630446153</v>
      </c>
      <c r="U30" s="105">
        <v>1796.0594505211329</v>
      </c>
      <c r="V30" s="105">
        <v>7.5160337333403895</v>
      </c>
      <c r="W30" s="105">
        <v>1740.7134126416342</v>
      </c>
      <c r="X30" s="105">
        <v>8.7081115881750062</v>
      </c>
      <c r="Y30" s="105">
        <v>2016.7986438213313</v>
      </c>
      <c r="Z30" s="105">
        <v>7.8853665069499916</v>
      </c>
      <c r="AA30" s="105">
        <v>1826.2508830096181</v>
      </c>
      <c r="AB30" s="105">
        <v>6.8912860692621427</v>
      </c>
      <c r="AC30" s="105">
        <v>1596.0218536411121</v>
      </c>
      <c r="AD30" s="105">
        <v>6.7544891450240456</v>
      </c>
      <c r="AE30" s="105">
        <v>1564.3396859875688</v>
      </c>
      <c r="AF30" s="105">
        <v>8.3134815903365524</v>
      </c>
      <c r="AG30" s="105">
        <v>1925.4023363219455</v>
      </c>
      <c r="AH30" s="105">
        <v>9.3771014050658952</v>
      </c>
      <c r="AI30" s="105">
        <v>2171.7366854132611</v>
      </c>
      <c r="AJ30" s="105">
        <v>8.5367342472033965</v>
      </c>
      <c r="AK30" s="105">
        <v>1977.1076516523067</v>
      </c>
      <c r="AL30" s="105">
        <v>7.9497326483095474</v>
      </c>
      <c r="AM30" s="105">
        <v>1841.1580813484911</v>
      </c>
      <c r="AN30" s="105">
        <v>8.1927791923889881</v>
      </c>
      <c r="AO30" s="105">
        <v>1897.4476609572896</v>
      </c>
      <c r="AP30" s="105">
        <v>7.8617648130348119</v>
      </c>
      <c r="AQ30" s="105">
        <v>1820.7847306988624</v>
      </c>
      <c r="AR30" s="105">
        <v>7.1861000131293222</v>
      </c>
      <c r="AS30" s="105">
        <v>1664.300763040751</v>
      </c>
      <c r="AT30" s="105">
        <v>8.4307430237942338</v>
      </c>
      <c r="AU30" s="105">
        <v>1952.5600843107445</v>
      </c>
      <c r="AV30" s="105">
        <v>7.916279606292246</v>
      </c>
      <c r="AW30" s="105">
        <v>1833.4103568172841</v>
      </c>
      <c r="AX30" s="105">
        <v>8.5273016812645217</v>
      </c>
      <c r="AY30" s="105">
        <v>1974.9230693808631</v>
      </c>
      <c r="AZ30" s="105">
        <v>9.7985842690857652</v>
      </c>
      <c r="BA30" s="105">
        <v>2269.352116720263</v>
      </c>
      <c r="BB30" s="105">
        <v>6.761662096364419</v>
      </c>
      <c r="BC30" s="105">
        <v>1566.0009415179993</v>
      </c>
      <c r="BD30" s="105">
        <v>6.7600441768696751</v>
      </c>
      <c r="BE30" s="105">
        <v>1565.6262313630168</v>
      </c>
      <c r="BF30" s="105">
        <v>6.971431538495108</v>
      </c>
      <c r="BG30" s="105">
        <v>1614.583544315467</v>
      </c>
      <c r="BH30" s="105">
        <v>9.8228110923459067</v>
      </c>
      <c r="BI30" s="105">
        <v>2274.963048987312</v>
      </c>
      <c r="BJ30" s="105">
        <v>5.6220985729868751</v>
      </c>
      <c r="BK30" s="105">
        <v>1302.0780295037603</v>
      </c>
      <c r="BL30" s="105">
        <v>9.7354380205488962</v>
      </c>
      <c r="BM30" s="105">
        <v>2254.7274455591241</v>
      </c>
      <c r="BN30" s="105">
        <v>7.3528414406967144</v>
      </c>
      <c r="BO30" s="105">
        <v>1702.9180776653591</v>
      </c>
      <c r="BP30" s="105">
        <v>8.978108997788885</v>
      </c>
      <c r="BQ30" s="105">
        <v>2079.3300438879055</v>
      </c>
      <c r="BR30" s="105">
        <v>6.9929655412294842</v>
      </c>
      <c r="BS30" s="105">
        <v>1619.5708193487485</v>
      </c>
      <c r="BT30" s="105">
        <v>8.4823978382432266</v>
      </c>
      <c r="BU30" s="105">
        <v>1964.5233393371311</v>
      </c>
      <c r="BV30" s="105">
        <v>9.7949525545415117</v>
      </c>
      <c r="BW30" s="105">
        <v>2268.5110116318142</v>
      </c>
      <c r="BX30" s="105">
        <v>7.3349024130989031</v>
      </c>
      <c r="BY30" s="105">
        <v>1698.7633988737059</v>
      </c>
      <c r="BZ30" s="105">
        <v>7.9876154317141035</v>
      </c>
      <c r="CA30" s="105">
        <v>1849.9317339849863</v>
      </c>
      <c r="CB30" s="105">
        <v>8.6240838536565327</v>
      </c>
      <c r="CC30" s="105">
        <v>1997.3378205068529</v>
      </c>
      <c r="CD30" s="105">
        <v>7.5062831655463294</v>
      </c>
      <c r="CE30" s="105">
        <v>1738.4551811405299</v>
      </c>
      <c r="CF30" s="105">
        <v>8.8048233438360946</v>
      </c>
      <c r="CG30" s="105">
        <v>2039.1970864324394</v>
      </c>
      <c r="CH30" s="105">
        <v>8.5019277242064657</v>
      </c>
      <c r="CI30" s="105">
        <v>1969.0464609262174</v>
      </c>
      <c r="CJ30" s="105">
        <v>7.6342930053684732</v>
      </c>
      <c r="CK30" s="105">
        <v>1768.1022600433384</v>
      </c>
      <c r="CL30" s="105">
        <v>7.4544455325833452</v>
      </c>
      <c r="CM30" s="105">
        <v>1726.4495853463027</v>
      </c>
      <c r="CN30" s="105">
        <v>8.5015514347547505</v>
      </c>
      <c r="CO30" s="105">
        <v>1968.9593122892002</v>
      </c>
      <c r="CP30" s="105">
        <v>8.9669963325118687</v>
      </c>
      <c r="CQ30" s="105">
        <v>2076.7563506097486</v>
      </c>
      <c r="CR30" s="105">
        <v>8.4327485412146537</v>
      </c>
      <c r="CS30" s="105">
        <v>1953.0245621453137</v>
      </c>
      <c r="CT30" s="105">
        <v>9.7613979350116722</v>
      </c>
      <c r="CU30" s="105">
        <v>2260.7397617487031</v>
      </c>
    </row>
    <row r="31" spans="2:99" x14ac:dyDescent="0.2">
      <c r="C31" s="104" t="s">
        <v>197</v>
      </c>
      <c r="D31" s="105">
        <v>7</v>
      </c>
      <c r="E31" s="105">
        <v>1243.2</v>
      </c>
      <c r="F31" s="105">
        <v>8</v>
      </c>
      <c r="G31" s="105">
        <v>1420.8</v>
      </c>
      <c r="H31" s="105">
        <v>5</v>
      </c>
      <c r="I31" s="105">
        <v>888</v>
      </c>
      <c r="J31" s="105">
        <v>8</v>
      </c>
      <c r="K31" s="105">
        <v>1420.8</v>
      </c>
      <c r="L31" s="105">
        <v>6.1478718268493306</v>
      </c>
      <c r="M31" s="105">
        <v>1091.8620364484411</v>
      </c>
      <c r="N31" s="105">
        <v>8.7217820930230054</v>
      </c>
      <c r="O31" s="105">
        <v>1548.9884997208858</v>
      </c>
      <c r="P31" s="105">
        <v>7.7436140008972636</v>
      </c>
      <c r="Q31" s="105">
        <v>1375.265846559354</v>
      </c>
      <c r="R31" s="105">
        <v>8.3867342616505045</v>
      </c>
      <c r="S31" s="105">
        <v>1489.4840048691296</v>
      </c>
      <c r="T31" s="105">
        <v>8.4533247267308198</v>
      </c>
      <c r="U31" s="105">
        <v>1501.3104714673937</v>
      </c>
      <c r="V31" s="105">
        <v>8.4555379500079386</v>
      </c>
      <c r="W31" s="105">
        <v>1501.7035399214099</v>
      </c>
      <c r="X31" s="105">
        <v>8.7081115881750062</v>
      </c>
      <c r="Y31" s="105">
        <v>1546.5606180598811</v>
      </c>
      <c r="Z31" s="105">
        <v>8.7548234928283009</v>
      </c>
      <c r="AA31" s="105">
        <v>1554.8566523263062</v>
      </c>
      <c r="AB31" s="105">
        <v>7.7830674562936109</v>
      </c>
      <c r="AC31" s="105">
        <v>1382.2727802377453</v>
      </c>
      <c r="AD31" s="105">
        <v>7.5022936426199438</v>
      </c>
      <c r="AE31" s="105">
        <v>1332.4073509293021</v>
      </c>
      <c r="AF31" s="105">
        <v>8.9813043515146234</v>
      </c>
      <c r="AG31" s="105">
        <v>1595.079652828997</v>
      </c>
      <c r="AH31" s="105">
        <v>9.4068162391853782</v>
      </c>
      <c r="AI31" s="105">
        <v>1670.6505640793232</v>
      </c>
      <c r="AJ31" s="105">
        <v>7.2585329528331455</v>
      </c>
      <c r="AK31" s="105">
        <v>1289.1154524231665</v>
      </c>
      <c r="AL31" s="105">
        <v>7.9497326483095474</v>
      </c>
      <c r="AM31" s="105">
        <v>1411.8725183397755</v>
      </c>
      <c r="AN31" s="105">
        <v>8.2754689897085054</v>
      </c>
      <c r="AO31" s="105">
        <v>1469.7232925722305</v>
      </c>
      <c r="AP31" s="105">
        <v>8.4932372215309915</v>
      </c>
      <c r="AQ31" s="105">
        <v>1508.398930543904</v>
      </c>
      <c r="AR31" s="105">
        <v>7.2198651890872956</v>
      </c>
      <c r="AS31" s="105">
        <v>1282.2480575819036</v>
      </c>
      <c r="AT31" s="105">
        <v>9.7916829675722976</v>
      </c>
      <c r="AU31" s="105">
        <v>1739.00289504084</v>
      </c>
      <c r="AV31" s="105">
        <v>7.879343100419665</v>
      </c>
      <c r="AW31" s="105">
        <v>1399.3713346345326</v>
      </c>
      <c r="AX31" s="105">
        <v>8.4902962740969414</v>
      </c>
      <c r="AY31" s="105">
        <v>1507.8766182796167</v>
      </c>
      <c r="AZ31" s="105">
        <v>8.7064598616873035</v>
      </c>
      <c r="BA31" s="105">
        <v>1546.267271435665</v>
      </c>
      <c r="BB31" s="105">
        <v>6.761662096364419</v>
      </c>
      <c r="BC31" s="105">
        <v>1200.8711883143208</v>
      </c>
      <c r="BD31" s="105">
        <v>6.7250491495008378</v>
      </c>
      <c r="BE31" s="105">
        <v>1194.3687289513487</v>
      </c>
      <c r="BF31" s="105">
        <v>7.0017353078031954</v>
      </c>
      <c r="BG31" s="105">
        <v>1243.5081906658475</v>
      </c>
      <c r="BH31" s="105">
        <v>9.8228110923459067</v>
      </c>
      <c r="BI31" s="105">
        <v>1744.531250000633</v>
      </c>
      <c r="BJ31" s="105">
        <v>5.6220985729868751</v>
      </c>
      <c r="BK31" s="105">
        <v>998.484706562469</v>
      </c>
      <c r="BL31" s="105">
        <v>9.7354380205488962</v>
      </c>
      <c r="BM31" s="105">
        <v>1729.0137924494838</v>
      </c>
      <c r="BN31" s="105">
        <v>8.9428231687687276</v>
      </c>
      <c r="BO31" s="105">
        <v>1588.2453947733259</v>
      </c>
      <c r="BP31" s="105">
        <v>9.5250335795058287</v>
      </c>
      <c r="BQ31" s="105">
        <v>1691.6459637202352</v>
      </c>
      <c r="BR31" s="105">
        <v>6.3009527364998421</v>
      </c>
      <c r="BS31" s="105">
        <v>1119.0492060023719</v>
      </c>
      <c r="BT31" s="105">
        <v>9.1556458994155694</v>
      </c>
      <c r="BU31" s="105">
        <v>1626.0427117362051</v>
      </c>
      <c r="BV31" s="105">
        <v>9.7332915630169765</v>
      </c>
      <c r="BW31" s="105">
        <v>1728.6325815918149</v>
      </c>
      <c r="BX31" s="105">
        <v>8.5784832718609696</v>
      </c>
      <c r="BY31" s="105">
        <v>1523.5386290825081</v>
      </c>
      <c r="BZ31" s="105">
        <v>8.6131150145065156</v>
      </c>
      <c r="CA31" s="105">
        <v>1529.6892265763572</v>
      </c>
      <c r="CB31" s="105">
        <v>8.5561909848132025</v>
      </c>
      <c r="CC31" s="105">
        <v>1519.5795189028247</v>
      </c>
      <c r="CD31" s="105">
        <v>7.541348681063333</v>
      </c>
      <c r="CE31" s="105">
        <v>1339.3435257568478</v>
      </c>
      <c r="CF31" s="105">
        <v>8.2960306549819691</v>
      </c>
      <c r="CG31" s="105">
        <v>1473.3750443247977</v>
      </c>
      <c r="CH31" s="105">
        <v>8.5356444326481604</v>
      </c>
      <c r="CI31" s="105">
        <v>1515.9304512383133</v>
      </c>
      <c r="CJ31" s="105">
        <v>9.2702129350902887</v>
      </c>
      <c r="CK31" s="105">
        <v>1646.3898172720353</v>
      </c>
      <c r="CL31" s="105">
        <v>8.2827172584259383</v>
      </c>
      <c r="CM31" s="105">
        <v>1471.0105850964467</v>
      </c>
      <c r="CN31" s="105">
        <v>7.8670572258864819</v>
      </c>
      <c r="CO31" s="105">
        <v>1397.1893633174391</v>
      </c>
      <c r="CP31" s="105">
        <v>8.3336393106529361</v>
      </c>
      <c r="CQ31" s="105">
        <v>1480.0543415719615</v>
      </c>
      <c r="CR31" s="105">
        <v>7.8488804115477215</v>
      </c>
      <c r="CS31" s="105">
        <v>1393.9611610908753</v>
      </c>
      <c r="CT31" s="105">
        <v>8.6143616396212153</v>
      </c>
      <c r="CU31" s="105">
        <v>1529.9106271967278</v>
      </c>
    </row>
    <row r="32" spans="2:99" x14ac:dyDescent="0.2">
      <c r="C32" s="104" t="s">
        <v>198</v>
      </c>
      <c r="D32" s="105">
        <v>6</v>
      </c>
      <c r="E32" s="105">
        <v>3981.6000000000004</v>
      </c>
      <c r="F32" s="105">
        <v>0.64203750511284841</v>
      </c>
      <c r="G32" s="105">
        <v>426.05608839288624</v>
      </c>
      <c r="H32" s="105">
        <v>0</v>
      </c>
      <c r="I32" s="105">
        <v>0</v>
      </c>
      <c r="J32" s="105">
        <v>0</v>
      </c>
      <c r="K32" s="105">
        <v>0</v>
      </c>
      <c r="L32" s="105">
        <v>0</v>
      </c>
      <c r="M32" s="105">
        <v>0</v>
      </c>
      <c r="N32" s="105">
        <v>5.3402506714181817</v>
      </c>
      <c r="O32" s="105">
        <v>3543.7903455531055</v>
      </c>
      <c r="P32" s="105">
        <v>6.7292151640428743</v>
      </c>
      <c r="Q32" s="105">
        <v>4465.5071828588516</v>
      </c>
      <c r="R32" s="105">
        <v>7.7563540360230077</v>
      </c>
      <c r="S32" s="105">
        <v>5147.1165383048683</v>
      </c>
      <c r="T32" s="105">
        <v>6.952092822681303</v>
      </c>
      <c r="U32" s="105">
        <v>4613.4087971313129</v>
      </c>
      <c r="V32" s="105">
        <v>7.7989539905852885</v>
      </c>
      <c r="W32" s="105">
        <v>5175.385868152398</v>
      </c>
      <c r="X32" s="105">
        <v>10.015425918039117</v>
      </c>
      <c r="Y32" s="105">
        <v>6646.2366392107588</v>
      </c>
      <c r="Z32" s="105">
        <v>6.1274079389225982</v>
      </c>
      <c r="AA32" s="105">
        <v>4066.1479082690362</v>
      </c>
      <c r="AB32" s="105">
        <v>5.5889487933682958</v>
      </c>
      <c r="AC32" s="105">
        <v>3708.8264192792012</v>
      </c>
      <c r="AD32" s="105">
        <v>6.4474096913803995</v>
      </c>
      <c r="AE32" s="105">
        <v>4278.501071200033</v>
      </c>
      <c r="AF32" s="105">
        <v>7.3810751043076328</v>
      </c>
      <c r="AG32" s="105">
        <v>4898.0814392185457</v>
      </c>
      <c r="AH32" s="105">
        <v>7.5165215888983035</v>
      </c>
      <c r="AI32" s="105">
        <v>4987.9637263929144</v>
      </c>
      <c r="AJ32" s="105">
        <v>5.7962262130263946</v>
      </c>
      <c r="AK32" s="105">
        <v>3846.3757149643156</v>
      </c>
      <c r="AL32" s="105">
        <v>6.1439332829547553</v>
      </c>
      <c r="AM32" s="105">
        <v>4077.1141265687756</v>
      </c>
      <c r="AN32" s="105">
        <v>5.3900960700426062</v>
      </c>
      <c r="AO32" s="105">
        <v>3576.8677520802735</v>
      </c>
      <c r="AP32" s="105">
        <v>7.0816734191857655</v>
      </c>
      <c r="AQ32" s="105">
        <v>4699.398480971674</v>
      </c>
      <c r="AR32" s="105">
        <v>4.7901190099687279</v>
      </c>
      <c r="AS32" s="105">
        <v>3178.7229750152478</v>
      </c>
      <c r="AT32" s="105">
        <v>9.72600592915893</v>
      </c>
      <c r="AU32" s="105">
        <v>6454.1775345898659</v>
      </c>
      <c r="AV32" s="105">
        <v>6.8922328494684759</v>
      </c>
      <c r="AW32" s="105">
        <v>4573.6857189072807</v>
      </c>
      <c r="AX32" s="105">
        <v>7.2460640228902218</v>
      </c>
      <c r="AY32" s="105">
        <v>4808.488085589951</v>
      </c>
      <c r="AZ32" s="105">
        <v>10.47019631540004</v>
      </c>
      <c r="BA32" s="105">
        <v>6948.0222748994665</v>
      </c>
      <c r="BB32" s="105">
        <v>7.8135393685709893</v>
      </c>
      <c r="BC32" s="105">
        <v>5185.0647249837084</v>
      </c>
      <c r="BD32" s="105">
        <v>8.4803639992207351</v>
      </c>
      <c r="BE32" s="105">
        <v>5627.56954988288</v>
      </c>
      <c r="BF32" s="105">
        <v>8.1411934923116309</v>
      </c>
      <c r="BG32" s="105">
        <v>5402.4960014979988</v>
      </c>
      <c r="BH32" s="105">
        <v>7.1509975174716844</v>
      </c>
      <c r="BI32" s="105">
        <v>4745.4019525942103</v>
      </c>
      <c r="BJ32" s="105">
        <v>5.340837605392406</v>
      </c>
      <c r="BK32" s="105">
        <v>3544.1798349384007</v>
      </c>
      <c r="BL32" s="105">
        <v>6.7022079101631427</v>
      </c>
      <c r="BM32" s="105">
        <v>4447.5851691842618</v>
      </c>
      <c r="BN32" s="105">
        <v>7.7961787617691742</v>
      </c>
      <c r="BO32" s="105">
        <v>5173.544226310024</v>
      </c>
      <c r="BP32" s="105">
        <v>7.2286985677926081</v>
      </c>
      <c r="BQ32" s="105">
        <v>4796.9643695871746</v>
      </c>
      <c r="BR32" s="105">
        <v>4.3001127449409253</v>
      </c>
      <c r="BS32" s="105">
        <v>2853.554817542798</v>
      </c>
      <c r="BT32" s="105">
        <v>6.1902175960951267</v>
      </c>
      <c r="BU32" s="105">
        <v>4107.8283967687266</v>
      </c>
      <c r="BV32" s="105">
        <v>9.2229488615633972</v>
      </c>
      <c r="BW32" s="105">
        <v>6120.348864533471</v>
      </c>
      <c r="BX32" s="105">
        <v>6.7407999420418525</v>
      </c>
      <c r="BY32" s="105">
        <v>4473.1948415389734</v>
      </c>
      <c r="BZ32" s="105">
        <v>7.3714092058027427</v>
      </c>
      <c r="CA32" s="105">
        <v>4891.6671489707005</v>
      </c>
      <c r="CB32" s="105">
        <v>6.0798775011310724</v>
      </c>
      <c r="CC32" s="105">
        <v>4034.6067097505797</v>
      </c>
      <c r="CD32" s="105">
        <v>6.0808191650866315</v>
      </c>
      <c r="CE32" s="105">
        <v>4035.2315979514888</v>
      </c>
      <c r="CF32" s="105">
        <v>8.2408746434449167</v>
      </c>
      <c r="CG32" s="105">
        <v>5468.6444133900468</v>
      </c>
      <c r="CH32" s="105">
        <v>9.6216414328805087</v>
      </c>
      <c r="CI32" s="105">
        <v>6384.921254859506</v>
      </c>
      <c r="CJ32" s="105">
        <v>8.8222646328799712</v>
      </c>
      <c r="CK32" s="105">
        <v>5854.4548103791494</v>
      </c>
      <c r="CL32" s="105">
        <v>6.356144672648405</v>
      </c>
      <c r="CM32" s="105">
        <v>4217.9376047694814</v>
      </c>
      <c r="CN32" s="105">
        <v>6.7187247041283511</v>
      </c>
      <c r="CO32" s="105">
        <v>4458.5457136595742</v>
      </c>
      <c r="CP32" s="105">
        <v>6.7037735432533179</v>
      </c>
      <c r="CQ32" s="105">
        <v>4448.6241233029023</v>
      </c>
      <c r="CR32" s="105">
        <v>9.1508817362617574</v>
      </c>
      <c r="CS32" s="105">
        <v>6072.5251201833025</v>
      </c>
      <c r="CT32" s="105">
        <v>7.0455802742897742</v>
      </c>
      <c r="CU32" s="105">
        <v>4675.4470700186939</v>
      </c>
    </row>
    <row r="33" spans="2:99" x14ac:dyDescent="0.2">
      <c r="C33" s="104" t="s">
        <v>199</v>
      </c>
      <c r="D33" s="105">
        <v>7</v>
      </c>
      <c r="E33" s="105">
        <v>2343.6</v>
      </c>
      <c r="F33" s="105">
        <v>9</v>
      </c>
      <c r="G33" s="105">
        <v>3013.2000000000003</v>
      </c>
      <c r="H33" s="105">
        <v>5</v>
      </c>
      <c r="I33" s="105">
        <v>1674</v>
      </c>
      <c r="J33" s="105">
        <v>8</v>
      </c>
      <c r="K33" s="105">
        <v>2678.4</v>
      </c>
      <c r="L33" s="105">
        <v>6.9163558052054972</v>
      </c>
      <c r="M33" s="105">
        <v>2315.5959235828004</v>
      </c>
      <c r="N33" s="105">
        <v>7.1360035306551852</v>
      </c>
      <c r="O33" s="105">
        <v>2389.1339820633561</v>
      </c>
      <c r="P33" s="105">
        <v>8.3367567969218435</v>
      </c>
      <c r="Q33" s="105">
        <v>2791.1461756094332</v>
      </c>
      <c r="R33" s="105">
        <v>8.9704667848301263</v>
      </c>
      <c r="S33" s="105">
        <v>3003.3122795611262</v>
      </c>
      <c r="T33" s="105">
        <v>7.7917596738152106</v>
      </c>
      <c r="U33" s="105">
        <v>2608.6811387933326</v>
      </c>
      <c r="V33" s="105">
        <v>7.5160337333403895</v>
      </c>
      <c r="W33" s="105">
        <v>2516.3680939223623</v>
      </c>
      <c r="X33" s="105">
        <v>7.4640956470071478</v>
      </c>
      <c r="Y33" s="105">
        <v>2498.9792226179929</v>
      </c>
      <c r="Z33" s="105">
        <v>7.8410945726679193</v>
      </c>
      <c r="AA33" s="105">
        <v>2625.1984629292197</v>
      </c>
      <c r="AB33" s="105">
        <v>6.9317802404270754</v>
      </c>
      <c r="AC33" s="105">
        <v>2320.7600244949849</v>
      </c>
      <c r="AD33" s="105">
        <v>6.7158864868112023</v>
      </c>
      <c r="AE33" s="105">
        <v>2248.4787957843905</v>
      </c>
      <c r="AF33" s="105">
        <v>8.3134815903365524</v>
      </c>
      <c r="AG33" s="105">
        <v>2783.3536364446777</v>
      </c>
      <c r="AH33" s="105">
        <v>9.4068162391853782</v>
      </c>
      <c r="AI33" s="105">
        <v>3149.4020768792648</v>
      </c>
      <c r="AJ33" s="105">
        <v>8.511353599003753</v>
      </c>
      <c r="AK33" s="105">
        <v>2849.6011849464567</v>
      </c>
      <c r="AL33" s="105">
        <v>7.9497326483095474</v>
      </c>
      <c r="AM33" s="105">
        <v>2661.5704906540363</v>
      </c>
      <c r="AN33" s="105">
        <v>8.234124091048745</v>
      </c>
      <c r="AO33" s="105">
        <v>2756.78474568312</v>
      </c>
      <c r="AP33" s="105">
        <v>8.4932372215309915</v>
      </c>
      <c r="AQ33" s="105">
        <v>2843.5358217685762</v>
      </c>
      <c r="AR33" s="105">
        <v>5.8231633976109975</v>
      </c>
      <c r="AS33" s="105">
        <v>1949.595105520162</v>
      </c>
      <c r="AT33" s="105">
        <v>9.1277819557536333</v>
      </c>
      <c r="AU33" s="105">
        <v>3055.9813987863167</v>
      </c>
      <c r="AV33" s="105">
        <v>7.1689754527101179</v>
      </c>
      <c r="AW33" s="105">
        <v>2400.1729815673475</v>
      </c>
      <c r="AX33" s="105">
        <v>7.7453641816645504</v>
      </c>
      <c r="AY33" s="105">
        <v>2593.1479280212916</v>
      </c>
      <c r="AZ33" s="105">
        <v>8.7064598616873035</v>
      </c>
      <c r="BA33" s="105">
        <v>2914.9227616929093</v>
      </c>
      <c r="BB33" s="105">
        <v>6.761662096364419</v>
      </c>
      <c r="BC33" s="105">
        <v>2263.8044698628078</v>
      </c>
      <c r="BD33" s="105">
        <v>7.4606118236557624</v>
      </c>
      <c r="BE33" s="105">
        <v>2497.8128385599493</v>
      </c>
      <c r="BF33" s="105">
        <v>7.0017353078031954</v>
      </c>
      <c r="BG33" s="105">
        <v>2344.1809810525101</v>
      </c>
      <c r="BH33" s="105">
        <v>9.8228110923459067</v>
      </c>
      <c r="BI33" s="105">
        <v>3288.6771537174095</v>
      </c>
      <c r="BJ33" s="105">
        <v>6.324860894610234</v>
      </c>
      <c r="BK33" s="105">
        <v>2117.5634275155066</v>
      </c>
      <c r="BL33" s="105">
        <v>9.0247923762766522</v>
      </c>
      <c r="BM33" s="105">
        <v>3021.5004875774234</v>
      </c>
      <c r="BN33" s="105">
        <v>7.8650307108597701</v>
      </c>
      <c r="BO33" s="105">
        <v>2633.2122819958513</v>
      </c>
      <c r="BP33" s="105">
        <v>9.0067845634197994</v>
      </c>
      <c r="BQ33" s="105">
        <v>3015.4714718329487</v>
      </c>
      <c r="BR33" s="105">
        <v>6.2645312937063808</v>
      </c>
      <c r="BS33" s="105">
        <v>2097.3650771328962</v>
      </c>
      <c r="BT33" s="105">
        <v>8.4823978382432266</v>
      </c>
      <c r="BU33" s="105">
        <v>2839.9067962438326</v>
      </c>
      <c r="BV33" s="105">
        <v>9.764122058779245</v>
      </c>
      <c r="BW33" s="105">
        <v>3269.0280652792912</v>
      </c>
      <c r="BX33" s="105">
        <v>8.5784832718609696</v>
      </c>
      <c r="BY33" s="105">
        <v>2872.0761994190525</v>
      </c>
      <c r="BZ33" s="105">
        <v>7.9876154317141035</v>
      </c>
      <c r="CA33" s="105">
        <v>2674.2536465378821</v>
      </c>
      <c r="CB33" s="105">
        <v>7.9450143726770968</v>
      </c>
      <c r="CC33" s="105">
        <v>2659.9908119722922</v>
      </c>
      <c r="CD33" s="105">
        <v>6.7977334676121002</v>
      </c>
      <c r="CE33" s="105">
        <v>2275.8811649565314</v>
      </c>
      <c r="CF33" s="105">
        <v>8.2960306549819691</v>
      </c>
      <c r="CG33" s="105">
        <v>2777.5110632879632</v>
      </c>
      <c r="CH33" s="105">
        <v>8.5019277242064657</v>
      </c>
      <c r="CI33" s="105">
        <v>2846.4454020643248</v>
      </c>
      <c r="CJ33" s="105">
        <v>8.179599648609079</v>
      </c>
      <c r="CK33" s="105">
        <v>2738.5299623543197</v>
      </c>
      <c r="CL33" s="105">
        <v>6.6261738067407503</v>
      </c>
      <c r="CM33" s="105">
        <v>2218.4429904968033</v>
      </c>
      <c r="CN33" s="105">
        <v>7.8670572258864819</v>
      </c>
      <c r="CO33" s="105">
        <v>2633.8907592267942</v>
      </c>
      <c r="CP33" s="105">
        <v>8.9669963325118687</v>
      </c>
      <c r="CQ33" s="105">
        <v>3002.1503721249737</v>
      </c>
      <c r="CR33" s="105">
        <v>7.8201476642279859</v>
      </c>
      <c r="CS33" s="105">
        <v>2618.1854379835299</v>
      </c>
      <c r="CT33" s="105">
        <v>9.2025074766136434</v>
      </c>
      <c r="CU33" s="105">
        <v>3080.9995031702479</v>
      </c>
    </row>
    <row r="34" spans="2:99" x14ac:dyDescent="0.2">
      <c r="C34" s="104" t="s">
        <v>200</v>
      </c>
      <c r="D34" s="105">
        <v>6</v>
      </c>
      <c r="E34" s="105">
        <v>2282.3999999999996</v>
      </c>
      <c r="F34" s="105">
        <v>8</v>
      </c>
      <c r="G34" s="105">
        <v>3043.2</v>
      </c>
      <c r="H34" s="105">
        <v>5</v>
      </c>
      <c r="I34" s="105">
        <v>1902</v>
      </c>
      <c r="J34" s="105">
        <v>8</v>
      </c>
      <c r="K34" s="105">
        <v>3043.2</v>
      </c>
      <c r="L34" s="105">
        <v>6.9163558052054972</v>
      </c>
      <c r="M34" s="105">
        <v>2630.9817483001711</v>
      </c>
      <c r="N34" s="105">
        <v>7.1360035306551852</v>
      </c>
      <c r="O34" s="105">
        <v>2714.5357430612321</v>
      </c>
      <c r="P34" s="105">
        <v>9.0287409371053613</v>
      </c>
      <c r="Q34" s="105">
        <v>3434.5330524748792</v>
      </c>
      <c r="R34" s="105">
        <v>9.584899748791111</v>
      </c>
      <c r="S34" s="105">
        <v>3646.0958644401385</v>
      </c>
      <c r="T34" s="105">
        <v>7.7182528522740164</v>
      </c>
      <c r="U34" s="105">
        <v>2936.0233850050358</v>
      </c>
      <c r="V34" s="105">
        <v>7.5160337333403895</v>
      </c>
      <c r="W34" s="105">
        <v>2859.0992321626841</v>
      </c>
      <c r="X34" s="105">
        <v>8.7081115881750062</v>
      </c>
      <c r="Y34" s="105">
        <v>3312.5656481417723</v>
      </c>
      <c r="Z34" s="105">
        <v>8.7990954271103732</v>
      </c>
      <c r="AA34" s="105">
        <v>3347.1759004727855</v>
      </c>
      <c r="AB34" s="105">
        <v>6.8912860692621427</v>
      </c>
      <c r="AC34" s="105">
        <v>2621.4452207473191</v>
      </c>
      <c r="AD34" s="105">
        <v>6.7544891450240456</v>
      </c>
      <c r="AE34" s="105">
        <v>2569.407670767147</v>
      </c>
      <c r="AF34" s="105">
        <v>7.678948657625118</v>
      </c>
      <c r="AG34" s="105">
        <v>2921.0720693605949</v>
      </c>
      <c r="AH34" s="105">
        <v>8.7737521897491231</v>
      </c>
      <c r="AI34" s="105">
        <v>3337.5353329805662</v>
      </c>
      <c r="AJ34" s="105">
        <v>7.8722529518186279</v>
      </c>
      <c r="AK34" s="105">
        <v>2994.6050228718059</v>
      </c>
      <c r="AL34" s="105">
        <v>7.9225132889618743</v>
      </c>
      <c r="AM34" s="105">
        <v>3013.7240551210966</v>
      </c>
      <c r="AN34" s="105">
        <v>8.2754689897085054</v>
      </c>
      <c r="AO34" s="105">
        <v>3147.9884036851154</v>
      </c>
      <c r="AP34" s="105">
        <v>7.261858616880926</v>
      </c>
      <c r="AQ34" s="105">
        <v>2762.4110178615042</v>
      </c>
      <c r="AR34" s="105">
        <v>6.5383968813281328</v>
      </c>
      <c r="AS34" s="105">
        <v>2487.2061736572214</v>
      </c>
      <c r="AT34" s="105">
        <v>9.0946440356128981</v>
      </c>
      <c r="AU34" s="105">
        <v>3459.6025911471461</v>
      </c>
      <c r="AV34" s="105">
        <v>7.879343100419665</v>
      </c>
      <c r="AW34" s="105">
        <v>2997.3021153996406</v>
      </c>
      <c r="AX34" s="105">
        <v>8.5273016812645217</v>
      </c>
      <c r="AY34" s="105">
        <v>3243.7855595530241</v>
      </c>
      <c r="AZ34" s="105">
        <v>8.7064598616873035</v>
      </c>
      <c r="BA34" s="105">
        <v>3311.93733138585</v>
      </c>
      <c r="BB34" s="105">
        <v>6.7967423006454366</v>
      </c>
      <c r="BC34" s="105">
        <v>2585.4807711655239</v>
      </c>
      <c r="BD34" s="105">
        <v>7.4256167962869259</v>
      </c>
      <c r="BE34" s="105">
        <v>2824.7046293075464</v>
      </c>
      <c r="BF34" s="105">
        <v>6.971431538495108</v>
      </c>
      <c r="BG34" s="105">
        <v>2651.9325572435391</v>
      </c>
      <c r="BH34" s="105">
        <v>9.8228110923459067</v>
      </c>
      <c r="BI34" s="105">
        <v>3736.5973395283827</v>
      </c>
      <c r="BJ34" s="105">
        <v>5.6220985729868751</v>
      </c>
      <c r="BK34" s="105">
        <v>2138.6462971642072</v>
      </c>
      <c r="BL34" s="105">
        <v>9.7354380205488962</v>
      </c>
      <c r="BM34" s="105">
        <v>3703.3606230167998</v>
      </c>
      <c r="BN34" s="105">
        <v>7.8917376696511932</v>
      </c>
      <c r="BO34" s="105">
        <v>3002.0170095353137</v>
      </c>
      <c r="BP34" s="105">
        <v>9.582384710767661</v>
      </c>
      <c r="BQ34" s="105">
        <v>3645.1391439760182</v>
      </c>
      <c r="BR34" s="105">
        <v>5.5360970461832766</v>
      </c>
      <c r="BS34" s="105">
        <v>2105.9313163681181</v>
      </c>
      <c r="BT34" s="105">
        <v>8.5160162635911529</v>
      </c>
      <c r="BU34" s="105">
        <v>3239.4925866700742</v>
      </c>
      <c r="BV34" s="105">
        <v>9.7949525545415117</v>
      </c>
      <c r="BW34" s="105">
        <v>3725.9999517475908</v>
      </c>
      <c r="BX34" s="105">
        <v>7.30488982583178</v>
      </c>
      <c r="BY34" s="105">
        <v>2778.780089746409</v>
      </c>
      <c r="BZ34" s="105">
        <v>8.0163912606315542</v>
      </c>
      <c r="CA34" s="105">
        <v>3049.4352355442429</v>
      </c>
      <c r="CB34" s="105">
        <v>7.9450143726770968</v>
      </c>
      <c r="CC34" s="105">
        <v>3022.2834673663674</v>
      </c>
      <c r="CD34" s="105">
        <v>8.2849638945145632</v>
      </c>
      <c r="CE34" s="105">
        <v>3151.6002654733397</v>
      </c>
      <c r="CF34" s="105">
        <v>7.703457036768973</v>
      </c>
      <c r="CG34" s="105">
        <v>2930.3950567869169</v>
      </c>
      <c r="CH34" s="105">
        <v>9.1767049927819802</v>
      </c>
      <c r="CI34" s="105">
        <v>3490.8185792542649</v>
      </c>
      <c r="CJ34" s="105">
        <v>8.179599648609079</v>
      </c>
      <c r="CK34" s="105">
        <v>3111.5197063308933</v>
      </c>
      <c r="CL34" s="105">
        <v>7.4544455325833452</v>
      </c>
      <c r="CM34" s="105">
        <v>2835.6710805947046</v>
      </c>
      <c r="CN34" s="105">
        <v>7.8670572258864819</v>
      </c>
      <c r="CO34" s="105">
        <v>2992.6285687272175</v>
      </c>
      <c r="CP34" s="105">
        <v>8.3003049902735828</v>
      </c>
      <c r="CQ34" s="105">
        <v>3157.4360183000708</v>
      </c>
      <c r="CR34" s="105">
        <v>8.4614812885343884</v>
      </c>
      <c r="CS34" s="105">
        <v>3218.747482158481</v>
      </c>
      <c r="CT34" s="105">
        <v>8.6436170182156147</v>
      </c>
      <c r="CU34" s="105">
        <v>3288.0319137292195</v>
      </c>
    </row>
    <row r="35" spans="2:99" x14ac:dyDescent="0.2">
      <c r="C35" s="104" t="s">
        <v>201</v>
      </c>
      <c r="D35" s="105">
        <v>7</v>
      </c>
      <c r="E35" s="105">
        <v>2872.7999999999997</v>
      </c>
      <c r="F35" s="105">
        <v>9</v>
      </c>
      <c r="G35" s="105">
        <v>3693.6</v>
      </c>
      <c r="H35" s="105">
        <v>4</v>
      </c>
      <c r="I35" s="105">
        <v>1641.6</v>
      </c>
      <c r="J35" s="105">
        <v>9</v>
      </c>
      <c r="K35" s="105">
        <v>3693.6</v>
      </c>
      <c r="L35" s="105">
        <v>6.1478718268493306</v>
      </c>
      <c r="M35" s="105">
        <v>2523.0865977389653</v>
      </c>
      <c r="N35" s="105">
        <v>7.9288928118390949</v>
      </c>
      <c r="O35" s="105">
        <v>3254.0176099787645</v>
      </c>
      <c r="P35" s="105">
        <v>8.3367567969218435</v>
      </c>
      <c r="Q35" s="105">
        <v>3421.4049894567243</v>
      </c>
      <c r="R35" s="105">
        <v>8.3867342616505045</v>
      </c>
      <c r="S35" s="105">
        <v>3441.915740981367</v>
      </c>
      <c r="T35" s="105">
        <v>7.0566877993584072</v>
      </c>
      <c r="U35" s="105">
        <v>2896.0646728566903</v>
      </c>
      <c r="V35" s="105">
        <v>8.4555379500079386</v>
      </c>
      <c r="W35" s="105">
        <v>3470.152774683258</v>
      </c>
      <c r="X35" s="105">
        <v>8.7081115881750062</v>
      </c>
      <c r="Y35" s="105">
        <v>3573.8089957870225</v>
      </c>
      <c r="Z35" s="105">
        <v>7.8410945726679193</v>
      </c>
      <c r="AA35" s="105">
        <v>3217.9852126229139</v>
      </c>
      <c r="AB35" s="105">
        <v>7.7020791139637446</v>
      </c>
      <c r="AC35" s="105">
        <v>3160.9332683707207</v>
      </c>
      <c r="AD35" s="105">
        <v>7.5408963008327872</v>
      </c>
      <c r="AE35" s="105">
        <v>3094.7838418617757</v>
      </c>
      <c r="AF35" s="105">
        <v>8.3134815903365524</v>
      </c>
      <c r="AG35" s="105">
        <v>3411.8528446741211</v>
      </c>
      <c r="AH35" s="105">
        <v>10.01016545450215</v>
      </c>
      <c r="AI35" s="105">
        <v>4108.1719025276825</v>
      </c>
      <c r="AJ35" s="105">
        <v>8.5367342472033965</v>
      </c>
      <c r="AK35" s="105">
        <v>3503.4757350522736</v>
      </c>
      <c r="AL35" s="105">
        <v>8.5445001693501759</v>
      </c>
      <c r="AM35" s="105">
        <v>3506.6628695013119</v>
      </c>
      <c r="AN35" s="105">
        <v>7.4156928444716534</v>
      </c>
      <c r="AO35" s="105">
        <v>3043.4003433711664</v>
      </c>
      <c r="AP35" s="105">
        <v>8.4932372215309915</v>
      </c>
      <c r="AQ35" s="105">
        <v>3485.6245557163188</v>
      </c>
      <c r="AR35" s="105">
        <v>6.5046317053701603</v>
      </c>
      <c r="AS35" s="105">
        <v>2669.5008518839136</v>
      </c>
      <c r="AT35" s="105">
        <v>9.0946440356128981</v>
      </c>
      <c r="AU35" s="105">
        <v>3732.4419122155332</v>
      </c>
      <c r="AV35" s="105">
        <v>7.1320389468375369</v>
      </c>
      <c r="AW35" s="105">
        <v>2926.9887837821252</v>
      </c>
      <c r="AX35" s="105">
        <v>8.5273016812645217</v>
      </c>
      <c r="AY35" s="105">
        <v>3499.6046099909595</v>
      </c>
      <c r="AZ35" s="105">
        <v>8.1185981872151931</v>
      </c>
      <c r="BA35" s="105">
        <v>3331.8726960331151</v>
      </c>
      <c r="BB35" s="105">
        <v>6.7967423006454366</v>
      </c>
      <c r="BC35" s="105">
        <v>2789.3830401848872</v>
      </c>
      <c r="BD35" s="105">
        <v>7.4256167962869259</v>
      </c>
      <c r="BE35" s="105">
        <v>3047.4731331961543</v>
      </c>
      <c r="BF35" s="105">
        <v>6.971431538495108</v>
      </c>
      <c r="BG35" s="105">
        <v>2861.0755033983924</v>
      </c>
      <c r="BH35" s="105">
        <v>9.8228110923459067</v>
      </c>
      <c r="BI35" s="105">
        <v>4031.28167229876</v>
      </c>
      <c r="BJ35" s="105">
        <v>6.324860894610234</v>
      </c>
      <c r="BK35" s="105">
        <v>2595.7229111480401</v>
      </c>
      <c r="BL35" s="105">
        <v>8.9892891873473868</v>
      </c>
      <c r="BM35" s="105">
        <v>3689.2042824873674</v>
      </c>
      <c r="BN35" s="105">
        <v>8.4039269398142498</v>
      </c>
      <c r="BO35" s="105">
        <v>3448.9716160997677</v>
      </c>
      <c r="BP35" s="105">
        <v>8.9494334321579689</v>
      </c>
      <c r="BQ35" s="105">
        <v>3672.8474805576302</v>
      </c>
      <c r="BR35" s="105">
        <v>6.3373741792933052</v>
      </c>
      <c r="BS35" s="105">
        <v>2600.8583631819724</v>
      </c>
      <c r="BT35" s="105">
        <v>9.122027474067643</v>
      </c>
      <c r="BU35" s="105">
        <v>3743.6800753573607</v>
      </c>
      <c r="BV35" s="105">
        <v>9.1296235192671702</v>
      </c>
      <c r="BW35" s="105">
        <v>3746.7974923072466</v>
      </c>
      <c r="BX35" s="105">
        <v>7.9416865488463744</v>
      </c>
      <c r="BY35" s="105">
        <v>3259.2681596465518</v>
      </c>
      <c r="BZ35" s="105">
        <v>9.1810629394640237</v>
      </c>
      <c r="CA35" s="105">
        <v>3767.9082303560353</v>
      </c>
      <c r="CB35" s="105">
        <v>9.2352604657926385</v>
      </c>
      <c r="CC35" s="105">
        <v>3790.1508951612986</v>
      </c>
      <c r="CD35" s="105">
        <v>7.5062831655463294</v>
      </c>
      <c r="CE35" s="105">
        <v>3080.5786111402135</v>
      </c>
      <c r="CF35" s="105">
        <v>7.7313840132219287</v>
      </c>
      <c r="CG35" s="105">
        <v>3172.9599990262795</v>
      </c>
      <c r="CH35" s="105">
        <v>9.2104217012236731</v>
      </c>
      <c r="CI35" s="105">
        <v>3779.9570661821954</v>
      </c>
      <c r="CJ35" s="105">
        <v>7.6342930053684732</v>
      </c>
      <c r="CK35" s="105">
        <v>3133.1138494032211</v>
      </c>
      <c r="CL35" s="105">
        <v>6.6261738067407503</v>
      </c>
      <c r="CM35" s="105">
        <v>2719.3817302864036</v>
      </c>
      <c r="CN35" s="105">
        <v>7.2642038569516174</v>
      </c>
      <c r="CO35" s="105">
        <v>2981.2292628929436</v>
      </c>
      <c r="CP35" s="105">
        <v>8.3336393106529361</v>
      </c>
      <c r="CQ35" s="105">
        <v>3420.1255730919647</v>
      </c>
      <c r="CR35" s="105">
        <v>9.016616670881584</v>
      </c>
      <c r="CS35" s="105">
        <v>3700.4194817298021</v>
      </c>
      <c r="CT35" s="105">
        <v>8.6143616396212153</v>
      </c>
      <c r="CU35" s="105">
        <v>3535.3340169005464</v>
      </c>
    </row>
    <row r="36" spans="2:99" x14ac:dyDescent="0.2">
      <c r="C36" s="104" t="s">
        <v>202</v>
      </c>
      <c r="D36" s="105">
        <v>7</v>
      </c>
      <c r="E36" s="105">
        <v>3208.7999999999997</v>
      </c>
      <c r="F36" s="105">
        <v>0.72229219325195437</v>
      </c>
      <c r="G36" s="105">
        <v>331.09874138669585</v>
      </c>
      <c r="H36" s="105">
        <v>0</v>
      </c>
      <c r="I36" s="105">
        <v>0</v>
      </c>
      <c r="J36" s="105">
        <v>0</v>
      </c>
      <c r="K36" s="105">
        <v>0</v>
      </c>
      <c r="L36" s="105">
        <v>0</v>
      </c>
      <c r="M36" s="105">
        <v>0</v>
      </c>
      <c r="N36" s="105">
        <v>5.3402506714181817</v>
      </c>
      <c r="O36" s="105">
        <v>2447.9709077780944</v>
      </c>
      <c r="P36" s="105">
        <v>6.7292151640428743</v>
      </c>
      <c r="Q36" s="105">
        <v>3084.6722311972535</v>
      </c>
      <c r="R36" s="105">
        <v>8.3160549714961025</v>
      </c>
      <c r="S36" s="105">
        <v>3812.079598933813</v>
      </c>
      <c r="T36" s="105">
        <v>7.647302104949433</v>
      </c>
      <c r="U36" s="105">
        <v>3505.5232849088197</v>
      </c>
      <c r="V36" s="105">
        <v>8.6655390899001716</v>
      </c>
      <c r="W36" s="105">
        <v>3972.2831188102386</v>
      </c>
      <c r="X36" s="105">
        <v>11.678206742848655</v>
      </c>
      <c r="Y36" s="105">
        <v>5353.2899709218227</v>
      </c>
      <c r="Z36" s="105">
        <v>6.1274079389225982</v>
      </c>
      <c r="AA36" s="105">
        <v>2808.8037992021191</v>
      </c>
      <c r="AB36" s="105">
        <v>5.5889487933682958</v>
      </c>
      <c r="AC36" s="105">
        <v>2561.9741268800267</v>
      </c>
      <c r="AD36" s="105">
        <v>6.4850736803810376</v>
      </c>
      <c r="AE36" s="105">
        <v>2972.7577750866676</v>
      </c>
      <c r="AF36" s="105">
        <v>7.3222617690233012</v>
      </c>
      <c r="AG36" s="105">
        <v>3356.5247949202812</v>
      </c>
      <c r="AH36" s="105">
        <v>7.0323929933481022</v>
      </c>
      <c r="AI36" s="105">
        <v>3223.6489481507697</v>
      </c>
      <c r="AJ36" s="105">
        <v>5.3306658709919548</v>
      </c>
      <c r="AK36" s="105">
        <v>2443.5772352627118</v>
      </c>
      <c r="AL36" s="105">
        <v>6.1439332829547553</v>
      </c>
      <c r="AM36" s="105">
        <v>2816.3790169064596</v>
      </c>
      <c r="AN36" s="105">
        <v>5.4042728807037763</v>
      </c>
      <c r="AO36" s="105">
        <v>2477.318688514611</v>
      </c>
      <c r="AP36" s="105">
        <v>6.0059483951834576</v>
      </c>
      <c r="AQ36" s="105">
        <v>2753.1267443520969</v>
      </c>
      <c r="AR36" s="105">
        <v>5.8437045901907441</v>
      </c>
      <c r="AS36" s="105">
        <v>2678.7541841434368</v>
      </c>
      <c r="AT36" s="105">
        <v>9.72600592915893</v>
      </c>
      <c r="AU36" s="105">
        <v>4458.4011179264535</v>
      </c>
      <c r="AV36" s="105">
        <v>6.3022901214840745</v>
      </c>
      <c r="AW36" s="105">
        <v>2888.9697916882997</v>
      </c>
      <c r="AX36" s="105">
        <v>7.2460640228902218</v>
      </c>
      <c r="AY36" s="105">
        <v>3321.5957480928773</v>
      </c>
      <c r="AZ36" s="105">
        <v>11.193744043490808</v>
      </c>
      <c r="BA36" s="105">
        <v>5131.2122695361859</v>
      </c>
      <c r="BB36" s="105">
        <v>7.030640118479293</v>
      </c>
      <c r="BC36" s="105">
        <v>3222.8454303109079</v>
      </c>
      <c r="BD36" s="105">
        <v>9.3660092476347891</v>
      </c>
      <c r="BE36" s="105">
        <v>4293.3786391157873</v>
      </c>
      <c r="BF36" s="105">
        <v>8.1765514433456339</v>
      </c>
      <c r="BG36" s="105">
        <v>3748.1311816296384</v>
      </c>
      <c r="BH36" s="105">
        <v>7.6260180433239286</v>
      </c>
      <c r="BI36" s="105">
        <v>3495.7666710596886</v>
      </c>
      <c r="BJ36" s="105">
        <v>5.9624828382093469</v>
      </c>
      <c r="BK36" s="105">
        <v>2733.2021330351645</v>
      </c>
      <c r="BL36" s="105">
        <v>6.1641668787668333</v>
      </c>
      <c r="BM36" s="105">
        <v>2825.6540972267162</v>
      </c>
      <c r="BN36" s="105">
        <v>8.3468040200782649</v>
      </c>
      <c r="BO36" s="105">
        <v>3826.1749628038765</v>
      </c>
      <c r="BP36" s="105">
        <v>8.6861475065741089</v>
      </c>
      <c r="BQ36" s="105">
        <v>3981.7300170135713</v>
      </c>
      <c r="BR36" s="105">
        <v>4.9224099900351215</v>
      </c>
      <c r="BS36" s="105">
        <v>2256.4327394320994</v>
      </c>
      <c r="BT36" s="105">
        <v>6.1902175960951267</v>
      </c>
      <c r="BU36" s="105">
        <v>2837.5957460500058</v>
      </c>
      <c r="BV36" s="105">
        <v>9.831727352380744</v>
      </c>
      <c r="BW36" s="105">
        <v>4506.8638183313333</v>
      </c>
      <c r="BX36" s="105">
        <v>7.9133871938195961</v>
      </c>
      <c r="BY36" s="105">
        <v>3627.4966896469027</v>
      </c>
      <c r="BZ36" s="105">
        <v>8.4717246298020488</v>
      </c>
      <c r="CA36" s="105">
        <v>3883.438570301259</v>
      </c>
      <c r="CB36" s="105">
        <v>6.6564160485234263</v>
      </c>
      <c r="CC36" s="105">
        <v>3051.3011166431384</v>
      </c>
      <c r="CD36" s="105">
        <v>6.0523012341434201</v>
      </c>
      <c r="CE36" s="105">
        <v>2774.3748857313435</v>
      </c>
      <c r="CF36" s="105">
        <v>9.4834820858910724</v>
      </c>
      <c r="CG36" s="105">
        <v>4347.2281881724675</v>
      </c>
      <c r="CH36" s="105">
        <v>10.366949797362739</v>
      </c>
      <c r="CI36" s="105">
        <v>4752.2097871110791</v>
      </c>
      <c r="CJ36" s="105">
        <v>8.2693150332225684</v>
      </c>
      <c r="CK36" s="105">
        <v>3790.654011229225</v>
      </c>
      <c r="CL36" s="105">
        <v>6.3237459514612766</v>
      </c>
      <c r="CM36" s="105">
        <v>2898.8051441498492</v>
      </c>
      <c r="CN36" s="105">
        <v>6.1582383715170064</v>
      </c>
      <c r="CO36" s="105">
        <v>2822.9364695033955</v>
      </c>
      <c r="CP36" s="105">
        <v>7.2691514618987885</v>
      </c>
      <c r="CQ36" s="105">
        <v>3332.1790301344045</v>
      </c>
      <c r="CR36" s="105">
        <v>9.7841954198785839</v>
      </c>
      <c r="CS36" s="105">
        <v>4485.0751804723423</v>
      </c>
      <c r="CT36" s="105">
        <v>7.5040076101877373</v>
      </c>
      <c r="CU36" s="105">
        <v>3439.8370885100585</v>
      </c>
    </row>
    <row r="37" spans="2:99" x14ac:dyDescent="0.2">
      <c r="B37" s="104" t="s">
        <v>128</v>
      </c>
      <c r="C37" s="104" t="s">
        <v>203</v>
      </c>
      <c r="D37" s="105">
        <v>6</v>
      </c>
      <c r="E37" s="105">
        <v>3909.6000000000004</v>
      </c>
      <c r="F37" s="105">
        <v>3</v>
      </c>
      <c r="G37" s="105">
        <v>1954.8000000000002</v>
      </c>
      <c r="H37" s="105">
        <v>4</v>
      </c>
      <c r="I37" s="105">
        <v>2606.4</v>
      </c>
      <c r="J37" s="105">
        <v>3</v>
      </c>
      <c r="K37" s="105">
        <v>1954.8000000000002</v>
      </c>
      <c r="L37" s="105">
        <v>5.3793878484931641</v>
      </c>
      <c r="M37" s="105">
        <v>3505.2091220781458</v>
      </c>
      <c r="N37" s="105">
        <v>2.3786678435517286</v>
      </c>
      <c r="O37" s="105">
        <v>1549.9399668583064</v>
      </c>
      <c r="P37" s="105">
        <v>3.5587620450765192</v>
      </c>
      <c r="Q37" s="105">
        <v>2318.88934857186</v>
      </c>
      <c r="R37" s="105">
        <v>2.7340358228761965</v>
      </c>
      <c r="S37" s="105">
        <v>1781.4977421861297</v>
      </c>
      <c r="T37" s="105">
        <v>4.7779653544468008</v>
      </c>
      <c r="U37" s="105">
        <v>3113.3222249575356</v>
      </c>
      <c r="V37" s="105">
        <v>3.7580168666701947</v>
      </c>
      <c r="W37" s="105">
        <v>2448.723790322299</v>
      </c>
      <c r="X37" s="105">
        <v>1.8660239117517869</v>
      </c>
      <c r="Y37" s="105">
        <v>1215.9011808974644</v>
      </c>
      <c r="Z37" s="105">
        <v>3.9205472863339597</v>
      </c>
      <c r="AA37" s="105">
        <v>2554.6286117752084</v>
      </c>
      <c r="AB37" s="105">
        <v>3.6076197192908044</v>
      </c>
      <c r="AC37" s="105">
        <v>2350.7250090898883</v>
      </c>
      <c r="AD37" s="105">
        <v>4.9500588841295059</v>
      </c>
      <c r="AE37" s="105">
        <v>3225.4583688987864</v>
      </c>
      <c r="AF37" s="105">
        <v>4.373124680201407</v>
      </c>
      <c r="AG37" s="105">
        <v>2849.5280416192368</v>
      </c>
      <c r="AH37" s="105">
        <v>2.6511155342229573</v>
      </c>
      <c r="AI37" s="105">
        <v>1727.466882099679</v>
      </c>
      <c r="AJ37" s="105">
        <v>4.0376490687078821</v>
      </c>
      <c r="AK37" s="105">
        <v>2630.9321331700562</v>
      </c>
      <c r="AL37" s="105">
        <v>3.1643731206368506</v>
      </c>
      <c r="AM37" s="105">
        <v>2061.9055254069717</v>
      </c>
      <c r="AN37" s="105">
        <v>4.5882950168025562</v>
      </c>
      <c r="AO37" s="105">
        <v>2989.7330329485458</v>
      </c>
      <c r="AP37" s="105">
        <v>3.4414579535615504</v>
      </c>
      <c r="AQ37" s="105">
        <v>2242.4540025407064</v>
      </c>
      <c r="AR37" s="105">
        <v>5.0741647379358898</v>
      </c>
      <c r="AS37" s="105">
        <v>3306.325743239026</v>
      </c>
      <c r="AT37" s="105">
        <v>4.2485094320378511</v>
      </c>
      <c r="AU37" s="105">
        <v>2768.3287459158637</v>
      </c>
      <c r="AV37" s="105">
        <v>5.4896846161829584</v>
      </c>
      <c r="AW37" s="105">
        <v>3577.078495904816</v>
      </c>
      <c r="AX37" s="105">
        <v>4.8766520334377219</v>
      </c>
      <c r="AY37" s="105">
        <v>3177.6264649880195</v>
      </c>
      <c r="AZ37" s="105">
        <v>3.6107689883784153</v>
      </c>
      <c r="BA37" s="105">
        <v>2352.7770728273754</v>
      </c>
      <c r="BB37" s="105">
        <v>5.3097419255782405</v>
      </c>
      <c r="BC37" s="105">
        <v>3459.8278387067817</v>
      </c>
      <c r="BD37" s="105">
        <v>4.4133760449295503</v>
      </c>
      <c r="BE37" s="105">
        <v>2875.7558308760949</v>
      </c>
      <c r="BF37" s="105">
        <v>3.8797358883270077</v>
      </c>
      <c r="BG37" s="105">
        <v>2528.0359048338782</v>
      </c>
      <c r="BH37" s="105">
        <v>3.6835541596297148</v>
      </c>
      <c r="BI37" s="105">
        <v>2400.2038904147221</v>
      </c>
      <c r="BJ37" s="105">
        <v>3.5138116081167969</v>
      </c>
      <c r="BK37" s="105">
        <v>2289.5996438489051</v>
      </c>
      <c r="BL37" s="105">
        <v>4.5834025659968622</v>
      </c>
      <c r="BM37" s="105">
        <v>2986.5451120035555</v>
      </c>
      <c r="BN37" s="105">
        <v>3.5271539204325202</v>
      </c>
      <c r="BO37" s="105">
        <v>2298.2934945538304</v>
      </c>
      <c r="BP37" s="105">
        <v>4.2872811221132574</v>
      </c>
      <c r="BQ37" s="105">
        <v>2793.5923791689988</v>
      </c>
      <c r="BR37" s="105">
        <v>3.9699642227566807</v>
      </c>
      <c r="BS37" s="105">
        <v>2586.8286875482531</v>
      </c>
      <c r="BT37" s="105">
        <v>3.66880613399305</v>
      </c>
      <c r="BU37" s="105">
        <v>2390.5940769098715</v>
      </c>
      <c r="BV37" s="105">
        <v>2.7538076283841644</v>
      </c>
      <c r="BW37" s="105">
        <v>1794.3810506551215</v>
      </c>
      <c r="BX37" s="105">
        <v>3.3940717259428395</v>
      </c>
      <c r="BY37" s="105">
        <v>2211.5771366243544</v>
      </c>
      <c r="BZ37" s="105">
        <v>3.839324983506827</v>
      </c>
      <c r="CA37" s="105">
        <v>2501.7041592530486</v>
      </c>
      <c r="CB37" s="105">
        <v>2.9878493992910595</v>
      </c>
      <c r="CC37" s="105">
        <v>1946.8826685780546</v>
      </c>
      <c r="CD37" s="105">
        <v>4.5318223117413998</v>
      </c>
      <c r="CE37" s="105">
        <v>2952.9354183306964</v>
      </c>
      <c r="CF37" s="105">
        <v>3.6671496150898166</v>
      </c>
      <c r="CG37" s="105">
        <v>2389.5146891925247</v>
      </c>
      <c r="CH37" s="105">
        <v>3.0362761587189806</v>
      </c>
      <c r="CI37" s="105">
        <v>1978.4375450212879</v>
      </c>
      <c r="CJ37" s="105">
        <v>3.2718398594436313</v>
      </c>
      <c r="CK37" s="105">
        <v>2131.9308524134703</v>
      </c>
      <c r="CL37" s="105">
        <v>5.7979020808981563</v>
      </c>
      <c r="CM37" s="105">
        <v>3777.9129959132388</v>
      </c>
      <c r="CN37" s="105">
        <v>4.1866553324104876</v>
      </c>
      <c r="CO37" s="105">
        <v>2728.0246145986739</v>
      </c>
      <c r="CP37" s="105">
        <v>4.3001569368438819</v>
      </c>
      <c r="CQ37" s="105">
        <v>2801.9822600474736</v>
      </c>
      <c r="CR37" s="105">
        <v>3.7330707565594712</v>
      </c>
      <c r="CS37" s="105">
        <v>2432.4689049741514</v>
      </c>
      <c r="CT37" s="105">
        <v>4.3510638877022085</v>
      </c>
      <c r="CU37" s="105">
        <v>2835.1532292267593</v>
      </c>
    </row>
    <row r="38" spans="2:99" x14ac:dyDescent="0.2">
      <c r="C38" s="104" t="s">
        <v>204</v>
      </c>
      <c r="D38" s="105">
        <v>6</v>
      </c>
      <c r="E38" s="105">
        <v>6192</v>
      </c>
      <c r="F38" s="105">
        <v>3</v>
      </c>
      <c r="G38" s="105">
        <v>3096</v>
      </c>
      <c r="H38" s="105">
        <v>4</v>
      </c>
      <c r="I38" s="105">
        <v>4128</v>
      </c>
      <c r="J38" s="105">
        <v>3</v>
      </c>
      <c r="K38" s="105">
        <v>3096</v>
      </c>
      <c r="L38" s="105">
        <v>5.3793878484931641</v>
      </c>
      <c r="M38" s="105">
        <v>5551.5282596449451</v>
      </c>
      <c r="N38" s="105">
        <v>3.1715571247356378</v>
      </c>
      <c r="O38" s="105">
        <v>3273.046952727178</v>
      </c>
      <c r="P38" s="105">
        <v>2.8997250196126476</v>
      </c>
      <c r="Q38" s="105">
        <v>2992.5162202402526</v>
      </c>
      <c r="R38" s="105">
        <v>2.7033353820948345</v>
      </c>
      <c r="S38" s="105">
        <v>2789.8421143218693</v>
      </c>
      <c r="T38" s="105">
        <v>4.0061400692193994</v>
      </c>
      <c r="U38" s="105">
        <v>4134.3365514344205</v>
      </c>
      <c r="V38" s="105">
        <v>3.7580168666701947</v>
      </c>
      <c r="W38" s="105">
        <v>3878.2734064036408</v>
      </c>
      <c r="X38" s="105">
        <v>2.4880318823357159</v>
      </c>
      <c r="Y38" s="105">
        <v>2567.6489025704586</v>
      </c>
      <c r="Z38" s="105">
        <v>3.9205472863339597</v>
      </c>
      <c r="AA38" s="105">
        <v>4046.0047994966462</v>
      </c>
      <c r="AB38" s="105">
        <v>3.6076197192908044</v>
      </c>
      <c r="AC38" s="105">
        <v>3723.0635503081103</v>
      </c>
      <c r="AD38" s="105">
        <v>4.9500588841295059</v>
      </c>
      <c r="AE38" s="105">
        <v>5108.4607684216498</v>
      </c>
      <c r="AF38" s="105">
        <v>4.3398348517347722</v>
      </c>
      <c r="AG38" s="105">
        <v>4478.7095669902847</v>
      </c>
      <c r="AH38" s="105">
        <v>2.07748115302567</v>
      </c>
      <c r="AI38" s="105">
        <v>2143.9605499224913</v>
      </c>
      <c r="AJ38" s="105">
        <v>4.6513690676933646</v>
      </c>
      <c r="AK38" s="105">
        <v>4800.2128778595525</v>
      </c>
      <c r="AL38" s="105">
        <v>3.1643731206368506</v>
      </c>
      <c r="AM38" s="105">
        <v>3265.63306049723</v>
      </c>
      <c r="AN38" s="105">
        <v>5.4480711620394064</v>
      </c>
      <c r="AO38" s="105">
        <v>5622.409439224667</v>
      </c>
      <c r="AP38" s="105">
        <v>2.8099855450653699</v>
      </c>
      <c r="AQ38" s="105">
        <v>2899.9050825074619</v>
      </c>
      <c r="AR38" s="105">
        <v>4.3589312542187555</v>
      </c>
      <c r="AS38" s="105">
        <v>4498.4170543537557</v>
      </c>
      <c r="AT38" s="105">
        <v>4.2153715118971169</v>
      </c>
      <c r="AU38" s="105">
        <v>4350.263400277825</v>
      </c>
      <c r="AV38" s="105">
        <v>5.4527481103103783</v>
      </c>
      <c r="AW38" s="105">
        <v>5627.2360498403104</v>
      </c>
      <c r="AX38" s="105">
        <v>4.9506628477728807</v>
      </c>
      <c r="AY38" s="105">
        <v>5109.0840589016125</v>
      </c>
      <c r="AZ38" s="105">
        <v>4.1707643490019395</v>
      </c>
      <c r="BA38" s="105">
        <v>4304.2288081700017</v>
      </c>
      <c r="BB38" s="105">
        <v>5.3097419255782405</v>
      </c>
      <c r="BC38" s="105">
        <v>5479.6536671967442</v>
      </c>
      <c r="BD38" s="105">
        <v>4.4133760449295503</v>
      </c>
      <c r="BE38" s="105">
        <v>4554.6040783672961</v>
      </c>
      <c r="BF38" s="105">
        <v>4.4859535106373931</v>
      </c>
      <c r="BG38" s="105">
        <v>4629.5040229777896</v>
      </c>
      <c r="BH38" s="105">
        <v>3.6835541596297148</v>
      </c>
      <c r="BI38" s="105">
        <v>3801.4278927378655</v>
      </c>
      <c r="BJ38" s="105">
        <v>3.5138116081167969</v>
      </c>
      <c r="BK38" s="105">
        <v>3626.2535795765343</v>
      </c>
      <c r="BL38" s="105">
        <v>3.837253732795352</v>
      </c>
      <c r="BM38" s="105">
        <v>3960.0458522448034</v>
      </c>
      <c r="BN38" s="105">
        <v>3.5538608792239432</v>
      </c>
      <c r="BO38" s="105">
        <v>3667.5844273591092</v>
      </c>
      <c r="BP38" s="105">
        <v>3.7403565403963119</v>
      </c>
      <c r="BQ38" s="105">
        <v>3860.0479496889939</v>
      </c>
      <c r="BR38" s="105">
        <v>3.933542779963219</v>
      </c>
      <c r="BS38" s="105">
        <v>4059.4161489220419</v>
      </c>
      <c r="BT38" s="105">
        <v>2.9955580728207076</v>
      </c>
      <c r="BU38" s="105">
        <v>3091.4159311509702</v>
      </c>
      <c r="BV38" s="105">
        <v>2.7538076283841644</v>
      </c>
      <c r="BW38" s="105">
        <v>2841.9294724924575</v>
      </c>
      <c r="BX38" s="105">
        <v>3.424084313209963</v>
      </c>
      <c r="BY38" s="105">
        <v>3533.6550112326818</v>
      </c>
      <c r="BZ38" s="105">
        <v>3.8681008124242773</v>
      </c>
      <c r="CA38" s="105">
        <v>3991.8800384218544</v>
      </c>
      <c r="CB38" s="105">
        <v>3.0217958337127242</v>
      </c>
      <c r="CC38" s="105">
        <v>3118.4933003915312</v>
      </c>
      <c r="CD38" s="105">
        <v>3.8232726138071707</v>
      </c>
      <c r="CE38" s="105">
        <v>3945.6173374489999</v>
      </c>
      <c r="CF38" s="105">
        <v>3.1025029733297758</v>
      </c>
      <c r="CG38" s="105">
        <v>3201.7830684763285</v>
      </c>
      <c r="CH38" s="105">
        <v>3.0362761587189806</v>
      </c>
      <c r="CI38" s="105">
        <v>3133.4369957979879</v>
      </c>
      <c r="CJ38" s="105">
        <v>3.2718398594436313</v>
      </c>
      <c r="CK38" s="105">
        <v>3376.5387349458274</v>
      </c>
      <c r="CL38" s="105">
        <v>5.7979020808981563</v>
      </c>
      <c r="CM38" s="105">
        <v>5983.4349474868977</v>
      </c>
      <c r="CN38" s="105">
        <v>4.1550144924770818</v>
      </c>
      <c r="CO38" s="105">
        <v>4287.9749562363486</v>
      </c>
      <c r="CP38" s="105">
        <v>4.3334912572232342</v>
      </c>
      <c r="CQ38" s="105">
        <v>4472.1629774543781</v>
      </c>
      <c r="CR38" s="105">
        <v>3.7618035038792073</v>
      </c>
      <c r="CS38" s="105">
        <v>3882.1812160033419</v>
      </c>
      <c r="CT38" s="105">
        <v>3.7629180507097799</v>
      </c>
      <c r="CU38" s="105">
        <v>3883.331428332493</v>
      </c>
    </row>
    <row r="39" spans="2:99" x14ac:dyDescent="0.2">
      <c r="C39" s="104" t="s">
        <v>205</v>
      </c>
      <c r="D39" s="105">
        <v>6</v>
      </c>
      <c r="E39" s="105">
        <v>7272</v>
      </c>
      <c r="F39" s="105">
        <v>3</v>
      </c>
      <c r="G39" s="105">
        <v>3636</v>
      </c>
      <c r="H39" s="105">
        <v>4</v>
      </c>
      <c r="I39" s="105">
        <v>4848</v>
      </c>
      <c r="J39" s="105">
        <v>3</v>
      </c>
      <c r="K39" s="105">
        <v>3636</v>
      </c>
      <c r="L39" s="105">
        <v>5.3793878484931641</v>
      </c>
      <c r="M39" s="105">
        <v>6519.818072373715</v>
      </c>
      <c r="N39" s="105">
        <v>3.1715571247356378</v>
      </c>
      <c r="O39" s="105">
        <v>3843.927235179593</v>
      </c>
      <c r="P39" s="105">
        <v>2.8667779048930027</v>
      </c>
      <c r="Q39" s="105">
        <v>3474.5348207303191</v>
      </c>
      <c r="R39" s="105">
        <v>2.7033353820948345</v>
      </c>
      <c r="S39" s="105">
        <v>3276.4424830989392</v>
      </c>
      <c r="T39" s="105">
        <v>4.7779653544468008</v>
      </c>
      <c r="U39" s="105">
        <v>5790.8940095895223</v>
      </c>
      <c r="V39" s="105">
        <v>3.7580168666701947</v>
      </c>
      <c r="W39" s="105">
        <v>4554.7164424042758</v>
      </c>
      <c r="X39" s="105">
        <v>2.4880318823357159</v>
      </c>
      <c r="Y39" s="105">
        <v>3015.4946413908879</v>
      </c>
      <c r="Z39" s="105">
        <v>3.9205472863339597</v>
      </c>
      <c r="AA39" s="105">
        <v>4751.7033110367593</v>
      </c>
      <c r="AB39" s="105">
        <v>3.648113890455738</v>
      </c>
      <c r="AC39" s="105">
        <v>4421.5140352323542</v>
      </c>
      <c r="AD39" s="105">
        <v>4.9500588841295059</v>
      </c>
      <c r="AE39" s="105">
        <v>5999.4713675649609</v>
      </c>
      <c r="AF39" s="105">
        <v>4.0069365670684176</v>
      </c>
      <c r="AG39" s="105">
        <v>4856.4071192869224</v>
      </c>
      <c r="AH39" s="105">
        <v>2.07748115302567</v>
      </c>
      <c r="AI39" s="105">
        <v>2517.907157467112</v>
      </c>
      <c r="AJ39" s="105">
        <v>4.0122684205082395</v>
      </c>
      <c r="AK39" s="105">
        <v>4862.8693256559864</v>
      </c>
      <c r="AL39" s="105">
        <v>3.1643731206368506</v>
      </c>
      <c r="AM39" s="105">
        <v>3835.2202222118631</v>
      </c>
      <c r="AN39" s="105">
        <v>4.5882950168025562</v>
      </c>
      <c r="AO39" s="105">
        <v>5561.0135603646986</v>
      </c>
      <c r="AP39" s="105">
        <v>2.8099855450653699</v>
      </c>
      <c r="AQ39" s="105">
        <v>3405.7024806192285</v>
      </c>
      <c r="AR39" s="105">
        <v>4.3251660782607821</v>
      </c>
      <c r="AS39" s="105">
        <v>5242.1012868520684</v>
      </c>
      <c r="AT39" s="105">
        <v>4.1822335917563844</v>
      </c>
      <c r="AU39" s="105">
        <v>5068.8671132087384</v>
      </c>
      <c r="AV39" s="105">
        <v>4.7054439567282502</v>
      </c>
      <c r="AW39" s="105">
        <v>5702.9980755546394</v>
      </c>
      <c r="AX39" s="105">
        <v>4.9136574406053013</v>
      </c>
      <c r="AY39" s="105">
        <v>5955.3528180136254</v>
      </c>
      <c r="AZ39" s="105">
        <v>3.5829026745298305</v>
      </c>
      <c r="BA39" s="105">
        <v>4342.4780415301548</v>
      </c>
      <c r="BB39" s="105">
        <v>4.6013219423256597</v>
      </c>
      <c r="BC39" s="105">
        <v>5576.8021940986991</v>
      </c>
      <c r="BD39" s="105">
        <v>4.4133760449295503</v>
      </c>
      <c r="BE39" s="105">
        <v>5349.0117664546151</v>
      </c>
      <c r="BF39" s="105">
        <v>3.8797358883270077</v>
      </c>
      <c r="BG39" s="105">
        <v>4702.2398966523333</v>
      </c>
      <c r="BH39" s="105">
        <v>3.6835541596297148</v>
      </c>
      <c r="BI39" s="105">
        <v>4464.4676414712139</v>
      </c>
      <c r="BJ39" s="105">
        <v>3.5138116081167969</v>
      </c>
      <c r="BK39" s="105">
        <v>4258.7396690375581</v>
      </c>
      <c r="BL39" s="105">
        <v>3.837253732795352</v>
      </c>
      <c r="BM39" s="105">
        <v>4650.7515241479668</v>
      </c>
      <c r="BN39" s="105">
        <v>3.5271539204325202</v>
      </c>
      <c r="BO39" s="105">
        <v>4274.9105515642141</v>
      </c>
      <c r="BP39" s="105">
        <v>3.7116809747653967</v>
      </c>
      <c r="BQ39" s="105">
        <v>4498.5573414156606</v>
      </c>
      <c r="BR39" s="105">
        <v>3.9699642227566807</v>
      </c>
      <c r="BS39" s="105">
        <v>4811.596637981097</v>
      </c>
      <c r="BT39" s="105">
        <v>3.66880613399305</v>
      </c>
      <c r="BU39" s="105">
        <v>4446.5930343995769</v>
      </c>
      <c r="BV39" s="105">
        <v>3.3574756721339711</v>
      </c>
      <c r="BW39" s="105">
        <v>4069.2605146263732</v>
      </c>
      <c r="BX39" s="105">
        <v>2.7572750029282451</v>
      </c>
      <c r="BY39" s="105">
        <v>3341.8173035490331</v>
      </c>
      <c r="BZ39" s="105">
        <v>3.2713770585493163</v>
      </c>
      <c r="CA39" s="105">
        <v>3964.9089949617714</v>
      </c>
      <c r="CB39" s="105">
        <v>2.9878493992910595</v>
      </c>
      <c r="CC39" s="105">
        <v>3621.273471940764</v>
      </c>
      <c r="CD39" s="105">
        <v>3.8232726138071707</v>
      </c>
      <c r="CE39" s="105">
        <v>4633.8064079342912</v>
      </c>
      <c r="CF39" s="105">
        <v>3.6112956621839016</v>
      </c>
      <c r="CG39" s="105">
        <v>4376.8903425668886</v>
      </c>
      <c r="CH39" s="105">
        <v>3.7110534272944928</v>
      </c>
      <c r="CI39" s="105">
        <v>4497.7967538809253</v>
      </c>
      <c r="CJ39" s="105">
        <v>3.8171465026842366</v>
      </c>
      <c r="CK39" s="105">
        <v>4626.3815612532944</v>
      </c>
      <c r="CL39" s="105">
        <v>5.7979020808981563</v>
      </c>
      <c r="CM39" s="105">
        <v>7027.0573220485658</v>
      </c>
      <c r="CN39" s="105">
        <v>4.1550144924770818</v>
      </c>
      <c r="CO39" s="105">
        <v>5035.8775648822229</v>
      </c>
      <c r="CP39" s="105">
        <v>4.3334912572232342</v>
      </c>
      <c r="CQ39" s="105">
        <v>5252.1914037545603</v>
      </c>
      <c r="CR39" s="105">
        <v>3.1492026268925404</v>
      </c>
      <c r="CS39" s="105">
        <v>3816.8335837937589</v>
      </c>
      <c r="CT39" s="105">
        <v>3.7336626721153792</v>
      </c>
      <c r="CU39" s="105">
        <v>4525.1991586038394</v>
      </c>
    </row>
    <row r="40" spans="2:99" x14ac:dyDescent="0.2">
      <c r="C40" s="104" t="s">
        <v>206</v>
      </c>
      <c r="D40" s="105">
        <v>5</v>
      </c>
      <c r="E40" s="105">
        <v>2585.9999999999995</v>
      </c>
      <c r="F40" s="105">
        <v>3</v>
      </c>
      <c r="G40" s="105">
        <v>1551.6</v>
      </c>
      <c r="H40" s="105">
        <v>4</v>
      </c>
      <c r="I40" s="105">
        <v>2068.7999999999997</v>
      </c>
      <c r="J40" s="105">
        <v>3</v>
      </c>
      <c r="K40" s="105">
        <v>1551.6</v>
      </c>
      <c r="L40" s="105">
        <v>5.3793878484931641</v>
      </c>
      <c r="M40" s="105">
        <v>2782.2193952406642</v>
      </c>
      <c r="N40" s="105">
        <v>3.1715571247356378</v>
      </c>
      <c r="O40" s="105">
        <v>1640.3293449132716</v>
      </c>
      <c r="P40" s="105">
        <v>2.8997250196126476</v>
      </c>
      <c r="Q40" s="105">
        <v>1499.7377801436612</v>
      </c>
      <c r="R40" s="105">
        <v>2.7340358228761965</v>
      </c>
      <c r="S40" s="105">
        <v>1414.0433275915686</v>
      </c>
      <c r="T40" s="105">
        <v>4.0428934799899974</v>
      </c>
      <c r="U40" s="105">
        <v>2090.9845078508265</v>
      </c>
      <c r="V40" s="105">
        <v>3.7580168666701947</v>
      </c>
      <c r="W40" s="105">
        <v>1943.6463234418245</v>
      </c>
      <c r="X40" s="105">
        <v>2.4880318823357159</v>
      </c>
      <c r="Y40" s="105">
        <v>1286.8100895440321</v>
      </c>
      <c r="Z40" s="105">
        <v>3.9205472863339597</v>
      </c>
      <c r="AA40" s="105">
        <v>2027.7070564919236</v>
      </c>
      <c r="AB40" s="105">
        <v>3.6886080616206711</v>
      </c>
      <c r="AC40" s="105">
        <v>1907.7480894702107</v>
      </c>
      <c r="AD40" s="105">
        <v>4.9886615423423484</v>
      </c>
      <c r="AE40" s="105">
        <v>2580.1357496994624</v>
      </c>
      <c r="AF40" s="105">
        <v>4.6747593282464868</v>
      </c>
      <c r="AG40" s="105">
        <v>2417.7855245690826</v>
      </c>
      <c r="AH40" s="105">
        <v>2.6808303683424413</v>
      </c>
      <c r="AI40" s="105">
        <v>1386.5254665067105</v>
      </c>
      <c r="AJ40" s="105">
        <v>4.0122684205082395</v>
      </c>
      <c r="AK40" s="105">
        <v>2075.1452270868613</v>
      </c>
      <c r="AL40" s="105">
        <v>3.1643731206368506</v>
      </c>
      <c r="AM40" s="105">
        <v>1636.613777993379</v>
      </c>
      <c r="AN40" s="105">
        <v>5.4480711620394064</v>
      </c>
      <c r="AO40" s="105">
        <v>2817.7424050067807</v>
      </c>
      <c r="AP40" s="105">
        <v>2.8415517574076641</v>
      </c>
      <c r="AQ40" s="105">
        <v>1469.6505689312437</v>
      </c>
      <c r="AR40" s="105">
        <v>4.3589312542187555</v>
      </c>
      <c r="AS40" s="105">
        <v>2254.4392446819402</v>
      </c>
      <c r="AT40" s="105">
        <v>4.2153715118971169</v>
      </c>
      <c r="AU40" s="105">
        <v>2180.1901459531887</v>
      </c>
      <c r="AV40" s="105">
        <v>4.7423804626008303</v>
      </c>
      <c r="AW40" s="105">
        <v>2452.7591752571493</v>
      </c>
      <c r="AX40" s="105">
        <v>4.9506628477728807</v>
      </c>
      <c r="AY40" s="105">
        <v>2560.4828248681338</v>
      </c>
      <c r="AZ40" s="105">
        <v>4.1707643490019395</v>
      </c>
      <c r="BA40" s="105">
        <v>2157.1193213038027</v>
      </c>
      <c r="BB40" s="105">
        <v>5.3097419255782405</v>
      </c>
      <c r="BC40" s="105">
        <v>2746.1985239090654</v>
      </c>
      <c r="BD40" s="105">
        <v>4.4133760449295503</v>
      </c>
      <c r="BE40" s="105">
        <v>2282.5980904375633</v>
      </c>
      <c r="BF40" s="105">
        <v>3.9100396576350946</v>
      </c>
      <c r="BG40" s="105">
        <v>2022.2725109288706</v>
      </c>
      <c r="BH40" s="105">
        <v>3.6835541596297148</v>
      </c>
      <c r="BI40" s="105">
        <v>1905.1342113604883</v>
      </c>
      <c r="BJ40" s="105">
        <v>3.5138116081167969</v>
      </c>
      <c r="BK40" s="105">
        <v>1817.3433637180071</v>
      </c>
      <c r="BL40" s="105">
        <v>3.87275692172462</v>
      </c>
      <c r="BM40" s="105">
        <v>2002.9898799159732</v>
      </c>
      <c r="BN40" s="105">
        <v>4.1194640669698446</v>
      </c>
      <c r="BO40" s="105">
        <v>2130.5868154368031</v>
      </c>
      <c r="BP40" s="105">
        <v>3.7403565403963119</v>
      </c>
      <c r="BQ40" s="105">
        <v>1934.5124026929723</v>
      </c>
      <c r="BR40" s="105">
        <v>3.933542779963219</v>
      </c>
      <c r="BS40" s="105">
        <v>2034.4283257969767</v>
      </c>
      <c r="BT40" s="105">
        <v>3.0627949235165608</v>
      </c>
      <c r="BU40" s="105">
        <v>1584.077534442765</v>
      </c>
      <c r="BV40" s="105">
        <v>3.3883061678962383</v>
      </c>
      <c r="BW40" s="105">
        <v>1752.4319500359343</v>
      </c>
      <c r="BX40" s="105">
        <v>2.7872875901953682</v>
      </c>
      <c r="BY40" s="105">
        <v>1441.5851416490443</v>
      </c>
      <c r="BZ40" s="105">
        <v>3.2713770585493163</v>
      </c>
      <c r="CA40" s="105">
        <v>1691.9562146817061</v>
      </c>
      <c r="CB40" s="105">
        <v>2.9878493992910595</v>
      </c>
      <c r="CC40" s="105">
        <v>1545.3157093133357</v>
      </c>
      <c r="CD40" s="105">
        <v>3.8232726138071707</v>
      </c>
      <c r="CE40" s="105">
        <v>1977.3965958610684</v>
      </c>
      <c r="CF40" s="105">
        <v>3.1025029733297758</v>
      </c>
      <c r="CG40" s="105">
        <v>1604.6145378061599</v>
      </c>
      <c r="CH40" s="105">
        <v>3.0362761587189806</v>
      </c>
      <c r="CI40" s="105">
        <v>1570.3620292894566</v>
      </c>
      <c r="CJ40" s="105">
        <v>3.2718398594436313</v>
      </c>
      <c r="CK40" s="105">
        <v>1692.1955753042459</v>
      </c>
      <c r="CL40" s="105">
        <v>5.7979020808981563</v>
      </c>
      <c r="CM40" s="105">
        <v>2998.6749562405262</v>
      </c>
      <c r="CN40" s="105">
        <v>4.2182961723438934</v>
      </c>
      <c r="CO40" s="105">
        <v>2181.7027803362612</v>
      </c>
      <c r="CP40" s="105">
        <v>4.3334912572232342</v>
      </c>
      <c r="CQ40" s="105">
        <v>2241.2816782358564</v>
      </c>
      <c r="CR40" s="105">
        <v>3.7618035038792073</v>
      </c>
      <c r="CS40" s="105">
        <v>1945.6047722063258</v>
      </c>
      <c r="CT40" s="105">
        <v>3.7629180507097799</v>
      </c>
      <c r="CU40" s="105">
        <v>1946.181215827098</v>
      </c>
    </row>
    <row r="41" spans="2:99" x14ac:dyDescent="0.2">
      <c r="C41" s="104" t="s">
        <v>207</v>
      </c>
      <c r="D41" s="105">
        <v>5</v>
      </c>
      <c r="E41" s="105">
        <v>2274</v>
      </c>
      <c r="F41" s="105">
        <v>3</v>
      </c>
      <c r="G41" s="105">
        <v>1364.4</v>
      </c>
      <c r="H41" s="105">
        <v>4</v>
      </c>
      <c r="I41" s="105">
        <v>1819.2</v>
      </c>
      <c r="J41" s="105">
        <v>3</v>
      </c>
      <c r="K41" s="105">
        <v>1364.4</v>
      </c>
      <c r="L41" s="105">
        <v>5.3793878484931641</v>
      </c>
      <c r="M41" s="105">
        <v>2446.5455934946913</v>
      </c>
      <c r="N41" s="105">
        <v>3.1715571247356378</v>
      </c>
      <c r="O41" s="105">
        <v>1442.4241803297682</v>
      </c>
      <c r="P41" s="105">
        <v>2.8997250196126476</v>
      </c>
      <c r="Q41" s="105">
        <v>1318.7949389198322</v>
      </c>
      <c r="R41" s="105">
        <v>2.7033353820948345</v>
      </c>
      <c r="S41" s="105">
        <v>1229.4769317767307</v>
      </c>
      <c r="T41" s="105">
        <v>4.7779653544468008</v>
      </c>
      <c r="U41" s="105">
        <v>2173.0186432024052</v>
      </c>
      <c r="V41" s="105">
        <v>3.7580168666701947</v>
      </c>
      <c r="W41" s="105">
        <v>1709.1460709616047</v>
      </c>
      <c r="X41" s="105">
        <v>2.4880318823357159</v>
      </c>
      <c r="Y41" s="105">
        <v>1131.5569000862836</v>
      </c>
      <c r="Z41" s="105">
        <v>4.0090911548981039</v>
      </c>
      <c r="AA41" s="105">
        <v>1823.3346572476578</v>
      </c>
      <c r="AB41" s="105">
        <v>3.6076197192908044</v>
      </c>
      <c r="AC41" s="105">
        <v>1640.7454483334579</v>
      </c>
      <c r="AD41" s="105">
        <v>4.1636517283207644</v>
      </c>
      <c r="AE41" s="105">
        <v>1893.6288060402837</v>
      </c>
      <c r="AF41" s="105">
        <v>4.373124680201407</v>
      </c>
      <c r="AG41" s="105">
        <v>1988.8971045556</v>
      </c>
      <c r="AH41" s="105">
        <v>2.7105452024619248</v>
      </c>
      <c r="AI41" s="105">
        <v>1232.7559580796835</v>
      </c>
      <c r="AJ41" s="105">
        <v>4.6259884194937229</v>
      </c>
      <c r="AK41" s="105">
        <v>2103.899533185745</v>
      </c>
      <c r="AL41" s="105">
        <v>3.1643731206368506</v>
      </c>
      <c r="AM41" s="105">
        <v>1439.1568952656396</v>
      </c>
      <c r="AN41" s="105">
        <v>5.4480711620394064</v>
      </c>
      <c r="AO41" s="105">
        <v>2477.7827644955223</v>
      </c>
      <c r="AP41" s="105">
        <v>2.8415517574076641</v>
      </c>
      <c r="AQ41" s="105">
        <v>1292.3377392690056</v>
      </c>
      <c r="AR41" s="105">
        <v>4.3926964301767271</v>
      </c>
      <c r="AS41" s="105">
        <v>1997.7983364443755</v>
      </c>
      <c r="AT41" s="105">
        <v>4.2153715118971169</v>
      </c>
      <c r="AU41" s="105">
        <v>1917.1509636108087</v>
      </c>
      <c r="AV41" s="105">
        <v>4.7423804626008303</v>
      </c>
      <c r="AW41" s="105">
        <v>2156.8346343908579</v>
      </c>
      <c r="AX41" s="105">
        <v>5.6955949402052726</v>
      </c>
      <c r="AY41" s="105">
        <v>2590.3565788053579</v>
      </c>
      <c r="AZ41" s="105">
        <v>3.6107689883784153</v>
      </c>
      <c r="BA41" s="105">
        <v>1642.1777359145033</v>
      </c>
      <c r="BB41" s="105">
        <v>4.5662417380446421</v>
      </c>
      <c r="BC41" s="105">
        <v>2076.7267424627034</v>
      </c>
      <c r="BD41" s="105">
        <v>4.4133760449295503</v>
      </c>
      <c r="BE41" s="105">
        <v>2007.2034252339595</v>
      </c>
      <c r="BF41" s="105">
        <v>4.5162572799454797</v>
      </c>
      <c r="BG41" s="105">
        <v>2053.9938109192044</v>
      </c>
      <c r="BH41" s="105">
        <v>3.6835541596297148</v>
      </c>
      <c r="BI41" s="105">
        <v>1675.2804317995942</v>
      </c>
      <c r="BJ41" s="105">
        <v>4.2165739297401563</v>
      </c>
      <c r="BK41" s="105">
        <v>1917.6978232458232</v>
      </c>
      <c r="BL41" s="105">
        <v>4.5834025659968622</v>
      </c>
      <c r="BM41" s="105">
        <v>2084.5314870153729</v>
      </c>
      <c r="BN41" s="105">
        <v>4.1194640669698446</v>
      </c>
      <c r="BO41" s="105">
        <v>1873.5322576578853</v>
      </c>
      <c r="BP41" s="105">
        <v>4.344632253375087</v>
      </c>
      <c r="BQ41" s="105">
        <v>1975.9387488349896</v>
      </c>
      <c r="BR41" s="105">
        <v>3.9699642227566807</v>
      </c>
      <c r="BS41" s="105">
        <v>1805.5397285097383</v>
      </c>
      <c r="BT41" s="105">
        <v>3.7360429846889027</v>
      </c>
      <c r="BU41" s="105">
        <v>1699.1523494365131</v>
      </c>
      <c r="BV41" s="105">
        <v>2.7538076283841644</v>
      </c>
      <c r="BW41" s="105">
        <v>1252.4317093891179</v>
      </c>
      <c r="BX41" s="105">
        <v>3.424084313209963</v>
      </c>
      <c r="BY41" s="105">
        <v>1557.2735456478913</v>
      </c>
      <c r="BZ41" s="105">
        <v>3.839324983506827</v>
      </c>
      <c r="CA41" s="105">
        <v>1746.1250024989049</v>
      </c>
      <c r="CB41" s="105">
        <v>3.0217958337127242</v>
      </c>
      <c r="CC41" s="105">
        <v>1374.312745172547</v>
      </c>
      <c r="CD41" s="105">
        <v>3.7882070982901679</v>
      </c>
      <c r="CE41" s="105">
        <v>1722.8765883023684</v>
      </c>
      <c r="CF41" s="105">
        <v>3.6671496150898166</v>
      </c>
      <c r="CG41" s="105">
        <v>1667.8196449428488</v>
      </c>
      <c r="CH41" s="105">
        <v>3.7447701357361862</v>
      </c>
      <c r="CI41" s="105">
        <v>1703.1214577328176</v>
      </c>
      <c r="CJ41" s="105">
        <v>3.2718398594436313</v>
      </c>
      <c r="CK41" s="105">
        <v>1488.0327680749635</v>
      </c>
      <c r="CL41" s="105">
        <v>4.9696303550555632</v>
      </c>
      <c r="CM41" s="105">
        <v>2260.1878854792703</v>
      </c>
      <c r="CN41" s="105">
        <v>4.2182961723438934</v>
      </c>
      <c r="CO41" s="105">
        <v>1918.4810991820027</v>
      </c>
      <c r="CP41" s="105">
        <v>5.0001825994615183</v>
      </c>
      <c r="CQ41" s="105">
        <v>2274.0830462350987</v>
      </c>
      <c r="CR41" s="105">
        <v>3.7905362511989429</v>
      </c>
      <c r="CS41" s="105">
        <v>1723.9358870452793</v>
      </c>
      <c r="CT41" s="105">
        <v>4.3510638877022085</v>
      </c>
      <c r="CU41" s="105">
        <v>1978.8638561269645</v>
      </c>
    </row>
    <row r="42" spans="2:99" x14ac:dyDescent="0.2">
      <c r="C42" s="104" t="s">
        <v>208</v>
      </c>
      <c r="D42" s="105">
        <v>6</v>
      </c>
      <c r="E42" s="105">
        <v>4176</v>
      </c>
      <c r="F42" s="105">
        <v>3</v>
      </c>
      <c r="G42" s="105">
        <v>2088</v>
      </c>
      <c r="H42" s="105">
        <v>3</v>
      </c>
      <c r="I42" s="105">
        <v>2088</v>
      </c>
      <c r="J42" s="105">
        <v>4</v>
      </c>
      <c r="K42" s="105">
        <v>2784</v>
      </c>
      <c r="L42" s="105">
        <v>5.3793878484931641</v>
      </c>
      <c r="M42" s="105">
        <v>3744.053942551242</v>
      </c>
      <c r="N42" s="105">
        <v>3.1715571247356378</v>
      </c>
      <c r="O42" s="105">
        <v>2207.403758816004</v>
      </c>
      <c r="P42" s="105">
        <v>2.8997250196126476</v>
      </c>
      <c r="Q42" s="105">
        <v>2018.2086136504026</v>
      </c>
      <c r="R42" s="105">
        <v>2.7340358228761965</v>
      </c>
      <c r="S42" s="105">
        <v>1902.8889327218328</v>
      </c>
      <c r="T42" s="105">
        <v>4.7412119436762028</v>
      </c>
      <c r="U42" s="105">
        <v>3299.8835127986372</v>
      </c>
      <c r="V42" s="105">
        <v>3.7580168666701947</v>
      </c>
      <c r="W42" s="105">
        <v>2615.5797392024556</v>
      </c>
      <c r="X42" s="105">
        <v>2.4880318823357159</v>
      </c>
      <c r="Y42" s="105">
        <v>1731.6701901056583</v>
      </c>
      <c r="Z42" s="105">
        <v>3.9648192206160311</v>
      </c>
      <c r="AA42" s="105">
        <v>2759.5141775487577</v>
      </c>
      <c r="AB42" s="105">
        <v>3.6076197192908044</v>
      </c>
      <c r="AC42" s="105">
        <v>2510.9033246263998</v>
      </c>
      <c r="AD42" s="105">
        <v>4.9886615423423484</v>
      </c>
      <c r="AE42" s="105">
        <v>3472.1084334702746</v>
      </c>
      <c r="AF42" s="105">
        <v>4.373124680201407</v>
      </c>
      <c r="AG42" s="105">
        <v>3043.6947774201794</v>
      </c>
      <c r="AH42" s="105">
        <v>2.6808303683424413</v>
      </c>
      <c r="AI42" s="105">
        <v>1865.8579363663391</v>
      </c>
      <c r="AJ42" s="105">
        <v>4.0122684205082395</v>
      </c>
      <c r="AK42" s="105">
        <v>2792.5388206737348</v>
      </c>
      <c r="AL42" s="105">
        <v>3.1371537612891776</v>
      </c>
      <c r="AM42" s="105">
        <v>2183.4590178572676</v>
      </c>
      <c r="AN42" s="105">
        <v>4.5882950168025562</v>
      </c>
      <c r="AO42" s="105">
        <v>3193.453331694579</v>
      </c>
      <c r="AP42" s="105">
        <v>3.4414579535615504</v>
      </c>
      <c r="AQ42" s="105">
        <v>2395.2547356788391</v>
      </c>
      <c r="AR42" s="105">
        <v>4.3926964301767271</v>
      </c>
      <c r="AS42" s="105">
        <v>3057.316715403002</v>
      </c>
      <c r="AT42" s="105">
        <v>4.2153715118971169</v>
      </c>
      <c r="AU42" s="105">
        <v>2933.8985722803932</v>
      </c>
      <c r="AV42" s="105">
        <v>4.7423804626008303</v>
      </c>
      <c r="AW42" s="105">
        <v>3300.6968019701781</v>
      </c>
      <c r="AX42" s="105">
        <v>4.9136574406053013</v>
      </c>
      <c r="AY42" s="105">
        <v>3419.9055786612898</v>
      </c>
      <c r="AZ42" s="105">
        <v>4.1707643490019395</v>
      </c>
      <c r="BA42" s="105">
        <v>2902.8519869053498</v>
      </c>
      <c r="BB42" s="105">
        <v>5.3448221298592582</v>
      </c>
      <c r="BC42" s="105">
        <v>3719.9962023820435</v>
      </c>
      <c r="BD42" s="105">
        <v>4.4483710722983876</v>
      </c>
      <c r="BE42" s="105">
        <v>3096.0662663196777</v>
      </c>
      <c r="BF42" s="105">
        <v>3.9100396576350946</v>
      </c>
      <c r="BG42" s="105">
        <v>2721.387601714026</v>
      </c>
      <c r="BH42" s="105">
        <v>3.6835541596297148</v>
      </c>
      <c r="BI42" s="105">
        <v>2563.7536951022817</v>
      </c>
      <c r="BJ42" s="105">
        <v>3.5138116081167969</v>
      </c>
      <c r="BK42" s="105">
        <v>2445.6128792492905</v>
      </c>
      <c r="BL42" s="105">
        <v>3.87275692172462</v>
      </c>
      <c r="BM42" s="105">
        <v>2695.4388175203358</v>
      </c>
      <c r="BN42" s="105">
        <v>3.5805678380153663</v>
      </c>
      <c r="BO42" s="105">
        <v>2492.0752152586947</v>
      </c>
      <c r="BP42" s="105">
        <v>3.7403565403963119</v>
      </c>
      <c r="BQ42" s="105">
        <v>2603.2881521158333</v>
      </c>
      <c r="BR42" s="105">
        <v>3.933542779963219</v>
      </c>
      <c r="BS42" s="105">
        <v>2737.7457748544002</v>
      </c>
      <c r="BT42" s="105">
        <v>3.0291764981686344</v>
      </c>
      <c r="BU42" s="105">
        <v>2108.3068427253697</v>
      </c>
      <c r="BV42" s="105">
        <v>3.3883061678962383</v>
      </c>
      <c r="BW42" s="105">
        <v>2358.261092855782</v>
      </c>
      <c r="BX42" s="105">
        <v>3.424084313209963</v>
      </c>
      <c r="BY42" s="105">
        <v>2383.1626819941343</v>
      </c>
      <c r="BZ42" s="105">
        <v>3.839324983506827</v>
      </c>
      <c r="CA42" s="105">
        <v>2672.1701885207517</v>
      </c>
      <c r="CB42" s="105">
        <v>3.0217958337127242</v>
      </c>
      <c r="CC42" s="105">
        <v>2103.1699002640562</v>
      </c>
      <c r="CD42" s="105">
        <v>3.8232726138071707</v>
      </c>
      <c r="CE42" s="105">
        <v>2660.9977392097908</v>
      </c>
      <c r="CF42" s="105">
        <v>3.6392226386368591</v>
      </c>
      <c r="CG42" s="105">
        <v>2532.898956491254</v>
      </c>
      <c r="CH42" s="105">
        <v>3.0699928671606735</v>
      </c>
      <c r="CI42" s="105">
        <v>2136.7150355438289</v>
      </c>
      <c r="CJ42" s="105">
        <v>3.2718398594436313</v>
      </c>
      <c r="CK42" s="105">
        <v>2277.2005421727672</v>
      </c>
      <c r="CL42" s="105">
        <v>5.7979020808981563</v>
      </c>
      <c r="CM42" s="105">
        <v>4035.3398483051169</v>
      </c>
      <c r="CN42" s="105">
        <v>4.1550144924770818</v>
      </c>
      <c r="CO42" s="105">
        <v>2891.8900867640491</v>
      </c>
      <c r="CP42" s="105">
        <v>4.3001569368438819</v>
      </c>
      <c r="CQ42" s="105">
        <v>2992.909228043342</v>
      </c>
      <c r="CR42" s="105">
        <v>3.7618035038792073</v>
      </c>
      <c r="CS42" s="105">
        <v>2618.2152386999282</v>
      </c>
      <c r="CT42" s="105">
        <v>3.7629180507097799</v>
      </c>
      <c r="CU42" s="105">
        <v>2618.9909632940066</v>
      </c>
    </row>
    <row r="43" spans="2:99" x14ac:dyDescent="0.2">
      <c r="C43" s="104" t="s">
        <v>209</v>
      </c>
      <c r="D43" s="105">
        <v>6</v>
      </c>
      <c r="E43" s="105">
        <v>4888.7999999999993</v>
      </c>
      <c r="F43" s="105">
        <v>3</v>
      </c>
      <c r="G43" s="105">
        <v>2444.3999999999996</v>
      </c>
      <c r="H43" s="105">
        <v>3</v>
      </c>
      <c r="I43" s="105">
        <v>2444.3999999999996</v>
      </c>
      <c r="J43" s="105">
        <v>3</v>
      </c>
      <c r="K43" s="105">
        <v>2444.3999999999996</v>
      </c>
      <c r="L43" s="105">
        <v>5.3793878484931641</v>
      </c>
      <c r="M43" s="105">
        <v>4383.1252189522302</v>
      </c>
      <c r="N43" s="105">
        <v>3.1715571247356378</v>
      </c>
      <c r="O43" s="105">
        <v>2584.1847452345974</v>
      </c>
      <c r="P43" s="105">
        <v>2.8997250196126476</v>
      </c>
      <c r="Q43" s="105">
        <v>2362.6959459803852</v>
      </c>
      <c r="R43" s="105">
        <v>2.7340358228761965</v>
      </c>
      <c r="S43" s="105">
        <v>2227.6923884795247</v>
      </c>
      <c r="T43" s="105">
        <v>4.0061400692193994</v>
      </c>
      <c r="U43" s="105">
        <v>3264.2029283999664</v>
      </c>
      <c r="V43" s="105">
        <v>3.7580168666701947</v>
      </c>
      <c r="W43" s="105">
        <v>3062.0321429628743</v>
      </c>
      <c r="X43" s="105">
        <v>1.8660239117517869</v>
      </c>
      <c r="Y43" s="105">
        <v>1520.4362832953559</v>
      </c>
      <c r="Z43" s="105">
        <v>3.9648192206160311</v>
      </c>
      <c r="AA43" s="105">
        <v>3230.5347009579418</v>
      </c>
      <c r="AB43" s="105">
        <v>3.6076197192908044</v>
      </c>
      <c r="AC43" s="105">
        <v>2939.4885472781471</v>
      </c>
      <c r="AD43" s="105">
        <v>4.2022543865336068</v>
      </c>
      <c r="AE43" s="105">
        <v>3423.9968741475827</v>
      </c>
      <c r="AF43" s="105">
        <v>5.0409474413794761</v>
      </c>
      <c r="AG43" s="105">
        <v>4107.3639752359968</v>
      </c>
      <c r="AH43" s="105">
        <v>2.0477663189061857</v>
      </c>
      <c r="AI43" s="105">
        <v>1668.5199966447599</v>
      </c>
      <c r="AJ43" s="105">
        <v>4.6259884194937229</v>
      </c>
      <c r="AK43" s="105">
        <v>3769.255364203485</v>
      </c>
      <c r="AL43" s="105">
        <v>3.1371537612891776</v>
      </c>
      <c r="AM43" s="105">
        <v>2556.1528846984215</v>
      </c>
      <c r="AN43" s="105">
        <v>4.5882950168025562</v>
      </c>
      <c r="AO43" s="105">
        <v>3738.5427796907225</v>
      </c>
      <c r="AP43" s="105">
        <v>2.8415517574076641</v>
      </c>
      <c r="AQ43" s="105">
        <v>2315.2963719357645</v>
      </c>
      <c r="AR43" s="105">
        <v>4.3251660782607821</v>
      </c>
      <c r="AS43" s="105">
        <v>3524.1453205668849</v>
      </c>
      <c r="AT43" s="105">
        <v>4.2153715118971169</v>
      </c>
      <c r="AU43" s="105">
        <v>3434.6847078937708</v>
      </c>
      <c r="AV43" s="105">
        <v>5.4896846161829584</v>
      </c>
      <c r="AW43" s="105">
        <v>4472.9950252658746</v>
      </c>
      <c r="AX43" s="105">
        <v>4.8766520334377219</v>
      </c>
      <c r="AY43" s="105">
        <v>3973.4960768450555</v>
      </c>
      <c r="AZ43" s="105">
        <v>3.6107689883784153</v>
      </c>
      <c r="BA43" s="105">
        <v>2942.0545717307327</v>
      </c>
      <c r="BB43" s="105">
        <v>4.6364021466066774</v>
      </c>
      <c r="BC43" s="105">
        <v>3777.7404690551207</v>
      </c>
      <c r="BD43" s="105">
        <v>4.4133760449295503</v>
      </c>
      <c r="BE43" s="105">
        <v>3596.0188014085975</v>
      </c>
      <c r="BF43" s="105">
        <v>4.5162572799454797</v>
      </c>
      <c r="BG43" s="105">
        <v>3679.8464316995764</v>
      </c>
      <c r="BH43" s="105">
        <v>3.6835541596297148</v>
      </c>
      <c r="BI43" s="105">
        <v>3001.3599292662916</v>
      </c>
      <c r="BJ43" s="105">
        <v>3.5138116081167969</v>
      </c>
      <c r="BK43" s="105">
        <v>2863.053698293566</v>
      </c>
      <c r="BL43" s="105">
        <v>3.837253732795352</v>
      </c>
      <c r="BM43" s="105">
        <v>3126.5943414816525</v>
      </c>
      <c r="BN43" s="105">
        <v>3.5805678380153663</v>
      </c>
      <c r="BO43" s="105">
        <v>2917.4466744149204</v>
      </c>
      <c r="BP43" s="105">
        <v>3.7116809747653967</v>
      </c>
      <c r="BQ43" s="105">
        <v>3024.2776582388451</v>
      </c>
      <c r="BR43" s="105">
        <v>3.933542779963219</v>
      </c>
      <c r="BS43" s="105">
        <v>3205.0506571140309</v>
      </c>
      <c r="BT43" s="105">
        <v>3.66880613399305</v>
      </c>
      <c r="BU43" s="105">
        <v>2989.3432379775368</v>
      </c>
      <c r="BV43" s="105">
        <v>3.3883061678962383</v>
      </c>
      <c r="BW43" s="105">
        <v>2760.7918656018546</v>
      </c>
      <c r="BX43" s="105">
        <v>2.7572750029282451</v>
      </c>
      <c r="BY43" s="105">
        <v>2246.6276723859341</v>
      </c>
      <c r="BZ43" s="105">
        <v>3.839324983506827</v>
      </c>
      <c r="CA43" s="105">
        <v>3128.2819965613626</v>
      </c>
      <c r="CB43" s="105">
        <v>2.9878493992910595</v>
      </c>
      <c r="CC43" s="105">
        <v>2434.499690542355</v>
      </c>
      <c r="CD43" s="105">
        <v>3.8232726138071707</v>
      </c>
      <c r="CE43" s="105">
        <v>3115.2025257300825</v>
      </c>
      <c r="CF43" s="105">
        <v>3.6671496150898166</v>
      </c>
      <c r="CG43" s="105">
        <v>2987.9935063751823</v>
      </c>
      <c r="CH43" s="105">
        <v>3.1037095756023665</v>
      </c>
      <c r="CI43" s="105">
        <v>2528.902562200808</v>
      </c>
      <c r="CJ43" s="105">
        <v>3.8171465026842366</v>
      </c>
      <c r="CK43" s="105">
        <v>3110.2109703871156</v>
      </c>
      <c r="CL43" s="105">
        <v>4.9696303550555632</v>
      </c>
      <c r="CM43" s="105">
        <v>4049.2548132992724</v>
      </c>
      <c r="CN43" s="105">
        <v>4.1550144924770818</v>
      </c>
      <c r="CO43" s="105">
        <v>3385.505808470326</v>
      </c>
      <c r="CP43" s="105">
        <v>4.9335139587028118</v>
      </c>
      <c r="CQ43" s="105">
        <v>4019.8271735510507</v>
      </c>
      <c r="CR43" s="105">
        <v>3.7618035038792073</v>
      </c>
      <c r="CS43" s="105">
        <v>3065.117494960778</v>
      </c>
      <c r="CT43" s="105">
        <v>4.3510638877022085</v>
      </c>
      <c r="CU43" s="105">
        <v>3545.2468556997592</v>
      </c>
    </row>
    <row r="44" spans="2:99" x14ac:dyDescent="0.2">
      <c r="C44" s="104" t="s">
        <v>210</v>
      </c>
      <c r="D44" s="105">
        <v>6</v>
      </c>
      <c r="E44" s="105">
        <v>5061.6000000000004</v>
      </c>
      <c r="F44" s="105">
        <v>3</v>
      </c>
      <c r="G44" s="105">
        <v>2530.8000000000002</v>
      </c>
      <c r="H44" s="105">
        <v>3</v>
      </c>
      <c r="I44" s="105">
        <v>2530.8000000000002</v>
      </c>
      <c r="J44" s="105">
        <v>4</v>
      </c>
      <c r="K44" s="105">
        <v>3374.4</v>
      </c>
      <c r="L44" s="105">
        <v>4.6109038701369984</v>
      </c>
      <c r="M44" s="105">
        <v>3889.7585048475721</v>
      </c>
      <c r="N44" s="105">
        <v>3.1715571247356378</v>
      </c>
      <c r="O44" s="105">
        <v>2675.5255904269843</v>
      </c>
      <c r="P44" s="105">
        <v>2.8997250196126476</v>
      </c>
      <c r="Q44" s="105">
        <v>2446.2080265452296</v>
      </c>
      <c r="R44" s="105">
        <v>2.7340358228761965</v>
      </c>
      <c r="S44" s="105">
        <v>2306.4326201783592</v>
      </c>
      <c r="T44" s="105">
        <v>4.0428934799899974</v>
      </c>
      <c r="U44" s="105">
        <v>3410.584939719562</v>
      </c>
      <c r="V44" s="105">
        <v>3.7580168666701947</v>
      </c>
      <c r="W44" s="105">
        <v>3170.2630287229763</v>
      </c>
      <c r="X44" s="105">
        <v>2.4880318823357159</v>
      </c>
      <c r="Y44" s="105">
        <v>2098.9036959384102</v>
      </c>
      <c r="Z44" s="105">
        <v>3.9205472863339597</v>
      </c>
      <c r="AA44" s="105">
        <v>3307.3736907513285</v>
      </c>
      <c r="AB44" s="105">
        <v>3.648113890455738</v>
      </c>
      <c r="AC44" s="105">
        <v>3077.5488779884608</v>
      </c>
      <c r="AD44" s="105">
        <v>4.1636517283207644</v>
      </c>
      <c r="AE44" s="105">
        <v>3512.4565980113971</v>
      </c>
      <c r="AF44" s="105">
        <v>5.0409474413794761</v>
      </c>
      <c r="AG44" s="105">
        <v>4252.5432615477266</v>
      </c>
      <c r="AH44" s="105">
        <v>2.6808303683424413</v>
      </c>
      <c r="AI44" s="105">
        <v>2261.5484987336836</v>
      </c>
      <c r="AJ44" s="105">
        <v>3.9868877723085987</v>
      </c>
      <c r="AK44" s="105">
        <v>3363.3385247195338</v>
      </c>
      <c r="AL44" s="105">
        <v>3.7591406416774791</v>
      </c>
      <c r="AM44" s="105">
        <v>3171.2110453191212</v>
      </c>
      <c r="AN44" s="105">
        <v>5.4480711620394064</v>
      </c>
      <c r="AO44" s="105">
        <v>4595.9928322964433</v>
      </c>
      <c r="AP44" s="105">
        <v>3.4414579535615504</v>
      </c>
      <c r="AQ44" s="105">
        <v>2903.2139296245241</v>
      </c>
      <c r="AR44" s="105">
        <v>5.0066343860199449</v>
      </c>
      <c r="AS44" s="105">
        <v>4223.5967680464255</v>
      </c>
      <c r="AT44" s="105">
        <v>4.2485094320378511</v>
      </c>
      <c r="AU44" s="105">
        <v>3584.0425568671312</v>
      </c>
      <c r="AV44" s="105">
        <v>4.7423804626008303</v>
      </c>
      <c r="AW44" s="105">
        <v>4000.6721582500604</v>
      </c>
      <c r="AX44" s="105">
        <v>4.9136574406053013</v>
      </c>
      <c r="AY44" s="105">
        <v>4145.1614168946326</v>
      </c>
      <c r="AZ44" s="105">
        <v>3.6386353022270015</v>
      </c>
      <c r="BA44" s="105">
        <v>3069.5527409586985</v>
      </c>
      <c r="BB44" s="105">
        <v>4.5662417380446421</v>
      </c>
      <c r="BC44" s="105">
        <v>3852.0815302144601</v>
      </c>
      <c r="BD44" s="105">
        <v>3.7478034255123003</v>
      </c>
      <c r="BE44" s="105">
        <v>3161.6469697621765</v>
      </c>
      <c r="BF44" s="105">
        <v>4.4859535106373931</v>
      </c>
      <c r="BG44" s="105">
        <v>3784.3503815737049</v>
      </c>
      <c r="BH44" s="105">
        <v>3.6835541596297148</v>
      </c>
      <c r="BI44" s="105">
        <v>3107.4462890636273</v>
      </c>
      <c r="BJ44" s="105">
        <v>4.2165739297401563</v>
      </c>
      <c r="BK44" s="105">
        <v>3557.1017671287959</v>
      </c>
      <c r="BL44" s="105">
        <v>4.5834025659968622</v>
      </c>
      <c r="BM44" s="105">
        <v>3866.5584046749532</v>
      </c>
      <c r="BN44" s="105">
        <v>3.5805678380153663</v>
      </c>
      <c r="BO44" s="105">
        <v>3020.5670281497632</v>
      </c>
      <c r="BP44" s="105">
        <v>4.3159566877441717</v>
      </c>
      <c r="BQ44" s="105">
        <v>3640.9410617809835</v>
      </c>
      <c r="BR44" s="105">
        <v>3.933542779963219</v>
      </c>
      <c r="BS44" s="105">
        <v>3318.3366891769715</v>
      </c>
      <c r="BT44" s="105">
        <v>3.66880613399305</v>
      </c>
      <c r="BU44" s="105">
        <v>3095.0048546365369</v>
      </c>
      <c r="BV44" s="105">
        <v>2.7229771326218977</v>
      </c>
      <c r="BW44" s="105">
        <v>2297.1035090798327</v>
      </c>
      <c r="BX44" s="105">
        <v>3.3940717259428395</v>
      </c>
      <c r="BY44" s="105">
        <v>2863.2389080053795</v>
      </c>
      <c r="BZ44" s="105">
        <v>3.8681008124242773</v>
      </c>
      <c r="CA44" s="105">
        <v>3263.1298453611203</v>
      </c>
      <c r="CB44" s="105">
        <v>2.3427263527332887</v>
      </c>
      <c r="CC44" s="105">
        <v>1976.3239511658023</v>
      </c>
      <c r="CD44" s="105">
        <v>3.8232726138071707</v>
      </c>
      <c r="CE44" s="105">
        <v>3225.3127770077294</v>
      </c>
      <c r="CF44" s="105">
        <v>3.1025029733297758</v>
      </c>
      <c r="CG44" s="105">
        <v>2617.2715083009989</v>
      </c>
      <c r="CH44" s="105">
        <v>3.7784868441778787</v>
      </c>
      <c r="CI44" s="105">
        <v>3187.5315017484586</v>
      </c>
      <c r="CJ44" s="105">
        <v>3.2718398594436313</v>
      </c>
      <c r="CK44" s="105">
        <v>2760.1241054266475</v>
      </c>
      <c r="CL44" s="105">
        <v>5.7979020808981563</v>
      </c>
      <c r="CM44" s="105">
        <v>4891.1101954456844</v>
      </c>
      <c r="CN44" s="105">
        <v>4.1550144924770818</v>
      </c>
      <c r="CO44" s="105">
        <v>3505.1702258536661</v>
      </c>
      <c r="CP44" s="105">
        <v>4.9668482790821651</v>
      </c>
      <c r="CQ44" s="105">
        <v>4190.0332082337145</v>
      </c>
      <c r="CR44" s="105">
        <v>3.7618035038792073</v>
      </c>
      <c r="CS44" s="105">
        <v>3173.4574358724994</v>
      </c>
      <c r="CT44" s="105">
        <v>4.3510638877022085</v>
      </c>
      <c r="CU44" s="105">
        <v>3670.5574956655832</v>
      </c>
    </row>
    <row r="45" spans="2:99" x14ac:dyDescent="0.2">
      <c r="C45" s="104" t="s">
        <v>211</v>
      </c>
      <c r="D45" s="105">
        <v>6</v>
      </c>
      <c r="E45" s="105">
        <v>6242.4</v>
      </c>
      <c r="F45" s="105">
        <v>3</v>
      </c>
      <c r="G45" s="105">
        <v>3121.2</v>
      </c>
      <c r="H45" s="105">
        <v>3</v>
      </c>
      <c r="I45" s="105">
        <v>3121.2</v>
      </c>
      <c r="J45" s="105">
        <v>3</v>
      </c>
      <c r="K45" s="105">
        <v>3121.2</v>
      </c>
      <c r="L45" s="105">
        <v>4.6109038701369984</v>
      </c>
      <c r="M45" s="105">
        <v>4797.1843864905322</v>
      </c>
      <c r="N45" s="105">
        <v>3.1715571247356378</v>
      </c>
      <c r="O45" s="105">
        <v>3299.6880325749571</v>
      </c>
      <c r="P45" s="105">
        <v>2.8997250196126476</v>
      </c>
      <c r="Q45" s="105">
        <v>3016.8739104049982</v>
      </c>
      <c r="R45" s="105">
        <v>2.7340358228761965</v>
      </c>
      <c r="S45" s="105">
        <v>2844.4908701203944</v>
      </c>
      <c r="T45" s="105">
        <v>4.7044585329056057</v>
      </c>
      <c r="U45" s="105">
        <v>4894.5186576349915</v>
      </c>
      <c r="V45" s="105">
        <v>3.7580168666701947</v>
      </c>
      <c r="W45" s="105">
        <v>3909.84074808367</v>
      </c>
      <c r="X45" s="105">
        <v>2.4880318823357159</v>
      </c>
      <c r="Y45" s="105">
        <v>2588.5483703820787</v>
      </c>
      <c r="Z45" s="105">
        <v>3.9205472863339597</v>
      </c>
      <c r="AA45" s="105">
        <v>4078.937396701851</v>
      </c>
      <c r="AB45" s="105">
        <v>3.6076197192908044</v>
      </c>
      <c r="AC45" s="105">
        <v>3753.3675559501526</v>
      </c>
      <c r="AD45" s="105">
        <v>4.9500588841295059</v>
      </c>
      <c r="AE45" s="105">
        <v>5150.041263048337</v>
      </c>
      <c r="AF45" s="105">
        <v>4.0069365670684176</v>
      </c>
      <c r="AG45" s="105">
        <v>4168.8168043779815</v>
      </c>
      <c r="AH45" s="105">
        <v>2.07748115302567</v>
      </c>
      <c r="AI45" s="105">
        <v>2161.4113916079068</v>
      </c>
      <c r="AJ45" s="105">
        <v>3.9868877723085987</v>
      </c>
      <c r="AK45" s="105">
        <v>4147.9580383098655</v>
      </c>
      <c r="AL45" s="105">
        <v>3.1643731206368506</v>
      </c>
      <c r="AM45" s="105">
        <v>3292.2137947105789</v>
      </c>
      <c r="AN45" s="105">
        <v>4.5882950168025562</v>
      </c>
      <c r="AO45" s="105">
        <v>4773.6621354813788</v>
      </c>
      <c r="AP45" s="105">
        <v>3.4098917412192558</v>
      </c>
      <c r="AQ45" s="105">
        <v>3547.6513675645133</v>
      </c>
      <c r="AR45" s="105">
        <v>5.0403995619779174</v>
      </c>
      <c r="AS45" s="105">
        <v>5244.0317042818242</v>
      </c>
      <c r="AT45" s="105">
        <v>4.1822335917563844</v>
      </c>
      <c r="AU45" s="105">
        <v>4351.1958288633414</v>
      </c>
      <c r="AV45" s="105">
        <v>4.7054439567282502</v>
      </c>
      <c r="AW45" s="105">
        <v>4895.5438925800709</v>
      </c>
      <c r="AX45" s="105">
        <v>4.9506628477728807</v>
      </c>
      <c r="AY45" s="105">
        <v>5150.6696268229043</v>
      </c>
      <c r="AZ45" s="105">
        <v>3.6107689883784153</v>
      </c>
      <c r="BA45" s="105">
        <v>3756.644055508903</v>
      </c>
      <c r="BB45" s="105">
        <v>4.6013219423256597</v>
      </c>
      <c r="BC45" s="105">
        <v>4787.2153487956157</v>
      </c>
      <c r="BD45" s="105">
        <v>4.4483710722983876</v>
      </c>
      <c r="BE45" s="105">
        <v>4628.0852636192421</v>
      </c>
      <c r="BF45" s="105">
        <v>3.8797358883270077</v>
      </c>
      <c r="BG45" s="105">
        <v>4036.4772182154184</v>
      </c>
      <c r="BH45" s="105">
        <v>3.6835541596297148</v>
      </c>
      <c r="BI45" s="105">
        <v>3832.3697476787547</v>
      </c>
      <c r="BJ45" s="105">
        <v>4.2165739297401563</v>
      </c>
      <c r="BK45" s="105">
        <v>4386.923516501658</v>
      </c>
      <c r="BL45" s="105">
        <v>3.87275692172462</v>
      </c>
      <c r="BM45" s="105">
        <v>4029.216301362294</v>
      </c>
      <c r="BN45" s="105">
        <v>3.5271539204325202</v>
      </c>
      <c r="BO45" s="105">
        <v>3669.6509388179934</v>
      </c>
      <c r="BP45" s="105">
        <v>3.7403565403963119</v>
      </c>
      <c r="BQ45" s="105">
        <v>3891.4669446283224</v>
      </c>
      <c r="BR45" s="105">
        <v>3.933542779963219</v>
      </c>
      <c r="BS45" s="105">
        <v>4092.4579082737323</v>
      </c>
      <c r="BT45" s="105">
        <v>2.9955580728207076</v>
      </c>
      <c r="BU45" s="105">
        <v>3116.5786189626638</v>
      </c>
      <c r="BV45" s="105">
        <v>2.7538076283841644</v>
      </c>
      <c r="BW45" s="105">
        <v>2865.0614565708843</v>
      </c>
      <c r="BX45" s="105">
        <v>2.7872875901953682</v>
      </c>
      <c r="BY45" s="105">
        <v>2899.8940088392606</v>
      </c>
      <c r="BZ45" s="105">
        <v>3.839324983506827</v>
      </c>
      <c r="CA45" s="105">
        <v>3994.4337128405023</v>
      </c>
      <c r="CB45" s="105">
        <v>2.9878493992910595</v>
      </c>
      <c r="CC45" s="105">
        <v>3108.5585150224179</v>
      </c>
      <c r="CD45" s="105">
        <v>3.7882070982901679</v>
      </c>
      <c r="CE45" s="105">
        <v>3941.2506650610903</v>
      </c>
      <c r="CF45" s="105">
        <v>3.1025029733297758</v>
      </c>
      <c r="CG45" s="105">
        <v>3227.8440934522982</v>
      </c>
      <c r="CH45" s="105">
        <v>3.0699928671606735</v>
      </c>
      <c r="CI45" s="105">
        <v>3194.0205789939641</v>
      </c>
      <c r="CJ45" s="105">
        <v>3.2718398594436313</v>
      </c>
      <c r="CK45" s="105">
        <v>3404.0221897651536</v>
      </c>
      <c r="CL45" s="105">
        <v>4.9696303550555632</v>
      </c>
      <c r="CM45" s="105">
        <v>5170.4034213998075</v>
      </c>
      <c r="CN45" s="105">
        <v>4.2182961723438934</v>
      </c>
      <c r="CO45" s="105">
        <v>4388.7153377065861</v>
      </c>
      <c r="CP45" s="105">
        <v>4.3001569368438819</v>
      </c>
      <c r="CQ45" s="105">
        <v>4473.8832770923746</v>
      </c>
      <c r="CR45" s="105">
        <v>3.2066681215320125</v>
      </c>
      <c r="CS45" s="105">
        <v>3336.2175136419055</v>
      </c>
      <c r="CT45" s="105">
        <v>4.3218085091078073</v>
      </c>
      <c r="CU45" s="105">
        <v>4496.409572875762</v>
      </c>
    </row>
    <row r="46" spans="2:99" x14ac:dyDescent="0.2">
      <c r="C46" s="104" t="s">
        <v>212</v>
      </c>
      <c r="D46" s="105">
        <v>5</v>
      </c>
      <c r="E46" s="105">
        <v>5087.9999999999991</v>
      </c>
      <c r="F46" s="105">
        <v>3</v>
      </c>
      <c r="G46" s="105">
        <v>3052.7999999999993</v>
      </c>
      <c r="H46" s="105">
        <v>3</v>
      </c>
      <c r="I46" s="105">
        <v>3052.7999999999993</v>
      </c>
      <c r="J46" s="105">
        <v>3</v>
      </c>
      <c r="K46" s="105">
        <v>3052.7999999999993</v>
      </c>
      <c r="L46" s="105">
        <v>5.3793878484931641</v>
      </c>
      <c r="M46" s="105">
        <v>5474.0650746266429</v>
      </c>
      <c r="N46" s="105">
        <v>3.1715571247356378</v>
      </c>
      <c r="O46" s="105">
        <v>3227.3765301309845</v>
      </c>
      <c r="P46" s="105">
        <v>2.8997250196126476</v>
      </c>
      <c r="Q46" s="105">
        <v>2950.7601799578297</v>
      </c>
      <c r="R46" s="105">
        <v>2.7033353820948345</v>
      </c>
      <c r="S46" s="105">
        <v>2750.914084819703</v>
      </c>
      <c r="T46" s="105">
        <v>4.0061400692193994</v>
      </c>
      <c r="U46" s="105">
        <v>4076.6481344376598</v>
      </c>
      <c r="V46" s="105">
        <v>3.7580168666701947</v>
      </c>
      <c r="W46" s="105">
        <v>3824.1579635235894</v>
      </c>
      <c r="X46" s="105">
        <v>2.4880318823357159</v>
      </c>
      <c r="Y46" s="105">
        <v>2531.821243464824</v>
      </c>
      <c r="Z46" s="105">
        <v>3.9648192206160311</v>
      </c>
      <c r="AA46" s="105">
        <v>4034.6000388988723</v>
      </c>
      <c r="AB46" s="105">
        <v>3.648113890455738</v>
      </c>
      <c r="AC46" s="105">
        <v>3712.3206949277583</v>
      </c>
      <c r="AD46" s="105">
        <v>4.9500588841295059</v>
      </c>
      <c r="AE46" s="105">
        <v>5037.1799204901845</v>
      </c>
      <c r="AF46" s="105">
        <v>4.373124680201407</v>
      </c>
      <c r="AG46" s="105">
        <v>4450.091674572951</v>
      </c>
      <c r="AH46" s="105">
        <v>2.0477663189061857</v>
      </c>
      <c r="AI46" s="105">
        <v>2083.8070061189342</v>
      </c>
      <c r="AJ46" s="105">
        <v>3.9868877723085987</v>
      </c>
      <c r="AK46" s="105">
        <v>4057.0569971012292</v>
      </c>
      <c r="AL46" s="105">
        <v>3.1643731206368506</v>
      </c>
      <c r="AM46" s="105">
        <v>3220.0660875600583</v>
      </c>
      <c r="AN46" s="105">
        <v>4.5882950168025562</v>
      </c>
      <c r="AO46" s="105">
        <v>4669.0490090982803</v>
      </c>
      <c r="AP46" s="105">
        <v>3.4414579535615504</v>
      </c>
      <c r="AQ46" s="105">
        <v>3502.0276135442327</v>
      </c>
      <c r="AR46" s="105">
        <v>4.3589312542187555</v>
      </c>
      <c r="AS46" s="105">
        <v>4435.648444293005</v>
      </c>
      <c r="AT46" s="105">
        <v>4.2485094320378511</v>
      </c>
      <c r="AU46" s="105">
        <v>4323.2831980417168</v>
      </c>
      <c r="AV46" s="105">
        <v>5.4527481103103783</v>
      </c>
      <c r="AW46" s="105">
        <v>5548.7164770518402</v>
      </c>
      <c r="AX46" s="105">
        <v>5.6215841258701138</v>
      </c>
      <c r="AY46" s="105">
        <v>5720.524006485427</v>
      </c>
      <c r="AZ46" s="105">
        <v>4.1428980351533538</v>
      </c>
      <c r="BA46" s="105">
        <v>4215.8130405720522</v>
      </c>
      <c r="BB46" s="105">
        <v>4.5662417380446421</v>
      </c>
      <c r="BC46" s="105">
        <v>4646.6075926342264</v>
      </c>
      <c r="BD46" s="105">
        <v>3.7478034255123003</v>
      </c>
      <c r="BE46" s="105">
        <v>3813.7647658013161</v>
      </c>
      <c r="BF46" s="105">
        <v>3.8797358883270077</v>
      </c>
      <c r="BG46" s="105">
        <v>3948.0192399615621</v>
      </c>
      <c r="BH46" s="105">
        <v>3.6835541596297148</v>
      </c>
      <c r="BI46" s="105">
        <v>3748.3847128391972</v>
      </c>
      <c r="BJ46" s="105">
        <v>4.2165739297401563</v>
      </c>
      <c r="BK46" s="105">
        <v>4290.7856309035824</v>
      </c>
      <c r="BL46" s="105">
        <v>3.837253732795352</v>
      </c>
      <c r="BM46" s="105">
        <v>3904.7893984925495</v>
      </c>
      <c r="BN46" s="105">
        <v>3.5805678380153663</v>
      </c>
      <c r="BO46" s="105">
        <v>3643.5858319644358</v>
      </c>
      <c r="BP46" s="105">
        <v>3.7116809747653967</v>
      </c>
      <c r="BQ46" s="105">
        <v>3777.0065599212671</v>
      </c>
      <c r="BR46" s="105">
        <v>3.933542779963219</v>
      </c>
      <c r="BS46" s="105">
        <v>4002.7731328905707</v>
      </c>
      <c r="BT46" s="105">
        <v>2.9955580728207076</v>
      </c>
      <c r="BU46" s="105">
        <v>3048.2798949023513</v>
      </c>
      <c r="BV46" s="105">
        <v>3.3883061678962383</v>
      </c>
      <c r="BW46" s="105">
        <v>3447.9403564512113</v>
      </c>
      <c r="BX46" s="105">
        <v>2.7872875901953682</v>
      </c>
      <c r="BY46" s="105">
        <v>2836.3438517828063</v>
      </c>
      <c r="BZ46" s="105">
        <v>3.839324983506827</v>
      </c>
      <c r="CA46" s="105">
        <v>3906.8971032165464</v>
      </c>
      <c r="CB46" s="105">
        <v>2.9878493992910595</v>
      </c>
      <c r="CC46" s="105">
        <v>3040.4355487185817</v>
      </c>
      <c r="CD46" s="105">
        <v>3.8232726138071707</v>
      </c>
      <c r="CE46" s="105">
        <v>3890.562211810176</v>
      </c>
      <c r="CF46" s="105">
        <v>3.0745759968768187</v>
      </c>
      <c r="CG46" s="105">
        <v>3128.6885344218499</v>
      </c>
      <c r="CH46" s="105">
        <v>3.7447701357361862</v>
      </c>
      <c r="CI46" s="105">
        <v>3810.6780901251423</v>
      </c>
      <c r="CJ46" s="105">
        <v>3.2718398594436313</v>
      </c>
      <c r="CK46" s="105">
        <v>3329.4242409698386</v>
      </c>
      <c r="CL46" s="105">
        <v>5.7979020808981563</v>
      </c>
      <c r="CM46" s="105">
        <v>5899.9451575219628</v>
      </c>
      <c r="CN46" s="105">
        <v>3.5521611235422186</v>
      </c>
      <c r="CO46" s="105">
        <v>3614.6791593165608</v>
      </c>
      <c r="CP46" s="105">
        <v>4.9668482790821651</v>
      </c>
      <c r="CQ46" s="105">
        <v>5054.2648087940106</v>
      </c>
      <c r="CR46" s="105">
        <v>3.7618035038792073</v>
      </c>
      <c r="CS46" s="105">
        <v>3828.0112455474805</v>
      </c>
      <c r="CT46" s="105">
        <v>3.7629180507097799</v>
      </c>
      <c r="CU46" s="105">
        <v>3829.1454084022712</v>
      </c>
    </row>
    <row r="47" spans="2:99" x14ac:dyDescent="0.2">
      <c r="C47" s="104" t="s">
        <v>213</v>
      </c>
      <c r="D47" s="105">
        <v>6</v>
      </c>
      <c r="E47" s="105">
        <v>7905.5999999999995</v>
      </c>
      <c r="F47" s="105">
        <v>3</v>
      </c>
      <c r="G47" s="105">
        <v>3952.7999999999997</v>
      </c>
      <c r="H47" s="105">
        <v>4</v>
      </c>
      <c r="I47" s="105">
        <v>5270.4</v>
      </c>
      <c r="J47" s="105">
        <v>3</v>
      </c>
      <c r="K47" s="105">
        <v>3952.7999999999997</v>
      </c>
      <c r="L47" s="105">
        <v>4.6109038701369984</v>
      </c>
      <c r="M47" s="105">
        <v>6075.3269392925085</v>
      </c>
      <c r="N47" s="105">
        <v>3.1715571247356378</v>
      </c>
      <c r="O47" s="105">
        <v>4178.8436675516759</v>
      </c>
      <c r="P47" s="105">
        <v>2.8997250196126476</v>
      </c>
      <c r="Q47" s="105">
        <v>3820.6776858416242</v>
      </c>
      <c r="R47" s="105">
        <v>2.7033353820948345</v>
      </c>
      <c r="S47" s="105">
        <v>3561.9146994481534</v>
      </c>
      <c r="T47" s="105">
        <v>4.0428934799899974</v>
      </c>
      <c r="U47" s="105">
        <v>5326.91644923482</v>
      </c>
      <c r="V47" s="105">
        <v>3.7580168666701947</v>
      </c>
      <c r="W47" s="105">
        <v>4951.5630235246481</v>
      </c>
      <c r="X47" s="105">
        <v>1.8660239117517869</v>
      </c>
      <c r="Y47" s="105">
        <v>2458.6731061241544</v>
      </c>
      <c r="Z47" s="105">
        <v>3.9205472863339597</v>
      </c>
      <c r="AA47" s="105">
        <v>5165.7131044736252</v>
      </c>
      <c r="AB47" s="105">
        <v>3.6076197192908044</v>
      </c>
      <c r="AC47" s="105">
        <v>4753.3997421375634</v>
      </c>
      <c r="AD47" s="105">
        <v>4.1636517283207644</v>
      </c>
      <c r="AE47" s="105">
        <v>5486.0275172354386</v>
      </c>
      <c r="AF47" s="105">
        <v>4.373124680201407</v>
      </c>
      <c r="AG47" s="105">
        <v>5762.0290786333735</v>
      </c>
      <c r="AH47" s="105">
        <v>2.0477663189061857</v>
      </c>
      <c r="AI47" s="105">
        <v>2698.13690179079</v>
      </c>
      <c r="AJ47" s="105">
        <v>3.9868877723085987</v>
      </c>
      <c r="AK47" s="105">
        <v>5253.1233287938094</v>
      </c>
      <c r="AL47" s="105">
        <v>3.1371537612891776</v>
      </c>
      <c r="AM47" s="105">
        <v>4133.51379587462</v>
      </c>
      <c r="AN47" s="105">
        <v>4.5882950168025562</v>
      </c>
      <c r="AO47" s="105">
        <v>6045.5375141390477</v>
      </c>
      <c r="AP47" s="105">
        <v>3.4414579535615504</v>
      </c>
      <c r="AQ47" s="105">
        <v>4534.4649996126982</v>
      </c>
      <c r="AR47" s="105">
        <v>5.0403995619779174</v>
      </c>
      <c r="AS47" s="105">
        <v>6641.2304628621032</v>
      </c>
      <c r="AT47" s="105">
        <v>3.5183325799377201</v>
      </c>
      <c r="AU47" s="105">
        <v>4635.7550073259399</v>
      </c>
      <c r="AV47" s="105">
        <v>4.7423804626008303</v>
      </c>
      <c r="AW47" s="105">
        <v>6248.5604975228534</v>
      </c>
      <c r="AX47" s="105">
        <v>4.8766520334377219</v>
      </c>
      <c r="AY47" s="105">
        <v>6425.4767192575418</v>
      </c>
      <c r="AZ47" s="105">
        <v>3.5829026745298305</v>
      </c>
      <c r="BA47" s="105">
        <v>4720.8325639605046</v>
      </c>
      <c r="BB47" s="105">
        <v>4.6013219423256597</v>
      </c>
      <c r="BC47" s="105">
        <v>6062.7017912082893</v>
      </c>
      <c r="BD47" s="105">
        <v>4.4133760449295503</v>
      </c>
      <c r="BE47" s="105">
        <v>5815.0642767991749</v>
      </c>
      <c r="BF47" s="105">
        <v>3.9100396576350946</v>
      </c>
      <c r="BG47" s="105">
        <v>5151.8682529000007</v>
      </c>
      <c r="BH47" s="105">
        <v>3.6835541596297148</v>
      </c>
      <c r="BI47" s="105">
        <v>4853.4509607281116</v>
      </c>
      <c r="BJ47" s="105">
        <v>3.5138116081167969</v>
      </c>
      <c r="BK47" s="105">
        <v>4629.7981748546918</v>
      </c>
      <c r="BL47" s="105">
        <v>3.8017505438660844</v>
      </c>
      <c r="BM47" s="105">
        <v>5009.1865165979525</v>
      </c>
      <c r="BN47" s="105">
        <v>3.5805678380153663</v>
      </c>
      <c r="BO47" s="105">
        <v>4717.7561833690461</v>
      </c>
      <c r="BP47" s="105">
        <v>3.7403565403963119</v>
      </c>
      <c r="BQ47" s="105">
        <v>4928.2937776261806</v>
      </c>
      <c r="BR47" s="105">
        <v>3.8971213371697564</v>
      </c>
      <c r="BS47" s="105">
        <v>5134.8470738548704</v>
      </c>
      <c r="BT47" s="105">
        <v>3.0291764981686344</v>
      </c>
      <c r="BU47" s="105">
        <v>3991.2429539869922</v>
      </c>
      <c r="BV47" s="105">
        <v>3.3574756721339711</v>
      </c>
      <c r="BW47" s="105">
        <v>4423.8099456037198</v>
      </c>
      <c r="BX47" s="105">
        <v>2.7872875901953682</v>
      </c>
      <c r="BY47" s="105">
        <v>3672.5301288414171</v>
      </c>
      <c r="BZ47" s="105">
        <v>3.2426012296318656</v>
      </c>
      <c r="CA47" s="105">
        <v>4272.4513801629455</v>
      </c>
      <c r="CB47" s="105">
        <v>2.9878493992910595</v>
      </c>
      <c r="CC47" s="105">
        <v>3936.7903685058996</v>
      </c>
      <c r="CD47" s="105">
        <v>3.7882070982901679</v>
      </c>
      <c r="CE47" s="105">
        <v>4991.3416727071244</v>
      </c>
      <c r="CF47" s="105">
        <v>3.6671496150898166</v>
      </c>
      <c r="CG47" s="105">
        <v>4831.836332842342</v>
      </c>
      <c r="CH47" s="105">
        <v>3.0362761587189806</v>
      </c>
      <c r="CI47" s="105">
        <v>4000.5974667281284</v>
      </c>
      <c r="CJ47" s="105">
        <v>3.8171465026842366</v>
      </c>
      <c r="CK47" s="105">
        <v>5029.4722319367502</v>
      </c>
      <c r="CL47" s="105">
        <v>5.7979020808981563</v>
      </c>
      <c r="CM47" s="105">
        <v>7639.3157817914098</v>
      </c>
      <c r="CN47" s="105">
        <v>3.5205202836088123</v>
      </c>
      <c r="CO47" s="105">
        <v>4638.6375256829706</v>
      </c>
      <c r="CP47" s="105">
        <v>4.3001569368438819</v>
      </c>
      <c r="CQ47" s="105">
        <v>5665.8867799854988</v>
      </c>
      <c r="CR47" s="105">
        <v>3.1779353742122765</v>
      </c>
      <c r="CS47" s="105">
        <v>4187.2476490620948</v>
      </c>
      <c r="CT47" s="105">
        <v>3.7336626721153792</v>
      </c>
      <c r="CU47" s="105">
        <v>4919.4739367792235</v>
      </c>
    </row>
    <row r="48" spans="2:99" x14ac:dyDescent="0.2">
      <c r="C48" s="104" t="s">
        <v>214</v>
      </c>
      <c r="D48" s="105">
        <v>6</v>
      </c>
      <c r="E48" s="105">
        <v>3945.6000000000004</v>
      </c>
      <c r="F48" s="105">
        <v>3</v>
      </c>
      <c r="G48" s="105">
        <v>1972.8000000000002</v>
      </c>
      <c r="H48" s="105">
        <v>4</v>
      </c>
      <c r="I48" s="105">
        <v>2630.4</v>
      </c>
      <c r="J48" s="105">
        <v>4</v>
      </c>
      <c r="K48" s="105">
        <v>2630.4</v>
      </c>
      <c r="L48" s="105">
        <v>4.6109038701369984</v>
      </c>
      <c r="M48" s="105">
        <v>3032.1303850020904</v>
      </c>
      <c r="N48" s="105">
        <v>3.1715571247356378</v>
      </c>
      <c r="O48" s="105">
        <v>2085.6159652261554</v>
      </c>
      <c r="P48" s="105">
        <v>2.8997250196126476</v>
      </c>
      <c r="Q48" s="105">
        <v>1906.8591728972772</v>
      </c>
      <c r="R48" s="105">
        <v>2.7340358228761965</v>
      </c>
      <c r="S48" s="105">
        <v>1797.9019571233869</v>
      </c>
      <c r="T48" s="105">
        <v>4.7779653544468008</v>
      </c>
      <c r="U48" s="105">
        <v>3141.9900170842161</v>
      </c>
      <c r="V48" s="105">
        <v>3.7580168666701947</v>
      </c>
      <c r="W48" s="105">
        <v>2471.2718915223199</v>
      </c>
      <c r="X48" s="105">
        <v>2.4880318823357159</v>
      </c>
      <c r="Y48" s="105">
        <v>1636.1297658239669</v>
      </c>
      <c r="Z48" s="105">
        <v>3.9648192206160311</v>
      </c>
      <c r="AA48" s="105">
        <v>2607.265119477102</v>
      </c>
      <c r="AB48" s="105">
        <v>3.648113890455738</v>
      </c>
      <c r="AC48" s="105">
        <v>2398.9996943636934</v>
      </c>
      <c r="AD48" s="105">
        <v>4.1636517283207644</v>
      </c>
      <c r="AE48" s="105">
        <v>2738.0173765437348</v>
      </c>
      <c r="AF48" s="105">
        <v>5.0409474413794761</v>
      </c>
      <c r="AG48" s="105">
        <v>3314.9270374511434</v>
      </c>
      <c r="AH48" s="105">
        <v>2.0477663189061857</v>
      </c>
      <c r="AI48" s="105">
        <v>1346.6111313127078</v>
      </c>
      <c r="AJ48" s="105">
        <v>4.6513690676933646</v>
      </c>
      <c r="AK48" s="105">
        <v>3058.7402989151565</v>
      </c>
      <c r="AL48" s="105">
        <v>3.1643731206368506</v>
      </c>
      <c r="AM48" s="105">
        <v>2080.891764130793</v>
      </c>
      <c r="AN48" s="105">
        <v>4.5469501181427985</v>
      </c>
      <c r="AO48" s="105">
        <v>2990.0743976907042</v>
      </c>
      <c r="AP48" s="105">
        <v>3.4730241659038446</v>
      </c>
      <c r="AQ48" s="105">
        <v>2283.8606914983684</v>
      </c>
      <c r="AR48" s="105">
        <v>4.3926964301767271</v>
      </c>
      <c r="AS48" s="105">
        <v>2888.6371724842156</v>
      </c>
      <c r="AT48" s="105">
        <v>4.2153715118971169</v>
      </c>
      <c r="AU48" s="105">
        <v>2772.028306223544</v>
      </c>
      <c r="AV48" s="105">
        <v>5.4896846161829584</v>
      </c>
      <c r="AW48" s="105">
        <v>3610.0166036019136</v>
      </c>
      <c r="AX48" s="105">
        <v>4.9136574406053013</v>
      </c>
      <c r="AY48" s="105">
        <v>3231.2211329420461</v>
      </c>
      <c r="AZ48" s="105">
        <v>4.1986306628505252</v>
      </c>
      <c r="BA48" s="105">
        <v>2761.0195238905053</v>
      </c>
      <c r="BB48" s="105">
        <v>5.3097419255782405</v>
      </c>
      <c r="BC48" s="105">
        <v>3491.6862902602511</v>
      </c>
      <c r="BD48" s="105">
        <v>4.4133760449295503</v>
      </c>
      <c r="BE48" s="105">
        <v>2902.2360871456722</v>
      </c>
      <c r="BF48" s="105">
        <v>3.8797358883270077</v>
      </c>
      <c r="BG48" s="105">
        <v>2551.3143201638404</v>
      </c>
      <c r="BH48" s="105">
        <v>4.2974798529013336</v>
      </c>
      <c r="BI48" s="105">
        <v>2826.0227512679171</v>
      </c>
      <c r="BJ48" s="105">
        <v>3.5138116081167969</v>
      </c>
      <c r="BK48" s="105">
        <v>2310.6825134976057</v>
      </c>
      <c r="BL48" s="105">
        <v>3.837253732795352</v>
      </c>
      <c r="BM48" s="105">
        <v>2523.3780546862235</v>
      </c>
      <c r="BN48" s="105">
        <v>3.5538608792239432</v>
      </c>
      <c r="BO48" s="105">
        <v>2337.018914177665</v>
      </c>
      <c r="BP48" s="105">
        <v>3.7116809747653967</v>
      </c>
      <c r="BQ48" s="105">
        <v>2440.801409005725</v>
      </c>
      <c r="BR48" s="105">
        <v>3.8971213371697564</v>
      </c>
      <c r="BS48" s="105">
        <v>2562.7469913228319</v>
      </c>
      <c r="BT48" s="105">
        <v>2.9955580728207076</v>
      </c>
      <c r="BU48" s="105">
        <v>1969.8789886868974</v>
      </c>
      <c r="BV48" s="105">
        <v>3.3883061678962383</v>
      </c>
      <c r="BW48" s="105">
        <v>2228.1501360085663</v>
      </c>
      <c r="BX48" s="105">
        <v>3.3940717259428395</v>
      </c>
      <c r="BY48" s="105">
        <v>2231.9415669800114</v>
      </c>
      <c r="BZ48" s="105">
        <v>3.2713770585493163</v>
      </c>
      <c r="CA48" s="105">
        <v>2151.2575537020302</v>
      </c>
      <c r="CB48" s="105">
        <v>2.9878493992910595</v>
      </c>
      <c r="CC48" s="105">
        <v>1964.8097649738008</v>
      </c>
      <c r="CD48" s="105">
        <v>4.5318223117413998</v>
      </c>
      <c r="CE48" s="105">
        <v>2980.1263522011445</v>
      </c>
      <c r="CF48" s="105">
        <v>3.1025029733297758</v>
      </c>
      <c r="CG48" s="105">
        <v>2040.2059552616606</v>
      </c>
      <c r="CH48" s="105">
        <v>3.7447701357361862</v>
      </c>
      <c r="CI48" s="105">
        <v>2462.5608412601159</v>
      </c>
      <c r="CJ48" s="105">
        <v>3.2718398594436313</v>
      </c>
      <c r="CK48" s="105">
        <v>2151.561891570132</v>
      </c>
      <c r="CL48" s="105">
        <v>5.7979020808981563</v>
      </c>
      <c r="CM48" s="105">
        <v>3812.7004083986276</v>
      </c>
      <c r="CN48" s="105">
        <v>4.2182961723438934</v>
      </c>
      <c r="CO48" s="105">
        <v>2773.9515629333446</v>
      </c>
      <c r="CP48" s="105">
        <v>4.3334912572232342</v>
      </c>
      <c r="CQ48" s="105">
        <v>2849.7038507499988</v>
      </c>
      <c r="CR48" s="105">
        <v>3.7618035038792073</v>
      </c>
      <c r="CS48" s="105">
        <v>2473.7619841509668</v>
      </c>
      <c r="CT48" s="105">
        <v>3.7629180507097799</v>
      </c>
      <c r="CU48" s="105">
        <v>2474.4949101467514</v>
      </c>
    </row>
    <row r="49" spans="2:99" x14ac:dyDescent="0.2">
      <c r="B49" s="104" t="s">
        <v>129</v>
      </c>
      <c r="C49" s="104" t="s">
        <v>215</v>
      </c>
      <c r="D49" s="105">
        <v>2.794940875405501</v>
      </c>
      <c r="E49" s="105">
        <v>1653.4870218898943</v>
      </c>
      <c r="F49" s="105">
        <v>0</v>
      </c>
      <c r="G49" s="105">
        <v>0</v>
      </c>
      <c r="H49" s="105">
        <v>0</v>
      </c>
      <c r="I49" s="105">
        <v>0</v>
      </c>
      <c r="J49" s="105">
        <v>0</v>
      </c>
      <c r="K49" s="105">
        <v>0</v>
      </c>
      <c r="L49" s="105">
        <v>0</v>
      </c>
      <c r="M49" s="105">
        <v>0</v>
      </c>
      <c r="N49" s="105">
        <v>3.8886426735268129</v>
      </c>
      <c r="O49" s="105">
        <v>2300.5210056584624</v>
      </c>
      <c r="P49" s="105">
        <v>4.0939382933011714</v>
      </c>
      <c r="Q49" s="105">
        <v>2421.9738943169732</v>
      </c>
      <c r="R49" s="105">
        <v>2.921284738846889</v>
      </c>
      <c r="S49" s="105">
        <v>1728.2320515018196</v>
      </c>
      <c r="T49" s="105">
        <v>2.9696889455574231</v>
      </c>
      <c r="U49" s="105">
        <v>1756.8679801917715</v>
      </c>
      <c r="V49" s="105">
        <v>2.8197159758418571</v>
      </c>
      <c r="W49" s="105">
        <v>1668.1439713080426</v>
      </c>
      <c r="X49" s="105">
        <v>3.027730152107766</v>
      </c>
      <c r="Y49" s="105">
        <v>1791.2051579869544</v>
      </c>
      <c r="Z49" s="105">
        <v>4.3205549375459196</v>
      </c>
      <c r="AA49" s="105">
        <v>2556.0403010521663</v>
      </c>
      <c r="AB49" s="105">
        <v>3.9270572498384317</v>
      </c>
      <c r="AC49" s="105">
        <v>2323.2470690044165</v>
      </c>
      <c r="AD49" s="105">
        <v>3.0733707333201008</v>
      </c>
      <c r="AE49" s="105">
        <v>1818.2061258321717</v>
      </c>
      <c r="AF49" s="105">
        <v>3.887204650788191</v>
      </c>
      <c r="AG49" s="105">
        <v>2299.670271406294</v>
      </c>
      <c r="AH49" s="105">
        <v>3.5830448334420213</v>
      </c>
      <c r="AI49" s="105">
        <v>2119.7293234642998</v>
      </c>
      <c r="AJ49" s="105">
        <v>4.2107549155828643</v>
      </c>
      <c r="AK49" s="105">
        <v>2491.0826080588226</v>
      </c>
      <c r="AL49" s="105">
        <v>3.3331222915944112</v>
      </c>
      <c r="AM49" s="105">
        <v>1971.8751477072537</v>
      </c>
      <c r="AN49" s="105">
        <v>3.167818470020864</v>
      </c>
      <c r="AO49" s="105">
        <v>1874.0814068643433</v>
      </c>
      <c r="AP49" s="105">
        <v>3.7875554310640425</v>
      </c>
      <c r="AQ49" s="105">
        <v>2240.7177930174876</v>
      </c>
      <c r="AR49" s="105">
        <v>3.7814368652609245</v>
      </c>
      <c r="AS49" s="105">
        <v>2237.0980494883629</v>
      </c>
      <c r="AT49" s="105">
        <v>2.4549376092545052</v>
      </c>
      <c r="AU49" s="105">
        <v>1452.3410896349653</v>
      </c>
      <c r="AV49" s="105">
        <v>2.8086622974732949</v>
      </c>
      <c r="AW49" s="105">
        <v>1661.6046151852013</v>
      </c>
      <c r="AX49" s="105">
        <v>4.5979635253243973</v>
      </c>
      <c r="AY49" s="105">
        <v>2720.1552215819138</v>
      </c>
      <c r="AZ49" s="105">
        <v>2.7455251581510614</v>
      </c>
      <c r="BA49" s="105">
        <v>1624.2526835621679</v>
      </c>
      <c r="BB49" s="105">
        <v>2.7398981774144517</v>
      </c>
      <c r="BC49" s="105">
        <v>1620.9237617583897</v>
      </c>
      <c r="BD49" s="105">
        <v>2.5418046051284282</v>
      </c>
      <c r="BE49" s="105">
        <v>1503.7316043939782</v>
      </c>
      <c r="BF49" s="105">
        <v>3.9211757826568023</v>
      </c>
      <c r="BG49" s="105">
        <v>2319.7675930197643</v>
      </c>
      <c r="BH49" s="105">
        <v>3.752630032353693</v>
      </c>
      <c r="BI49" s="105">
        <v>2220.055927140445</v>
      </c>
      <c r="BJ49" s="105">
        <v>3.8425854348192736</v>
      </c>
      <c r="BK49" s="105">
        <v>2273.2735432390823</v>
      </c>
      <c r="BL49" s="105">
        <v>4.0385175400326689</v>
      </c>
      <c r="BM49" s="105">
        <v>2389.186976683327</v>
      </c>
      <c r="BN49" s="105">
        <v>4.4155047648847408</v>
      </c>
      <c r="BO49" s="105">
        <v>2612.2126189058126</v>
      </c>
      <c r="BP49" s="105">
        <v>3.5181561586393224</v>
      </c>
      <c r="BQ49" s="105">
        <v>2081.3411834510234</v>
      </c>
      <c r="BR49" s="105">
        <v>3.6878321376481482</v>
      </c>
      <c r="BS49" s="105">
        <v>2181.7214926326446</v>
      </c>
      <c r="BT49" s="105">
        <v>4.8860571775108284</v>
      </c>
      <c r="BU49" s="105">
        <v>2890.591426215406</v>
      </c>
      <c r="BV49" s="105">
        <v>3.614064351976483</v>
      </c>
      <c r="BW49" s="105">
        <v>2138.0804706292874</v>
      </c>
      <c r="BX49" s="105">
        <v>2.874224163366645</v>
      </c>
      <c r="BY49" s="105">
        <v>1700.3910150477072</v>
      </c>
      <c r="BZ49" s="105">
        <v>2.8821661228989033</v>
      </c>
      <c r="CA49" s="105">
        <v>1705.0894783069912</v>
      </c>
      <c r="CB49" s="105">
        <v>3.6336441832804964</v>
      </c>
      <c r="CC49" s="105">
        <v>2149.6638988287418</v>
      </c>
      <c r="CD49" s="105">
        <v>3.1232368122585008</v>
      </c>
      <c r="CE49" s="105">
        <v>1847.7068981321293</v>
      </c>
      <c r="CF49" s="105">
        <v>2.1687690255783578</v>
      </c>
      <c r="CG49" s="105">
        <v>1283.0437555321566</v>
      </c>
      <c r="CH49" s="105">
        <v>2.2069378370514037</v>
      </c>
      <c r="CI49" s="105">
        <v>1305.6244243996105</v>
      </c>
      <c r="CJ49" s="105">
        <v>3.1382026911064664</v>
      </c>
      <c r="CK49" s="105">
        <v>1856.5607120585855</v>
      </c>
      <c r="CL49" s="105">
        <v>3.2052672128272124</v>
      </c>
      <c r="CM49" s="105">
        <v>1896.2360831085789</v>
      </c>
      <c r="CN49" s="105">
        <v>2.9936717862955078</v>
      </c>
      <c r="CO49" s="105">
        <v>1771.0562287724224</v>
      </c>
      <c r="CP49" s="105">
        <v>3.4515085286530347</v>
      </c>
      <c r="CQ49" s="105">
        <v>2041.9124455511353</v>
      </c>
      <c r="CR49" s="105">
        <v>4.065531994788528</v>
      </c>
      <c r="CS49" s="105">
        <v>2405.1687281168934</v>
      </c>
      <c r="CT49" s="105">
        <v>3.226963852507323</v>
      </c>
      <c r="CU49" s="105">
        <v>1909.0718151433323</v>
      </c>
    </row>
    <row r="50" spans="2:99" x14ac:dyDescent="0.2">
      <c r="C50" s="104" t="s">
        <v>216</v>
      </c>
      <c r="D50" s="105">
        <v>5</v>
      </c>
      <c r="E50" s="105">
        <v>1932</v>
      </c>
      <c r="F50" s="105">
        <v>3</v>
      </c>
      <c r="G50" s="105">
        <v>1159.1999999999998</v>
      </c>
      <c r="H50" s="105">
        <v>3</v>
      </c>
      <c r="I50" s="105">
        <v>1159.1999999999998</v>
      </c>
      <c r="J50" s="105">
        <v>2</v>
      </c>
      <c r="K50" s="105">
        <v>772.8</v>
      </c>
      <c r="L50" s="105">
        <v>3.8424198917808319</v>
      </c>
      <c r="M50" s="105">
        <v>1484.7110461841135</v>
      </c>
      <c r="N50" s="105">
        <v>6.3431142494712756</v>
      </c>
      <c r="O50" s="105">
        <v>2450.9793459957009</v>
      </c>
      <c r="P50" s="105">
        <v>4.7779947518453252</v>
      </c>
      <c r="Q50" s="105">
        <v>1846.2171721130335</v>
      </c>
      <c r="R50" s="105">
        <v>3.8708004284540789</v>
      </c>
      <c r="S50" s="105">
        <v>1495.677285554656</v>
      </c>
      <c r="T50" s="105">
        <v>3.8958798369076053</v>
      </c>
      <c r="U50" s="105">
        <v>1505.3679689810986</v>
      </c>
      <c r="V50" s="105">
        <v>4.6975210833377439</v>
      </c>
      <c r="W50" s="105">
        <v>1815.1221466017041</v>
      </c>
      <c r="X50" s="105">
        <v>3.7320478235035739</v>
      </c>
      <c r="Y50" s="105">
        <v>1442.0632790017808</v>
      </c>
      <c r="Z50" s="105">
        <v>8.4891918871358669</v>
      </c>
      <c r="AA50" s="105">
        <v>3280.2237451892988</v>
      </c>
      <c r="AB50" s="105">
        <v>6.7698035557673428</v>
      </c>
      <c r="AC50" s="105">
        <v>2615.8520939485011</v>
      </c>
      <c r="AD50" s="105">
        <v>4.9114562259166625</v>
      </c>
      <c r="AE50" s="105">
        <v>1897.7866856941982</v>
      </c>
      <c r="AF50" s="105">
        <v>4.173385709401594</v>
      </c>
      <c r="AG50" s="105">
        <v>1612.5962381127758</v>
      </c>
      <c r="AH50" s="105">
        <v>5.0347975613705591</v>
      </c>
      <c r="AI50" s="105">
        <v>1945.445777713584</v>
      </c>
      <c r="AJ50" s="105">
        <v>5.8788090656643304</v>
      </c>
      <c r="AK50" s="105">
        <v>2271.5718229726972</v>
      </c>
      <c r="AL50" s="105">
        <v>4.8942369650633895</v>
      </c>
      <c r="AM50" s="105">
        <v>1891.1331633004936</v>
      </c>
      <c r="AN50" s="105">
        <v>4.5469501181427985</v>
      </c>
      <c r="AO50" s="105">
        <v>1756.9415256503771</v>
      </c>
      <c r="AP50" s="105">
        <v>5.2727427543655025</v>
      </c>
      <c r="AQ50" s="105">
        <v>2037.38780028683</v>
      </c>
      <c r="AR50" s="105">
        <v>5.6543375178211344</v>
      </c>
      <c r="AS50" s="105">
        <v>2184.8360168860863</v>
      </c>
      <c r="AT50" s="105">
        <v>2.7881557278375895</v>
      </c>
      <c r="AU50" s="105">
        <v>1077.3433732364444</v>
      </c>
      <c r="AV50" s="105">
        <v>4.7054439567282502</v>
      </c>
      <c r="AW50" s="105">
        <v>1818.1835448797958</v>
      </c>
      <c r="AX50" s="105">
        <v>6.1814891824646088</v>
      </c>
      <c r="AY50" s="105">
        <v>2388.5274201043248</v>
      </c>
      <c r="AZ50" s="105">
        <v>3.4714374191354871</v>
      </c>
      <c r="BA50" s="105">
        <v>1341.3634187539521</v>
      </c>
      <c r="BB50" s="105">
        <v>3.7525811419490087</v>
      </c>
      <c r="BC50" s="105">
        <v>1449.9973532490969</v>
      </c>
      <c r="BD50" s="105">
        <v>3.642818343405787</v>
      </c>
      <c r="BE50" s="105">
        <v>1407.5850078919959</v>
      </c>
      <c r="BF50" s="105">
        <v>4.4253459720212192</v>
      </c>
      <c r="BG50" s="105">
        <v>1709.953683588999</v>
      </c>
      <c r="BH50" s="105">
        <v>5.5253312394445722</v>
      </c>
      <c r="BI50" s="105">
        <v>2134.9879909213823</v>
      </c>
      <c r="BJ50" s="105">
        <v>4.9193362513635153</v>
      </c>
      <c r="BK50" s="105">
        <v>1900.8315275268621</v>
      </c>
      <c r="BL50" s="105">
        <v>5.8626810988242761</v>
      </c>
      <c r="BM50" s="105">
        <v>2265.3399765857002</v>
      </c>
      <c r="BN50" s="105">
        <v>3.3936191264754072</v>
      </c>
      <c r="BO50" s="105">
        <v>1311.2944304700973</v>
      </c>
      <c r="BP50" s="105">
        <v>4.2012544252205126</v>
      </c>
      <c r="BQ50" s="105">
        <v>1623.3647099052059</v>
      </c>
      <c r="BR50" s="105">
        <v>5.2447255038355776</v>
      </c>
      <c r="BS50" s="105">
        <v>2026.561934682067</v>
      </c>
      <c r="BT50" s="105">
        <v>6.2273246772907136</v>
      </c>
      <c r="BU50" s="105">
        <v>2406.2382553051316</v>
      </c>
      <c r="BV50" s="105">
        <v>4.0228047074083122</v>
      </c>
      <c r="BW50" s="105">
        <v>1554.4117389425717</v>
      </c>
      <c r="BX50" s="105">
        <v>4.607639997437782</v>
      </c>
      <c r="BY50" s="105">
        <v>1780.3920950099589</v>
      </c>
      <c r="BZ50" s="105">
        <v>3.7242216678370221</v>
      </c>
      <c r="CA50" s="105">
        <v>1439.0392524522254</v>
      </c>
      <c r="CB50" s="105">
        <v>5.6022880199438081</v>
      </c>
      <c r="CC50" s="105">
        <v>2164.7240909062875</v>
      </c>
      <c r="CD50" s="105">
        <v>5.1001099476076162</v>
      </c>
      <c r="CE50" s="105">
        <v>1970.6824837555828</v>
      </c>
      <c r="CF50" s="105">
        <v>2.9907950675179462</v>
      </c>
      <c r="CG50" s="105">
        <v>1155.6432140889344</v>
      </c>
      <c r="CH50" s="105">
        <v>2.9351260333939013</v>
      </c>
      <c r="CI50" s="105">
        <v>1134.1326993034033</v>
      </c>
      <c r="CJ50" s="105">
        <v>3.2718398594436313</v>
      </c>
      <c r="CK50" s="105">
        <v>1264.238921689019</v>
      </c>
      <c r="CL50" s="105">
        <v>5.0481085604632536</v>
      </c>
      <c r="CM50" s="105">
        <v>1950.5891477630012</v>
      </c>
      <c r="CN50" s="105">
        <v>3.9968102928100526</v>
      </c>
      <c r="CO50" s="105">
        <v>1544.3674971418043</v>
      </c>
      <c r="CP50" s="105">
        <v>4.166819655326468</v>
      </c>
      <c r="CQ50" s="105">
        <v>1610.0591148181472</v>
      </c>
      <c r="CR50" s="105">
        <v>3.675605261919999</v>
      </c>
      <c r="CS50" s="105">
        <v>1420.2538732058874</v>
      </c>
      <c r="CT50" s="105">
        <v>4.292553130513407</v>
      </c>
      <c r="CU50" s="105">
        <v>1658.6425296303803</v>
      </c>
    </row>
    <row r="51" spans="2:99" x14ac:dyDescent="0.2">
      <c r="C51" s="104" t="s">
        <v>217</v>
      </c>
      <c r="D51" s="105">
        <v>4</v>
      </c>
      <c r="E51" s="105">
        <v>542.4</v>
      </c>
      <c r="F51" s="105">
        <v>0.24076406441731812</v>
      </c>
      <c r="G51" s="105">
        <v>32.647607134988334</v>
      </c>
      <c r="H51" s="105">
        <v>0</v>
      </c>
      <c r="I51" s="105">
        <v>0</v>
      </c>
      <c r="J51" s="105">
        <v>0</v>
      </c>
      <c r="K51" s="105">
        <v>0</v>
      </c>
      <c r="L51" s="105">
        <v>0</v>
      </c>
      <c r="M51" s="105">
        <v>0</v>
      </c>
      <c r="N51" s="105">
        <v>4.2722005371345455</v>
      </c>
      <c r="O51" s="105">
        <v>579.3103928354443</v>
      </c>
      <c r="P51" s="105">
        <v>3.8567390171413303</v>
      </c>
      <c r="Q51" s="105">
        <v>522.9738107243644</v>
      </c>
      <c r="R51" s="105">
        <v>3.3582056128385727</v>
      </c>
      <c r="S51" s="105">
        <v>455.37268110091043</v>
      </c>
      <c r="T51" s="105">
        <v>3.5400558290532538</v>
      </c>
      <c r="U51" s="105">
        <v>480.03157041962118</v>
      </c>
      <c r="V51" s="105">
        <v>4.7888587576619015</v>
      </c>
      <c r="W51" s="105">
        <v>649.3692475389538</v>
      </c>
      <c r="X51" s="105">
        <v>4.9496015052467275</v>
      </c>
      <c r="Y51" s="105">
        <v>671.16596411145622</v>
      </c>
      <c r="Z51" s="105">
        <v>5.8801572207471553</v>
      </c>
      <c r="AA51" s="105">
        <v>797.34931913331422</v>
      </c>
      <c r="AB51" s="105">
        <v>6.1870101427524054</v>
      </c>
      <c r="AC51" s="105">
        <v>838.9585753572261</v>
      </c>
      <c r="AD51" s="105">
        <v>4.7131493042832302</v>
      </c>
      <c r="AE51" s="105">
        <v>639.10304566080595</v>
      </c>
      <c r="AF51" s="105">
        <v>4.263967698353051</v>
      </c>
      <c r="AG51" s="105">
        <v>578.19401989667369</v>
      </c>
      <c r="AH51" s="105">
        <v>3.550913676989317</v>
      </c>
      <c r="AI51" s="105">
        <v>481.50389459975139</v>
      </c>
      <c r="AJ51" s="105">
        <v>3.864150808684264</v>
      </c>
      <c r="AK51" s="105">
        <v>523.97884965758612</v>
      </c>
      <c r="AL51" s="105">
        <v>4.2534922728148308</v>
      </c>
      <c r="AM51" s="105">
        <v>576.77355219369099</v>
      </c>
      <c r="AN51" s="105">
        <v>4.0106742285443202</v>
      </c>
      <c r="AO51" s="105">
        <v>543.84742539060983</v>
      </c>
      <c r="AP51" s="105">
        <v>3.8544983471788408</v>
      </c>
      <c r="AQ51" s="105">
        <v>522.66997587745084</v>
      </c>
      <c r="AR51" s="105">
        <v>4.5981934469418402</v>
      </c>
      <c r="AS51" s="105">
        <v>623.51503140531349</v>
      </c>
      <c r="AT51" s="105">
        <v>3.6916586047930977</v>
      </c>
      <c r="AU51" s="105">
        <v>500.58890680994404</v>
      </c>
      <c r="AV51" s="105">
        <v>3.4621294177926969</v>
      </c>
      <c r="AW51" s="105">
        <v>469.46474905268968</v>
      </c>
      <c r="AX51" s="105">
        <v>4.6396870743956899</v>
      </c>
      <c r="AY51" s="105">
        <v>629.14156728805551</v>
      </c>
      <c r="AZ51" s="105">
        <v>4.477497617396323</v>
      </c>
      <c r="BA51" s="105">
        <v>607.14867691894142</v>
      </c>
      <c r="BB51" s="105">
        <v>5.2224902126919881</v>
      </c>
      <c r="BC51" s="105">
        <v>708.1696728410335</v>
      </c>
      <c r="BD51" s="105">
        <v>4.5980784965683519</v>
      </c>
      <c r="BE51" s="105">
        <v>623.49944413466847</v>
      </c>
      <c r="BF51" s="105">
        <v>5.1325441073337608</v>
      </c>
      <c r="BG51" s="105">
        <v>695.97298095445797</v>
      </c>
      <c r="BH51" s="105">
        <v>4.88172002110338</v>
      </c>
      <c r="BI51" s="105">
        <v>661.96123486161832</v>
      </c>
      <c r="BJ51" s="105">
        <v>4.474075210670879</v>
      </c>
      <c r="BK51" s="105">
        <v>606.6845985669712</v>
      </c>
      <c r="BL51" s="105">
        <v>4.0363632113473331</v>
      </c>
      <c r="BM51" s="105">
        <v>547.33085145869836</v>
      </c>
      <c r="BN51" s="105">
        <v>3.6593451816932405</v>
      </c>
      <c r="BO51" s="105">
        <v>496.20720663760341</v>
      </c>
      <c r="BP51" s="105">
        <v>3.6022567314393528</v>
      </c>
      <c r="BQ51" s="105">
        <v>488.46601278317621</v>
      </c>
      <c r="BR51" s="105">
        <v>4.6425701364429068</v>
      </c>
      <c r="BS51" s="105">
        <v>629.53251050165818</v>
      </c>
      <c r="BT51" s="105">
        <v>4.20430295324776</v>
      </c>
      <c r="BU51" s="105">
        <v>570.10348046039621</v>
      </c>
      <c r="BV51" s="105">
        <v>4.0345163940607423</v>
      </c>
      <c r="BW51" s="105">
        <v>547.08042303463662</v>
      </c>
      <c r="BX51" s="105">
        <v>3.6927037896917891</v>
      </c>
      <c r="BY51" s="105">
        <v>500.73063388220658</v>
      </c>
      <c r="BZ51" s="105">
        <v>3.9882033276271041</v>
      </c>
      <c r="CA51" s="105">
        <v>540.80037122623526</v>
      </c>
      <c r="CB51" s="105">
        <v>4.8481864502909167</v>
      </c>
      <c r="CC51" s="105">
        <v>657.41408265944824</v>
      </c>
      <c r="CD51" s="105">
        <v>4.1396498986934818</v>
      </c>
      <c r="CE51" s="105">
        <v>561.33652626283606</v>
      </c>
      <c r="CF51" s="105">
        <v>3.8172366550902335</v>
      </c>
      <c r="CG51" s="105">
        <v>517.61729043023558</v>
      </c>
      <c r="CH51" s="105">
        <v>3.0822844160116833</v>
      </c>
      <c r="CI51" s="105">
        <v>417.95776681118423</v>
      </c>
      <c r="CJ51" s="105">
        <v>3.3426265595828677</v>
      </c>
      <c r="CK51" s="105">
        <v>453.26016147943682</v>
      </c>
      <c r="CL51" s="105">
        <v>4.7276766041456746</v>
      </c>
      <c r="CM51" s="105">
        <v>641.07294752215341</v>
      </c>
      <c r="CN51" s="105">
        <v>3.7415430267336611</v>
      </c>
      <c r="CO51" s="105">
        <v>507.35323442508445</v>
      </c>
      <c r="CP51" s="105">
        <v>3.9038044435234087</v>
      </c>
      <c r="CQ51" s="105">
        <v>529.35588254177424</v>
      </c>
      <c r="CR51" s="105">
        <v>4.6228558957352419</v>
      </c>
      <c r="CS51" s="105">
        <v>626.8592594616988</v>
      </c>
      <c r="CT51" s="105">
        <v>4.016084004804978</v>
      </c>
      <c r="CU51" s="105">
        <v>544.58099105155497</v>
      </c>
    </row>
    <row r="52" spans="2:99" x14ac:dyDescent="0.2">
      <c r="C52" s="104" t="s">
        <v>218</v>
      </c>
      <c r="D52" s="105">
        <v>5</v>
      </c>
      <c r="E52" s="105">
        <v>1332</v>
      </c>
      <c r="F52" s="105">
        <v>0.24076406441731812</v>
      </c>
      <c r="G52" s="105">
        <v>64.139546760773541</v>
      </c>
      <c r="H52" s="105">
        <v>0</v>
      </c>
      <c r="I52" s="105">
        <v>0</v>
      </c>
      <c r="J52" s="105">
        <v>0</v>
      </c>
      <c r="K52" s="105">
        <v>0</v>
      </c>
      <c r="L52" s="105">
        <v>0</v>
      </c>
      <c r="M52" s="105">
        <v>0</v>
      </c>
      <c r="N52" s="105">
        <v>3.7381754699927274</v>
      </c>
      <c r="O52" s="105">
        <v>995.84994520606256</v>
      </c>
      <c r="P52" s="105">
        <v>3.8567390171413303</v>
      </c>
      <c r="Q52" s="105">
        <v>1027.4352741664502</v>
      </c>
      <c r="R52" s="105">
        <v>3.8649338412447816</v>
      </c>
      <c r="S52" s="105">
        <v>1029.6183753076098</v>
      </c>
      <c r="T52" s="105">
        <v>3.5400558290532538</v>
      </c>
      <c r="U52" s="105">
        <v>943.07087285978673</v>
      </c>
      <c r="V52" s="105">
        <v>4.7888587576619015</v>
      </c>
      <c r="W52" s="105">
        <v>1275.7519730411304</v>
      </c>
      <c r="X52" s="105">
        <v>4.9883424744286149</v>
      </c>
      <c r="Y52" s="105">
        <v>1328.8944351877828</v>
      </c>
      <c r="Z52" s="105">
        <v>6.5931009163606005</v>
      </c>
      <c r="AA52" s="105">
        <v>1756.4020841184638</v>
      </c>
      <c r="AB52" s="105">
        <v>6.1870101427524054</v>
      </c>
      <c r="AC52" s="105">
        <v>1648.2195020292406</v>
      </c>
      <c r="AD52" s="105">
        <v>3.9590110777365561</v>
      </c>
      <c r="AE52" s="105">
        <v>1054.6805511090186</v>
      </c>
      <c r="AF52" s="105">
        <v>4.263967698353051</v>
      </c>
      <c r="AG52" s="105">
        <v>1135.9209948412527</v>
      </c>
      <c r="AH52" s="105">
        <v>4.0350422725395179</v>
      </c>
      <c r="AI52" s="105">
        <v>1074.9352614045274</v>
      </c>
      <c r="AJ52" s="105">
        <v>3.8408727966161407</v>
      </c>
      <c r="AK52" s="105">
        <v>1023.2085130185397</v>
      </c>
      <c r="AL52" s="105">
        <v>3.7808820202798494</v>
      </c>
      <c r="AM52" s="105">
        <v>1007.2269702025518</v>
      </c>
      <c r="AN52" s="105">
        <v>4.0106742285443202</v>
      </c>
      <c r="AO52" s="105">
        <v>1068.4436144842068</v>
      </c>
      <c r="AP52" s="105">
        <v>4.3540205321068113</v>
      </c>
      <c r="AQ52" s="105">
        <v>1159.9110697532544</v>
      </c>
      <c r="AR52" s="105">
        <v>4.0165647816802919</v>
      </c>
      <c r="AS52" s="105">
        <v>1070.0128578396298</v>
      </c>
      <c r="AT52" s="105">
        <v>2.9817032297671169</v>
      </c>
      <c r="AU52" s="105">
        <v>794.32574040995985</v>
      </c>
      <c r="AV52" s="105">
        <v>4.1161241180109345</v>
      </c>
      <c r="AW52" s="105">
        <v>1096.5354650381128</v>
      </c>
      <c r="AX52" s="105">
        <v>4.6396870743956899</v>
      </c>
      <c r="AY52" s="105">
        <v>1236.0126366190118</v>
      </c>
      <c r="AZ52" s="105">
        <v>4.477497617396323</v>
      </c>
      <c r="BA52" s="105">
        <v>1192.8053652743804</v>
      </c>
      <c r="BB52" s="105">
        <v>5.1820983117580033</v>
      </c>
      <c r="BC52" s="105">
        <v>1380.510990252332</v>
      </c>
      <c r="BD52" s="105">
        <v>5.4412606813578845</v>
      </c>
      <c r="BE52" s="105">
        <v>1449.5518455137403</v>
      </c>
      <c r="BF52" s="105">
        <v>4.4245791998817978</v>
      </c>
      <c r="BG52" s="105">
        <v>1178.7078988485109</v>
      </c>
      <c r="BH52" s="105">
        <v>4.3539572962569455</v>
      </c>
      <c r="BI52" s="105">
        <v>1159.8942237228503</v>
      </c>
      <c r="BJ52" s="105">
        <v>4.474075210670879</v>
      </c>
      <c r="BK52" s="105">
        <v>1191.893636122722</v>
      </c>
      <c r="BL52" s="105">
        <v>4.0607236695130737</v>
      </c>
      <c r="BM52" s="105">
        <v>1081.7767855582827</v>
      </c>
      <c r="BN52" s="105">
        <v>3.6593451816932405</v>
      </c>
      <c r="BO52" s="105">
        <v>974.84955640307919</v>
      </c>
      <c r="BP52" s="105">
        <v>4.0961347460044868</v>
      </c>
      <c r="BQ52" s="105">
        <v>1091.2102963355951</v>
      </c>
      <c r="BR52" s="105">
        <v>4.076240862067154</v>
      </c>
      <c r="BS52" s="105">
        <v>1085.9105656546897</v>
      </c>
      <c r="BT52" s="105">
        <v>3.7471441851340401</v>
      </c>
      <c r="BU52" s="105">
        <v>998.23921091970817</v>
      </c>
      <c r="BV52" s="105">
        <v>4.0345163940607423</v>
      </c>
      <c r="BW52" s="105">
        <v>1074.7951673777816</v>
      </c>
      <c r="BX52" s="105">
        <v>3.6635467839653622</v>
      </c>
      <c r="BY52" s="105">
        <v>975.96886324837237</v>
      </c>
      <c r="BZ52" s="105">
        <v>3.4380456156274515</v>
      </c>
      <c r="CA52" s="105">
        <v>915.89535200315299</v>
      </c>
      <c r="CB52" s="105">
        <v>4.8481864502909167</v>
      </c>
      <c r="CC52" s="105">
        <v>1291.5568703575</v>
      </c>
      <c r="CD52" s="105">
        <v>4.1396498986934818</v>
      </c>
      <c r="CE52" s="105">
        <v>1102.8027330119435</v>
      </c>
      <c r="CF52" s="105">
        <v>3.8172366550902335</v>
      </c>
      <c r="CG52" s="105">
        <v>1016.9118449160381</v>
      </c>
      <c r="CH52" s="105">
        <v>3.0822844160116833</v>
      </c>
      <c r="CI52" s="105">
        <v>821.12056842551237</v>
      </c>
      <c r="CJ52" s="105">
        <v>3.8457182359633548</v>
      </c>
      <c r="CK52" s="105">
        <v>1024.4993380606377</v>
      </c>
      <c r="CL52" s="105">
        <v>4.0754361758299567</v>
      </c>
      <c r="CM52" s="105">
        <v>1085.6961972411004</v>
      </c>
      <c r="CN52" s="105">
        <v>3.7124180243439997</v>
      </c>
      <c r="CO52" s="105">
        <v>988.98816168524138</v>
      </c>
      <c r="CP52" s="105">
        <v>3.9038044435234087</v>
      </c>
      <c r="CQ52" s="105">
        <v>1039.9735037546359</v>
      </c>
      <c r="CR52" s="105">
        <v>4.6228558957352419</v>
      </c>
      <c r="CS52" s="105">
        <v>1231.5288106238684</v>
      </c>
      <c r="CT52" s="105">
        <v>3.511167959890845</v>
      </c>
      <c r="CU52" s="105">
        <v>935.37514451492098</v>
      </c>
    </row>
    <row r="53" spans="2:99" x14ac:dyDescent="0.2">
      <c r="C53" s="104" t="s">
        <v>219</v>
      </c>
      <c r="D53" s="105">
        <v>4</v>
      </c>
      <c r="E53" s="105">
        <v>1569.6</v>
      </c>
      <c r="F53" s="105">
        <v>0.24076406441731812</v>
      </c>
      <c r="G53" s="105">
        <v>94.475818877355621</v>
      </c>
      <c r="H53" s="105">
        <v>0</v>
      </c>
      <c r="I53" s="105">
        <v>0</v>
      </c>
      <c r="J53" s="105">
        <v>0</v>
      </c>
      <c r="K53" s="105">
        <v>0</v>
      </c>
      <c r="L53" s="105">
        <v>0</v>
      </c>
      <c r="M53" s="105">
        <v>0</v>
      </c>
      <c r="N53" s="105">
        <v>3.7381754699927274</v>
      </c>
      <c r="O53" s="105">
        <v>1466.8600544251462</v>
      </c>
      <c r="P53" s="105">
        <v>4.3621549352064521</v>
      </c>
      <c r="Q53" s="105">
        <v>1711.7095965750118</v>
      </c>
      <c r="R53" s="105">
        <v>3.3317192593051299</v>
      </c>
      <c r="S53" s="105">
        <v>1307.3666373513329</v>
      </c>
      <c r="T53" s="105">
        <v>4.1712556936087815</v>
      </c>
      <c r="U53" s="105">
        <v>1636.8007341720856</v>
      </c>
      <c r="V53" s="105">
        <v>3.8766803322382701</v>
      </c>
      <c r="W53" s="105">
        <v>1521.2093623702972</v>
      </c>
      <c r="X53" s="105">
        <v>4.9496015052467275</v>
      </c>
      <c r="Y53" s="105">
        <v>1942.2236306588159</v>
      </c>
      <c r="Z53" s="105">
        <v>5.9154787519150762</v>
      </c>
      <c r="AA53" s="105">
        <v>2321.2338622514758</v>
      </c>
      <c r="AB53" s="105">
        <v>5.4091386205888687</v>
      </c>
      <c r="AC53" s="105">
        <v>2122.545994719072</v>
      </c>
      <c r="AD53" s="105">
        <v>4.7131493042832302</v>
      </c>
      <c r="AE53" s="105">
        <v>1849.4397870007394</v>
      </c>
      <c r="AF53" s="105">
        <v>3.6758342183327333</v>
      </c>
      <c r="AG53" s="105">
        <v>1442.3973472737644</v>
      </c>
      <c r="AH53" s="105">
        <v>4.0350422725395179</v>
      </c>
      <c r="AI53" s="105">
        <v>1583.3505877445068</v>
      </c>
      <c r="AJ53" s="105">
        <v>3.8408727966161407</v>
      </c>
      <c r="AK53" s="105">
        <v>1507.1584853921736</v>
      </c>
      <c r="AL53" s="105">
        <v>3.7808820202798494</v>
      </c>
      <c r="AM53" s="105">
        <v>1483.6181047578129</v>
      </c>
      <c r="AN53" s="105">
        <v>3.3564053344481044</v>
      </c>
      <c r="AO53" s="105">
        <v>1317.0534532374361</v>
      </c>
      <c r="AP53" s="105">
        <v>4.879102935083572</v>
      </c>
      <c r="AQ53" s="105">
        <v>1914.5599917267934</v>
      </c>
      <c r="AR53" s="105">
        <v>4.5981934469418402</v>
      </c>
      <c r="AS53" s="105">
        <v>1804.331108579978</v>
      </c>
      <c r="AT53" s="105">
        <v>3.6916586047930977</v>
      </c>
      <c r="AU53" s="105">
        <v>1448.6068365208114</v>
      </c>
      <c r="AV53" s="105">
        <v>4.1161241180109345</v>
      </c>
      <c r="AW53" s="105">
        <v>1615.1671039074906</v>
      </c>
      <c r="AX53" s="105">
        <v>5.3069867944253746</v>
      </c>
      <c r="AY53" s="105">
        <v>2082.4616181325168</v>
      </c>
      <c r="AZ53" s="105">
        <v>4.477497617396323</v>
      </c>
      <c r="BA53" s="105">
        <v>1756.9700650663171</v>
      </c>
      <c r="BB53" s="105">
        <v>5.1820983117580033</v>
      </c>
      <c r="BC53" s="105">
        <v>2033.4553775338404</v>
      </c>
      <c r="BD53" s="105">
        <v>4.5556154329438305</v>
      </c>
      <c r="BE53" s="105">
        <v>1787.6234958871589</v>
      </c>
      <c r="BF53" s="105">
        <v>5.1325441073337608</v>
      </c>
      <c r="BG53" s="105">
        <v>2014.0103077177675</v>
      </c>
      <c r="BH53" s="105">
        <v>4.3539572962569455</v>
      </c>
      <c r="BI53" s="105">
        <v>1708.4928430512252</v>
      </c>
      <c r="BJ53" s="105">
        <v>4.474075210670879</v>
      </c>
      <c r="BK53" s="105">
        <v>1755.6271126672527</v>
      </c>
      <c r="BL53" s="105">
        <v>3.5470430962825046</v>
      </c>
      <c r="BM53" s="105">
        <v>1391.8597109812547</v>
      </c>
      <c r="BN53" s="105">
        <v>3.6593451816932405</v>
      </c>
      <c r="BO53" s="105">
        <v>1435.9270492964274</v>
      </c>
      <c r="BP53" s="105">
        <v>3.6022567314393528</v>
      </c>
      <c r="BQ53" s="105">
        <v>1413.5255414168018</v>
      </c>
      <c r="BR53" s="105">
        <v>4.6425701364429068</v>
      </c>
      <c r="BS53" s="105">
        <v>1821.7445215401965</v>
      </c>
      <c r="BT53" s="105">
        <v>3.7471441851340401</v>
      </c>
      <c r="BU53" s="105">
        <v>1470.3793782465973</v>
      </c>
      <c r="BV53" s="105">
        <v>4.7069357930708664</v>
      </c>
      <c r="BW53" s="105">
        <v>1847.0016052010078</v>
      </c>
      <c r="BX53" s="105">
        <v>3.6927037896917891</v>
      </c>
      <c r="BY53" s="105">
        <v>1449.0169670750579</v>
      </c>
      <c r="BZ53" s="105">
        <v>3.9882033276271041</v>
      </c>
      <c r="CA53" s="105">
        <v>1564.9709857608755</v>
      </c>
      <c r="CB53" s="105">
        <v>4.3240572069355272</v>
      </c>
      <c r="CC53" s="105">
        <v>1696.7600480015008</v>
      </c>
      <c r="CD53" s="105">
        <v>4.1396498986934818</v>
      </c>
      <c r="CE53" s="105">
        <v>1624.3986202473222</v>
      </c>
      <c r="CF53" s="105">
        <v>3.2108353218257815</v>
      </c>
      <c r="CG53" s="105">
        <v>1259.9317802844366</v>
      </c>
      <c r="CH53" s="105">
        <v>3.7939091277996631</v>
      </c>
      <c r="CI53" s="105">
        <v>1488.7299417485876</v>
      </c>
      <c r="CJ53" s="105">
        <v>3.8457182359633548</v>
      </c>
      <c r="CK53" s="105">
        <v>1509.0598357920203</v>
      </c>
      <c r="CL53" s="105">
        <v>4.0754361758299567</v>
      </c>
      <c r="CM53" s="105">
        <v>1599.201155395675</v>
      </c>
      <c r="CN53" s="105">
        <v>4.3020293593450063</v>
      </c>
      <c r="CO53" s="105">
        <v>1688.1163206069805</v>
      </c>
      <c r="CP53" s="105">
        <v>3.3653470183753798</v>
      </c>
      <c r="CQ53" s="105">
        <v>1320.5621700104989</v>
      </c>
      <c r="CR53" s="105">
        <v>4.6228558957352419</v>
      </c>
      <c r="CS53" s="105">
        <v>1814.0086534865088</v>
      </c>
      <c r="CT53" s="105">
        <v>3.511167959890845</v>
      </c>
      <c r="CU53" s="105">
        <v>1377.7823074611674</v>
      </c>
    </row>
    <row r="54" spans="2:99" x14ac:dyDescent="0.2">
      <c r="C54" s="104" t="s">
        <v>220</v>
      </c>
      <c r="D54" s="105">
        <v>5</v>
      </c>
      <c r="E54" s="105">
        <v>2040</v>
      </c>
      <c r="F54" s="105">
        <v>3</v>
      </c>
      <c r="G54" s="105">
        <v>1224</v>
      </c>
      <c r="H54" s="105">
        <v>3</v>
      </c>
      <c r="I54" s="105">
        <v>1224</v>
      </c>
      <c r="J54" s="105">
        <v>2</v>
      </c>
      <c r="K54" s="105">
        <v>816</v>
      </c>
      <c r="L54" s="105">
        <v>4.6109038701369984</v>
      </c>
      <c r="M54" s="105">
        <v>1881.2487790158953</v>
      </c>
      <c r="N54" s="105">
        <v>5.5502249682873659</v>
      </c>
      <c r="O54" s="105">
        <v>2264.4917870612453</v>
      </c>
      <c r="P54" s="105">
        <v>5.4370317773091967</v>
      </c>
      <c r="Q54" s="105">
        <v>2218.3089651421524</v>
      </c>
      <c r="R54" s="105">
        <v>4.4852333924150631</v>
      </c>
      <c r="S54" s="105">
        <v>1829.9752241053457</v>
      </c>
      <c r="T54" s="105">
        <v>3.8958798369076053</v>
      </c>
      <c r="U54" s="105">
        <v>1589.518973458303</v>
      </c>
      <c r="V54" s="105">
        <v>4.6975210833377439</v>
      </c>
      <c r="W54" s="105">
        <v>1916.5886020017995</v>
      </c>
      <c r="X54" s="105">
        <v>3.7320478235035739</v>
      </c>
      <c r="Y54" s="105">
        <v>1522.6755119894581</v>
      </c>
      <c r="Z54" s="105">
        <v>7.5754629669754863</v>
      </c>
      <c r="AA54" s="105">
        <v>3090.7888905259983</v>
      </c>
      <c r="AB54" s="105">
        <v>6.7698035557673428</v>
      </c>
      <c r="AC54" s="105">
        <v>2762.0798507530758</v>
      </c>
      <c r="AD54" s="105">
        <v>4.1636517283207644</v>
      </c>
      <c r="AE54" s="105">
        <v>1698.7699051548718</v>
      </c>
      <c r="AF54" s="105">
        <v>4.173385709401594</v>
      </c>
      <c r="AG54" s="105">
        <v>1702.7413694358504</v>
      </c>
      <c r="AH54" s="105">
        <v>5.0347975613705591</v>
      </c>
      <c r="AI54" s="105">
        <v>2054.1974050391882</v>
      </c>
      <c r="AJ54" s="105">
        <v>5.2397084184792053</v>
      </c>
      <c r="AK54" s="105">
        <v>2137.8010347395157</v>
      </c>
      <c r="AL54" s="105">
        <v>5.5162238454516901</v>
      </c>
      <c r="AM54" s="105">
        <v>2250.6193289442895</v>
      </c>
      <c r="AN54" s="105">
        <v>4.5469501181427985</v>
      </c>
      <c r="AO54" s="105">
        <v>1855.1556482022618</v>
      </c>
      <c r="AP54" s="105">
        <v>5.904215162861683</v>
      </c>
      <c r="AQ54" s="105">
        <v>2408.9197864475668</v>
      </c>
      <c r="AR54" s="105">
        <v>5.6205723418631619</v>
      </c>
      <c r="AS54" s="105">
        <v>2293.1935154801699</v>
      </c>
      <c r="AT54" s="105">
        <v>3.4851946597969867</v>
      </c>
      <c r="AU54" s="105">
        <v>1421.9594211971705</v>
      </c>
      <c r="AV54" s="105">
        <v>4.7054439567282502</v>
      </c>
      <c r="AW54" s="105">
        <v>1919.821134345126</v>
      </c>
      <c r="AX54" s="105">
        <v>5.4365570900322169</v>
      </c>
      <c r="AY54" s="105">
        <v>2218.1152927331445</v>
      </c>
      <c r="AZ54" s="105">
        <v>3.4435711052869014</v>
      </c>
      <c r="BA54" s="105">
        <v>1404.9770109570557</v>
      </c>
      <c r="BB54" s="105">
        <v>4.4610011252015891</v>
      </c>
      <c r="BC54" s="105">
        <v>1820.0884590822484</v>
      </c>
      <c r="BD54" s="105">
        <v>4.3083909628230366</v>
      </c>
      <c r="BE54" s="105">
        <v>1757.823512831799</v>
      </c>
      <c r="BF54" s="105">
        <v>3.7888245804027467</v>
      </c>
      <c r="BG54" s="105">
        <v>1545.8404288043207</v>
      </c>
      <c r="BH54" s="105">
        <v>4.9114055461729533</v>
      </c>
      <c r="BI54" s="105">
        <v>2003.8534628385651</v>
      </c>
      <c r="BJ54" s="105">
        <v>4.9273149545761408</v>
      </c>
      <c r="BK54" s="105">
        <v>2010.3445014670654</v>
      </c>
      <c r="BL54" s="105">
        <v>5.1520354545520339</v>
      </c>
      <c r="BM54" s="105">
        <v>2102.0304654572296</v>
      </c>
      <c r="BN54" s="105">
        <v>3.9592223142213081</v>
      </c>
      <c r="BO54" s="105">
        <v>1615.3627042022938</v>
      </c>
      <c r="BP54" s="105">
        <v>4.2012544252205126</v>
      </c>
      <c r="BQ54" s="105">
        <v>1714.1118054899691</v>
      </c>
      <c r="BR54" s="105">
        <v>5.2447255038355776</v>
      </c>
      <c r="BS54" s="105">
        <v>2139.8480055649156</v>
      </c>
      <c r="BT54" s="105">
        <v>6.2273246772907136</v>
      </c>
      <c r="BU54" s="105">
        <v>2540.7484683346111</v>
      </c>
      <c r="BV54" s="105">
        <v>4.0228047074083122</v>
      </c>
      <c r="BW54" s="105">
        <v>1641.3043206225914</v>
      </c>
      <c r="BX54" s="105">
        <v>4.0008558616903098</v>
      </c>
      <c r="BY54" s="105">
        <v>1632.3491915696463</v>
      </c>
      <c r="BZ54" s="105">
        <v>4.3209454217119827</v>
      </c>
      <c r="CA54" s="105">
        <v>1762.9457320584888</v>
      </c>
      <c r="CB54" s="105">
        <v>5.6022880199438081</v>
      </c>
      <c r="CC54" s="105">
        <v>2285.7335121370738</v>
      </c>
      <c r="CD54" s="105">
        <v>4.391560249673387</v>
      </c>
      <c r="CE54" s="105">
        <v>1791.756581866742</v>
      </c>
      <c r="CF54" s="105">
        <v>2.9907950675179462</v>
      </c>
      <c r="CG54" s="105">
        <v>1220.244387547322</v>
      </c>
      <c r="CH54" s="105">
        <v>3.6099033019694136</v>
      </c>
      <c r="CI54" s="105">
        <v>1472.8405472035208</v>
      </c>
      <c r="CJ54" s="105">
        <v>3.2718398594436313</v>
      </c>
      <c r="CK54" s="105">
        <v>1334.9106626530015</v>
      </c>
      <c r="CL54" s="105">
        <v>4.9696303550555632</v>
      </c>
      <c r="CM54" s="105">
        <v>2027.6091848626697</v>
      </c>
      <c r="CN54" s="105">
        <v>4.6313045016783221</v>
      </c>
      <c r="CO54" s="105">
        <v>1889.5722366847554</v>
      </c>
      <c r="CP54" s="105">
        <v>4.8335109975647521</v>
      </c>
      <c r="CQ54" s="105">
        <v>1972.0724870064189</v>
      </c>
      <c r="CR54" s="105">
        <v>4.2307406442671942</v>
      </c>
      <c r="CS54" s="105">
        <v>1726.1421828610153</v>
      </c>
      <c r="CT54" s="105">
        <v>4.292553130513407</v>
      </c>
      <c r="CU54" s="105">
        <v>1751.3616772494702</v>
      </c>
    </row>
    <row r="55" spans="2:99" x14ac:dyDescent="0.2">
      <c r="C55" s="104" t="s">
        <v>221</v>
      </c>
      <c r="D55" s="105">
        <v>5</v>
      </c>
      <c r="E55" s="105">
        <v>1271.9999999999998</v>
      </c>
      <c r="F55" s="105">
        <v>0.24076406441731812</v>
      </c>
      <c r="G55" s="105">
        <v>61.250377987765717</v>
      </c>
      <c r="H55" s="105">
        <v>0</v>
      </c>
      <c r="I55" s="105">
        <v>0</v>
      </c>
      <c r="J55" s="105">
        <v>0</v>
      </c>
      <c r="K55" s="105">
        <v>0</v>
      </c>
      <c r="L55" s="105">
        <v>0</v>
      </c>
      <c r="M55" s="105">
        <v>0</v>
      </c>
      <c r="N55" s="105">
        <v>4.2722005371345455</v>
      </c>
      <c r="O55" s="105">
        <v>1086.8478166470281</v>
      </c>
      <c r="P55" s="105">
        <v>4.3887239010969079</v>
      </c>
      <c r="Q55" s="105">
        <v>1116.4913604390531</v>
      </c>
      <c r="R55" s="105">
        <v>3.8914201947782252</v>
      </c>
      <c r="S55" s="105">
        <v>989.97729755158025</v>
      </c>
      <c r="T55" s="105">
        <v>3.5400558290532538</v>
      </c>
      <c r="U55" s="105">
        <v>900.59020291114757</v>
      </c>
      <c r="V55" s="105">
        <v>4.7888587576619015</v>
      </c>
      <c r="W55" s="105">
        <v>1218.2856679491874</v>
      </c>
      <c r="X55" s="105">
        <v>5.7809919176514963</v>
      </c>
      <c r="Y55" s="105">
        <v>1470.6843438505405</v>
      </c>
      <c r="Z55" s="105">
        <v>5.9154787519150762</v>
      </c>
      <c r="AA55" s="105">
        <v>1504.8977944871951</v>
      </c>
      <c r="AB55" s="105">
        <v>6.1870101427524054</v>
      </c>
      <c r="AC55" s="105">
        <v>1573.9753803162116</v>
      </c>
      <c r="AD55" s="105">
        <v>4.7508132932838665</v>
      </c>
      <c r="AE55" s="105">
        <v>1208.6069018114154</v>
      </c>
      <c r="AF55" s="105">
        <v>4.263967698353051</v>
      </c>
      <c r="AG55" s="105">
        <v>1084.7533824610159</v>
      </c>
      <c r="AH55" s="105">
        <v>3.5277688901124726</v>
      </c>
      <c r="AI55" s="105">
        <v>897.46440564461284</v>
      </c>
      <c r="AJ55" s="105">
        <v>4.7719934806850226</v>
      </c>
      <c r="AK55" s="105">
        <v>1213.9951414862694</v>
      </c>
      <c r="AL55" s="105">
        <v>4.2534922728148308</v>
      </c>
      <c r="AM55" s="105">
        <v>1082.0884342040927</v>
      </c>
      <c r="AN55" s="105">
        <v>3.3564053344481044</v>
      </c>
      <c r="AO55" s="105">
        <v>853.86951708359754</v>
      </c>
      <c r="AP55" s="105">
        <v>3.8544983471788408</v>
      </c>
      <c r="AQ55" s="105">
        <v>980.5843795222969</v>
      </c>
      <c r="AR55" s="105">
        <v>4.0439827192555624</v>
      </c>
      <c r="AS55" s="105">
        <v>1028.7892037786148</v>
      </c>
      <c r="AT55" s="105">
        <v>3.0171736621829157</v>
      </c>
      <c r="AU55" s="105">
        <v>767.56897965933365</v>
      </c>
      <c r="AV55" s="105">
        <v>3.4621294177926969</v>
      </c>
      <c r="AW55" s="105">
        <v>880.76572388646196</v>
      </c>
      <c r="AX55" s="105">
        <v>5.2755758286132712</v>
      </c>
      <c r="AY55" s="105">
        <v>1342.1064907992159</v>
      </c>
      <c r="AZ55" s="105">
        <v>4.477497617396323</v>
      </c>
      <c r="BA55" s="105">
        <v>1139.0753938656244</v>
      </c>
      <c r="BB55" s="105">
        <v>5.1820983117580033</v>
      </c>
      <c r="BC55" s="105">
        <v>1318.3258105112357</v>
      </c>
      <c r="BD55" s="105">
        <v>5.4412606813578845</v>
      </c>
      <c r="BE55" s="105">
        <v>1384.2567173374455</v>
      </c>
      <c r="BF55" s="105">
        <v>5.1679020583677637</v>
      </c>
      <c r="BG55" s="105">
        <v>1314.7142836487587</v>
      </c>
      <c r="BH55" s="105">
        <v>4.9080911206004743</v>
      </c>
      <c r="BI55" s="105">
        <v>1248.6183810807604</v>
      </c>
      <c r="BJ55" s="105">
        <v>3.8524299778539386</v>
      </c>
      <c r="BK55" s="105">
        <v>980.05818636604181</v>
      </c>
      <c r="BL55" s="105">
        <v>4.0363632113473331</v>
      </c>
      <c r="BM55" s="105">
        <v>1026.8508009667614</v>
      </c>
      <c r="BN55" s="105">
        <v>3.6593451816932405</v>
      </c>
      <c r="BO55" s="105">
        <v>930.93741422276025</v>
      </c>
      <c r="BP55" s="105">
        <v>4.0961347460044868</v>
      </c>
      <c r="BQ55" s="105">
        <v>1042.0566793835412</v>
      </c>
      <c r="BR55" s="105">
        <v>4.076240862067154</v>
      </c>
      <c r="BS55" s="105">
        <v>1036.9956753098838</v>
      </c>
      <c r="BT55" s="105">
        <v>3.7471441851340401</v>
      </c>
      <c r="BU55" s="105">
        <v>953.27348069809966</v>
      </c>
      <c r="BV55" s="105">
        <v>4.0345163940607423</v>
      </c>
      <c r="BW55" s="105">
        <v>1026.3809706490526</v>
      </c>
      <c r="BX55" s="105">
        <v>4.2789974155806609</v>
      </c>
      <c r="BY55" s="105">
        <v>1088.5769425237199</v>
      </c>
      <c r="BZ55" s="105">
        <v>3.4380456156274515</v>
      </c>
      <c r="CA55" s="105">
        <v>874.63880461562349</v>
      </c>
      <c r="CB55" s="105">
        <v>4.8481864502909167</v>
      </c>
      <c r="CC55" s="105">
        <v>1233.3786329540089</v>
      </c>
      <c r="CD55" s="105">
        <v>4.1396498986934818</v>
      </c>
      <c r="CE55" s="105">
        <v>1053.1269342276216</v>
      </c>
      <c r="CF55" s="105">
        <v>3.8172366550902335</v>
      </c>
      <c r="CG55" s="105">
        <v>971.1050050549552</v>
      </c>
      <c r="CH55" s="105">
        <v>3.0822844160116833</v>
      </c>
      <c r="CI55" s="105">
        <v>784.13315543337205</v>
      </c>
      <c r="CJ55" s="105">
        <v>3.3426265595828677</v>
      </c>
      <c r="CK55" s="105">
        <v>850.36419675788136</v>
      </c>
      <c r="CL55" s="105">
        <v>4.0754361758299567</v>
      </c>
      <c r="CM55" s="105">
        <v>1036.7909631311409</v>
      </c>
      <c r="CN55" s="105">
        <v>3.7124180243439997</v>
      </c>
      <c r="CO55" s="105">
        <v>944.43914539311334</v>
      </c>
      <c r="CP55" s="105">
        <v>3.9307249370208499</v>
      </c>
      <c r="CQ55" s="105">
        <v>999.97642397810398</v>
      </c>
      <c r="CR55" s="105">
        <v>3.9579321937155054</v>
      </c>
      <c r="CS55" s="105">
        <v>1006.8979500812244</v>
      </c>
      <c r="CT55" s="105">
        <v>3.9928396502968919</v>
      </c>
      <c r="CU55" s="105">
        <v>1015.7784070355291</v>
      </c>
    </row>
    <row r="56" spans="2:99" x14ac:dyDescent="0.2">
      <c r="C56" s="104" t="s">
        <v>222</v>
      </c>
      <c r="D56" s="105">
        <v>2.794940875405501</v>
      </c>
      <c r="E56" s="105">
        <v>2119.6831599075317</v>
      </c>
      <c r="F56" s="105">
        <v>0</v>
      </c>
      <c r="G56" s="105">
        <v>0</v>
      </c>
      <c r="H56" s="105">
        <v>0</v>
      </c>
      <c r="I56" s="105">
        <v>0</v>
      </c>
      <c r="J56" s="105">
        <v>0</v>
      </c>
      <c r="K56" s="105">
        <v>0</v>
      </c>
      <c r="L56" s="105">
        <v>0</v>
      </c>
      <c r="M56" s="105">
        <v>0</v>
      </c>
      <c r="N56" s="105">
        <v>3.3331222915944112</v>
      </c>
      <c r="O56" s="105">
        <v>2527.8399459452012</v>
      </c>
      <c r="P56" s="105">
        <v>4.0939382933011714</v>
      </c>
      <c r="Q56" s="105">
        <v>3104.8428016396083</v>
      </c>
      <c r="R56" s="105">
        <v>2.9407234002989773</v>
      </c>
      <c r="S56" s="105">
        <v>2230.2446267867444</v>
      </c>
      <c r="T56" s="105">
        <v>2.9696889455574231</v>
      </c>
      <c r="U56" s="105">
        <v>2252.2120963107495</v>
      </c>
      <c r="V56" s="105">
        <v>2.8197159758418571</v>
      </c>
      <c r="W56" s="105">
        <v>2138.4725960784644</v>
      </c>
      <c r="X56" s="105">
        <v>3.027730152107766</v>
      </c>
      <c r="Y56" s="105">
        <v>2296.2305473585297</v>
      </c>
      <c r="Z56" s="105">
        <v>4.3205549375459196</v>
      </c>
      <c r="AA56" s="105">
        <v>3276.7088646348252</v>
      </c>
      <c r="AB56" s="105">
        <v>3.9506535184041729</v>
      </c>
      <c r="AC56" s="105">
        <v>2996.1756283577247</v>
      </c>
      <c r="AD56" s="105">
        <v>3.0733707333201008</v>
      </c>
      <c r="AE56" s="105">
        <v>2330.8443641499643</v>
      </c>
      <c r="AF56" s="105">
        <v>3.3508252166491403</v>
      </c>
      <c r="AG56" s="105">
        <v>2541.265844306708</v>
      </c>
      <c r="AH56" s="105">
        <v>3.1500766077801856</v>
      </c>
      <c r="AI56" s="105">
        <v>2389.0180993404929</v>
      </c>
      <c r="AJ56" s="105">
        <v>4.7370992800307219</v>
      </c>
      <c r="AK56" s="105">
        <v>3592.6160939752995</v>
      </c>
      <c r="AL56" s="105">
        <v>3.3331222915944112</v>
      </c>
      <c r="AM56" s="105">
        <v>2527.8399459452012</v>
      </c>
      <c r="AN56" s="105">
        <v>3.167818470020864</v>
      </c>
      <c r="AO56" s="105">
        <v>2402.473527663823</v>
      </c>
      <c r="AP56" s="105">
        <v>3.8093279090548315</v>
      </c>
      <c r="AQ56" s="105">
        <v>2888.9942862271841</v>
      </c>
      <c r="AR56" s="105">
        <v>3.7588345539230517</v>
      </c>
      <c r="AS56" s="105">
        <v>2850.7001256952421</v>
      </c>
      <c r="AT56" s="105">
        <v>2.4750842617641364</v>
      </c>
      <c r="AU56" s="105">
        <v>1877.103904121921</v>
      </c>
      <c r="AV56" s="105">
        <v>2.3615276817087483</v>
      </c>
      <c r="AW56" s="105">
        <v>1790.9825938079146</v>
      </c>
      <c r="AX56" s="105">
        <v>4.0435191059702111</v>
      </c>
      <c r="AY56" s="105">
        <v>3066.604889967808</v>
      </c>
      <c r="AZ56" s="105">
        <v>2.7676664124847332</v>
      </c>
      <c r="BA56" s="105">
        <v>2098.9982072284215</v>
      </c>
      <c r="BB56" s="105">
        <v>2.7187331635162102</v>
      </c>
      <c r="BC56" s="105">
        <v>2061.8872312106937</v>
      </c>
      <c r="BD56" s="105">
        <v>3.0089625944816589</v>
      </c>
      <c r="BE56" s="105">
        <v>2281.9972316548901</v>
      </c>
      <c r="BF56" s="105">
        <v>3.3571750097324236</v>
      </c>
      <c r="BG56" s="105">
        <v>2546.0815273810699</v>
      </c>
      <c r="BH56" s="105">
        <v>3.752630032353693</v>
      </c>
      <c r="BI56" s="105">
        <v>2845.9946165370407</v>
      </c>
      <c r="BJ56" s="105">
        <v>4.4677570338935144</v>
      </c>
      <c r="BK56" s="105">
        <v>3388.3469345048411</v>
      </c>
      <c r="BL56" s="105">
        <v>4.0385175400326689</v>
      </c>
      <c r="BM56" s="105">
        <v>3062.8117023607761</v>
      </c>
      <c r="BN56" s="105">
        <v>3.8866851090079857</v>
      </c>
      <c r="BO56" s="105">
        <v>2947.6619866716565</v>
      </c>
      <c r="BP56" s="105">
        <v>3.5181561586393224</v>
      </c>
      <c r="BQ56" s="105">
        <v>2668.1696307120619</v>
      </c>
      <c r="BR56" s="105">
        <v>3.6878321376481482</v>
      </c>
      <c r="BS56" s="105">
        <v>2796.8518931923554</v>
      </c>
      <c r="BT56" s="105">
        <v>4.8860571775108284</v>
      </c>
      <c r="BU56" s="105">
        <v>3705.585763424212</v>
      </c>
      <c r="BV56" s="105">
        <v>3.614064351976483</v>
      </c>
      <c r="BW56" s="105">
        <v>2740.9064045389646</v>
      </c>
      <c r="BX56" s="105">
        <v>2.4356740104710277</v>
      </c>
      <c r="BY56" s="105">
        <v>1847.2151695412274</v>
      </c>
      <c r="BZ56" s="105">
        <v>2.8821661228989033</v>
      </c>
      <c r="CA56" s="105">
        <v>2185.8347876065282</v>
      </c>
      <c r="CB56" s="105">
        <v>3.6532144095822248</v>
      </c>
      <c r="CC56" s="105">
        <v>2770.597808227159</v>
      </c>
      <c r="CD56" s="105">
        <v>3.6232467716505523</v>
      </c>
      <c r="CE56" s="105">
        <v>2747.8703516197788</v>
      </c>
      <c r="CF56" s="105">
        <v>2.1894224793642305</v>
      </c>
      <c r="CG56" s="105">
        <v>1660.4580083498324</v>
      </c>
      <c r="CH56" s="105">
        <v>1.7940157320225893</v>
      </c>
      <c r="CI56" s="105">
        <v>1360.5815311659317</v>
      </c>
      <c r="CJ56" s="105">
        <v>2.7112335870289308</v>
      </c>
      <c r="CK56" s="105">
        <v>2056.1995524027411</v>
      </c>
      <c r="CL56" s="105">
        <v>3.2052672128272124</v>
      </c>
      <c r="CM56" s="105">
        <v>2430.8746542081576</v>
      </c>
      <c r="CN56" s="105">
        <v>2.6038610951603531</v>
      </c>
      <c r="CO56" s="105">
        <v>1974.7682545696118</v>
      </c>
      <c r="CP56" s="105">
        <v>3.4515085286530347</v>
      </c>
      <c r="CQ56" s="105">
        <v>2617.6240681304616</v>
      </c>
      <c r="CR56" s="105">
        <v>3.5082619100539758</v>
      </c>
      <c r="CS56" s="105">
        <v>2660.6658325849353</v>
      </c>
      <c r="CT56" s="105">
        <v>3.210059497645803</v>
      </c>
      <c r="CU56" s="105">
        <v>2434.5091230145767</v>
      </c>
    </row>
    <row r="57" spans="2:99" x14ac:dyDescent="0.2">
      <c r="C57" s="104" t="s">
        <v>223</v>
      </c>
      <c r="D57" s="105">
        <v>4</v>
      </c>
      <c r="E57" s="105">
        <v>2798.4</v>
      </c>
      <c r="F57" s="105">
        <v>0.24076406441731812</v>
      </c>
      <c r="G57" s="105">
        <v>168.43853946635576</v>
      </c>
      <c r="H57" s="105">
        <v>0</v>
      </c>
      <c r="I57" s="105">
        <v>0</v>
      </c>
      <c r="J57" s="105">
        <v>0</v>
      </c>
      <c r="K57" s="105">
        <v>0</v>
      </c>
      <c r="L57" s="105">
        <v>0</v>
      </c>
      <c r="M57" s="105">
        <v>0</v>
      </c>
      <c r="N57" s="105">
        <v>3.7381754699927274</v>
      </c>
      <c r="O57" s="105">
        <v>2615.2275588069124</v>
      </c>
      <c r="P57" s="105">
        <v>4.3887239010969079</v>
      </c>
      <c r="Q57" s="105">
        <v>3070.3512412073969</v>
      </c>
      <c r="R57" s="105">
        <v>3.8649338412447816</v>
      </c>
      <c r="S57" s="105">
        <v>2703.9077153348494</v>
      </c>
      <c r="T57" s="105">
        <v>3.5400558290532538</v>
      </c>
      <c r="U57" s="105">
        <v>2476.6230580056563</v>
      </c>
      <c r="V57" s="105">
        <v>4.7888587576619015</v>
      </c>
      <c r="W57" s="105">
        <v>3350.2855868602664</v>
      </c>
      <c r="X57" s="105">
        <v>4.9883424744286149</v>
      </c>
      <c r="Y57" s="105">
        <v>3489.844395110259</v>
      </c>
      <c r="Z57" s="105">
        <v>5.9154787519150762</v>
      </c>
      <c r="AA57" s="105">
        <v>4138.4689348397878</v>
      </c>
      <c r="AB57" s="105">
        <v>6.1870101427524054</v>
      </c>
      <c r="AC57" s="105">
        <v>4328.432295869583</v>
      </c>
      <c r="AD57" s="105">
        <v>4.7131493042832302</v>
      </c>
      <c r="AE57" s="105">
        <v>3297.3192532765479</v>
      </c>
      <c r="AF57" s="105">
        <v>4.263967698353051</v>
      </c>
      <c r="AG57" s="105">
        <v>2983.0718017677946</v>
      </c>
      <c r="AH57" s="105">
        <v>3.550913676989317</v>
      </c>
      <c r="AI57" s="105">
        <v>2484.2192084217263</v>
      </c>
      <c r="AJ57" s="105">
        <v>3.864150808684264</v>
      </c>
      <c r="AK57" s="105">
        <v>2703.3599057555111</v>
      </c>
      <c r="AL57" s="105">
        <v>3.7808820202798494</v>
      </c>
      <c r="AM57" s="105">
        <v>2645.1050613877828</v>
      </c>
      <c r="AN57" s="105">
        <v>3.3422285237869338</v>
      </c>
      <c r="AO57" s="105">
        <v>2338.2230752413388</v>
      </c>
      <c r="AP57" s="105">
        <v>4.3540205321068113</v>
      </c>
      <c r="AQ57" s="105">
        <v>3046.0727642619254</v>
      </c>
      <c r="AR57" s="105">
        <v>4.0165647816802919</v>
      </c>
      <c r="AS57" s="105">
        <v>2809.9887212635322</v>
      </c>
      <c r="AT57" s="105">
        <v>2.9817032297671169</v>
      </c>
      <c r="AU57" s="105">
        <v>2085.999579545075</v>
      </c>
      <c r="AV57" s="105">
        <v>4.1161241180109345</v>
      </c>
      <c r="AW57" s="105">
        <v>2879.6404329604497</v>
      </c>
      <c r="AX57" s="105">
        <v>5.3069867944253746</v>
      </c>
      <c r="AY57" s="105">
        <v>3712.7679613799924</v>
      </c>
      <c r="AZ57" s="105">
        <v>4.477497617396323</v>
      </c>
      <c r="BA57" s="105">
        <v>3132.4573331304678</v>
      </c>
      <c r="BB57" s="105">
        <v>5.1820983117580033</v>
      </c>
      <c r="BC57" s="105">
        <v>3625.395978905899</v>
      </c>
      <c r="BD57" s="105">
        <v>5.4837237449824059</v>
      </c>
      <c r="BE57" s="105">
        <v>3836.4131319896915</v>
      </c>
      <c r="BF57" s="105">
        <v>5.1325441073337608</v>
      </c>
      <c r="BG57" s="105">
        <v>3590.7278574906991</v>
      </c>
      <c r="BH57" s="105">
        <v>4.9080911206004743</v>
      </c>
      <c r="BI57" s="105">
        <v>3433.700547972092</v>
      </c>
      <c r="BJ57" s="105">
        <v>4.474075210670879</v>
      </c>
      <c r="BK57" s="105">
        <v>3130.0630173853469</v>
      </c>
      <c r="BL57" s="105">
        <v>4.0363632113473331</v>
      </c>
      <c r="BM57" s="105">
        <v>2823.8397026585944</v>
      </c>
      <c r="BN57" s="105">
        <v>3.1574778300017483</v>
      </c>
      <c r="BO57" s="105">
        <v>2208.9714898692232</v>
      </c>
      <c r="BP57" s="105">
        <v>3.1083787168742187</v>
      </c>
      <c r="BQ57" s="105">
        <v>2174.6217503252037</v>
      </c>
      <c r="BR57" s="105">
        <v>4.076240862067154</v>
      </c>
      <c r="BS57" s="105">
        <v>2851.7381071021809</v>
      </c>
      <c r="BT57" s="105">
        <v>3.7471441851340401</v>
      </c>
      <c r="BU57" s="105">
        <v>2621.5020719197746</v>
      </c>
      <c r="BV57" s="105">
        <v>4.0345163940607423</v>
      </c>
      <c r="BW57" s="105">
        <v>2822.5476692848952</v>
      </c>
      <c r="BX57" s="105">
        <v>3.6927037896917891</v>
      </c>
      <c r="BY57" s="105">
        <v>2583.415571268376</v>
      </c>
      <c r="BZ57" s="105">
        <v>3.9882033276271041</v>
      </c>
      <c r="CA57" s="105">
        <v>2790.147048007922</v>
      </c>
      <c r="CB57" s="105">
        <v>4.3240572069355272</v>
      </c>
      <c r="CC57" s="105">
        <v>3025.1104219720951</v>
      </c>
      <c r="CD57" s="105">
        <v>3.5686412924109909</v>
      </c>
      <c r="CE57" s="105">
        <v>2496.6214481707293</v>
      </c>
      <c r="CF57" s="105">
        <v>3.2108353218257815</v>
      </c>
      <c r="CG57" s="105">
        <v>2246.300391149317</v>
      </c>
      <c r="CH57" s="105">
        <v>3.7939091277996631</v>
      </c>
      <c r="CI57" s="105">
        <v>2654.2188258086444</v>
      </c>
      <c r="CJ57" s="105">
        <v>3.3176975979444103</v>
      </c>
      <c r="CK57" s="105">
        <v>2321.0612395219096</v>
      </c>
      <c r="CL57" s="105">
        <v>4.0754361758299567</v>
      </c>
      <c r="CM57" s="105">
        <v>2851.1751486106377</v>
      </c>
      <c r="CN57" s="105">
        <v>4.3311543617346668</v>
      </c>
      <c r="CO57" s="105">
        <v>3030.0755914695728</v>
      </c>
      <c r="CP57" s="105">
        <v>3.9038044435234087</v>
      </c>
      <c r="CQ57" s="105">
        <v>2731.1015886889768</v>
      </c>
      <c r="CR57" s="105">
        <v>3.3246185100986785</v>
      </c>
      <c r="CS57" s="105">
        <v>2325.9031096650356</v>
      </c>
      <c r="CT57" s="105">
        <v>3.9928396502968919</v>
      </c>
      <c r="CU57" s="105">
        <v>2793.3906193477055</v>
      </c>
    </row>
    <row r="58" spans="2:99" x14ac:dyDescent="0.2">
      <c r="C58" s="104" t="s">
        <v>224</v>
      </c>
      <c r="D58" s="105">
        <v>2.794940875405501</v>
      </c>
      <c r="E58" s="105">
        <v>2112.9753018065589</v>
      </c>
      <c r="F58" s="105">
        <v>0</v>
      </c>
      <c r="G58" s="105">
        <v>0</v>
      </c>
      <c r="H58" s="105">
        <v>0</v>
      </c>
      <c r="I58" s="105">
        <v>0</v>
      </c>
      <c r="J58" s="105">
        <v>0</v>
      </c>
      <c r="K58" s="105">
        <v>0</v>
      </c>
      <c r="L58" s="105">
        <v>0</v>
      </c>
      <c r="M58" s="105">
        <v>0</v>
      </c>
      <c r="N58" s="105">
        <v>3.8886426735268129</v>
      </c>
      <c r="O58" s="105">
        <v>2939.8138611862705</v>
      </c>
      <c r="P58" s="105">
        <v>4.0939382933011714</v>
      </c>
      <c r="Q58" s="105">
        <v>3095.0173497356855</v>
      </c>
      <c r="R58" s="105">
        <v>3.3919666441112963</v>
      </c>
      <c r="S58" s="105">
        <v>2564.3267829481401</v>
      </c>
      <c r="T58" s="105">
        <v>2.9696889455574231</v>
      </c>
      <c r="U58" s="105">
        <v>2245.084842841412</v>
      </c>
      <c r="V58" s="105">
        <v>2.2786449812452956</v>
      </c>
      <c r="W58" s="105">
        <v>1722.6556058214435</v>
      </c>
      <c r="X58" s="105">
        <v>3.0037846786101738</v>
      </c>
      <c r="Y58" s="105">
        <v>2270.8612170292913</v>
      </c>
      <c r="Z58" s="105">
        <v>4.3205549375459196</v>
      </c>
      <c r="AA58" s="105">
        <v>3266.3395327847152</v>
      </c>
      <c r="AB58" s="105">
        <v>3.4538722950329337</v>
      </c>
      <c r="AC58" s="105">
        <v>2611.1274550448979</v>
      </c>
      <c r="AD58" s="105">
        <v>3.6593769427332115</v>
      </c>
      <c r="AE58" s="105">
        <v>2766.4889687063078</v>
      </c>
      <c r="AF58" s="105">
        <v>3.3508252166491403</v>
      </c>
      <c r="AG58" s="105">
        <v>2533.2238637867499</v>
      </c>
      <c r="AH58" s="105">
        <v>3.1330338894734231</v>
      </c>
      <c r="AI58" s="105">
        <v>2368.5736204419077</v>
      </c>
      <c r="AJ58" s="105">
        <v>4.2107549155828643</v>
      </c>
      <c r="AK58" s="105">
        <v>3183.3307161806456</v>
      </c>
      <c r="AL58" s="105">
        <v>2.9627753703061432</v>
      </c>
      <c r="AM58" s="105">
        <v>2239.8581799514441</v>
      </c>
      <c r="AN58" s="105">
        <v>3.167818470020864</v>
      </c>
      <c r="AO58" s="105">
        <v>2394.8707633357731</v>
      </c>
      <c r="AP58" s="105">
        <v>3.8093279090548315</v>
      </c>
      <c r="AQ58" s="105">
        <v>2879.8518992454528</v>
      </c>
      <c r="AR58" s="105">
        <v>3.3257089906067132</v>
      </c>
      <c r="AS58" s="105">
        <v>2514.2359968986752</v>
      </c>
      <c r="AT58" s="105">
        <v>2.0002140619209405</v>
      </c>
      <c r="AU58" s="105">
        <v>1512.1618308122311</v>
      </c>
      <c r="AV58" s="105">
        <v>2.3615276817087483</v>
      </c>
      <c r="AW58" s="105">
        <v>1785.3149273718136</v>
      </c>
      <c r="AX58" s="105">
        <v>4.0435191059702111</v>
      </c>
      <c r="AY58" s="105">
        <v>3056.9004441134798</v>
      </c>
      <c r="AZ58" s="105">
        <v>2.7455251581510614</v>
      </c>
      <c r="BA58" s="105">
        <v>2075.6170195622026</v>
      </c>
      <c r="BB58" s="105">
        <v>2.3044134950769513</v>
      </c>
      <c r="BC58" s="105">
        <v>1742.1366022781751</v>
      </c>
      <c r="BD58" s="105">
        <v>2.5418046051284282</v>
      </c>
      <c r="BE58" s="105">
        <v>1921.6042814770917</v>
      </c>
      <c r="BF58" s="105">
        <v>3.3571750097324236</v>
      </c>
      <c r="BG58" s="105">
        <v>2538.0243073577121</v>
      </c>
      <c r="BH58" s="105">
        <v>3.752630032353693</v>
      </c>
      <c r="BI58" s="105">
        <v>2836.9883044593917</v>
      </c>
      <c r="BJ58" s="105">
        <v>3.8425854348192736</v>
      </c>
      <c r="BK58" s="105">
        <v>2904.9945887233707</v>
      </c>
      <c r="BL58" s="105">
        <v>4.0385175400326689</v>
      </c>
      <c r="BM58" s="105">
        <v>3053.1192602646979</v>
      </c>
      <c r="BN58" s="105">
        <v>3.8602640350264572</v>
      </c>
      <c r="BO58" s="105">
        <v>2918.3596104800017</v>
      </c>
      <c r="BP58" s="105">
        <v>4.0004498022345354</v>
      </c>
      <c r="BQ58" s="105">
        <v>3024.3400504893089</v>
      </c>
      <c r="BR58" s="105">
        <v>3.6878321376481482</v>
      </c>
      <c r="BS58" s="105">
        <v>2788.0010960620002</v>
      </c>
      <c r="BT58" s="105">
        <v>5.4819879924993105</v>
      </c>
      <c r="BU58" s="105">
        <v>4144.3829223294788</v>
      </c>
      <c r="BV58" s="105">
        <v>3.6419170816689643</v>
      </c>
      <c r="BW58" s="105">
        <v>2753.2893137417368</v>
      </c>
      <c r="BX58" s="105">
        <v>2.874224163366645</v>
      </c>
      <c r="BY58" s="105">
        <v>2172.9134675051837</v>
      </c>
      <c r="BZ58" s="105">
        <v>2.8821661228989033</v>
      </c>
      <c r="CA58" s="105">
        <v>2178.9175889115709</v>
      </c>
      <c r="CB58" s="105">
        <v>3.6532144095822248</v>
      </c>
      <c r="CC58" s="105">
        <v>2761.8300936441619</v>
      </c>
      <c r="CD58" s="105">
        <v>3.1232368122585008</v>
      </c>
      <c r="CE58" s="105">
        <v>2361.1670300674268</v>
      </c>
      <c r="CF58" s="105">
        <v>2.1894224793642305</v>
      </c>
      <c r="CG58" s="105">
        <v>1655.2033943993583</v>
      </c>
      <c r="CH58" s="105">
        <v>2.1866053639217844</v>
      </c>
      <c r="CI58" s="105">
        <v>1653.073655124869</v>
      </c>
      <c r="CJ58" s="105">
        <v>2.6898880209483997</v>
      </c>
      <c r="CK58" s="105">
        <v>2033.5553438369902</v>
      </c>
      <c r="CL58" s="105">
        <v>3.2052672128272124</v>
      </c>
      <c r="CM58" s="105">
        <v>2423.1820128973727</v>
      </c>
      <c r="CN58" s="105">
        <v>3.0140561669377712</v>
      </c>
      <c r="CO58" s="105">
        <v>2278.6264622049553</v>
      </c>
      <c r="CP58" s="105">
        <v>3.4515085286530347</v>
      </c>
      <c r="CQ58" s="105">
        <v>2609.3404476616943</v>
      </c>
      <c r="CR58" s="105">
        <v>3.5082619100539758</v>
      </c>
      <c r="CS58" s="105">
        <v>2652.2460040008059</v>
      </c>
      <c r="CT58" s="105">
        <v>3.210059497645803</v>
      </c>
      <c r="CU58" s="105">
        <v>2426.8049802202272</v>
      </c>
    </row>
    <row r="59" spans="2:99" x14ac:dyDescent="0.2">
      <c r="C59" s="104" t="s">
        <v>225</v>
      </c>
      <c r="D59" s="105">
        <v>4</v>
      </c>
      <c r="E59" s="105">
        <v>1756.8</v>
      </c>
      <c r="F59" s="105">
        <v>3</v>
      </c>
      <c r="G59" s="105">
        <v>1317.6</v>
      </c>
      <c r="H59" s="105">
        <v>3</v>
      </c>
      <c r="I59" s="105">
        <v>1317.6</v>
      </c>
      <c r="J59" s="105">
        <v>2</v>
      </c>
      <c r="K59" s="105">
        <v>878.4</v>
      </c>
      <c r="L59" s="105">
        <v>3.8424198917808319</v>
      </c>
      <c r="M59" s="105">
        <v>1687.5908164701414</v>
      </c>
      <c r="N59" s="105">
        <v>5.5502249682873659</v>
      </c>
      <c r="O59" s="105">
        <v>2437.6588060718109</v>
      </c>
      <c r="P59" s="105">
        <v>5.4370317773091967</v>
      </c>
      <c r="Q59" s="105">
        <v>2387.9443565941992</v>
      </c>
      <c r="R59" s="105">
        <v>4.4545329516337011</v>
      </c>
      <c r="S59" s="105">
        <v>1956.4308723575214</v>
      </c>
      <c r="T59" s="105">
        <v>3.8958798369076053</v>
      </c>
      <c r="U59" s="105">
        <v>1711.0704243698201</v>
      </c>
      <c r="V59" s="105">
        <v>3.7580168666701947</v>
      </c>
      <c r="W59" s="105">
        <v>1650.5210078415496</v>
      </c>
      <c r="X59" s="105">
        <v>3.7320478235035739</v>
      </c>
      <c r="Y59" s="105">
        <v>1639.1154040827696</v>
      </c>
      <c r="Z59" s="105">
        <v>7.5754629669754863</v>
      </c>
      <c r="AA59" s="105">
        <v>3327.1433350956336</v>
      </c>
      <c r="AB59" s="105">
        <v>7.5805966004689438</v>
      </c>
      <c r="AC59" s="105">
        <v>3329.39802692596</v>
      </c>
      <c r="AD59" s="105">
        <v>4.1636517283207644</v>
      </c>
      <c r="AE59" s="105">
        <v>1828.6758390784796</v>
      </c>
      <c r="AF59" s="105">
        <v>4.2066755378682297</v>
      </c>
      <c r="AG59" s="105">
        <v>1847.5718962317264</v>
      </c>
      <c r="AH59" s="105">
        <v>5.0050827272510752</v>
      </c>
      <c r="AI59" s="105">
        <v>2198.2323338086721</v>
      </c>
      <c r="AJ59" s="105">
        <v>5.8788090656643304</v>
      </c>
      <c r="AK59" s="105">
        <v>2581.972941639774</v>
      </c>
      <c r="AL59" s="105">
        <v>4.8942369650633895</v>
      </c>
      <c r="AM59" s="105">
        <v>2149.5488750558407</v>
      </c>
      <c r="AN59" s="105">
        <v>5.4067262633796487</v>
      </c>
      <c r="AO59" s="105">
        <v>2374.6341748763416</v>
      </c>
      <c r="AP59" s="105">
        <v>5.2411765420232079</v>
      </c>
      <c r="AQ59" s="105">
        <v>2301.9247372565928</v>
      </c>
      <c r="AR59" s="105">
        <v>5.6543375178211344</v>
      </c>
      <c r="AS59" s="105">
        <v>2483.3850378270422</v>
      </c>
      <c r="AT59" s="105">
        <v>3.4520567396562534</v>
      </c>
      <c r="AU59" s="105">
        <v>1516.1433200570264</v>
      </c>
      <c r="AV59" s="105">
        <v>4.7054439567282502</v>
      </c>
      <c r="AW59" s="105">
        <v>2066.6309857950473</v>
      </c>
      <c r="AX59" s="105">
        <v>5.4365570900322169</v>
      </c>
      <c r="AY59" s="105">
        <v>2387.7358739421497</v>
      </c>
      <c r="AZ59" s="105">
        <v>3.4435711052869014</v>
      </c>
      <c r="BA59" s="105">
        <v>1512.416429442007</v>
      </c>
      <c r="BB59" s="105">
        <v>3.7876613462300264</v>
      </c>
      <c r="BC59" s="105">
        <v>1663.5408632642275</v>
      </c>
      <c r="BD59" s="105">
        <v>4.3083909628230366</v>
      </c>
      <c r="BE59" s="105">
        <v>1892.2453108718776</v>
      </c>
      <c r="BF59" s="105">
        <v>4.4253459720212192</v>
      </c>
      <c r="BG59" s="105">
        <v>1943.6119509117193</v>
      </c>
      <c r="BH59" s="105">
        <v>4.9114055461729533</v>
      </c>
      <c r="BI59" s="105">
        <v>2157.0893158791609</v>
      </c>
      <c r="BJ59" s="105">
        <v>4.2165739297401563</v>
      </c>
      <c r="BK59" s="105">
        <v>1851.9192699418766</v>
      </c>
      <c r="BL59" s="105">
        <v>5.1520354545520339</v>
      </c>
      <c r="BM59" s="105">
        <v>2262.7739716392534</v>
      </c>
      <c r="BN59" s="105">
        <v>3.9325153554298851</v>
      </c>
      <c r="BO59" s="105">
        <v>1727.1607441048054</v>
      </c>
      <c r="BP59" s="105">
        <v>4.7768545725683715</v>
      </c>
      <c r="BQ59" s="105">
        <v>2097.9945282720287</v>
      </c>
      <c r="BR59" s="105">
        <v>5.9731597513586818</v>
      </c>
      <c r="BS59" s="105">
        <v>2623.411762796733</v>
      </c>
      <c r="BT59" s="105">
        <v>5.5204581907704453</v>
      </c>
      <c r="BU59" s="105">
        <v>2424.5852373863795</v>
      </c>
      <c r="BV59" s="105">
        <v>3.9919742116460455</v>
      </c>
      <c r="BW59" s="105">
        <v>1753.2750737549432</v>
      </c>
      <c r="BX59" s="105">
        <v>4.0008558616903098</v>
      </c>
      <c r="BY59" s="105">
        <v>1757.175894454384</v>
      </c>
      <c r="BZ59" s="105">
        <v>3.7529974967544728</v>
      </c>
      <c r="CA59" s="105">
        <v>1648.3165005745643</v>
      </c>
      <c r="CB59" s="105">
        <v>6.2813575009232432</v>
      </c>
      <c r="CC59" s="105">
        <v>2758.7722144054883</v>
      </c>
      <c r="CD59" s="105">
        <v>5.1351754631246189</v>
      </c>
      <c r="CE59" s="105">
        <v>2255.3690634043328</v>
      </c>
      <c r="CF59" s="105">
        <v>3.5554417092779866</v>
      </c>
      <c r="CG59" s="105">
        <v>1561.5499987148917</v>
      </c>
      <c r="CH59" s="105">
        <v>2.9351260333939013</v>
      </c>
      <c r="CI59" s="105">
        <v>1289.1073538666014</v>
      </c>
      <c r="CJ59" s="105">
        <v>3.8171465026842366</v>
      </c>
      <c r="CK59" s="105">
        <v>1676.4907439789167</v>
      </c>
      <c r="CL59" s="105">
        <v>4.9696303550555632</v>
      </c>
      <c r="CM59" s="105">
        <v>2182.6616519404033</v>
      </c>
      <c r="CN59" s="105">
        <v>4.6629453416117279</v>
      </c>
      <c r="CO59" s="105">
        <v>2047.9655940358709</v>
      </c>
      <c r="CP59" s="105">
        <v>5.5002023398030362</v>
      </c>
      <c r="CQ59" s="105">
        <v>2415.6888676414933</v>
      </c>
      <c r="CR59" s="105">
        <v>3.6468725146002634</v>
      </c>
      <c r="CS59" s="105">
        <v>1601.7064084124356</v>
      </c>
      <c r="CT59" s="105">
        <v>4.292553130513407</v>
      </c>
      <c r="CU59" s="105">
        <v>1885.2893349214883</v>
      </c>
    </row>
    <row r="60" spans="2:99" x14ac:dyDescent="0.2">
      <c r="C60" s="104" t="s">
        <v>226</v>
      </c>
      <c r="D60" s="105">
        <v>4</v>
      </c>
      <c r="E60" s="105">
        <v>840</v>
      </c>
      <c r="F60" s="105">
        <v>0.24076406441731812</v>
      </c>
      <c r="G60" s="105">
        <v>50.56045352763681</v>
      </c>
      <c r="H60" s="105">
        <v>0</v>
      </c>
      <c r="I60" s="105">
        <v>0</v>
      </c>
      <c r="J60" s="105">
        <v>0</v>
      </c>
      <c r="K60" s="105">
        <v>0</v>
      </c>
      <c r="L60" s="105">
        <v>0</v>
      </c>
      <c r="M60" s="105">
        <v>0</v>
      </c>
      <c r="N60" s="105">
        <v>4.2722005371345455</v>
      </c>
      <c r="O60" s="105">
        <v>897.16211279825461</v>
      </c>
      <c r="P60" s="105">
        <v>3.8567390171413303</v>
      </c>
      <c r="Q60" s="105">
        <v>809.91519359967936</v>
      </c>
      <c r="R60" s="105">
        <v>3.8649338412447816</v>
      </c>
      <c r="S60" s="105">
        <v>811.63610666140414</v>
      </c>
      <c r="T60" s="105">
        <v>4.2032604024650828</v>
      </c>
      <c r="U60" s="105">
        <v>882.68468451766739</v>
      </c>
      <c r="V60" s="105">
        <v>4.7888587576619015</v>
      </c>
      <c r="W60" s="105">
        <v>1005.6603391089993</v>
      </c>
      <c r="X60" s="105">
        <v>4.9883424744286149</v>
      </c>
      <c r="Y60" s="105">
        <v>1047.551919630009</v>
      </c>
      <c r="Z60" s="105">
        <v>5.9154787519150762</v>
      </c>
      <c r="AA60" s="105">
        <v>1242.2505379021661</v>
      </c>
      <c r="AB60" s="105">
        <v>6.8929575958041713</v>
      </c>
      <c r="AC60" s="105">
        <v>1447.521095118876</v>
      </c>
      <c r="AD60" s="105">
        <v>4.7131493042832302</v>
      </c>
      <c r="AE60" s="105">
        <v>989.76135389947831</v>
      </c>
      <c r="AF60" s="105">
        <v>4.263967698353051</v>
      </c>
      <c r="AG60" s="105">
        <v>895.43321665414067</v>
      </c>
      <c r="AH60" s="105">
        <v>4.0350422725395179</v>
      </c>
      <c r="AI60" s="105">
        <v>847.3588772332987</v>
      </c>
      <c r="AJ60" s="105">
        <v>4.3064331386505819</v>
      </c>
      <c r="AK60" s="105">
        <v>904.35095911662222</v>
      </c>
      <c r="AL60" s="105">
        <v>4.2534922728148308</v>
      </c>
      <c r="AM60" s="105">
        <v>893.23337729111449</v>
      </c>
      <c r="AN60" s="105">
        <v>4.0106742285443202</v>
      </c>
      <c r="AO60" s="105">
        <v>842.24158799430722</v>
      </c>
      <c r="AP60" s="105">
        <v>4.3795807501556006</v>
      </c>
      <c r="AQ60" s="105">
        <v>919.71195753267614</v>
      </c>
      <c r="AR60" s="105">
        <v>4.0439827192555624</v>
      </c>
      <c r="AS60" s="105">
        <v>849.2363710436681</v>
      </c>
      <c r="AT60" s="105">
        <v>2.9817032297671169</v>
      </c>
      <c r="AU60" s="105">
        <v>626.15767825109458</v>
      </c>
      <c r="AV60" s="105">
        <v>4.1161241180109345</v>
      </c>
      <c r="AW60" s="105">
        <v>864.38606478229622</v>
      </c>
      <c r="AX60" s="105">
        <v>4.6396870743956899</v>
      </c>
      <c r="AY60" s="105">
        <v>974.33428562309484</v>
      </c>
      <c r="AZ60" s="105">
        <v>5.2010453454870911</v>
      </c>
      <c r="BA60" s="105">
        <v>1092.2195225522892</v>
      </c>
      <c r="BB60" s="105">
        <v>5.1820983117580033</v>
      </c>
      <c r="BC60" s="105">
        <v>1088.2406454691807</v>
      </c>
      <c r="BD60" s="105">
        <v>5.4837237449824059</v>
      </c>
      <c r="BE60" s="105">
        <v>1151.5819864463053</v>
      </c>
      <c r="BF60" s="105">
        <v>4.4245791998817978</v>
      </c>
      <c r="BG60" s="105">
        <v>929.16163197517756</v>
      </c>
      <c r="BH60" s="105">
        <v>4.3803283957540406</v>
      </c>
      <c r="BI60" s="105">
        <v>919.86896310834857</v>
      </c>
      <c r="BJ60" s="105">
        <v>4.474075210670879</v>
      </c>
      <c r="BK60" s="105">
        <v>939.55579424088455</v>
      </c>
      <c r="BL60" s="105">
        <v>3.5470430962825046</v>
      </c>
      <c r="BM60" s="105">
        <v>744.87905021932602</v>
      </c>
      <c r="BN60" s="105">
        <v>4.1612125333847327</v>
      </c>
      <c r="BO60" s="105">
        <v>873.85463201079392</v>
      </c>
      <c r="BP60" s="105">
        <v>4.0961347460044868</v>
      </c>
      <c r="BQ60" s="105">
        <v>860.18829666094223</v>
      </c>
      <c r="BR60" s="105">
        <v>4.6425701364429068</v>
      </c>
      <c r="BS60" s="105">
        <v>974.93972865301043</v>
      </c>
      <c r="BT60" s="105">
        <v>4.20430295324776</v>
      </c>
      <c r="BU60" s="105">
        <v>882.90362018202961</v>
      </c>
      <c r="BV60" s="105">
        <v>4.0345163940607423</v>
      </c>
      <c r="BW60" s="105">
        <v>847.24844275275586</v>
      </c>
      <c r="BX60" s="105">
        <v>3.6927037896917891</v>
      </c>
      <c r="BY60" s="105">
        <v>775.46779583527575</v>
      </c>
      <c r="BZ60" s="105">
        <v>4.0156231963530109</v>
      </c>
      <c r="CA60" s="105">
        <v>843.28087123413229</v>
      </c>
      <c r="CB60" s="105">
        <v>4.3240572069355272</v>
      </c>
      <c r="CC60" s="105">
        <v>908.05201345646071</v>
      </c>
      <c r="CD60" s="105">
        <v>4.1396498986934818</v>
      </c>
      <c r="CE60" s="105">
        <v>869.3264787256312</v>
      </c>
      <c r="CF60" s="105">
        <v>3.1810305459085271</v>
      </c>
      <c r="CG60" s="105">
        <v>668.01641464079069</v>
      </c>
      <c r="CH60" s="105">
        <v>3.7939091277996631</v>
      </c>
      <c r="CI60" s="105">
        <v>796.72091683792928</v>
      </c>
      <c r="CJ60" s="105">
        <v>3.8706471976018118</v>
      </c>
      <c r="CK60" s="105">
        <v>812.8359114963805</v>
      </c>
      <c r="CL60" s="105">
        <v>4.7276766041456746</v>
      </c>
      <c r="CM60" s="105">
        <v>992.81208687059166</v>
      </c>
      <c r="CN60" s="105">
        <v>3.7124180243439997</v>
      </c>
      <c r="CO60" s="105">
        <v>779.60778511223998</v>
      </c>
      <c r="CP60" s="105">
        <v>3.9038044435234087</v>
      </c>
      <c r="CQ60" s="105">
        <v>819.79893313991579</v>
      </c>
      <c r="CR60" s="105">
        <v>4.6228558957352419</v>
      </c>
      <c r="CS60" s="105">
        <v>970.79973810440083</v>
      </c>
      <c r="CT60" s="105">
        <v>3.5344123143989297</v>
      </c>
      <c r="CU60" s="105">
        <v>742.22658602377521</v>
      </c>
    </row>
    <row r="61" spans="2:99" x14ac:dyDescent="0.2">
      <c r="C61" s="104" t="s">
        <v>227</v>
      </c>
      <c r="D61" s="105">
        <v>5</v>
      </c>
      <c r="E61" s="105">
        <v>990</v>
      </c>
      <c r="F61" s="105">
        <v>0.24076406441731812</v>
      </c>
      <c r="G61" s="105">
        <v>47.671284754628985</v>
      </c>
      <c r="H61" s="105">
        <v>0</v>
      </c>
      <c r="I61" s="105">
        <v>0</v>
      </c>
      <c r="J61" s="105">
        <v>0</v>
      </c>
      <c r="K61" s="105">
        <v>0</v>
      </c>
      <c r="L61" s="105">
        <v>0</v>
      </c>
      <c r="M61" s="105">
        <v>0</v>
      </c>
      <c r="N61" s="105">
        <v>3.7381754699927274</v>
      </c>
      <c r="O61" s="105">
        <v>740.15874305856005</v>
      </c>
      <c r="P61" s="105">
        <v>4.3887239010969079</v>
      </c>
      <c r="Q61" s="105">
        <v>868.96733241718778</v>
      </c>
      <c r="R61" s="105">
        <v>3.8914201947782252</v>
      </c>
      <c r="S61" s="105">
        <v>770.50119856608865</v>
      </c>
      <c r="T61" s="105">
        <v>4.2032604024650828</v>
      </c>
      <c r="U61" s="105">
        <v>832.24555968808636</v>
      </c>
      <c r="V61" s="105">
        <v>4.7888587576619015</v>
      </c>
      <c r="W61" s="105">
        <v>948.19403401705654</v>
      </c>
      <c r="X61" s="105">
        <v>4.9883424744286149</v>
      </c>
      <c r="Y61" s="105">
        <v>987.69180993686575</v>
      </c>
      <c r="Z61" s="105">
        <v>6.6284224475285205</v>
      </c>
      <c r="AA61" s="105">
        <v>1312.4276446106471</v>
      </c>
      <c r="AB61" s="105">
        <v>6.1510481081965205</v>
      </c>
      <c r="AC61" s="105">
        <v>1217.907525422911</v>
      </c>
      <c r="AD61" s="105">
        <v>4.7508132932838665</v>
      </c>
      <c r="AE61" s="105">
        <v>940.66103207020558</v>
      </c>
      <c r="AF61" s="105">
        <v>3.7052408859748995</v>
      </c>
      <c r="AG61" s="105">
        <v>733.6376954230301</v>
      </c>
      <c r="AH61" s="105">
        <v>4.0350422725395179</v>
      </c>
      <c r="AI61" s="105">
        <v>798.93836996282448</v>
      </c>
      <c r="AJ61" s="105">
        <v>4.3064331386505819</v>
      </c>
      <c r="AK61" s="105">
        <v>852.67376145281526</v>
      </c>
      <c r="AL61" s="105">
        <v>4.2534922728148308</v>
      </c>
      <c r="AM61" s="105">
        <v>842.19147001733654</v>
      </c>
      <c r="AN61" s="105">
        <v>4.0106742285443202</v>
      </c>
      <c r="AO61" s="105">
        <v>794.11349725177536</v>
      </c>
      <c r="AP61" s="105">
        <v>4.3795807501556006</v>
      </c>
      <c r="AQ61" s="105">
        <v>867.15698853080892</v>
      </c>
      <c r="AR61" s="105">
        <v>4.0439827192555624</v>
      </c>
      <c r="AS61" s="105">
        <v>800.70857841260136</v>
      </c>
      <c r="AT61" s="105">
        <v>3.6916586047930977</v>
      </c>
      <c r="AU61" s="105">
        <v>730.94840374903333</v>
      </c>
      <c r="AV61" s="105">
        <v>4.1161241180109345</v>
      </c>
      <c r="AW61" s="105">
        <v>814.99257536616506</v>
      </c>
      <c r="AX61" s="105">
        <v>4.6710980402077933</v>
      </c>
      <c r="AY61" s="105">
        <v>924.87741196114303</v>
      </c>
      <c r="AZ61" s="105">
        <v>4.477497617396323</v>
      </c>
      <c r="BA61" s="105">
        <v>886.54452824447196</v>
      </c>
      <c r="BB61" s="105">
        <v>5.2224902126919881</v>
      </c>
      <c r="BC61" s="105">
        <v>1034.0530621130135</v>
      </c>
      <c r="BD61" s="105">
        <v>5.4412606813578845</v>
      </c>
      <c r="BE61" s="105">
        <v>1077.3696149088612</v>
      </c>
      <c r="BF61" s="105">
        <v>5.1325441073337608</v>
      </c>
      <c r="BG61" s="105">
        <v>1016.2437332520847</v>
      </c>
      <c r="BH61" s="105">
        <v>4.88172002110338</v>
      </c>
      <c r="BI61" s="105">
        <v>966.58056417846922</v>
      </c>
      <c r="BJ61" s="105">
        <v>4.474075210670879</v>
      </c>
      <c r="BK61" s="105">
        <v>885.86689171283399</v>
      </c>
      <c r="BL61" s="105">
        <v>4.0363632113473331</v>
      </c>
      <c r="BM61" s="105">
        <v>799.199915846772</v>
      </c>
      <c r="BN61" s="105">
        <v>4.1855914866935313</v>
      </c>
      <c r="BO61" s="105">
        <v>828.74711436531925</v>
      </c>
      <c r="BP61" s="105">
        <v>3.6022567314393528</v>
      </c>
      <c r="BQ61" s="105">
        <v>713.24683282499188</v>
      </c>
      <c r="BR61" s="105">
        <v>4.076240862067154</v>
      </c>
      <c r="BS61" s="105">
        <v>807.09569068929648</v>
      </c>
      <c r="BT61" s="105">
        <v>3.769612695190109</v>
      </c>
      <c r="BU61" s="105">
        <v>746.38331364764156</v>
      </c>
      <c r="BV61" s="105">
        <v>4.0345163940607423</v>
      </c>
      <c r="BW61" s="105">
        <v>798.83424602402692</v>
      </c>
      <c r="BX61" s="105">
        <v>3.6927037896917891</v>
      </c>
      <c r="BY61" s="105">
        <v>731.15535035897426</v>
      </c>
      <c r="BZ61" s="105">
        <v>3.9882033276271041</v>
      </c>
      <c r="CA61" s="105">
        <v>789.66425887016658</v>
      </c>
      <c r="CB61" s="105">
        <v>4.3240572069355272</v>
      </c>
      <c r="CC61" s="105">
        <v>856.16332697323435</v>
      </c>
      <c r="CD61" s="105">
        <v>3.5686412924109909</v>
      </c>
      <c r="CE61" s="105">
        <v>706.59097589737621</v>
      </c>
      <c r="CF61" s="105">
        <v>3.7874318791729782</v>
      </c>
      <c r="CG61" s="105">
        <v>749.91151207624966</v>
      </c>
      <c r="CH61" s="105">
        <v>3.0822844160116833</v>
      </c>
      <c r="CI61" s="105">
        <v>610.29231437031331</v>
      </c>
      <c r="CJ61" s="105">
        <v>3.3426265595828677</v>
      </c>
      <c r="CK61" s="105">
        <v>661.84005879740778</v>
      </c>
      <c r="CL61" s="105">
        <v>4.0754361758299567</v>
      </c>
      <c r="CM61" s="105">
        <v>806.93636281433146</v>
      </c>
      <c r="CN61" s="105">
        <v>3.7415430267336611</v>
      </c>
      <c r="CO61" s="105">
        <v>740.82551929326485</v>
      </c>
      <c r="CP61" s="105">
        <v>3.9307249370208499</v>
      </c>
      <c r="CQ61" s="105">
        <v>778.28353753012823</v>
      </c>
      <c r="CR61" s="105">
        <v>3.989542212118415</v>
      </c>
      <c r="CS61" s="105">
        <v>789.92935799944621</v>
      </c>
      <c r="CT61" s="105">
        <v>4.016084004804978</v>
      </c>
      <c r="CU61" s="105">
        <v>795.18463295138565</v>
      </c>
    </row>
    <row r="62" spans="2:99" x14ac:dyDescent="0.2">
      <c r="C62" s="104" t="s">
        <v>228</v>
      </c>
      <c r="D62" s="105">
        <v>4</v>
      </c>
      <c r="E62" s="105">
        <v>3825.6</v>
      </c>
      <c r="F62" s="105">
        <v>0.24076406441731812</v>
      </c>
      <c r="G62" s="105">
        <v>230.26675120872304</v>
      </c>
      <c r="H62" s="105">
        <v>0</v>
      </c>
      <c r="I62" s="105">
        <v>0</v>
      </c>
      <c r="J62" s="105">
        <v>0</v>
      </c>
      <c r="K62" s="105">
        <v>0</v>
      </c>
      <c r="L62" s="105">
        <v>0</v>
      </c>
      <c r="M62" s="105">
        <v>0</v>
      </c>
      <c r="N62" s="105">
        <v>3.2041504028509089</v>
      </c>
      <c r="O62" s="105">
        <v>3064.4494452866093</v>
      </c>
      <c r="P62" s="105">
        <v>3.8567390171413303</v>
      </c>
      <c r="Q62" s="105">
        <v>3688.5851959939682</v>
      </c>
      <c r="R62" s="105">
        <v>3.3317192593051299</v>
      </c>
      <c r="S62" s="105">
        <v>3186.4562995994261</v>
      </c>
      <c r="T62" s="105">
        <v>3.5080511201969529</v>
      </c>
      <c r="U62" s="105">
        <v>3355.1000913563657</v>
      </c>
      <c r="V62" s="105">
        <v>3.8766803322382701</v>
      </c>
      <c r="W62" s="105">
        <v>3707.6570697526813</v>
      </c>
      <c r="X62" s="105">
        <v>4.1569520620238452</v>
      </c>
      <c r="Y62" s="105">
        <v>3975.7089521196053</v>
      </c>
      <c r="Z62" s="105">
        <v>5.9154787519150762</v>
      </c>
      <c r="AA62" s="105">
        <v>5657.563878331579</v>
      </c>
      <c r="AB62" s="105">
        <v>6.1510481081965205</v>
      </c>
      <c r="AC62" s="105">
        <v>5882.8624106791522</v>
      </c>
      <c r="AD62" s="105">
        <v>3.9590110777365561</v>
      </c>
      <c r="AE62" s="105">
        <v>3786.3981947472421</v>
      </c>
      <c r="AF62" s="105">
        <v>4.263967698353051</v>
      </c>
      <c r="AG62" s="105">
        <v>4078.0587067048577</v>
      </c>
      <c r="AH62" s="105">
        <v>4.0118974856626748</v>
      </c>
      <c r="AI62" s="105">
        <v>3836.978755287782</v>
      </c>
      <c r="AJ62" s="105">
        <v>3.864150808684264</v>
      </c>
      <c r="AK62" s="105">
        <v>3695.6738334256302</v>
      </c>
      <c r="AL62" s="105">
        <v>3.3082717677448681</v>
      </c>
      <c r="AM62" s="105">
        <v>3164.031118671192</v>
      </c>
      <c r="AN62" s="105">
        <v>4.0106742285443202</v>
      </c>
      <c r="AO62" s="105">
        <v>3835.8088321797877</v>
      </c>
      <c r="AP62" s="105">
        <v>3.8289381291300515</v>
      </c>
      <c r="AQ62" s="105">
        <v>3661.9964266999814</v>
      </c>
      <c r="AR62" s="105">
        <v>4.0165647816802919</v>
      </c>
      <c r="AS62" s="105">
        <v>3841.4425571990309</v>
      </c>
      <c r="AT62" s="105">
        <v>2.9817032297671169</v>
      </c>
      <c r="AU62" s="105">
        <v>2851.7009689492706</v>
      </c>
      <c r="AV62" s="105">
        <v>3.4621294177926969</v>
      </c>
      <c r="AW62" s="105">
        <v>3311.1805751769352</v>
      </c>
      <c r="AX62" s="105">
        <v>4.6396870743956899</v>
      </c>
      <c r="AY62" s="105">
        <v>4437.3967179520378</v>
      </c>
      <c r="AZ62" s="105">
        <v>4.4434448051833932</v>
      </c>
      <c r="BA62" s="105">
        <v>4249.7106116773975</v>
      </c>
      <c r="BB62" s="105">
        <v>4.3588071607323213</v>
      </c>
      <c r="BC62" s="105">
        <v>4168.7631685243923</v>
      </c>
      <c r="BD62" s="105">
        <v>5.4412606813578845</v>
      </c>
      <c r="BE62" s="105">
        <v>5204.0217156506806</v>
      </c>
      <c r="BF62" s="105">
        <v>4.4245791998817978</v>
      </c>
      <c r="BG62" s="105">
        <v>4231.6675467669511</v>
      </c>
      <c r="BH62" s="105">
        <v>4.3539572962569455</v>
      </c>
      <c r="BI62" s="105">
        <v>4164.1247581401421</v>
      </c>
      <c r="BJ62" s="105">
        <v>4.474075210670879</v>
      </c>
      <c r="BK62" s="105">
        <v>4279.0055314856281</v>
      </c>
      <c r="BL62" s="105">
        <v>3.5470430962825046</v>
      </c>
      <c r="BM62" s="105">
        <v>3392.3920172845874</v>
      </c>
      <c r="BN62" s="105">
        <v>3.6837241350020395</v>
      </c>
      <c r="BO62" s="105">
        <v>3523.1137627159505</v>
      </c>
      <c r="BP62" s="105">
        <v>3.6022567314393528</v>
      </c>
      <c r="BQ62" s="105">
        <v>3445.1983379485969</v>
      </c>
      <c r="BR62" s="105">
        <v>4.076240862067154</v>
      </c>
      <c r="BS62" s="105">
        <v>3898.5167604810258</v>
      </c>
      <c r="BT62" s="105">
        <v>4.20430295324776</v>
      </c>
      <c r="BU62" s="105">
        <v>4020.9953444861576</v>
      </c>
      <c r="BV62" s="105">
        <v>4.0345163940607423</v>
      </c>
      <c r="BW62" s="105">
        <v>3858.6114792796939</v>
      </c>
      <c r="BX62" s="105">
        <v>3.6927037896917891</v>
      </c>
      <c r="BY62" s="105">
        <v>3531.7019044612271</v>
      </c>
      <c r="BZ62" s="105">
        <v>3.4380456156274515</v>
      </c>
      <c r="CA62" s="105">
        <v>3288.1468267860946</v>
      </c>
      <c r="CB62" s="105">
        <v>4.3240572069355272</v>
      </c>
      <c r="CC62" s="105">
        <v>4135.5283127131379</v>
      </c>
      <c r="CD62" s="105">
        <v>4.1396498986934818</v>
      </c>
      <c r="CE62" s="105">
        <v>3959.1611631104461</v>
      </c>
      <c r="CF62" s="105">
        <v>3.1810305459085271</v>
      </c>
      <c r="CG62" s="105">
        <v>3042.3376141069152</v>
      </c>
      <c r="CH62" s="105">
        <v>3.0822844160116833</v>
      </c>
      <c r="CI62" s="105">
        <v>2947.896815473574</v>
      </c>
      <c r="CJ62" s="105">
        <v>3.8457182359633548</v>
      </c>
      <c r="CK62" s="105">
        <v>3678.0449208753525</v>
      </c>
      <c r="CL62" s="105">
        <v>3.4231957475142383</v>
      </c>
      <c r="CM62" s="105">
        <v>3273.9444129226176</v>
      </c>
      <c r="CN62" s="105">
        <v>4.3311543617346668</v>
      </c>
      <c r="CO62" s="105">
        <v>4142.3160315630348</v>
      </c>
      <c r="CP62" s="105">
        <v>3.3653470183753798</v>
      </c>
      <c r="CQ62" s="105">
        <v>3218.6178883742132</v>
      </c>
      <c r="CR62" s="105">
        <v>3.9579321937155054</v>
      </c>
      <c r="CS62" s="105">
        <v>3785.3663500695093</v>
      </c>
      <c r="CT62" s="105">
        <v>3.9928396502968919</v>
      </c>
      <c r="CU62" s="105">
        <v>3818.7518415439472</v>
      </c>
    </row>
    <row r="63" spans="2:99" x14ac:dyDescent="0.2">
      <c r="C63" s="104" t="s">
        <v>229</v>
      </c>
      <c r="D63" s="105">
        <v>4</v>
      </c>
      <c r="E63" s="105">
        <v>120</v>
      </c>
      <c r="F63" s="105">
        <v>0.24076406441731812</v>
      </c>
      <c r="G63" s="105">
        <v>7.2229219325195437</v>
      </c>
      <c r="H63" s="105">
        <v>0</v>
      </c>
      <c r="I63" s="105">
        <v>0</v>
      </c>
      <c r="J63" s="105">
        <v>0</v>
      </c>
      <c r="K63" s="105">
        <v>0</v>
      </c>
      <c r="L63" s="105">
        <v>0</v>
      </c>
      <c r="M63" s="105">
        <v>0</v>
      </c>
      <c r="N63" s="105">
        <v>4.2722005371345455</v>
      </c>
      <c r="O63" s="105">
        <v>128.16601611403635</v>
      </c>
      <c r="P63" s="105">
        <v>3.8567390171413303</v>
      </c>
      <c r="Q63" s="105">
        <v>115.70217051423991</v>
      </c>
      <c r="R63" s="105">
        <v>3.8914201947782252</v>
      </c>
      <c r="S63" s="105">
        <v>116.74260584334675</v>
      </c>
      <c r="T63" s="105">
        <v>4.2032604024650828</v>
      </c>
      <c r="U63" s="105">
        <v>126.09781207395248</v>
      </c>
      <c r="V63" s="105">
        <v>4.7888587576619015</v>
      </c>
      <c r="W63" s="105">
        <v>143.66576272985705</v>
      </c>
      <c r="X63" s="105">
        <v>4.9883424744286149</v>
      </c>
      <c r="Y63" s="105">
        <v>149.65027423285844</v>
      </c>
      <c r="Z63" s="105">
        <v>6.6284224475285205</v>
      </c>
      <c r="AA63" s="105">
        <v>198.85267342585561</v>
      </c>
      <c r="AB63" s="105">
        <v>6.9289196303600562</v>
      </c>
      <c r="AC63" s="105">
        <v>207.86758891080169</v>
      </c>
      <c r="AD63" s="105">
        <v>4.7508132932838665</v>
      </c>
      <c r="AE63" s="105">
        <v>142.52439879851599</v>
      </c>
      <c r="AF63" s="105">
        <v>4.2933743659952164</v>
      </c>
      <c r="AG63" s="105">
        <v>128.80123097985648</v>
      </c>
      <c r="AH63" s="105">
        <v>3.550913676989317</v>
      </c>
      <c r="AI63" s="105">
        <v>106.52741030967951</v>
      </c>
      <c r="AJ63" s="105">
        <v>4.3064331386505819</v>
      </c>
      <c r="AK63" s="105">
        <v>129.19299415951747</v>
      </c>
      <c r="AL63" s="105">
        <v>3.7808820202798494</v>
      </c>
      <c r="AM63" s="105">
        <v>113.42646060839549</v>
      </c>
      <c r="AN63" s="105">
        <v>4.0106742285443202</v>
      </c>
      <c r="AO63" s="105">
        <v>120.32022685632961</v>
      </c>
      <c r="AP63" s="105">
        <v>4.9046631531323603</v>
      </c>
      <c r="AQ63" s="105">
        <v>147.13989459397081</v>
      </c>
      <c r="AR63" s="105">
        <v>4.0439827192555624</v>
      </c>
      <c r="AS63" s="105">
        <v>121.31948157766688</v>
      </c>
      <c r="AT63" s="105">
        <v>3.7271290372088965</v>
      </c>
      <c r="AU63" s="105">
        <v>111.8138711162669</v>
      </c>
      <c r="AV63" s="105">
        <v>3.4941554039096157</v>
      </c>
      <c r="AW63" s="105">
        <v>104.82466211728847</v>
      </c>
      <c r="AX63" s="105">
        <v>5.3069867944253746</v>
      </c>
      <c r="AY63" s="105">
        <v>159.20960383276125</v>
      </c>
      <c r="AZ63" s="105">
        <v>4.477497617396323</v>
      </c>
      <c r="BA63" s="105">
        <v>134.32492852188969</v>
      </c>
      <c r="BB63" s="105">
        <v>5.2224902126919881</v>
      </c>
      <c r="BC63" s="105">
        <v>156.67470638075963</v>
      </c>
      <c r="BD63" s="105">
        <v>5.4837237449824059</v>
      </c>
      <c r="BE63" s="105">
        <v>164.51171234947219</v>
      </c>
      <c r="BF63" s="105">
        <v>5.1325441073337608</v>
      </c>
      <c r="BG63" s="105">
        <v>153.97632322001283</v>
      </c>
      <c r="BH63" s="105">
        <v>4.3803283957540406</v>
      </c>
      <c r="BI63" s="105">
        <v>131.40985187262123</v>
      </c>
      <c r="BJ63" s="105">
        <v>4.474075210670879</v>
      </c>
      <c r="BK63" s="105">
        <v>134.22225632012638</v>
      </c>
      <c r="BL63" s="105">
        <v>4.5256833264121621</v>
      </c>
      <c r="BM63" s="105">
        <v>135.77049979236486</v>
      </c>
      <c r="BN63" s="105">
        <v>4.1612125333847327</v>
      </c>
      <c r="BO63" s="105">
        <v>124.83637600154198</v>
      </c>
      <c r="BP63" s="105">
        <v>3.6022567314393528</v>
      </c>
      <c r="BQ63" s="105">
        <v>108.06770194318058</v>
      </c>
      <c r="BR63" s="105">
        <v>4.076240862067154</v>
      </c>
      <c r="BS63" s="105">
        <v>122.28722586201462</v>
      </c>
      <c r="BT63" s="105">
        <v>4.6614617213614808</v>
      </c>
      <c r="BU63" s="105">
        <v>139.84385164084443</v>
      </c>
      <c r="BV63" s="105">
        <v>4.0345163940607423</v>
      </c>
      <c r="BW63" s="105">
        <v>121.03549182182226</v>
      </c>
      <c r="BX63" s="105">
        <v>3.6927037896917891</v>
      </c>
      <c r="BY63" s="105">
        <v>110.78111369075367</v>
      </c>
      <c r="BZ63" s="105">
        <v>3.9882033276271041</v>
      </c>
      <c r="CA63" s="105">
        <v>119.64609982881312</v>
      </c>
      <c r="CB63" s="105">
        <v>5.3461110416278244</v>
      </c>
      <c r="CC63" s="105">
        <v>160.38333124883474</v>
      </c>
      <c r="CD63" s="105">
        <v>4.1396498986934818</v>
      </c>
      <c r="CE63" s="105">
        <v>124.18949696080445</v>
      </c>
      <c r="CF63" s="105">
        <v>3.8172366550902335</v>
      </c>
      <c r="CG63" s="105">
        <v>114.517099652707</v>
      </c>
      <c r="CH63" s="105">
        <v>3.7939091277996631</v>
      </c>
      <c r="CI63" s="105">
        <v>113.81727383398989</v>
      </c>
      <c r="CJ63" s="105">
        <v>3.3426265595828677</v>
      </c>
      <c r="CK63" s="105">
        <v>100.27879678748603</v>
      </c>
      <c r="CL63" s="105">
        <v>4.0754361758299567</v>
      </c>
      <c r="CM63" s="105">
        <v>122.2630852748987</v>
      </c>
      <c r="CN63" s="105">
        <v>4.3020293593450063</v>
      </c>
      <c r="CO63" s="105">
        <v>129.0608807803502</v>
      </c>
      <c r="CP63" s="105">
        <v>3.9038044435234087</v>
      </c>
      <c r="CQ63" s="105">
        <v>117.11413330570227</v>
      </c>
      <c r="CR63" s="105">
        <v>4.5912458773323328</v>
      </c>
      <c r="CS63" s="105">
        <v>137.73737631997</v>
      </c>
      <c r="CT63" s="105">
        <v>4.4977556952110254</v>
      </c>
      <c r="CU63" s="105">
        <v>134.93267085633076</v>
      </c>
    </row>
    <row r="64" spans="2:99" x14ac:dyDescent="0.2">
      <c r="C64" s="104" t="s">
        <v>230</v>
      </c>
      <c r="D64" s="105">
        <v>4</v>
      </c>
      <c r="E64" s="105">
        <v>897.6</v>
      </c>
      <c r="F64" s="105">
        <v>0.24076406441731812</v>
      </c>
      <c r="G64" s="105">
        <v>54.027456055246191</v>
      </c>
      <c r="H64" s="105">
        <v>0</v>
      </c>
      <c r="I64" s="105">
        <v>0</v>
      </c>
      <c r="J64" s="105">
        <v>0</v>
      </c>
      <c r="K64" s="105">
        <v>0</v>
      </c>
      <c r="L64" s="105">
        <v>0</v>
      </c>
      <c r="M64" s="105">
        <v>0</v>
      </c>
      <c r="N64" s="105">
        <v>4.2722005371345455</v>
      </c>
      <c r="O64" s="105">
        <v>958.68180053299204</v>
      </c>
      <c r="P64" s="105">
        <v>3.8567390171413303</v>
      </c>
      <c r="Q64" s="105">
        <v>865.45223544651458</v>
      </c>
      <c r="R64" s="105">
        <v>3.3317192593051299</v>
      </c>
      <c r="S64" s="105">
        <v>747.63780178807122</v>
      </c>
      <c r="T64" s="105">
        <v>4.1712556936087815</v>
      </c>
      <c r="U64" s="105">
        <v>936.02977764581055</v>
      </c>
      <c r="V64" s="105">
        <v>3.8766803322382701</v>
      </c>
      <c r="W64" s="105">
        <v>869.92706655426787</v>
      </c>
      <c r="X64" s="105">
        <v>4.9496015052467275</v>
      </c>
      <c r="Y64" s="105">
        <v>1110.6905777773657</v>
      </c>
      <c r="Z64" s="105">
        <v>5.9154787519150762</v>
      </c>
      <c r="AA64" s="105">
        <v>1327.4334319297432</v>
      </c>
      <c r="AB64" s="105">
        <v>6.9289196303600562</v>
      </c>
      <c r="AC64" s="105">
        <v>1554.8495650527966</v>
      </c>
      <c r="AD64" s="105">
        <v>3.9590110777365561</v>
      </c>
      <c r="AE64" s="105">
        <v>888.40208584408322</v>
      </c>
      <c r="AF64" s="105">
        <v>4.2933743659952164</v>
      </c>
      <c r="AG64" s="105">
        <v>963.43320772932657</v>
      </c>
      <c r="AH64" s="105">
        <v>3.550913676989317</v>
      </c>
      <c r="AI64" s="105">
        <v>796.82502911640279</v>
      </c>
      <c r="AJ64" s="105">
        <v>3.8408727966161407</v>
      </c>
      <c r="AK64" s="105">
        <v>861.89185556066195</v>
      </c>
      <c r="AL64" s="105">
        <v>4.2534922728148308</v>
      </c>
      <c r="AM64" s="105">
        <v>954.48366601964801</v>
      </c>
      <c r="AN64" s="105">
        <v>4.0106742285443202</v>
      </c>
      <c r="AO64" s="105">
        <v>899.99529688534551</v>
      </c>
      <c r="AP64" s="105">
        <v>4.3795807501556006</v>
      </c>
      <c r="AQ64" s="105">
        <v>982.77792033491676</v>
      </c>
      <c r="AR64" s="105">
        <v>4.5707755093665696</v>
      </c>
      <c r="AS64" s="105">
        <v>1025.6820243018583</v>
      </c>
      <c r="AT64" s="105">
        <v>3.6916586047930977</v>
      </c>
      <c r="AU64" s="105">
        <v>828.40819091557114</v>
      </c>
      <c r="AV64" s="105">
        <v>4.1161241180109345</v>
      </c>
      <c r="AW64" s="105">
        <v>923.6582520816537</v>
      </c>
      <c r="AX64" s="105">
        <v>5.2755758286132712</v>
      </c>
      <c r="AY64" s="105">
        <v>1183.8392159408181</v>
      </c>
      <c r="AZ64" s="105">
        <v>4.477497617396323</v>
      </c>
      <c r="BA64" s="105">
        <v>1004.750465343735</v>
      </c>
      <c r="BB64" s="105">
        <v>4.3588071607323213</v>
      </c>
      <c r="BC64" s="105">
        <v>978.11632686833298</v>
      </c>
      <c r="BD64" s="105">
        <v>4.5980784965683519</v>
      </c>
      <c r="BE64" s="105">
        <v>1031.8088146299383</v>
      </c>
      <c r="BF64" s="105">
        <v>5.1679020583677637</v>
      </c>
      <c r="BG64" s="105">
        <v>1159.6772218977262</v>
      </c>
      <c r="BH64" s="105">
        <v>4.9080911206004743</v>
      </c>
      <c r="BI64" s="105">
        <v>1101.3756474627464</v>
      </c>
      <c r="BJ64" s="105">
        <v>4.474075210670879</v>
      </c>
      <c r="BK64" s="105">
        <v>1003.9824772745453</v>
      </c>
      <c r="BL64" s="105">
        <v>4.0607236695130737</v>
      </c>
      <c r="BM64" s="105">
        <v>911.2263914387338</v>
      </c>
      <c r="BN64" s="105">
        <v>3.6837241350020395</v>
      </c>
      <c r="BO64" s="105">
        <v>826.6276958944577</v>
      </c>
      <c r="BP64" s="105">
        <v>3.6022567314393528</v>
      </c>
      <c r="BQ64" s="105">
        <v>808.34641053499081</v>
      </c>
      <c r="BR64" s="105">
        <v>4.6425701364429068</v>
      </c>
      <c r="BS64" s="105">
        <v>1041.7927386177882</v>
      </c>
      <c r="BT64" s="105">
        <v>4.20430295324776</v>
      </c>
      <c r="BU64" s="105">
        <v>943.44558270879736</v>
      </c>
      <c r="BV64" s="105">
        <v>4.0345163940607423</v>
      </c>
      <c r="BW64" s="105">
        <v>905.34547882723064</v>
      </c>
      <c r="BX64" s="105">
        <v>3.6635467839653622</v>
      </c>
      <c r="BY64" s="105">
        <v>822.09989832182725</v>
      </c>
      <c r="BZ64" s="105">
        <v>4.0156231963530109</v>
      </c>
      <c r="CA64" s="105">
        <v>901.10584526161563</v>
      </c>
      <c r="CB64" s="105">
        <v>4.2978525549170454</v>
      </c>
      <c r="CC64" s="105">
        <v>964.43811332338498</v>
      </c>
      <c r="CD64" s="105">
        <v>3.5686412924109909</v>
      </c>
      <c r="CE64" s="105">
        <v>800.80310601702638</v>
      </c>
      <c r="CF64" s="105">
        <v>3.8172366550902335</v>
      </c>
      <c r="CG64" s="105">
        <v>856.58790540224845</v>
      </c>
      <c r="CH64" s="105">
        <v>3.8275927804939154</v>
      </c>
      <c r="CI64" s="105">
        <v>858.91181994283465</v>
      </c>
      <c r="CJ64" s="105">
        <v>3.8706471976018118</v>
      </c>
      <c r="CK64" s="105">
        <v>868.57323114184658</v>
      </c>
      <c r="CL64" s="105">
        <v>4.0754361758299567</v>
      </c>
      <c r="CM64" s="105">
        <v>914.5278778562423</v>
      </c>
      <c r="CN64" s="105">
        <v>4.3311543617346668</v>
      </c>
      <c r="CO64" s="105">
        <v>971.91103877325929</v>
      </c>
      <c r="CP64" s="105">
        <v>3.9038044435234087</v>
      </c>
      <c r="CQ64" s="105">
        <v>876.01371712665298</v>
      </c>
      <c r="CR64" s="105">
        <v>3.989542212118415</v>
      </c>
      <c r="CS64" s="105">
        <v>895.25327239937235</v>
      </c>
      <c r="CT64" s="105">
        <v>4.016084004804978</v>
      </c>
      <c r="CU64" s="105">
        <v>901.20925067823703</v>
      </c>
    </row>
    <row r="65" spans="2:99" x14ac:dyDescent="0.2">
      <c r="C65" s="104" t="s">
        <v>231</v>
      </c>
      <c r="D65" s="105">
        <v>5</v>
      </c>
      <c r="E65" s="105">
        <v>2472</v>
      </c>
      <c r="F65" s="105">
        <v>0.24076406441731812</v>
      </c>
      <c r="G65" s="105">
        <v>119.03375344792208</v>
      </c>
      <c r="H65" s="105">
        <v>0</v>
      </c>
      <c r="I65" s="105">
        <v>0</v>
      </c>
      <c r="J65" s="105">
        <v>0</v>
      </c>
      <c r="K65" s="105">
        <v>0</v>
      </c>
      <c r="L65" s="105">
        <v>0</v>
      </c>
      <c r="M65" s="105">
        <v>0</v>
      </c>
      <c r="N65" s="105">
        <v>3.2041504028509089</v>
      </c>
      <c r="O65" s="105">
        <v>1584.1319591694894</v>
      </c>
      <c r="P65" s="105">
        <v>4.3887239010969079</v>
      </c>
      <c r="Q65" s="105">
        <v>2169.785096702311</v>
      </c>
      <c r="R65" s="105">
        <v>3.3582056128385727</v>
      </c>
      <c r="S65" s="105">
        <v>1660.2968549873904</v>
      </c>
      <c r="T65" s="105">
        <v>3.5080511201969529</v>
      </c>
      <c r="U65" s="105">
        <v>1734.3804738253734</v>
      </c>
      <c r="V65" s="105">
        <v>4.7888587576619015</v>
      </c>
      <c r="W65" s="105">
        <v>2367.6117697880441</v>
      </c>
      <c r="X65" s="105">
        <v>4.1956930312057326</v>
      </c>
      <c r="Y65" s="105">
        <v>2074.3506346281142</v>
      </c>
      <c r="Z65" s="105">
        <v>5.8801572207471553</v>
      </c>
      <c r="AA65" s="105">
        <v>2907.1497299373937</v>
      </c>
      <c r="AB65" s="105">
        <v>6.1510481081965205</v>
      </c>
      <c r="AC65" s="105">
        <v>3041.0781846923596</v>
      </c>
      <c r="AD65" s="105">
        <v>4.7131493042832302</v>
      </c>
      <c r="AE65" s="105">
        <v>2330.181016037629</v>
      </c>
      <c r="AF65" s="105">
        <v>3.6758342183327333</v>
      </c>
      <c r="AG65" s="105">
        <v>1817.3324375437032</v>
      </c>
      <c r="AH65" s="105">
        <v>4.0118974856626748</v>
      </c>
      <c r="AI65" s="105">
        <v>1983.4821169116262</v>
      </c>
      <c r="AJ65" s="105">
        <v>4.3297111507187047</v>
      </c>
      <c r="AK65" s="105">
        <v>2140.6091929153276</v>
      </c>
      <c r="AL65" s="105">
        <v>3.7808820202798494</v>
      </c>
      <c r="AM65" s="105">
        <v>1869.2680708263574</v>
      </c>
      <c r="AN65" s="105">
        <v>4.0106742285443202</v>
      </c>
      <c r="AO65" s="105">
        <v>1982.8773385923118</v>
      </c>
      <c r="AP65" s="105">
        <v>4.3795807501556006</v>
      </c>
      <c r="AQ65" s="105">
        <v>2165.2647228769288</v>
      </c>
      <c r="AR65" s="105">
        <v>4.0439827192555624</v>
      </c>
      <c r="AS65" s="105">
        <v>1999.34505639995</v>
      </c>
      <c r="AT65" s="105">
        <v>3.7271290372088965</v>
      </c>
      <c r="AU65" s="105">
        <v>1842.6925959960784</v>
      </c>
      <c r="AV65" s="105">
        <v>4.1161241180109345</v>
      </c>
      <c r="AW65" s="105">
        <v>2035.0117639446059</v>
      </c>
      <c r="AX65" s="105">
        <v>5.2755758286132712</v>
      </c>
      <c r="AY65" s="105">
        <v>2608.244689666401</v>
      </c>
      <c r="AZ65" s="105">
        <v>4.477497617396323</v>
      </c>
      <c r="BA65" s="105">
        <v>2213.6748220407421</v>
      </c>
      <c r="BB65" s="105">
        <v>4.3588071607323213</v>
      </c>
      <c r="BC65" s="105">
        <v>2154.9942602660594</v>
      </c>
      <c r="BD65" s="105">
        <v>5.4837237449824059</v>
      </c>
      <c r="BE65" s="105">
        <v>2711.1530195193013</v>
      </c>
      <c r="BF65" s="105">
        <v>5.1679020583677637</v>
      </c>
      <c r="BG65" s="105">
        <v>2555.0107776570221</v>
      </c>
      <c r="BH65" s="105">
        <v>4.3539572962569455</v>
      </c>
      <c r="BI65" s="105">
        <v>2152.596487269434</v>
      </c>
      <c r="BJ65" s="105">
        <v>4.474075210670879</v>
      </c>
      <c r="BK65" s="105">
        <v>2211.9827841556826</v>
      </c>
      <c r="BL65" s="105">
        <v>4.0363632113473331</v>
      </c>
      <c r="BM65" s="105">
        <v>1995.5779716901213</v>
      </c>
      <c r="BN65" s="105">
        <v>3.6593451816932405</v>
      </c>
      <c r="BO65" s="105">
        <v>1809.1802578291381</v>
      </c>
      <c r="BP65" s="105">
        <v>3.6022567314393528</v>
      </c>
      <c r="BQ65" s="105">
        <v>1780.9557280236158</v>
      </c>
      <c r="BR65" s="105">
        <v>4.076240862067154</v>
      </c>
      <c r="BS65" s="105">
        <v>2015.2934822060008</v>
      </c>
      <c r="BT65" s="105">
        <v>4.20430295324776</v>
      </c>
      <c r="BU65" s="105">
        <v>2078.6073800856925</v>
      </c>
      <c r="BV65" s="105">
        <v>4.0345163940607423</v>
      </c>
      <c r="BW65" s="105">
        <v>1994.664905223631</v>
      </c>
      <c r="BX65" s="105">
        <v>3.6635467839653622</v>
      </c>
      <c r="BY65" s="105">
        <v>1811.2575299924749</v>
      </c>
      <c r="BZ65" s="105">
        <v>3.9882033276271041</v>
      </c>
      <c r="CA65" s="105">
        <v>1971.7677251788402</v>
      </c>
      <c r="CB65" s="105">
        <v>4.3240572069355272</v>
      </c>
      <c r="CC65" s="105">
        <v>2137.8138831089245</v>
      </c>
      <c r="CD65" s="105">
        <v>4.1396498986934818</v>
      </c>
      <c r="CE65" s="105">
        <v>2046.6429099140573</v>
      </c>
      <c r="CF65" s="105">
        <v>3.2108353218257815</v>
      </c>
      <c r="CG65" s="105">
        <v>1587.4369831106662</v>
      </c>
      <c r="CH65" s="105">
        <v>3.7939091277996631</v>
      </c>
      <c r="CI65" s="105">
        <v>1875.7086727841534</v>
      </c>
      <c r="CJ65" s="105">
        <v>3.8457182359633548</v>
      </c>
      <c r="CK65" s="105">
        <v>1901.3230958602826</v>
      </c>
      <c r="CL65" s="105">
        <v>4.0754361758299567</v>
      </c>
      <c r="CM65" s="105">
        <v>2014.8956453303306</v>
      </c>
      <c r="CN65" s="105">
        <v>3.7124180243439997</v>
      </c>
      <c r="CO65" s="105">
        <v>1835.4194712356734</v>
      </c>
      <c r="CP65" s="105">
        <v>3.9307249370208499</v>
      </c>
      <c r="CQ65" s="105">
        <v>1943.3504088631082</v>
      </c>
      <c r="CR65" s="105">
        <v>4.6228558957352419</v>
      </c>
      <c r="CS65" s="105">
        <v>2285.5399548515034</v>
      </c>
      <c r="CT65" s="105">
        <v>3.9928396502968919</v>
      </c>
      <c r="CU65" s="105">
        <v>1974.0599231067833</v>
      </c>
    </row>
    <row r="66" spans="2:99" x14ac:dyDescent="0.2">
      <c r="C66" s="104" t="s">
        <v>232</v>
      </c>
      <c r="D66" s="105">
        <v>4</v>
      </c>
      <c r="E66" s="105">
        <v>1593.6</v>
      </c>
      <c r="F66" s="105">
        <v>0.24076406441731812</v>
      </c>
      <c r="G66" s="105">
        <v>95.920403263859541</v>
      </c>
      <c r="H66" s="105">
        <v>0</v>
      </c>
      <c r="I66" s="105">
        <v>0</v>
      </c>
      <c r="J66" s="105">
        <v>0</v>
      </c>
      <c r="K66" s="105">
        <v>0</v>
      </c>
      <c r="L66" s="105">
        <v>0</v>
      </c>
      <c r="M66" s="105">
        <v>0</v>
      </c>
      <c r="N66" s="105">
        <v>3.7381754699927274</v>
      </c>
      <c r="O66" s="105">
        <v>1489.2891072451025</v>
      </c>
      <c r="P66" s="105">
        <v>3.8567390171413303</v>
      </c>
      <c r="Q66" s="105">
        <v>1536.5248244291058</v>
      </c>
      <c r="R66" s="105">
        <v>3.8914201947782252</v>
      </c>
      <c r="S66" s="105">
        <v>1550.3418055996449</v>
      </c>
      <c r="T66" s="105">
        <v>4.2032604024650828</v>
      </c>
      <c r="U66" s="105">
        <v>1674.5789443420888</v>
      </c>
      <c r="V66" s="105">
        <v>4.7888587576619015</v>
      </c>
      <c r="W66" s="105">
        <v>1907.8813290525015</v>
      </c>
      <c r="X66" s="105">
        <v>4.9883424744286149</v>
      </c>
      <c r="Y66" s="105">
        <v>1987.3556418123601</v>
      </c>
      <c r="Z66" s="105">
        <v>5.9154787519150762</v>
      </c>
      <c r="AA66" s="105">
        <v>2356.7267347629663</v>
      </c>
      <c r="AB66" s="105">
        <v>6.9289196303600562</v>
      </c>
      <c r="AC66" s="105">
        <v>2760.4815807354462</v>
      </c>
      <c r="AD66" s="105">
        <v>4.7131493042832302</v>
      </c>
      <c r="AE66" s="105">
        <v>1877.7186828264389</v>
      </c>
      <c r="AF66" s="105">
        <v>4.263967698353051</v>
      </c>
      <c r="AG66" s="105">
        <v>1698.7647310238553</v>
      </c>
      <c r="AH66" s="105">
        <v>4.0350422725395179</v>
      </c>
      <c r="AI66" s="105">
        <v>1607.5608413797438</v>
      </c>
      <c r="AJ66" s="105">
        <v>3.8408727966161407</v>
      </c>
      <c r="AK66" s="105">
        <v>1530.2037221718704</v>
      </c>
      <c r="AL66" s="105">
        <v>4.2534922728148308</v>
      </c>
      <c r="AM66" s="105">
        <v>1694.5913214894285</v>
      </c>
      <c r="AN66" s="105">
        <v>4.0106742285443202</v>
      </c>
      <c r="AO66" s="105">
        <v>1597.8526126520571</v>
      </c>
      <c r="AP66" s="105">
        <v>3.8544983471788408</v>
      </c>
      <c r="AQ66" s="105">
        <v>1535.6321415160501</v>
      </c>
      <c r="AR66" s="105">
        <v>4.5707755093665696</v>
      </c>
      <c r="AS66" s="105">
        <v>1820.9969629316413</v>
      </c>
      <c r="AT66" s="105">
        <v>2.9817032297671169</v>
      </c>
      <c r="AU66" s="105">
        <v>1187.9105667392193</v>
      </c>
      <c r="AV66" s="105">
        <v>4.1161241180109345</v>
      </c>
      <c r="AW66" s="105">
        <v>1639.8638486155562</v>
      </c>
      <c r="AX66" s="105">
        <v>4.6396870743956899</v>
      </c>
      <c r="AY66" s="105">
        <v>1848.4513304392428</v>
      </c>
      <c r="AZ66" s="105">
        <v>4.477497617396323</v>
      </c>
      <c r="BA66" s="105">
        <v>1783.835050770695</v>
      </c>
      <c r="BB66" s="105">
        <v>5.2224902126919881</v>
      </c>
      <c r="BC66" s="105">
        <v>2080.640100736488</v>
      </c>
      <c r="BD66" s="105">
        <v>4.5980784965683519</v>
      </c>
      <c r="BE66" s="105">
        <v>1831.8744730328312</v>
      </c>
      <c r="BF66" s="105">
        <v>5.1325441073337608</v>
      </c>
      <c r="BG66" s="105">
        <v>2044.8055723617701</v>
      </c>
      <c r="BH66" s="105">
        <v>4.9080911206004743</v>
      </c>
      <c r="BI66" s="105">
        <v>1955.3835024472289</v>
      </c>
      <c r="BJ66" s="105">
        <v>4.474075210670879</v>
      </c>
      <c r="BK66" s="105">
        <v>1782.4715639312781</v>
      </c>
      <c r="BL66" s="105">
        <v>4.0363632113473331</v>
      </c>
      <c r="BM66" s="105">
        <v>1608.0871034007773</v>
      </c>
      <c r="BN66" s="105">
        <v>4.1612125333847327</v>
      </c>
      <c r="BO66" s="105">
        <v>1657.8270733004774</v>
      </c>
      <c r="BP66" s="105">
        <v>3.6022567314393528</v>
      </c>
      <c r="BQ66" s="105">
        <v>1435.1390818054381</v>
      </c>
      <c r="BR66" s="105">
        <v>4.6425701364429068</v>
      </c>
      <c r="BS66" s="105">
        <v>1849.5999423588539</v>
      </c>
      <c r="BT66" s="105">
        <v>3.7471441851340401</v>
      </c>
      <c r="BU66" s="105">
        <v>1492.8622433574014</v>
      </c>
      <c r="BV66" s="105">
        <v>4.0345163940607423</v>
      </c>
      <c r="BW66" s="105">
        <v>1607.3513313937997</v>
      </c>
      <c r="BX66" s="105">
        <v>3.6927037896917891</v>
      </c>
      <c r="BY66" s="105">
        <v>1471.1731898132086</v>
      </c>
      <c r="BZ66" s="105">
        <v>3.4380456156274515</v>
      </c>
      <c r="CA66" s="105">
        <v>1369.7173732659767</v>
      </c>
      <c r="CB66" s="105">
        <v>4.3240572069355272</v>
      </c>
      <c r="CC66" s="105">
        <v>1722.7043912431138</v>
      </c>
      <c r="CD66" s="105">
        <v>4.1396498986934818</v>
      </c>
      <c r="CE66" s="105">
        <v>1649.236519639483</v>
      </c>
      <c r="CF66" s="105">
        <v>3.2108353218257815</v>
      </c>
      <c r="CG66" s="105">
        <v>1279.1967922153913</v>
      </c>
      <c r="CH66" s="105">
        <v>3.0822844160116833</v>
      </c>
      <c r="CI66" s="105">
        <v>1227.9821113390547</v>
      </c>
      <c r="CJ66" s="105">
        <v>3.8457182359633548</v>
      </c>
      <c r="CK66" s="105">
        <v>1532.1341452078004</v>
      </c>
      <c r="CL66" s="105">
        <v>4.0754361758299567</v>
      </c>
      <c r="CM66" s="105">
        <v>1623.6537724506547</v>
      </c>
      <c r="CN66" s="105">
        <v>3.7415430267336611</v>
      </c>
      <c r="CO66" s="105">
        <v>1490.6307418506906</v>
      </c>
      <c r="CP66" s="105">
        <v>3.9038044435234087</v>
      </c>
      <c r="CQ66" s="105">
        <v>1555.275690299726</v>
      </c>
      <c r="CR66" s="105">
        <v>3.9579321937155054</v>
      </c>
      <c r="CS66" s="105">
        <v>1576.8401859762573</v>
      </c>
      <c r="CT66" s="105">
        <v>3.511167959890845</v>
      </c>
      <c r="CU66" s="105">
        <v>1398.8493152205126</v>
      </c>
    </row>
    <row r="67" spans="2:99" x14ac:dyDescent="0.2">
      <c r="C67" s="104" t="s">
        <v>233</v>
      </c>
      <c r="D67" s="105">
        <v>4</v>
      </c>
      <c r="E67" s="105">
        <v>1896</v>
      </c>
      <c r="F67" s="105">
        <v>0.24076406441731812</v>
      </c>
      <c r="G67" s="105">
        <v>114.12216653380879</v>
      </c>
      <c r="H67" s="105">
        <v>0</v>
      </c>
      <c r="I67" s="105">
        <v>0</v>
      </c>
      <c r="J67" s="105">
        <v>0</v>
      </c>
      <c r="K67" s="105">
        <v>0</v>
      </c>
      <c r="L67" s="105">
        <v>0</v>
      </c>
      <c r="M67" s="105">
        <v>0</v>
      </c>
      <c r="N67" s="105">
        <v>3.7381754699927274</v>
      </c>
      <c r="O67" s="105">
        <v>1771.8951727765527</v>
      </c>
      <c r="P67" s="105">
        <v>3.8567390171413303</v>
      </c>
      <c r="Q67" s="105">
        <v>1828.0942941249905</v>
      </c>
      <c r="R67" s="105">
        <v>3.3582056128385727</v>
      </c>
      <c r="S67" s="105">
        <v>1591.7894604854835</v>
      </c>
      <c r="T67" s="105">
        <v>3.5400558290532538</v>
      </c>
      <c r="U67" s="105">
        <v>1677.9864629712422</v>
      </c>
      <c r="V67" s="105">
        <v>3.8766803322382701</v>
      </c>
      <c r="W67" s="105">
        <v>1837.54647748094</v>
      </c>
      <c r="X67" s="105">
        <v>4.9883424744286149</v>
      </c>
      <c r="Y67" s="105">
        <v>2364.4743328791633</v>
      </c>
      <c r="Z67" s="105">
        <v>5.9154787519150762</v>
      </c>
      <c r="AA67" s="105">
        <v>2803.9369284077461</v>
      </c>
      <c r="AB67" s="105">
        <v>6.8929575958041713</v>
      </c>
      <c r="AC67" s="105">
        <v>3267.2619004111771</v>
      </c>
      <c r="AD67" s="105">
        <v>4.7131493042832302</v>
      </c>
      <c r="AE67" s="105">
        <v>2234.0327702302511</v>
      </c>
      <c r="AF67" s="105">
        <v>4.263967698353051</v>
      </c>
      <c r="AG67" s="105">
        <v>2021.1206890193462</v>
      </c>
      <c r="AH67" s="105">
        <v>4.0118974856626748</v>
      </c>
      <c r="AI67" s="105">
        <v>1901.6394082041079</v>
      </c>
      <c r="AJ67" s="105">
        <v>4.3064331386505819</v>
      </c>
      <c r="AK67" s="105">
        <v>2041.2493077203758</v>
      </c>
      <c r="AL67" s="105">
        <v>3.7808820202798494</v>
      </c>
      <c r="AM67" s="105">
        <v>1792.1380776126487</v>
      </c>
      <c r="AN67" s="105">
        <v>3.99649741788315</v>
      </c>
      <c r="AO67" s="105">
        <v>1894.3397760766131</v>
      </c>
      <c r="AP67" s="105">
        <v>4.3540205321068113</v>
      </c>
      <c r="AQ67" s="105">
        <v>2063.8057322186287</v>
      </c>
      <c r="AR67" s="105">
        <v>4.0439827192555624</v>
      </c>
      <c r="AS67" s="105">
        <v>1916.8478089271366</v>
      </c>
      <c r="AT67" s="105">
        <v>3.6916586047930977</v>
      </c>
      <c r="AU67" s="105">
        <v>1749.8461786719283</v>
      </c>
      <c r="AV67" s="105">
        <v>4.1161241180109345</v>
      </c>
      <c r="AW67" s="105">
        <v>1951.0428319371829</v>
      </c>
      <c r="AX67" s="105">
        <v>4.6396870743956899</v>
      </c>
      <c r="AY67" s="105">
        <v>2199.2116732635573</v>
      </c>
      <c r="AZ67" s="105">
        <v>4.4434448051833932</v>
      </c>
      <c r="BA67" s="105">
        <v>2106.1928376569285</v>
      </c>
      <c r="BB67" s="105">
        <v>4.3588071607323213</v>
      </c>
      <c r="BC67" s="105">
        <v>2066.0745941871205</v>
      </c>
      <c r="BD67" s="105">
        <v>5.4412606813578845</v>
      </c>
      <c r="BE67" s="105">
        <v>2579.1575629636372</v>
      </c>
      <c r="BF67" s="105">
        <v>5.1325441073337608</v>
      </c>
      <c r="BG67" s="105">
        <v>2432.8259068762027</v>
      </c>
      <c r="BH67" s="105">
        <v>4.3539572962569455</v>
      </c>
      <c r="BI67" s="105">
        <v>2063.775758425792</v>
      </c>
      <c r="BJ67" s="105">
        <v>4.474075210670879</v>
      </c>
      <c r="BK67" s="105">
        <v>2120.7116498579967</v>
      </c>
      <c r="BL67" s="105">
        <v>3.5714035544482452</v>
      </c>
      <c r="BM67" s="105">
        <v>1692.8452848084683</v>
      </c>
      <c r="BN67" s="105">
        <v>3.6593451816932405</v>
      </c>
      <c r="BO67" s="105">
        <v>1734.5296161225961</v>
      </c>
      <c r="BP67" s="105">
        <v>3.6022567314393528</v>
      </c>
      <c r="BQ67" s="105">
        <v>1707.4696907022533</v>
      </c>
      <c r="BR67" s="105">
        <v>4.6425701364429068</v>
      </c>
      <c r="BS67" s="105">
        <v>2200.5782446739377</v>
      </c>
      <c r="BT67" s="105">
        <v>4.20430295324776</v>
      </c>
      <c r="BU67" s="105">
        <v>1992.8395998394383</v>
      </c>
      <c r="BV67" s="105">
        <v>4.0663368481571318</v>
      </c>
      <c r="BW67" s="105">
        <v>1927.4436660264805</v>
      </c>
      <c r="BX67" s="105">
        <v>3.6927037896917891</v>
      </c>
      <c r="BY67" s="105">
        <v>1750.341596313908</v>
      </c>
      <c r="BZ67" s="105">
        <v>3.4380456156274515</v>
      </c>
      <c r="CA67" s="105">
        <v>1629.6336218074121</v>
      </c>
      <c r="CB67" s="105">
        <v>4.3240572069355272</v>
      </c>
      <c r="CC67" s="105">
        <v>2049.60311608744</v>
      </c>
      <c r="CD67" s="105">
        <v>4.1396498986934818</v>
      </c>
      <c r="CE67" s="105">
        <v>1962.1940519807104</v>
      </c>
      <c r="CF67" s="105">
        <v>3.1810305459085271</v>
      </c>
      <c r="CG67" s="105">
        <v>1507.8084787606417</v>
      </c>
      <c r="CH67" s="105">
        <v>3.0822844160116833</v>
      </c>
      <c r="CI67" s="105">
        <v>1461.0028131895378</v>
      </c>
      <c r="CJ67" s="105">
        <v>3.3426265595828677</v>
      </c>
      <c r="CK67" s="105">
        <v>1584.4049892422793</v>
      </c>
      <c r="CL67" s="105">
        <v>4.0754361758299567</v>
      </c>
      <c r="CM67" s="105">
        <v>1931.7567473433994</v>
      </c>
      <c r="CN67" s="105">
        <v>3.7124180243439997</v>
      </c>
      <c r="CO67" s="105">
        <v>1759.6861435390558</v>
      </c>
      <c r="CP67" s="105">
        <v>3.9038044435234087</v>
      </c>
      <c r="CQ67" s="105">
        <v>1850.4033062300957</v>
      </c>
      <c r="CR67" s="105">
        <v>3.989542212118415</v>
      </c>
      <c r="CS67" s="105">
        <v>1891.0430085441287</v>
      </c>
      <c r="CT67" s="105">
        <v>3.511167959890845</v>
      </c>
      <c r="CU67" s="105">
        <v>1664.2936129882605</v>
      </c>
    </row>
    <row r="68" spans="2:99" x14ac:dyDescent="0.2">
      <c r="C68" s="104" t="s">
        <v>234</v>
      </c>
      <c r="D68" s="105">
        <v>4</v>
      </c>
      <c r="E68" s="105">
        <v>1080</v>
      </c>
      <c r="F68" s="105">
        <v>0.24076406441731812</v>
      </c>
      <c r="G68" s="105">
        <v>65.00629739267589</v>
      </c>
      <c r="H68" s="105">
        <v>0</v>
      </c>
      <c r="I68" s="105">
        <v>0</v>
      </c>
      <c r="J68" s="105">
        <v>0</v>
      </c>
      <c r="K68" s="105">
        <v>0</v>
      </c>
      <c r="L68" s="105">
        <v>0</v>
      </c>
      <c r="M68" s="105">
        <v>0</v>
      </c>
      <c r="N68" s="105">
        <v>3.7381754699927274</v>
      </c>
      <c r="O68" s="105">
        <v>1009.3073768980364</v>
      </c>
      <c r="P68" s="105">
        <v>3.8567390171413303</v>
      </c>
      <c r="Q68" s="105">
        <v>1041.3195346281591</v>
      </c>
      <c r="R68" s="105">
        <v>3.8914201947782252</v>
      </c>
      <c r="S68" s="105">
        <v>1050.6834525901209</v>
      </c>
      <c r="T68" s="105">
        <v>3.5400558290532538</v>
      </c>
      <c r="U68" s="105">
        <v>955.8150738443785</v>
      </c>
      <c r="V68" s="105">
        <v>4.7888587576619015</v>
      </c>
      <c r="W68" s="105">
        <v>1292.9918645687135</v>
      </c>
      <c r="X68" s="105">
        <v>4.9883424744286149</v>
      </c>
      <c r="Y68" s="105">
        <v>1346.852468095726</v>
      </c>
      <c r="Z68" s="105">
        <v>5.8801572207471553</v>
      </c>
      <c r="AA68" s="105">
        <v>1587.6424496017319</v>
      </c>
      <c r="AB68" s="105">
        <v>6.1870101427524054</v>
      </c>
      <c r="AC68" s="105">
        <v>1670.4927385431495</v>
      </c>
      <c r="AD68" s="105">
        <v>4.7131493042832302</v>
      </c>
      <c r="AE68" s="105">
        <v>1272.550312156472</v>
      </c>
      <c r="AF68" s="105">
        <v>4.263967698353051</v>
      </c>
      <c r="AG68" s="105">
        <v>1151.2712785553238</v>
      </c>
      <c r="AH68" s="105">
        <v>3.550913676989317</v>
      </c>
      <c r="AI68" s="105">
        <v>958.74669278711565</v>
      </c>
      <c r="AJ68" s="105">
        <v>4.3297111507187047</v>
      </c>
      <c r="AK68" s="105">
        <v>1169.0220106940503</v>
      </c>
      <c r="AL68" s="105">
        <v>3.7808820202798494</v>
      </c>
      <c r="AM68" s="105">
        <v>1020.8381454755594</v>
      </c>
      <c r="AN68" s="105">
        <v>4.0106742285443202</v>
      </c>
      <c r="AO68" s="105">
        <v>1082.8820417069664</v>
      </c>
      <c r="AP68" s="105">
        <v>4.3795807501556006</v>
      </c>
      <c r="AQ68" s="105">
        <v>1182.4868025420121</v>
      </c>
      <c r="AR68" s="105">
        <v>4.0439827192555624</v>
      </c>
      <c r="AS68" s="105">
        <v>1091.8753341990018</v>
      </c>
      <c r="AT68" s="105">
        <v>3.6916586047930977</v>
      </c>
      <c r="AU68" s="105">
        <v>996.74782329413642</v>
      </c>
      <c r="AV68" s="105">
        <v>3.4621294177926969</v>
      </c>
      <c r="AW68" s="105">
        <v>934.77494280402811</v>
      </c>
      <c r="AX68" s="105">
        <v>4.6396870743956899</v>
      </c>
      <c r="AY68" s="105">
        <v>1252.7155100868363</v>
      </c>
      <c r="AZ68" s="105">
        <v>5.2010453454870911</v>
      </c>
      <c r="BA68" s="105">
        <v>1404.2822432815146</v>
      </c>
      <c r="BB68" s="105">
        <v>4.3588071607323213</v>
      </c>
      <c r="BC68" s="105">
        <v>1176.8779333977268</v>
      </c>
      <c r="BD68" s="105">
        <v>5.4837237449824059</v>
      </c>
      <c r="BE68" s="105">
        <v>1480.6054111452495</v>
      </c>
      <c r="BF68" s="105">
        <v>5.1679020583677637</v>
      </c>
      <c r="BG68" s="105">
        <v>1395.3335557592961</v>
      </c>
      <c r="BH68" s="105">
        <v>4.88172002110338</v>
      </c>
      <c r="BI68" s="105">
        <v>1318.0644056979127</v>
      </c>
      <c r="BJ68" s="105">
        <v>5.0957204434878207</v>
      </c>
      <c r="BK68" s="105">
        <v>1375.8445197417116</v>
      </c>
      <c r="BL68" s="105">
        <v>4.0363632113473331</v>
      </c>
      <c r="BM68" s="105">
        <v>1089.8180670637798</v>
      </c>
      <c r="BN68" s="105">
        <v>3.6837241350020395</v>
      </c>
      <c r="BO68" s="105">
        <v>994.60551645055068</v>
      </c>
      <c r="BP68" s="105">
        <v>3.5780716265254511</v>
      </c>
      <c r="BQ68" s="105">
        <v>966.07933916187176</v>
      </c>
      <c r="BR68" s="105">
        <v>4.076240862067154</v>
      </c>
      <c r="BS68" s="105">
        <v>1100.5850327581315</v>
      </c>
      <c r="BT68" s="105">
        <v>4.20430295324776</v>
      </c>
      <c r="BU68" s="105">
        <v>1135.1617973768953</v>
      </c>
      <c r="BV68" s="105">
        <v>4.0345163940607423</v>
      </c>
      <c r="BW68" s="105">
        <v>1089.3194263964003</v>
      </c>
      <c r="BX68" s="105">
        <v>4.2789974155806609</v>
      </c>
      <c r="BY68" s="105">
        <v>1155.3293022067785</v>
      </c>
      <c r="BZ68" s="105">
        <v>3.4380456156274515</v>
      </c>
      <c r="CA68" s="105">
        <v>928.27231621941189</v>
      </c>
      <c r="CB68" s="105">
        <v>4.3240572069355272</v>
      </c>
      <c r="CC68" s="105">
        <v>1167.4954458725924</v>
      </c>
      <c r="CD68" s="105">
        <v>4.1396498986934818</v>
      </c>
      <c r="CE68" s="105">
        <v>1117.7054726472402</v>
      </c>
      <c r="CF68" s="105">
        <v>3.8172366550902335</v>
      </c>
      <c r="CG68" s="105">
        <v>1030.653896874363</v>
      </c>
      <c r="CH68" s="105">
        <v>3.7939091277996631</v>
      </c>
      <c r="CI68" s="105">
        <v>1024.3554645059089</v>
      </c>
      <c r="CJ68" s="105">
        <v>3.8457182359633548</v>
      </c>
      <c r="CK68" s="105">
        <v>1038.3439237101059</v>
      </c>
      <c r="CL68" s="105">
        <v>4.0754361758299567</v>
      </c>
      <c r="CM68" s="105">
        <v>1100.3677674740884</v>
      </c>
      <c r="CN68" s="105">
        <v>4.3020293593450063</v>
      </c>
      <c r="CO68" s="105">
        <v>1161.5479270231517</v>
      </c>
      <c r="CP68" s="105">
        <v>4.4691823621688789</v>
      </c>
      <c r="CQ68" s="105">
        <v>1206.6792377855973</v>
      </c>
      <c r="CR68" s="105">
        <v>3.989542212118415</v>
      </c>
      <c r="CS68" s="105">
        <v>1077.1763972719721</v>
      </c>
      <c r="CT68" s="105">
        <v>3.9928396502968919</v>
      </c>
      <c r="CU68" s="105">
        <v>1078.0667055801607</v>
      </c>
    </row>
    <row r="69" spans="2:99" x14ac:dyDescent="0.2">
      <c r="C69" s="104" t="s">
        <v>235</v>
      </c>
      <c r="D69" s="105">
        <v>4</v>
      </c>
      <c r="E69" s="105">
        <v>691.19999999999993</v>
      </c>
      <c r="F69" s="105">
        <v>0.24076406441731812</v>
      </c>
      <c r="G69" s="105">
        <v>41.604030331312565</v>
      </c>
      <c r="H69" s="105">
        <v>0</v>
      </c>
      <c r="I69" s="105">
        <v>0</v>
      </c>
      <c r="J69" s="105">
        <v>0</v>
      </c>
      <c r="K69" s="105">
        <v>0</v>
      </c>
      <c r="L69" s="105">
        <v>0</v>
      </c>
      <c r="M69" s="105">
        <v>0</v>
      </c>
      <c r="N69" s="105">
        <v>3.7381754699927274</v>
      </c>
      <c r="O69" s="105">
        <v>645.9567212147432</v>
      </c>
      <c r="P69" s="105">
        <v>3.8567390171413303</v>
      </c>
      <c r="Q69" s="105">
        <v>666.44450216202176</v>
      </c>
      <c r="R69" s="105">
        <v>3.8649338412447816</v>
      </c>
      <c r="S69" s="105">
        <v>667.86056776709813</v>
      </c>
      <c r="T69" s="105">
        <v>3.5080511201969529</v>
      </c>
      <c r="U69" s="105">
        <v>606.19123357003343</v>
      </c>
      <c r="V69" s="105">
        <v>4.7888587576619015</v>
      </c>
      <c r="W69" s="105">
        <v>827.51479332397651</v>
      </c>
      <c r="X69" s="105">
        <v>5.7809919176514963</v>
      </c>
      <c r="Y69" s="105">
        <v>998.95540337017849</v>
      </c>
      <c r="Z69" s="105">
        <v>6.5931009163606005</v>
      </c>
      <c r="AA69" s="105">
        <v>1139.2878383471116</v>
      </c>
      <c r="AB69" s="105">
        <v>6.1510481081965205</v>
      </c>
      <c r="AC69" s="105">
        <v>1062.9011130963586</v>
      </c>
      <c r="AD69" s="105">
        <v>4.7131493042832302</v>
      </c>
      <c r="AE69" s="105">
        <v>814.43219978014213</v>
      </c>
      <c r="AF69" s="105">
        <v>4.263967698353051</v>
      </c>
      <c r="AG69" s="105">
        <v>736.81361827540718</v>
      </c>
      <c r="AH69" s="105">
        <v>3.550913676989317</v>
      </c>
      <c r="AI69" s="105">
        <v>613.59788338375392</v>
      </c>
      <c r="AJ69" s="105">
        <v>3.864150808684264</v>
      </c>
      <c r="AK69" s="105">
        <v>667.72525974064069</v>
      </c>
      <c r="AL69" s="105">
        <v>4.2534922728148308</v>
      </c>
      <c r="AM69" s="105">
        <v>735.00346474240268</v>
      </c>
      <c r="AN69" s="105">
        <v>3.3564053344481044</v>
      </c>
      <c r="AO69" s="105">
        <v>579.98684179263239</v>
      </c>
      <c r="AP69" s="105">
        <v>4.3795807501556006</v>
      </c>
      <c r="AQ69" s="105">
        <v>756.79155362688766</v>
      </c>
      <c r="AR69" s="105">
        <v>4.5707755093665696</v>
      </c>
      <c r="AS69" s="105">
        <v>789.83000801854314</v>
      </c>
      <c r="AT69" s="105">
        <v>2.9817032297671169</v>
      </c>
      <c r="AU69" s="105">
        <v>515.23831810375771</v>
      </c>
      <c r="AV69" s="105">
        <v>4.1161241180109345</v>
      </c>
      <c r="AW69" s="105">
        <v>711.26624759228946</v>
      </c>
      <c r="AX69" s="105">
        <v>4.6710980402077933</v>
      </c>
      <c r="AY69" s="105">
        <v>807.16574134790665</v>
      </c>
      <c r="AZ69" s="105">
        <v>4.477497617396323</v>
      </c>
      <c r="BA69" s="105">
        <v>773.71158828608452</v>
      </c>
      <c r="BB69" s="105">
        <v>5.1820983117580033</v>
      </c>
      <c r="BC69" s="105">
        <v>895.46658827178283</v>
      </c>
      <c r="BD69" s="105">
        <v>5.4837237449824059</v>
      </c>
      <c r="BE69" s="105">
        <v>947.58746313295967</v>
      </c>
      <c r="BF69" s="105">
        <v>5.1679020583677637</v>
      </c>
      <c r="BG69" s="105">
        <v>893.01347568594952</v>
      </c>
      <c r="BH69" s="105">
        <v>4.3539572962569455</v>
      </c>
      <c r="BI69" s="105">
        <v>752.36382079320015</v>
      </c>
      <c r="BJ69" s="105">
        <v>4.474075210670879</v>
      </c>
      <c r="BK69" s="105">
        <v>773.12019640392782</v>
      </c>
      <c r="BL69" s="105">
        <v>4.0363632113473331</v>
      </c>
      <c r="BM69" s="105">
        <v>697.48356292081905</v>
      </c>
      <c r="BN69" s="105">
        <v>3.6837241350020395</v>
      </c>
      <c r="BO69" s="105">
        <v>636.54753052835235</v>
      </c>
      <c r="BP69" s="105">
        <v>3.6022567314393528</v>
      </c>
      <c r="BQ69" s="105">
        <v>622.46996319272012</v>
      </c>
      <c r="BR69" s="105">
        <v>4.6425701364429068</v>
      </c>
      <c r="BS69" s="105">
        <v>802.23611957733419</v>
      </c>
      <c r="BT69" s="105">
        <v>4.20430295324776</v>
      </c>
      <c r="BU69" s="105">
        <v>726.50355032121286</v>
      </c>
      <c r="BV69" s="105">
        <v>4.0345163940607423</v>
      </c>
      <c r="BW69" s="105">
        <v>697.16443289369624</v>
      </c>
      <c r="BX69" s="105">
        <v>4.2498404098542339</v>
      </c>
      <c r="BY69" s="105">
        <v>734.37242282281159</v>
      </c>
      <c r="BZ69" s="105">
        <v>3.4380456156274515</v>
      </c>
      <c r="CA69" s="105">
        <v>594.09428238042358</v>
      </c>
      <c r="CB69" s="105">
        <v>4.8219817982724349</v>
      </c>
      <c r="CC69" s="105">
        <v>833.23845474147663</v>
      </c>
      <c r="CD69" s="105">
        <v>3.5686412924109909</v>
      </c>
      <c r="CE69" s="105">
        <v>616.66121532861916</v>
      </c>
      <c r="CF69" s="105">
        <v>3.2108353218257815</v>
      </c>
      <c r="CG69" s="105">
        <v>554.83234361149493</v>
      </c>
      <c r="CH69" s="105">
        <v>3.7939091277996631</v>
      </c>
      <c r="CI69" s="105">
        <v>655.58749728378166</v>
      </c>
      <c r="CJ69" s="105">
        <v>3.8457182359633548</v>
      </c>
      <c r="CK69" s="105">
        <v>664.5401111744676</v>
      </c>
      <c r="CL69" s="105">
        <v>4.7276766041456746</v>
      </c>
      <c r="CM69" s="105">
        <v>816.94251719637248</v>
      </c>
      <c r="CN69" s="105">
        <v>3.7124180243439997</v>
      </c>
      <c r="CO69" s="105">
        <v>641.50583460664313</v>
      </c>
      <c r="CP69" s="105">
        <v>3.9038044435234087</v>
      </c>
      <c r="CQ69" s="105">
        <v>674.57740784084501</v>
      </c>
      <c r="CR69" s="105">
        <v>4.5912458773323328</v>
      </c>
      <c r="CS69" s="105">
        <v>793.36728760302708</v>
      </c>
      <c r="CT69" s="105">
        <v>4.016084004804978</v>
      </c>
      <c r="CU69" s="105">
        <v>693.97931603030008</v>
      </c>
    </row>
    <row r="70" spans="2:99" x14ac:dyDescent="0.2">
      <c r="C70" s="104" t="s">
        <v>236</v>
      </c>
      <c r="D70" s="105">
        <v>4</v>
      </c>
      <c r="E70" s="105">
        <v>1718.3999999999999</v>
      </c>
      <c r="F70" s="105">
        <v>0.24076406441731812</v>
      </c>
      <c r="G70" s="105">
        <v>103.43224207367986</v>
      </c>
      <c r="H70" s="105">
        <v>0</v>
      </c>
      <c r="I70" s="105">
        <v>0</v>
      </c>
      <c r="J70" s="105">
        <v>0</v>
      </c>
      <c r="K70" s="105">
        <v>0</v>
      </c>
      <c r="L70" s="105">
        <v>0</v>
      </c>
      <c r="M70" s="105">
        <v>0</v>
      </c>
      <c r="N70" s="105">
        <v>3.7381754699927274</v>
      </c>
      <c r="O70" s="105">
        <v>1605.9201819088755</v>
      </c>
      <c r="P70" s="105">
        <v>4.3887239010969079</v>
      </c>
      <c r="Q70" s="105">
        <v>1885.3957879112315</v>
      </c>
      <c r="R70" s="105">
        <v>3.8649338412447816</v>
      </c>
      <c r="S70" s="105">
        <v>1660.3755781987579</v>
      </c>
      <c r="T70" s="105">
        <v>3.5400558290532538</v>
      </c>
      <c r="U70" s="105">
        <v>1520.8079841612778</v>
      </c>
      <c r="V70" s="105">
        <v>4.7888587576619015</v>
      </c>
      <c r="W70" s="105">
        <v>2057.2937222915525</v>
      </c>
      <c r="X70" s="105">
        <v>4.9496015052467275</v>
      </c>
      <c r="Y70" s="105">
        <v>2126.348806653994</v>
      </c>
      <c r="Z70" s="105">
        <v>5.8801572207471553</v>
      </c>
      <c r="AA70" s="105">
        <v>2526.1155420329778</v>
      </c>
      <c r="AB70" s="105">
        <v>6.9289196303600562</v>
      </c>
      <c r="AC70" s="105">
        <v>2976.66387320268</v>
      </c>
      <c r="AD70" s="105">
        <v>3.9590110777365561</v>
      </c>
      <c r="AE70" s="105">
        <v>1700.7911589956243</v>
      </c>
      <c r="AF70" s="105">
        <v>4.263967698353051</v>
      </c>
      <c r="AG70" s="105">
        <v>1831.8005232124706</v>
      </c>
      <c r="AH70" s="105">
        <v>3.550913676989317</v>
      </c>
      <c r="AI70" s="105">
        <v>1525.4725156346105</v>
      </c>
      <c r="AJ70" s="105">
        <v>4.3297111507187047</v>
      </c>
      <c r="AK70" s="105">
        <v>1860.0439103487554</v>
      </c>
      <c r="AL70" s="105">
        <v>4.2534922728148308</v>
      </c>
      <c r="AM70" s="105">
        <v>1827.3002804012513</v>
      </c>
      <c r="AN70" s="105">
        <v>3.3564053344481044</v>
      </c>
      <c r="AO70" s="105">
        <v>1441.9117316789054</v>
      </c>
      <c r="AP70" s="105">
        <v>3.8289381291300515</v>
      </c>
      <c r="AQ70" s="105">
        <v>1644.91182027427</v>
      </c>
      <c r="AR70" s="105">
        <v>4.0439827192555624</v>
      </c>
      <c r="AS70" s="105">
        <v>1737.2949761921896</v>
      </c>
      <c r="AT70" s="105">
        <v>3.7271290372088965</v>
      </c>
      <c r="AU70" s="105">
        <v>1601.1746343849418</v>
      </c>
      <c r="AV70" s="105">
        <v>4.1161241180109345</v>
      </c>
      <c r="AW70" s="105">
        <v>1768.2869210974973</v>
      </c>
      <c r="AX70" s="105">
        <v>4.6710980402077933</v>
      </c>
      <c r="AY70" s="105">
        <v>2006.7037180732677</v>
      </c>
      <c r="AZ70" s="105">
        <v>5.2010453454870911</v>
      </c>
      <c r="BA70" s="105">
        <v>2234.3690804212542</v>
      </c>
      <c r="BB70" s="105">
        <v>5.1820983117580033</v>
      </c>
      <c r="BC70" s="105">
        <v>2226.2294347312381</v>
      </c>
      <c r="BD70" s="105">
        <v>4.5556154329438305</v>
      </c>
      <c r="BE70" s="105">
        <v>1957.0923899926695</v>
      </c>
      <c r="BF70" s="105">
        <v>5.1325441073337608</v>
      </c>
      <c r="BG70" s="105">
        <v>2204.9409485105834</v>
      </c>
      <c r="BH70" s="105">
        <v>4.3539572962569455</v>
      </c>
      <c r="BI70" s="105">
        <v>1870.4600544719835</v>
      </c>
      <c r="BJ70" s="105">
        <v>4.474075210670879</v>
      </c>
      <c r="BK70" s="105">
        <v>1922.0627105042095</v>
      </c>
      <c r="BL70" s="105">
        <v>4.0363632113473331</v>
      </c>
      <c r="BM70" s="105">
        <v>1734.0216355948141</v>
      </c>
      <c r="BN70" s="105">
        <v>3.6593451816932405</v>
      </c>
      <c r="BO70" s="105">
        <v>1572.0546900554159</v>
      </c>
      <c r="BP70" s="105">
        <v>4.0961347460044868</v>
      </c>
      <c r="BQ70" s="105">
        <v>1759.6994868835275</v>
      </c>
      <c r="BR70" s="105">
        <v>4.076240862067154</v>
      </c>
      <c r="BS70" s="105">
        <v>1751.1530743440492</v>
      </c>
      <c r="BT70" s="105">
        <v>3.7471441851340401</v>
      </c>
      <c r="BU70" s="105">
        <v>1609.7731419335835</v>
      </c>
      <c r="BV70" s="105">
        <v>4.0663368481571318</v>
      </c>
      <c r="BW70" s="105">
        <v>1746.8983099683037</v>
      </c>
      <c r="BX70" s="105">
        <v>3.6927037896917891</v>
      </c>
      <c r="BY70" s="105">
        <v>1586.3855480515924</v>
      </c>
      <c r="BZ70" s="105">
        <v>3.4380456156274515</v>
      </c>
      <c r="CA70" s="105">
        <v>1476.984396473553</v>
      </c>
      <c r="CB70" s="105">
        <v>4.8219817982724349</v>
      </c>
      <c r="CC70" s="105">
        <v>2071.523380537838</v>
      </c>
      <c r="CD70" s="105">
        <v>4.1396498986934818</v>
      </c>
      <c r="CE70" s="105">
        <v>1778.3935964787197</v>
      </c>
      <c r="CF70" s="105">
        <v>3.7874318791729782</v>
      </c>
      <c r="CG70" s="105">
        <v>1627.0807352927113</v>
      </c>
      <c r="CH70" s="105">
        <v>3.7939091277996631</v>
      </c>
      <c r="CI70" s="105">
        <v>1629.863361302735</v>
      </c>
      <c r="CJ70" s="105">
        <v>3.3426265595828677</v>
      </c>
      <c r="CK70" s="105">
        <v>1435.9923699967999</v>
      </c>
      <c r="CL70" s="105">
        <v>4.0754361758299567</v>
      </c>
      <c r="CM70" s="105">
        <v>1750.8073811365493</v>
      </c>
      <c r="CN70" s="105">
        <v>4.3020293593450063</v>
      </c>
      <c r="CO70" s="105">
        <v>1848.1518127746147</v>
      </c>
      <c r="CP70" s="105">
        <v>3.9038044435234087</v>
      </c>
      <c r="CQ70" s="105">
        <v>1677.0743889376563</v>
      </c>
      <c r="CR70" s="105">
        <v>3.989542212118415</v>
      </c>
      <c r="CS70" s="105">
        <v>1713.9073343260709</v>
      </c>
      <c r="CT70" s="105">
        <v>3.511167959890845</v>
      </c>
      <c r="CU70" s="105">
        <v>1508.3977555691069</v>
      </c>
    </row>
    <row r="71" spans="2:99" x14ac:dyDescent="0.2">
      <c r="B71" s="104" t="s">
        <v>130</v>
      </c>
      <c r="C71" s="104" t="s">
        <v>237</v>
      </c>
      <c r="D71" s="105">
        <v>2.0962056565541256</v>
      </c>
      <c r="E71" s="105">
        <v>384.86335854333743</v>
      </c>
      <c r="F71" s="105">
        <v>0</v>
      </c>
      <c r="G71" s="105">
        <v>0</v>
      </c>
      <c r="H71" s="105">
        <v>0</v>
      </c>
      <c r="I71" s="105">
        <v>0</v>
      </c>
      <c r="J71" s="105">
        <v>0</v>
      </c>
      <c r="K71" s="105">
        <v>0</v>
      </c>
      <c r="L71" s="105">
        <v>0</v>
      </c>
      <c r="M71" s="105">
        <v>0</v>
      </c>
      <c r="N71" s="105">
        <v>1.6665611457972056</v>
      </c>
      <c r="O71" s="105">
        <v>305.98062636836693</v>
      </c>
      <c r="P71" s="105">
        <v>1.1314791465923224</v>
      </c>
      <c r="Q71" s="105">
        <v>207.7395713143504</v>
      </c>
      <c r="R71" s="105">
        <v>1.5869936688620203</v>
      </c>
      <c r="S71" s="105">
        <v>291.37203760306693</v>
      </c>
      <c r="T71" s="105">
        <v>1.670007132682187</v>
      </c>
      <c r="U71" s="105">
        <v>306.61330956044952</v>
      </c>
      <c r="V71" s="105">
        <v>1.6232129837896851</v>
      </c>
      <c r="W71" s="105">
        <v>298.0219038237862</v>
      </c>
      <c r="X71" s="105">
        <v>1.9227048740814729</v>
      </c>
      <c r="Y71" s="105">
        <v>353.00861488135843</v>
      </c>
      <c r="Z71" s="105">
        <v>1.5638081638652572</v>
      </c>
      <c r="AA71" s="105">
        <v>287.11517888566124</v>
      </c>
      <c r="AB71" s="105">
        <v>1.702710087205392</v>
      </c>
      <c r="AC71" s="105">
        <v>312.61757201090995</v>
      </c>
      <c r="AD71" s="105">
        <v>1.4013559168334973</v>
      </c>
      <c r="AE71" s="105">
        <v>257.2889463306301</v>
      </c>
      <c r="AF71" s="105">
        <v>1.0727588682781024</v>
      </c>
      <c r="AG71" s="105">
        <v>196.95852821585959</v>
      </c>
      <c r="AH71" s="105">
        <v>1.8341292124879167</v>
      </c>
      <c r="AI71" s="105">
        <v>336.74612341278151</v>
      </c>
      <c r="AJ71" s="105">
        <v>1.5790330933435739</v>
      </c>
      <c r="AK71" s="105">
        <v>289.91047593788016</v>
      </c>
      <c r="AL71" s="105">
        <v>1.4813876851530716</v>
      </c>
      <c r="AM71" s="105">
        <v>271.98277899410397</v>
      </c>
      <c r="AN71" s="105">
        <v>1.8110940953102352</v>
      </c>
      <c r="AO71" s="105">
        <v>332.5168758989592</v>
      </c>
      <c r="AP71" s="105">
        <v>1.8284602815596567</v>
      </c>
      <c r="AQ71" s="105">
        <v>335.70530769435294</v>
      </c>
      <c r="AR71" s="105">
        <v>1.5480021146656144</v>
      </c>
      <c r="AS71" s="105">
        <v>284.21318825260681</v>
      </c>
      <c r="AT71" s="105">
        <v>1.5656371670970071</v>
      </c>
      <c r="AU71" s="105">
        <v>287.45098387901049</v>
      </c>
      <c r="AV71" s="105">
        <v>1.9353688330918699</v>
      </c>
      <c r="AW71" s="105">
        <v>355.33371775566729</v>
      </c>
      <c r="AX71" s="105">
        <v>1.3525010944447409</v>
      </c>
      <c r="AY71" s="105">
        <v>248.31920094005443</v>
      </c>
      <c r="AZ71" s="105">
        <v>1.7860675967666977</v>
      </c>
      <c r="BA71" s="105">
        <v>327.9220107663657</v>
      </c>
      <c r="BB71" s="105">
        <v>1.9112588405359334</v>
      </c>
      <c r="BC71" s="105">
        <v>350.90712312239737</v>
      </c>
      <c r="BD71" s="105">
        <v>1.6532696616135838</v>
      </c>
      <c r="BE71" s="105">
        <v>303.540309872254</v>
      </c>
      <c r="BF71" s="105">
        <v>1.8529800856561993</v>
      </c>
      <c r="BG71" s="105">
        <v>340.20714372647819</v>
      </c>
      <c r="BH71" s="105">
        <v>1.3653024761738486</v>
      </c>
      <c r="BI71" s="105">
        <v>250.66953462551859</v>
      </c>
      <c r="BJ71" s="105">
        <v>1.3876769587092244</v>
      </c>
      <c r="BK71" s="105">
        <v>254.77748961901358</v>
      </c>
      <c r="BL71" s="105">
        <v>1.468854579851727</v>
      </c>
      <c r="BM71" s="105">
        <v>269.68170086077708</v>
      </c>
      <c r="BN71" s="105">
        <v>1.2954289775872685</v>
      </c>
      <c r="BO71" s="105">
        <v>237.8407602850225</v>
      </c>
      <c r="BP71" s="105">
        <v>2.1423255545901037</v>
      </c>
      <c r="BQ71" s="105">
        <v>393.33097182274304</v>
      </c>
      <c r="BR71" s="105">
        <v>1.7917887857574033</v>
      </c>
      <c r="BS71" s="105">
        <v>328.97242106505922</v>
      </c>
      <c r="BT71" s="105">
        <v>1.1918616299769631</v>
      </c>
      <c r="BU71" s="105">
        <v>218.82579526377043</v>
      </c>
      <c r="BV71" s="105">
        <v>1.9462958244506467</v>
      </c>
      <c r="BW71" s="105">
        <v>357.33991336913874</v>
      </c>
      <c r="BX71" s="105">
        <v>1.3819022530485636</v>
      </c>
      <c r="BY71" s="105">
        <v>253.71725365971628</v>
      </c>
      <c r="BZ71" s="105">
        <v>1.8445963039515538</v>
      </c>
      <c r="CA71" s="105">
        <v>338.66788140550528</v>
      </c>
      <c r="CB71" s="105">
        <v>1.7562934936371448</v>
      </c>
      <c r="CC71" s="105">
        <v>322.45548543177978</v>
      </c>
      <c r="CD71" s="105">
        <v>1.5000298781761545</v>
      </c>
      <c r="CE71" s="105">
        <v>275.40548563314195</v>
      </c>
      <c r="CF71" s="105">
        <v>1.425182138062252</v>
      </c>
      <c r="CG71" s="105">
        <v>261.66344054822946</v>
      </c>
      <c r="CH71" s="105">
        <v>1.8956780976706844</v>
      </c>
      <c r="CI71" s="105">
        <v>348.04649873233762</v>
      </c>
      <c r="CJ71" s="105">
        <v>1.9213320771154532</v>
      </c>
      <c r="CK71" s="105">
        <v>352.7565693583972</v>
      </c>
      <c r="CL71" s="105">
        <v>1.5393356626919359</v>
      </c>
      <c r="CM71" s="105">
        <v>282.62202767023945</v>
      </c>
      <c r="CN71" s="105">
        <v>1.8650084741745725</v>
      </c>
      <c r="CO71" s="105">
        <v>342.41555585845151</v>
      </c>
      <c r="CP71" s="105">
        <v>1.6871485941831206</v>
      </c>
      <c r="CQ71" s="105">
        <v>309.76048189202095</v>
      </c>
      <c r="CR71" s="105">
        <v>1.1145401694691044</v>
      </c>
      <c r="CS71" s="105">
        <v>204.62957511452757</v>
      </c>
      <c r="CT71" s="105">
        <v>1.6726471682689832</v>
      </c>
      <c r="CU71" s="105">
        <v>307.0980200941853</v>
      </c>
    </row>
    <row r="72" spans="2:99" x14ac:dyDescent="0.2">
      <c r="C72" s="104" t="s">
        <v>238</v>
      </c>
      <c r="D72" s="105">
        <v>2.0962056565541256</v>
      </c>
      <c r="E72" s="105">
        <v>1026.3022894488997</v>
      </c>
      <c r="F72" s="105">
        <v>0</v>
      </c>
      <c r="G72" s="105">
        <v>0</v>
      </c>
      <c r="H72" s="105">
        <v>0</v>
      </c>
      <c r="I72" s="105">
        <v>0</v>
      </c>
      <c r="J72" s="105">
        <v>0</v>
      </c>
      <c r="K72" s="105">
        <v>0</v>
      </c>
      <c r="L72" s="105">
        <v>0</v>
      </c>
      <c r="M72" s="105">
        <v>0</v>
      </c>
      <c r="N72" s="105">
        <v>1.1110407638648037</v>
      </c>
      <c r="O72" s="105">
        <v>543.96555798820782</v>
      </c>
      <c r="P72" s="105">
        <v>1.3990017070484082</v>
      </c>
      <c r="Q72" s="105">
        <v>684.95123577090055</v>
      </c>
      <c r="R72" s="105">
        <v>1.5869936688620203</v>
      </c>
      <c r="S72" s="105">
        <v>776.99210027484514</v>
      </c>
      <c r="T72" s="105">
        <v>1.670007132682187</v>
      </c>
      <c r="U72" s="105">
        <v>817.63549216119873</v>
      </c>
      <c r="V72" s="105">
        <v>1.6232129837896851</v>
      </c>
      <c r="W72" s="105">
        <v>794.72507686342976</v>
      </c>
      <c r="X72" s="105">
        <v>1.6814833905370332</v>
      </c>
      <c r="Y72" s="105">
        <v>823.2542680069314</v>
      </c>
      <c r="Z72" s="105">
        <v>1.7392746367546961</v>
      </c>
      <c r="AA72" s="105">
        <v>851.54886215509919</v>
      </c>
      <c r="AB72" s="105">
        <v>1.6555175500739088</v>
      </c>
      <c r="AC72" s="105">
        <v>810.54139251618562</v>
      </c>
      <c r="AD72" s="105">
        <v>1.1720124188262213</v>
      </c>
      <c r="AE72" s="105">
        <v>573.81728025731786</v>
      </c>
      <c r="AF72" s="105">
        <v>1.6091383024171533</v>
      </c>
      <c r="AG72" s="105">
        <v>787.83411286343824</v>
      </c>
      <c r="AH72" s="105">
        <v>1.4011609868260813</v>
      </c>
      <c r="AI72" s="105">
        <v>686.00841915004935</v>
      </c>
      <c r="AJ72" s="105">
        <v>1.0526887288957161</v>
      </c>
      <c r="AK72" s="105">
        <v>515.3964016673425</v>
      </c>
      <c r="AL72" s="105">
        <v>1.4813876851530716</v>
      </c>
      <c r="AM72" s="105">
        <v>725.2874106509438</v>
      </c>
      <c r="AN72" s="105">
        <v>1.8110940953102352</v>
      </c>
      <c r="AO72" s="105">
        <v>886.71166906389112</v>
      </c>
      <c r="AP72" s="105">
        <v>1.3713452111697426</v>
      </c>
      <c r="AQ72" s="105">
        <v>671.41061538870599</v>
      </c>
      <c r="AR72" s="105">
        <v>1.570604426003487</v>
      </c>
      <c r="AS72" s="105">
        <v>768.96792697130718</v>
      </c>
      <c r="AT72" s="105">
        <v>1.5454905145873759</v>
      </c>
      <c r="AU72" s="105">
        <v>756.67215594197921</v>
      </c>
      <c r="AV72" s="105">
        <v>1.9563446002395393</v>
      </c>
      <c r="AW72" s="105">
        <v>957.82631627727835</v>
      </c>
      <c r="AX72" s="105">
        <v>1.3525010944447409</v>
      </c>
      <c r="AY72" s="105">
        <v>662.18453584014503</v>
      </c>
      <c r="AZ72" s="105">
        <v>2.0296213944370858</v>
      </c>
      <c r="BA72" s="105">
        <v>993.70263471639714</v>
      </c>
      <c r="BB72" s="105">
        <v>1.3064540470125019</v>
      </c>
      <c r="BC72" s="105">
        <v>639.63990141732086</v>
      </c>
      <c r="BD72" s="105">
        <v>1.6303791440177757</v>
      </c>
      <c r="BE72" s="105">
        <v>798.23362891110298</v>
      </c>
      <c r="BF72" s="105">
        <v>1.3158089405456654</v>
      </c>
      <c r="BG72" s="105">
        <v>644.22005729115779</v>
      </c>
      <c r="BH72" s="105">
        <v>1.3653024761738486</v>
      </c>
      <c r="BI72" s="105">
        <v>668.45209233471621</v>
      </c>
      <c r="BJ72" s="105">
        <v>1.3876769587092244</v>
      </c>
      <c r="BK72" s="105">
        <v>679.40663898403625</v>
      </c>
      <c r="BL72" s="105">
        <v>1.468854579851727</v>
      </c>
      <c r="BM72" s="105">
        <v>719.15120229540548</v>
      </c>
      <c r="BN72" s="105">
        <v>1.2954289775872685</v>
      </c>
      <c r="BO72" s="105">
        <v>634.24202742672662</v>
      </c>
      <c r="BP72" s="105">
        <v>1.6363484687494181</v>
      </c>
      <c r="BQ72" s="105">
        <v>801.15621029971499</v>
      </c>
      <c r="BR72" s="105">
        <v>1.2540268664331058</v>
      </c>
      <c r="BS72" s="105">
        <v>613.97155380564857</v>
      </c>
      <c r="BT72" s="105">
        <v>1.1918616299769631</v>
      </c>
      <c r="BU72" s="105">
        <v>583.53545403672115</v>
      </c>
      <c r="BV72" s="105">
        <v>1.3718044954803807</v>
      </c>
      <c r="BW72" s="105">
        <v>671.63548098719434</v>
      </c>
      <c r="BX72" s="105">
        <v>1.3819022530485636</v>
      </c>
      <c r="BY72" s="105">
        <v>676.57934309257666</v>
      </c>
      <c r="BZ72" s="105">
        <v>1.3834472279636651</v>
      </c>
      <c r="CA72" s="105">
        <v>677.33576281101045</v>
      </c>
      <c r="CB72" s="105">
        <v>1.7367232673354167</v>
      </c>
      <c r="CC72" s="105">
        <v>850.29971168741997</v>
      </c>
      <c r="CD72" s="105">
        <v>1.5000298781761545</v>
      </c>
      <c r="CE72" s="105">
        <v>734.41462835504524</v>
      </c>
      <c r="CF72" s="105">
        <v>1.8382824893920509</v>
      </c>
      <c r="CG72" s="105">
        <v>900.02310680634798</v>
      </c>
      <c r="CH72" s="105">
        <v>1.8753456245410656</v>
      </c>
      <c r="CI72" s="105">
        <v>918.16921777530558</v>
      </c>
      <c r="CJ72" s="105">
        <v>1.9213320771154532</v>
      </c>
      <c r="CK72" s="105">
        <v>940.68418495572575</v>
      </c>
      <c r="CL72" s="105">
        <v>1.7418890826012812</v>
      </c>
      <c r="CM72" s="105">
        <v>852.82889484158716</v>
      </c>
      <c r="CN72" s="105">
        <v>1.8650084741745725</v>
      </c>
      <c r="CO72" s="105">
        <v>913.10814895587066</v>
      </c>
      <c r="CP72" s="105">
        <v>1.4289121376258602</v>
      </c>
      <c r="CQ72" s="105">
        <v>699.59538258162115</v>
      </c>
      <c r="CR72" s="105">
        <v>1.416382739154654</v>
      </c>
      <c r="CS72" s="105">
        <v>693.46098909011857</v>
      </c>
      <c r="CT72" s="105">
        <v>1.6726471682689832</v>
      </c>
      <c r="CU72" s="105">
        <v>818.92805358449414</v>
      </c>
    </row>
    <row r="73" spans="2:99" x14ac:dyDescent="0.2">
      <c r="C73" s="104" t="s">
        <v>239</v>
      </c>
      <c r="D73" s="105">
        <v>2.0962056565541256</v>
      </c>
      <c r="E73" s="105">
        <v>1189.8063306601218</v>
      </c>
      <c r="F73" s="105">
        <v>0</v>
      </c>
      <c r="G73" s="105">
        <v>0</v>
      </c>
      <c r="H73" s="105">
        <v>0</v>
      </c>
      <c r="I73" s="105">
        <v>0</v>
      </c>
      <c r="J73" s="105">
        <v>0</v>
      </c>
      <c r="K73" s="105">
        <v>0</v>
      </c>
      <c r="L73" s="105">
        <v>0</v>
      </c>
      <c r="M73" s="105">
        <v>0</v>
      </c>
      <c r="N73" s="105">
        <v>1.6665611457972056</v>
      </c>
      <c r="O73" s="105">
        <v>945.94010635449399</v>
      </c>
      <c r="P73" s="105">
        <v>1.1314791465923224</v>
      </c>
      <c r="Q73" s="105">
        <v>642.22756360580217</v>
      </c>
      <c r="R73" s="105">
        <v>1.5869936688620203</v>
      </c>
      <c r="S73" s="105">
        <v>900.77760644608281</v>
      </c>
      <c r="T73" s="105">
        <v>1.670007132682187</v>
      </c>
      <c r="U73" s="105">
        <v>947.8960485104094</v>
      </c>
      <c r="V73" s="105">
        <v>1.8061905883641636</v>
      </c>
      <c r="W73" s="105">
        <v>1025.1937779554992</v>
      </c>
      <c r="X73" s="105">
        <v>1.9227048740814729</v>
      </c>
      <c r="Y73" s="105">
        <v>1091.327286528644</v>
      </c>
      <c r="Z73" s="105">
        <v>1.5638081638652572</v>
      </c>
      <c r="AA73" s="105">
        <v>887.61751380992007</v>
      </c>
      <c r="AB73" s="105">
        <v>1.6555175500739088</v>
      </c>
      <c r="AC73" s="105">
        <v>939.67176142195069</v>
      </c>
      <c r="AD73" s="105">
        <v>1.4013559168334973</v>
      </c>
      <c r="AE73" s="105">
        <v>795.4096183946931</v>
      </c>
      <c r="AF73" s="105">
        <v>1.6091383024171533</v>
      </c>
      <c r="AG73" s="105">
        <v>913.34690045197624</v>
      </c>
      <c r="AH73" s="105">
        <v>1.4011609868260813</v>
      </c>
      <c r="AI73" s="105">
        <v>795.29897612248374</v>
      </c>
      <c r="AJ73" s="105">
        <v>1.5790330933435739</v>
      </c>
      <c r="AK73" s="105">
        <v>896.25918378181257</v>
      </c>
      <c r="AL73" s="105">
        <v>1.4813876851530716</v>
      </c>
      <c r="AM73" s="105">
        <v>840.8356500928835</v>
      </c>
      <c r="AN73" s="105">
        <v>1.9853104583424528</v>
      </c>
      <c r="AO73" s="105">
        <v>1126.8622161551762</v>
      </c>
      <c r="AP73" s="105">
        <v>1.8284602815596567</v>
      </c>
      <c r="AQ73" s="105">
        <v>1037.8340558132611</v>
      </c>
      <c r="AR73" s="105">
        <v>1.570604426003487</v>
      </c>
      <c r="AS73" s="105">
        <v>891.47507219957924</v>
      </c>
      <c r="AT73" s="105">
        <v>1.5454905145873759</v>
      </c>
      <c r="AU73" s="105">
        <v>877.22041607979452</v>
      </c>
      <c r="AV73" s="105">
        <v>1.9353688330918699</v>
      </c>
      <c r="AW73" s="105">
        <v>1098.5153496629455</v>
      </c>
      <c r="AX73" s="105">
        <v>1.1088888387083708</v>
      </c>
      <c r="AY73" s="105">
        <v>629.40530485087129</v>
      </c>
      <c r="AZ73" s="105">
        <v>1.7860675967666977</v>
      </c>
      <c r="BA73" s="105">
        <v>1013.7719679247776</v>
      </c>
      <c r="BB73" s="105">
        <v>1.9112588405359334</v>
      </c>
      <c r="BC73" s="105">
        <v>1084.8305178881958</v>
      </c>
      <c r="BD73" s="105">
        <v>1.6303791440177757</v>
      </c>
      <c r="BE73" s="105">
        <v>925.40320214448957</v>
      </c>
      <c r="BF73" s="105">
        <v>1.6115134353316014</v>
      </c>
      <c r="BG73" s="105">
        <v>914.695025894217</v>
      </c>
      <c r="BH73" s="105">
        <v>1.3653024761738486</v>
      </c>
      <c r="BI73" s="105">
        <v>774.94568547627648</v>
      </c>
      <c r="BJ73" s="105">
        <v>1.3876769587092244</v>
      </c>
      <c r="BK73" s="105">
        <v>787.64544176335573</v>
      </c>
      <c r="BL73" s="105">
        <v>1.468854579851727</v>
      </c>
      <c r="BM73" s="105">
        <v>833.72185952384029</v>
      </c>
      <c r="BN73" s="105">
        <v>1.3218500515687972</v>
      </c>
      <c r="BO73" s="105">
        <v>750.28208927044932</v>
      </c>
      <c r="BP73" s="105">
        <v>1.6363484687494181</v>
      </c>
      <c r="BQ73" s="105">
        <v>928.79139086216969</v>
      </c>
      <c r="BR73" s="105">
        <v>1.5367844603509586</v>
      </c>
      <c r="BS73" s="105">
        <v>872.27885969520412</v>
      </c>
      <c r="BT73" s="105">
        <v>1.1918616299769631</v>
      </c>
      <c r="BU73" s="105">
        <v>676.50066117492429</v>
      </c>
      <c r="BV73" s="105">
        <v>1.9462958244506467</v>
      </c>
      <c r="BW73" s="105">
        <v>1104.7175099581871</v>
      </c>
      <c r="BX73" s="105">
        <v>1.5585737046797923</v>
      </c>
      <c r="BY73" s="105">
        <v>884.64643477625009</v>
      </c>
      <c r="BZ73" s="105">
        <v>1.3834472279636651</v>
      </c>
      <c r="CA73" s="105">
        <v>785.24464659217642</v>
      </c>
      <c r="CB73" s="105">
        <v>1.7562934936371448</v>
      </c>
      <c r="CC73" s="105">
        <v>996.87218698844345</v>
      </c>
      <c r="CD73" s="105">
        <v>1.6971131676260607</v>
      </c>
      <c r="CE73" s="105">
        <v>963.28143394455208</v>
      </c>
      <c r="CF73" s="105">
        <v>1.425182138062252</v>
      </c>
      <c r="CG73" s="105">
        <v>808.93338156413427</v>
      </c>
      <c r="CH73" s="105">
        <v>1.8956780976706844</v>
      </c>
      <c r="CI73" s="105">
        <v>1075.9868882378805</v>
      </c>
      <c r="CJ73" s="105">
        <v>1.9213320771154532</v>
      </c>
      <c r="CK73" s="105">
        <v>1090.5480869707312</v>
      </c>
      <c r="CL73" s="105">
        <v>1.5393356626919359</v>
      </c>
      <c r="CM73" s="105">
        <v>873.72692214394283</v>
      </c>
      <c r="CN73" s="105">
        <v>1.4344290217548914</v>
      </c>
      <c r="CO73" s="105">
        <v>814.18191274807634</v>
      </c>
      <c r="CP73" s="105">
        <v>1.4289121376258602</v>
      </c>
      <c r="CQ73" s="105">
        <v>811.05052931643831</v>
      </c>
      <c r="CR73" s="105">
        <v>1.443822972762431</v>
      </c>
      <c r="CS73" s="105">
        <v>819.51391933995592</v>
      </c>
      <c r="CT73" s="105">
        <v>1.6557428134074628</v>
      </c>
      <c r="CU73" s="105">
        <v>939.79962089007586</v>
      </c>
    </row>
    <row r="74" spans="2:99" x14ac:dyDescent="0.2">
      <c r="C74" s="104" t="s">
        <v>240</v>
      </c>
      <c r="D74" s="105">
        <v>2.0962056565541256</v>
      </c>
      <c r="E74" s="105">
        <v>659.04705842061708</v>
      </c>
      <c r="F74" s="105">
        <v>0</v>
      </c>
      <c r="G74" s="105">
        <v>0</v>
      </c>
      <c r="H74" s="105">
        <v>0</v>
      </c>
      <c r="I74" s="105">
        <v>0</v>
      </c>
      <c r="J74" s="105">
        <v>0</v>
      </c>
      <c r="K74" s="105">
        <v>0</v>
      </c>
      <c r="L74" s="105">
        <v>0</v>
      </c>
      <c r="M74" s="105">
        <v>0</v>
      </c>
      <c r="N74" s="105">
        <v>1.6665611457972056</v>
      </c>
      <c r="O74" s="105">
        <v>523.96682423864138</v>
      </c>
      <c r="P74" s="105">
        <v>1.1314791465923224</v>
      </c>
      <c r="Q74" s="105">
        <v>355.73704368862616</v>
      </c>
      <c r="R74" s="105">
        <v>1.5675550074099318</v>
      </c>
      <c r="S74" s="105">
        <v>492.8392943296825</v>
      </c>
      <c r="T74" s="105">
        <v>1.670007132682187</v>
      </c>
      <c r="U74" s="105">
        <v>525.05024251527959</v>
      </c>
      <c r="V74" s="105">
        <v>1.6232129837896851</v>
      </c>
      <c r="W74" s="105">
        <v>510.33816210347698</v>
      </c>
      <c r="X74" s="105">
        <v>2.1621596090574013</v>
      </c>
      <c r="Y74" s="105">
        <v>679.78298108764693</v>
      </c>
      <c r="Z74" s="105">
        <v>1.0425387759101716</v>
      </c>
      <c r="AA74" s="105">
        <v>327.77419114615793</v>
      </c>
      <c r="AB74" s="105">
        <v>1.702710087205392</v>
      </c>
      <c r="AC74" s="105">
        <v>535.33205141737517</v>
      </c>
      <c r="AD74" s="105">
        <v>1.4013559168334973</v>
      </c>
      <c r="AE74" s="105">
        <v>440.58630025245151</v>
      </c>
      <c r="AF74" s="105">
        <v>1.6091383024171533</v>
      </c>
      <c r="AG74" s="105">
        <v>505.91308227995296</v>
      </c>
      <c r="AH74" s="105">
        <v>1.8341292124879167</v>
      </c>
      <c r="AI74" s="105">
        <v>576.650224406201</v>
      </c>
      <c r="AJ74" s="105">
        <v>1.5790330933435739</v>
      </c>
      <c r="AK74" s="105">
        <v>496.44800454721957</v>
      </c>
      <c r="AL74" s="105">
        <v>1.4813876851530716</v>
      </c>
      <c r="AM74" s="105">
        <v>465.74828821212566</v>
      </c>
      <c r="AN74" s="105">
        <v>1.8110940953102352</v>
      </c>
      <c r="AO74" s="105">
        <v>569.40798356553796</v>
      </c>
      <c r="AP74" s="105">
        <v>1.5455250350960488</v>
      </c>
      <c r="AQ74" s="105">
        <v>485.91307103419769</v>
      </c>
      <c r="AR74" s="105">
        <v>1.570604426003487</v>
      </c>
      <c r="AS74" s="105">
        <v>493.79803153549631</v>
      </c>
      <c r="AT74" s="105">
        <v>2.0203607144305713</v>
      </c>
      <c r="AU74" s="105">
        <v>635.20140861697155</v>
      </c>
      <c r="AV74" s="105">
        <v>1.9353688330918699</v>
      </c>
      <c r="AW74" s="105">
        <v>608.47996112408384</v>
      </c>
      <c r="AX74" s="105">
        <v>1.325433066029589</v>
      </c>
      <c r="AY74" s="105">
        <v>416.71615595970275</v>
      </c>
      <c r="AZ74" s="105">
        <v>2.0296213944370858</v>
      </c>
      <c r="BA74" s="105">
        <v>638.11296641101967</v>
      </c>
      <c r="BB74" s="105">
        <v>1.3064540470125019</v>
      </c>
      <c r="BC74" s="105">
        <v>410.74915238073055</v>
      </c>
      <c r="BD74" s="105">
        <v>2.1433181685626232</v>
      </c>
      <c r="BE74" s="105">
        <v>673.85923219608867</v>
      </c>
      <c r="BF74" s="105">
        <v>1.6115134353316014</v>
      </c>
      <c r="BG74" s="105">
        <v>506.65982406825543</v>
      </c>
      <c r="BH74" s="105">
        <v>1.3653024761738486</v>
      </c>
      <c r="BI74" s="105">
        <v>429.25109850905795</v>
      </c>
      <c r="BJ74" s="105">
        <v>1.3876769587092244</v>
      </c>
      <c r="BK74" s="105">
        <v>436.28563581818008</v>
      </c>
      <c r="BL74" s="105">
        <v>1.468854579851727</v>
      </c>
      <c r="BM74" s="105">
        <v>461.80787990538295</v>
      </c>
      <c r="BN74" s="105">
        <v>1.2690079036057398</v>
      </c>
      <c r="BO74" s="105">
        <v>398.97608489364455</v>
      </c>
      <c r="BP74" s="105">
        <v>1.4468809307856374</v>
      </c>
      <c r="BQ74" s="105">
        <v>454.89936463900438</v>
      </c>
      <c r="BR74" s="105">
        <v>1.5367844603509586</v>
      </c>
      <c r="BS74" s="105">
        <v>483.16503433434133</v>
      </c>
      <c r="BT74" s="105">
        <v>1.1918616299769631</v>
      </c>
      <c r="BU74" s="105">
        <v>374.72129646475719</v>
      </c>
      <c r="BV74" s="105">
        <v>1.3718044954803807</v>
      </c>
      <c r="BW74" s="105">
        <v>431.29533337903166</v>
      </c>
      <c r="BX74" s="105">
        <v>1.5364897732258889</v>
      </c>
      <c r="BY74" s="105">
        <v>483.07238470221944</v>
      </c>
      <c r="BZ74" s="105">
        <v>1.8445963039515538</v>
      </c>
      <c r="CA74" s="105">
        <v>579.94107796236847</v>
      </c>
      <c r="CB74" s="105">
        <v>1.7367232673354167</v>
      </c>
      <c r="CC74" s="105">
        <v>546.02579525025499</v>
      </c>
      <c r="CD74" s="105">
        <v>1.6971131676260607</v>
      </c>
      <c r="CE74" s="105">
        <v>533.57237990163344</v>
      </c>
      <c r="CF74" s="105">
        <v>1.8382824893920509</v>
      </c>
      <c r="CG74" s="105">
        <v>577.95601466486073</v>
      </c>
      <c r="CH74" s="105">
        <v>1.9160105708003035</v>
      </c>
      <c r="CI74" s="105">
        <v>602.39372345961533</v>
      </c>
      <c r="CJ74" s="105">
        <v>1.8999865110349221</v>
      </c>
      <c r="CK74" s="105">
        <v>597.35575906937947</v>
      </c>
      <c r="CL74" s="105">
        <v>1.5393356626919359</v>
      </c>
      <c r="CM74" s="105">
        <v>483.96713235034463</v>
      </c>
      <c r="CN74" s="105">
        <v>1.8650084741745725</v>
      </c>
      <c r="CO74" s="105">
        <v>586.35866428048553</v>
      </c>
      <c r="CP74" s="105">
        <v>1.6871485941831206</v>
      </c>
      <c r="CQ74" s="105">
        <v>530.43951801117305</v>
      </c>
      <c r="CR74" s="105">
        <v>1.416382739154654</v>
      </c>
      <c r="CS74" s="105">
        <v>445.31073319022317</v>
      </c>
      <c r="CT74" s="105">
        <v>1.6726471682689832</v>
      </c>
      <c r="CU74" s="105">
        <v>525.88026970376825</v>
      </c>
    </row>
    <row r="75" spans="2:99" x14ac:dyDescent="0.2">
      <c r="C75" s="104" t="s">
        <v>241</v>
      </c>
      <c r="D75" s="105">
        <v>2.794940875405501</v>
      </c>
      <c r="E75" s="105">
        <v>1673.6105961928138</v>
      </c>
      <c r="F75" s="105">
        <v>0</v>
      </c>
      <c r="G75" s="105">
        <v>0</v>
      </c>
      <c r="H75" s="105">
        <v>0</v>
      </c>
      <c r="I75" s="105">
        <v>0</v>
      </c>
      <c r="J75" s="105">
        <v>0</v>
      </c>
      <c r="K75" s="105">
        <v>0</v>
      </c>
      <c r="L75" s="105">
        <v>0</v>
      </c>
      <c r="M75" s="105">
        <v>0</v>
      </c>
      <c r="N75" s="105">
        <v>1.1110407638648037</v>
      </c>
      <c r="O75" s="105">
        <v>665.29120940224436</v>
      </c>
      <c r="P75" s="105">
        <v>1.3990017070484082</v>
      </c>
      <c r="Q75" s="105">
        <v>837.72222218058675</v>
      </c>
      <c r="R75" s="105">
        <v>1.5869936688620203</v>
      </c>
      <c r="S75" s="105">
        <v>950.2918089145777</v>
      </c>
      <c r="T75" s="105">
        <v>1.670007132682187</v>
      </c>
      <c r="U75" s="105">
        <v>1000.0002710500935</v>
      </c>
      <c r="V75" s="105">
        <v>1.6232129837896851</v>
      </c>
      <c r="W75" s="105">
        <v>971.97993469326343</v>
      </c>
      <c r="X75" s="105">
        <v>1.7054288640346258</v>
      </c>
      <c r="Y75" s="105">
        <v>1021.2108037839339</v>
      </c>
      <c r="Z75" s="105">
        <v>1.0425387759101716</v>
      </c>
      <c r="AA75" s="105">
        <v>624.27221901501071</v>
      </c>
      <c r="AB75" s="105">
        <v>1.6555175500739088</v>
      </c>
      <c r="AC75" s="105">
        <v>991.32390898425649</v>
      </c>
      <c r="AD75" s="105">
        <v>1.4013559168334973</v>
      </c>
      <c r="AE75" s="105">
        <v>839.13192299989805</v>
      </c>
      <c r="AF75" s="105">
        <v>1.0727588682781024</v>
      </c>
      <c r="AG75" s="105">
        <v>642.3680103249277</v>
      </c>
      <c r="AH75" s="105">
        <v>1.4011609868260813</v>
      </c>
      <c r="AI75" s="105">
        <v>839.01519891145745</v>
      </c>
      <c r="AJ75" s="105">
        <v>1.5790330933435739</v>
      </c>
      <c r="AK75" s="105">
        <v>945.525016294132</v>
      </c>
      <c r="AL75" s="105">
        <v>1.4813876851530716</v>
      </c>
      <c r="AM75" s="105">
        <v>887.05494586965926</v>
      </c>
      <c r="AN75" s="105">
        <v>1.8110940953102352</v>
      </c>
      <c r="AO75" s="105">
        <v>1084.4831442717689</v>
      </c>
      <c r="AP75" s="105">
        <v>1.8284602815596567</v>
      </c>
      <c r="AQ75" s="105">
        <v>1094.8820165979223</v>
      </c>
      <c r="AR75" s="105">
        <v>1.570604426003487</v>
      </c>
      <c r="AS75" s="105">
        <v>940.47793029088803</v>
      </c>
      <c r="AT75" s="105">
        <v>1.5454905145873759</v>
      </c>
      <c r="AU75" s="105">
        <v>925.43972013492055</v>
      </c>
      <c r="AV75" s="105">
        <v>1.4882342173273233</v>
      </c>
      <c r="AW75" s="105">
        <v>891.15464933560111</v>
      </c>
      <c r="AX75" s="105">
        <v>1.3525010944447409</v>
      </c>
      <c r="AY75" s="105">
        <v>809.87765535351082</v>
      </c>
      <c r="AZ75" s="105">
        <v>2.0296213944370858</v>
      </c>
      <c r="BA75" s="105">
        <v>1215.337290988927</v>
      </c>
      <c r="BB75" s="105">
        <v>1.9112588405359334</v>
      </c>
      <c r="BC75" s="105">
        <v>1144.4617937129169</v>
      </c>
      <c r="BD75" s="105">
        <v>1.6303791440177757</v>
      </c>
      <c r="BE75" s="105">
        <v>976.27103143784404</v>
      </c>
      <c r="BF75" s="105">
        <v>1.6115134353316014</v>
      </c>
      <c r="BG75" s="105">
        <v>964.97424507656285</v>
      </c>
      <c r="BH75" s="105">
        <v>1.6113140204653951</v>
      </c>
      <c r="BI75" s="105">
        <v>964.85483545467855</v>
      </c>
      <c r="BJ75" s="105">
        <v>1.3876769587092244</v>
      </c>
      <c r="BK75" s="105">
        <v>830.94096287508353</v>
      </c>
      <c r="BL75" s="105">
        <v>1.468854579851727</v>
      </c>
      <c r="BM75" s="105">
        <v>879.55012241521399</v>
      </c>
      <c r="BN75" s="105">
        <v>1.8506697074455523</v>
      </c>
      <c r="BO75" s="105">
        <v>1108.1810208183965</v>
      </c>
      <c r="BP75" s="105">
        <v>1.6363484687494181</v>
      </c>
      <c r="BQ75" s="105">
        <v>979.84546308715153</v>
      </c>
      <c r="BR75" s="105">
        <v>1.5367844603509586</v>
      </c>
      <c r="BS75" s="105">
        <v>920.22653485815397</v>
      </c>
      <c r="BT75" s="105">
        <v>1.1918616299769631</v>
      </c>
      <c r="BU75" s="105">
        <v>713.68674403020543</v>
      </c>
      <c r="BV75" s="105">
        <v>1.3718044954803807</v>
      </c>
      <c r="BW75" s="105">
        <v>821.43653189365193</v>
      </c>
      <c r="BX75" s="105">
        <v>1.5585737046797923</v>
      </c>
      <c r="BY75" s="105">
        <v>933.27393436225952</v>
      </c>
      <c r="BZ75" s="105">
        <v>1.8445963039515538</v>
      </c>
      <c r="CA75" s="105">
        <v>1104.5442668061903</v>
      </c>
      <c r="CB75" s="105">
        <v>1.7562934936371448</v>
      </c>
      <c r="CC75" s="105">
        <v>1051.6685439899222</v>
      </c>
      <c r="CD75" s="105">
        <v>1.6971131676260607</v>
      </c>
      <c r="CE75" s="105">
        <v>1016.2313647744851</v>
      </c>
      <c r="CF75" s="105">
        <v>1.8589359431779235</v>
      </c>
      <c r="CG75" s="105">
        <v>1113.1308427749404</v>
      </c>
      <c r="CH75" s="105">
        <v>1.8956780976706844</v>
      </c>
      <c r="CI75" s="105">
        <v>1135.1320448852057</v>
      </c>
      <c r="CJ75" s="105">
        <v>1.8999865110349221</v>
      </c>
      <c r="CK75" s="105">
        <v>1137.7119228077113</v>
      </c>
      <c r="CL75" s="105">
        <v>1.5393356626919359</v>
      </c>
      <c r="CM75" s="105">
        <v>921.75419481993117</v>
      </c>
      <c r="CN75" s="105">
        <v>1.8446240935323091</v>
      </c>
      <c r="CO75" s="105">
        <v>1104.5609072071466</v>
      </c>
      <c r="CP75" s="105">
        <v>1.4289121376258602</v>
      </c>
      <c r="CQ75" s="105">
        <v>855.632588010365</v>
      </c>
      <c r="CR75" s="105">
        <v>1.416382739154654</v>
      </c>
      <c r="CS75" s="105">
        <v>848.12998420580675</v>
      </c>
      <c r="CT75" s="105">
        <v>1.6557428134074628</v>
      </c>
      <c r="CU75" s="105">
        <v>991.45879666838857</v>
      </c>
    </row>
    <row r="76" spans="2:99" x14ac:dyDescent="0.2">
      <c r="C76" s="104" t="s">
        <v>242</v>
      </c>
      <c r="D76" s="105">
        <v>2.0962056565541256</v>
      </c>
      <c r="E76" s="105">
        <v>1808.6062404748996</v>
      </c>
      <c r="F76" s="105">
        <v>0</v>
      </c>
      <c r="G76" s="105">
        <v>0</v>
      </c>
      <c r="H76" s="105">
        <v>0</v>
      </c>
      <c r="I76" s="105">
        <v>0</v>
      </c>
      <c r="J76" s="105">
        <v>0</v>
      </c>
      <c r="K76" s="105">
        <v>0</v>
      </c>
      <c r="L76" s="105">
        <v>0</v>
      </c>
      <c r="M76" s="105">
        <v>0</v>
      </c>
      <c r="N76" s="105">
        <v>1.1110407638648037</v>
      </c>
      <c r="O76" s="105">
        <v>958.6059710625525</v>
      </c>
      <c r="P76" s="105">
        <v>1.1314791465923224</v>
      </c>
      <c r="Q76" s="105">
        <v>976.24020767985576</v>
      </c>
      <c r="R76" s="105">
        <v>1.5675550074099318</v>
      </c>
      <c r="S76" s="105">
        <v>1352.486460393289</v>
      </c>
      <c r="T76" s="105">
        <v>1.670007132682187</v>
      </c>
      <c r="U76" s="105">
        <v>1440.882154078191</v>
      </c>
      <c r="V76" s="105">
        <v>1.6232129837896851</v>
      </c>
      <c r="W76" s="105">
        <v>1400.5081624137404</v>
      </c>
      <c r="X76" s="105">
        <v>1.4420286555611046</v>
      </c>
      <c r="Y76" s="105">
        <v>1244.1823240181209</v>
      </c>
      <c r="Z76" s="105">
        <v>1.7643412757389014</v>
      </c>
      <c r="AA76" s="105">
        <v>1522.273652707524</v>
      </c>
      <c r="AB76" s="105">
        <v>1.6555175500739088</v>
      </c>
      <c r="AC76" s="105">
        <v>1428.3805422037683</v>
      </c>
      <c r="AD76" s="105">
        <v>1.3726879795825877</v>
      </c>
      <c r="AE76" s="105">
        <v>1184.3551887838566</v>
      </c>
      <c r="AF76" s="105">
        <v>1.6091383024171533</v>
      </c>
      <c r="AG76" s="105">
        <v>1388.3645273255197</v>
      </c>
      <c r="AH76" s="105">
        <v>1.8341292124879167</v>
      </c>
      <c r="AI76" s="105">
        <v>1582.4866845345744</v>
      </c>
      <c r="AJ76" s="105">
        <v>1.0526887288957161</v>
      </c>
      <c r="AK76" s="105">
        <v>908.25983529122379</v>
      </c>
      <c r="AL76" s="105">
        <v>1.1110407638648037</v>
      </c>
      <c r="AM76" s="105">
        <v>958.6059710625525</v>
      </c>
      <c r="AN76" s="105">
        <v>1.8110940953102352</v>
      </c>
      <c r="AO76" s="105">
        <v>1562.611985433671</v>
      </c>
      <c r="AP76" s="105">
        <v>1.9808676274951749</v>
      </c>
      <c r="AQ76" s="105">
        <v>1709.0925890028368</v>
      </c>
      <c r="AR76" s="105">
        <v>1.1148765513492758</v>
      </c>
      <c r="AS76" s="105">
        <v>961.91548850415506</v>
      </c>
      <c r="AT76" s="105">
        <v>1.5656371670970071</v>
      </c>
      <c r="AU76" s="105">
        <v>1350.8317477712976</v>
      </c>
      <c r="AV76" s="105">
        <v>1.9353688330918699</v>
      </c>
      <c r="AW76" s="105">
        <v>1669.8362291916653</v>
      </c>
      <c r="AX76" s="105">
        <v>1.1088888387083708</v>
      </c>
      <c r="AY76" s="105">
        <v>956.74929003758234</v>
      </c>
      <c r="AZ76" s="105">
        <v>2.0296213944370858</v>
      </c>
      <c r="BA76" s="105">
        <v>1751.1573391203176</v>
      </c>
      <c r="BB76" s="105">
        <v>1.7419387293500024</v>
      </c>
      <c r="BC76" s="105">
        <v>1502.944735683182</v>
      </c>
      <c r="BD76" s="105">
        <v>1.6303791440177757</v>
      </c>
      <c r="BE76" s="105">
        <v>1406.6911254585368</v>
      </c>
      <c r="BF76" s="105">
        <v>1.6115134353316014</v>
      </c>
      <c r="BG76" s="105">
        <v>1390.4137920041055</v>
      </c>
      <c r="BH76" s="105">
        <v>1.3653024761738486</v>
      </c>
      <c r="BI76" s="105">
        <v>1177.9829764427966</v>
      </c>
      <c r="BJ76" s="105">
        <v>1.4105659188026813</v>
      </c>
      <c r="BK76" s="105">
        <v>1217.0362747429533</v>
      </c>
      <c r="BL76" s="105">
        <v>1.468854579851727</v>
      </c>
      <c r="BM76" s="105">
        <v>1267.3277314960699</v>
      </c>
      <c r="BN76" s="105">
        <v>1.3218500515687972</v>
      </c>
      <c r="BO76" s="105">
        <v>1140.4922244935581</v>
      </c>
      <c r="BP76" s="105">
        <v>1.4468809307856374</v>
      </c>
      <c r="BQ76" s="105">
        <v>1248.3688670818478</v>
      </c>
      <c r="BR76" s="105">
        <v>1.5367844603509586</v>
      </c>
      <c r="BS76" s="105">
        <v>1325.937632390807</v>
      </c>
      <c r="BT76" s="105">
        <v>1.1918616299769631</v>
      </c>
      <c r="BU76" s="105">
        <v>1028.3382143441238</v>
      </c>
      <c r="BV76" s="105">
        <v>1.3718044954803807</v>
      </c>
      <c r="BW76" s="105">
        <v>1183.5929187004724</v>
      </c>
      <c r="BX76" s="105">
        <v>1.3819022530485636</v>
      </c>
      <c r="BY76" s="105">
        <v>1192.3052639303007</v>
      </c>
      <c r="BZ76" s="105">
        <v>1.3834472279636651</v>
      </c>
      <c r="CA76" s="105">
        <v>1193.6382682870503</v>
      </c>
      <c r="CB76" s="105">
        <v>1.7367232673354167</v>
      </c>
      <c r="CC76" s="105">
        <v>1498.4448350569974</v>
      </c>
      <c r="CD76" s="105">
        <v>1.5000298781761545</v>
      </c>
      <c r="CE76" s="105">
        <v>1294.225778890386</v>
      </c>
      <c r="CF76" s="105">
        <v>1.2393010539893961</v>
      </c>
      <c r="CG76" s="105">
        <v>1069.2689493820508</v>
      </c>
      <c r="CH76" s="105">
        <v>1.6516884201152566</v>
      </c>
      <c r="CI76" s="105">
        <v>1425.0767688754433</v>
      </c>
      <c r="CJ76" s="105">
        <v>1.473017406957386</v>
      </c>
      <c r="CK76" s="105">
        <v>1270.9194187228327</v>
      </c>
      <c r="CL76" s="105">
        <v>1.5393356626919359</v>
      </c>
      <c r="CM76" s="105">
        <v>1328.1388097706022</v>
      </c>
      <c r="CN76" s="105">
        <v>1.4344290217548914</v>
      </c>
      <c r="CO76" s="105">
        <v>1237.6253599701201</v>
      </c>
      <c r="CP76" s="105">
        <v>1.4289121376258602</v>
      </c>
      <c r="CQ76" s="105">
        <v>1232.8653923435922</v>
      </c>
      <c r="CR76" s="105">
        <v>1.1145401694691044</v>
      </c>
      <c r="CS76" s="105">
        <v>961.62525821794327</v>
      </c>
      <c r="CT76" s="105">
        <v>1.6557428134074628</v>
      </c>
      <c r="CU76" s="105">
        <v>1428.5748994079588</v>
      </c>
    </row>
    <row r="77" spans="2:99" x14ac:dyDescent="0.2">
      <c r="C77" s="104" t="s">
        <v>243</v>
      </c>
      <c r="D77" s="105">
        <v>2.0962056565541256</v>
      </c>
      <c r="E77" s="105">
        <v>1446.3819030223467</v>
      </c>
      <c r="F77" s="105">
        <v>0</v>
      </c>
      <c r="G77" s="105">
        <v>0</v>
      </c>
      <c r="H77" s="105">
        <v>0</v>
      </c>
      <c r="I77" s="105">
        <v>0</v>
      </c>
      <c r="J77" s="105">
        <v>0</v>
      </c>
      <c r="K77" s="105">
        <v>0</v>
      </c>
      <c r="L77" s="105">
        <v>0</v>
      </c>
      <c r="M77" s="105">
        <v>0</v>
      </c>
      <c r="N77" s="105">
        <v>1.6665611457972056</v>
      </c>
      <c r="O77" s="105">
        <v>1149.9271906000718</v>
      </c>
      <c r="P77" s="105">
        <v>1.3990017070484082</v>
      </c>
      <c r="Q77" s="105">
        <v>965.31117786340167</v>
      </c>
      <c r="R77" s="105">
        <v>1.5675550074099318</v>
      </c>
      <c r="S77" s="105">
        <v>1081.6129551128529</v>
      </c>
      <c r="T77" s="105">
        <v>1.670007132682187</v>
      </c>
      <c r="U77" s="105">
        <v>1152.304921550709</v>
      </c>
      <c r="V77" s="105">
        <v>1.6232129837896851</v>
      </c>
      <c r="W77" s="105">
        <v>1120.0169588148829</v>
      </c>
      <c r="X77" s="105">
        <v>1.6814833905370332</v>
      </c>
      <c r="Y77" s="105">
        <v>1160.2235394705529</v>
      </c>
      <c r="Z77" s="105">
        <v>1.0425387759101716</v>
      </c>
      <c r="AA77" s="105">
        <v>719.35175537801842</v>
      </c>
      <c r="AB77" s="105">
        <v>1.6791138186396501</v>
      </c>
      <c r="AC77" s="105">
        <v>1158.5885348613585</v>
      </c>
      <c r="AD77" s="105">
        <v>1.1720124188262213</v>
      </c>
      <c r="AE77" s="105">
        <v>808.68856899009268</v>
      </c>
      <c r="AF77" s="105">
        <v>1.0727588682781024</v>
      </c>
      <c r="AG77" s="105">
        <v>740.2036191118907</v>
      </c>
      <c r="AH77" s="105">
        <v>1.4011609868260813</v>
      </c>
      <c r="AI77" s="105">
        <v>966.80108090999602</v>
      </c>
      <c r="AJ77" s="105">
        <v>1.5790330933435739</v>
      </c>
      <c r="AK77" s="105">
        <v>1089.532834407066</v>
      </c>
      <c r="AL77" s="105">
        <v>1.4813876851530716</v>
      </c>
      <c r="AM77" s="105">
        <v>1022.1575027556194</v>
      </c>
      <c r="AN77" s="105">
        <v>1.8110940953102352</v>
      </c>
      <c r="AO77" s="105">
        <v>1249.6549257640622</v>
      </c>
      <c r="AP77" s="105">
        <v>1.9808676274951749</v>
      </c>
      <c r="AQ77" s="105">
        <v>1366.7986629716706</v>
      </c>
      <c r="AR77" s="105">
        <v>1.5480021146656144</v>
      </c>
      <c r="AS77" s="105">
        <v>1068.121459119274</v>
      </c>
      <c r="AT77" s="105">
        <v>1.5454905145873759</v>
      </c>
      <c r="AU77" s="105">
        <v>1066.3884550652892</v>
      </c>
      <c r="AV77" s="105">
        <v>1.914393065944201</v>
      </c>
      <c r="AW77" s="105">
        <v>1320.9312155014986</v>
      </c>
      <c r="AX77" s="105">
        <v>1.1088888387083708</v>
      </c>
      <c r="AY77" s="105">
        <v>765.1332987087759</v>
      </c>
      <c r="AZ77" s="105">
        <v>1.7860675967666977</v>
      </c>
      <c r="BA77" s="105">
        <v>1232.3866417690215</v>
      </c>
      <c r="BB77" s="105">
        <v>1.4757741581984325</v>
      </c>
      <c r="BC77" s="105">
        <v>1018.2841691569184</v>
      </c>
      <c r="BD77" s="105">
        <v>1.6303791440177757</v>
      </c>
      <c r="BE77" s="105">
        <v>1124.9616093722652</v>
      </c>
      <c r="BF77" s="105">
        <v>1.6115134353316014</v>
      </c>
      <c r="BG77" s="105">
        <v>1111.944270378805</v>
      </c>
      <c r="BH77" s="105">
        <v>1.6113140204653951</v>
      </c>
      <c r="BI77" s="105">
        <v>1111.8066741211226</v>
      </c>
      <c r="BJ77" s="105">
        <v>1.3876769587092244</v>
      </c>
      <c r="BK77" s="105">
        <v>957.49710150936482</v>
      </c>
      <c r="BL77" s="105">
        <v>1.468854579851727</v>
      </c>
      <c r="BM77" s="105">
        <v>1013.5096600976916</v>
      </c>
      <c r="BN77" s="105">
        <v>1.2954289775872685</v>
      </c>
      <c r="BO77" s="105">
        <v>893.84599453521525</v>
      </c>
      <c r="BP77" s="105">
        <v>2.1186421123446308</v>
      </c>
      <c r="BQ77" s="105">
        <v>1461.8630575177954</v>
      </c>
      <c r="BR77" s="105">
        <v>1.7407879206761143</v>
      </c>
      <c r="BS77" s="105">
        <v>1201.1436652665188</v>
      </c>
      <c r="BT77" s="105">
        <v>1.1918616299769631</v>
      </c>
      <c r="BU77" s="105">
        <v>822.38452468410458</v>
      </c>
      <c r="BV77" s="105">
        <v>1.3439517657878994</v>
      </c>
      <c r="BW77" s="105">
        <v>927.32671839365059</v>
      </c>
      <c r="BX77" s="105">
        <v>1.5585737046797923</v>
      </c>
      <c r="BY77" s="105">
        <v>1075.4158562290568</v>
      </c>
      <c r="BZ77" s="105">
        <v>1.3834472279636651</v>
      </c>
      <c r="CA77" s="105">
        <v>954.57858729492898</v>
      </c>
      <c r="CB77" s="105">
        <v>1.7367232673354167</v>
      </c>
      <c r="CC77" s="105">
        <v>1198.3390544614376</v>
      </c>
      <c r="CD77" s="105">
        <v>1.6971131676260607</v>
      </c>
      <c r="CE77" s="105">
        <v>1171.0080856619818</v>
      </c>
      <c r="CF77" s="105">
        <v>1.8382824893920509</v>
      </c>
      <c r="CG77" s="105">
        <v>1268.4149176805151</v>
      </c>
      <c r="CH77" s="105">
        <v>1.4624235195122515</v>
      </c>
      <c r="CI77" s="105">
        <v>1009.0722284634535</v>
      </c>
      <c r="CJ77" s="105">
        <v>1.7078764163101423</v>
      </c>
      <c r="CK77" s="105">
        <v>1178.4347272539983</v>
      </c>
      <c r="CL77" s="105">
        <v>1.5393356626919359</v>
      </c>
      <c r="CM77" s="105">
        <v>1062.1416072574357</v>
      </c>
      <c r="CN77" s="105">
        <v>1.8446240935323091</v>
      </c>
      <c r="CO77" s="105">
        <v>1272.7906245372933</v>
      </c>
      <c r="CP77" s="105">
        <v>1.4289121376258602</v>
      </c>
      <c r="CQ77" s="105">
        <v>985.94937496184355</v>
      </c>
      <c r="CR77" s="105">
        <v>1.1145401694691044</v>
      </c>
      <c r="CS77" s="105">
        <v>769.03271693368208</v>
      </c>
      <c r="CT77" s="105">
        <v>1.6726471682689832</v>
      </c>
      <c r="CU77" s="105">
        <v>1154.1265461055984</v>
      </c>
    </row>
    <row r="78" spans="2:99" x14ac:dyDescent="0.2">
      <c r="C78" s="104" t="s">
        <v>244</v>
      </c>
      <c r="D78" s="105">
        <v>2.0962056565541256</v>
      </c>
      <c r="E78" s="105">
        <v>271.66825308941469</v>
      </c>
      <c r="F78" s="105">
        <v>0</v>
      </c>
      <c r="G78" s="105">
        <v>0</v>
      </c>
      <c r="H78" s="105">
        <v>0</v>
      </c>
      <c r="I78" s="105">
        <v>0</v>
      </c>
      <c r="J78" s="105">
        <v>0</v>
      </c>
      <c r="K78" s="105">
        <v>0</v>
      </c>
      <c r="L78" s="105">
        <v>0</v>
      </c>
      <c r="M78" s="105">
        <v>0</v>
      </c>
      <c r="N78" s="105">
        <v>1.6665611457972056</v>
      </c>
      <c r="O78" s="105">
        <v>215.98632449531783</v>
      </c>
      <c r="P78" s="105">
        <v>1.3990017070484082</v>
      </c>
      <c r="Q78" s="105">
        <v>181.31062123347368</v>
      </c>
      <c r="R78" s="105">
        <v>1.5869936688620203</v>
      </c>
      <c r="S78" s="105">
        <v>205.67437948451783</v>
      </c>
      <c r="T78" s="105">
        <v>1.670007132682187</v>
      </c>
      <c r="U78" s="105">
        <v>216.43292439561142</v>
      </c>
      <c r="V78" s="105">
        <v>1.6232129837896851</v>
      </c>
      <c r="W78" s="105">
        <v>210.36840269914319</v>
      </c>
      <c r="X78" s="105">
        <v>1.4420286555611046</v>
      </c>
      <c r="Y78" s="105">
        <v>186.88691376071915</v>
      </c>
      <c r="Z78" s="105">
        <v>1.5638081638652572</v>
      </c>
      <c r="AA78" s="105">
        <v>202.66953803693733</v>
      </c>
      <c r="AB78" s="105">
        <v>1.4195548644164935</v>
      </c>
      <c r="AC78" s="105">
        <v>183.97431042837755</v>
      </c>
      <c r="AD78" s="105">
        <v>1.9873621262466079</v>
      </c>
      <c r="AE78" s="105">
        <v>257.56213156156036</v>
      </c>
      <c r="AF78" s="105">
        <v>1.9007452484097871</v>
      </c>
      <c r="AG78" s="105">
        <v>246.33658419390841</v>
      </c>
      <c r="AH78" s="105">
        <v>1.7318729026473421</v>
      </c>
      <c r="AI78" s="105">
        <v>224.45072818309552</v>
      </c>
      <c r="AJ78" s="105">
        <v>1.0526887288957161</v>
      </c>
      <c r="AK78" s="105">
        <v>136.42845926488479</v>
      </c>
      <c r="AL78" s="105">
        <v>1.1110407638648037</v>
      </c>
      <c r="AM78" s="105">
        <v>143.99088299687855</v>
      </c>
      <c r="AN78" s="105">
        <v>1.9853104583424528</v>
      </c>
      <c r="AO78" s="105">
        <v>257.29623540118189</v>
      </c>
      <c r="AP78" s="105">
        <v>1.9808676274951749</v>
      </c>
      <c r="AQ78" s="105">
        <v>256.72044452337462</v>
      </c>
      <c r="AR78" s="105">
        <v>1.570604426003487</v>
      </c>
      <c r="AS78" s="105">
        <v>203.55033361005192</v>
      </c>
      <c r="AT78" s="105">
        <v>2.0405073669402034</v>
      </c>
      <c r="AU78" s="105">
        <v>264.44975475545033</v>
      </c>
      <c r="AV78" s="105">
        <v>1.9353688330918699</v>
      </c>
      <c r="AW78" s="105">
        <v>250.82380076870632</v>
      </c>
      <c r="AX78" s="105">
        <v>1.3525010944447409</v>
      </c>
      <c r="AY78" s="105">
        <v>175.28414184003842</v>
      </c>
      <c r="AZ78" s="105">
        <v>1.7860675967666977</v>
      </c>
      <c r="BA78" s="105">
        <v>231.474360540964</v>
      </c>
      <c r="BB78" s="105">
        <v>1.7419387293500024</v>
      </c>
      <c r="BC78" s="105">
        <v>225.7552593237603</v>
      </c>
      <c r="BD78" s="105">
        <v>1.6532696616135838</v>
      </c>
      <c r="BE78" s="105">
        <v>214.26374814512045</v>
      </c>
      <c r="BF78" s="105">
        <v>1.6115134353316014</v>
      </c>
      <c r="BG78" s="105">
        <v>208.85214121897553</v>
      </c>
      <c r="BH78" s="105">
        <v>1.8204033015651315</v>
      </c>
      <c r="BI78" s="105">
        <v>235.92426788284104</v>
      </c>
      <c r="BJ78" s="105">
        <v>1.4105659188026813</v>
      </c>
      <c r="BK78" s="105">
        <v>182.8093430768275</v>
      </c>
      <c r="BL78" s="105">
        <v>1.7119985673745208</v>
      </c>
      <c r="BM78" s="105">
        <v>221.8750143317379</v>
      </c>
      <c r="BN78" s="105">
        <v>1.2954289775872685</v>
      </c>
      <c r="BO78" s="105">
        <v>167.88759549530999</v>
      </c>
      <c r="BP78" s="105">
        <v>1.9291745743808497</v>
      </c>
      <c r="BQ78" s="105">
        <v>250.0210248397581</v>
      </c>
      <c r="BR78" s="105">
        <v>1.7662883532167588</v>
      </c>
      <c r="BS78" s="105">
        <v>228.91097057689194</v>
      </c>
      <c r="BT78" s="105">
        <v>1.1918616299769631</v>
      </c>
      <c r="BU78" s="105">
        <v>154.46526724501442</v>
      </c>
      <c r="BV78" s="105">
        <v>1.9462958244506467</v>
      </c>
      <c r="BW78" s="105">
        <v>252.2399388488038</v>
      </c>
      <c r="BX78" s="105">
        <v>1.3819022530485636</v>
      </c>
      <c r="BY78" s="105">
        <v>179.09453199509383</v>
      </c>
      <c r="BZ78" s="105">
        <v>1.5909362285124966</v>
      </c>
      <c r="CA78" s="105">
        <v>206.18533521521954</v>
      </c>
      <c r="CB78" s="105">
        <v>1.7562934936371448</v>
      </c>
      <c r="CC78" s="105">
        <v>227.61563677537396</v>
      </c>
      <c r="CD78" s="105">
        <v>1.5000298781761545</v>
      </c>
      <c r="CE78" s="105">
        <v>194.40387221162962</v>
      </c>
      <c r="CF78" s="105">
        <v>1.6524014053191947</v>
      </c>
      <c r="CG78" s="105">
        <v>214.15122212936762</v>
      </c>
      <c r="CH78" s="105">
        <v>1.8956780976706844</v>
      </c>
      <c r="CI78" s="105">
        <v>245.67988145812069</v>
      </c>
      <c r="CJ78" s="105">
        <v>1.942677643195984</v>
      </c>
      <c r="CK78" s="105">
        <v>251.77102255819952</v>
      </c>
      <c r="CL78" s="105">
        <v>1.5393356626919359</v>
      </c>
      <c r="CM78" s="105">
        <v>199.49790188487489</v>
      </c>
      <c r="CN78" s="105">
        <v>1.8446240935323091</v>
      </c>
      <c r="CO78" s="105">
        <v>239.06328252178724</v>
      </c>
      <c r="CP78" s="105">
        <v>1.4289121376258602</v>
      </c>
      <c r="CQ78" s="105">
        <v>185.18701303631147</v>
      </c>
      <c r="CR78" s="105">
        <v>1.443822972762431</v>
      </c>
      <c r="CS78" s="105">
        <v>187.11945727001105</v>
      </c>
      <c r="CT78" s="105">
        <v>1.6557428134074628</v>
      </c>
      <c r="CU78" s="105">
        <v>214.58426861760717</v>
      </c>
    </row>
    <row r="79" spans="2:99" x14ac:dyDescent="0.2">
      <c r="C79" s="104" t="s">
        <v>245</v>
      </c>
      <c r="D79" s="105">
        <v>2.0962056565541256</v>
      </c>
      <c r="E79" s="105">
        <v>1006.1787151459803</v>
      </c>
      <c r="F79" s="105">
        <v>0</v>
      </c>
      <c r="G79" s="105">
        <v>0</v>
      </c>
      <c r="H79" s="105">
        <v>0</v>
      </c>
      <c r="I79" s="105">
        <v>0</v>
      </c>
      <c r="J79" s="105">
        <v>0</v>
      </c>
      <c r="K79" s="105">
        <v>0</v>
      </c>
      <c r="L79" s="105">
        <v>0</v>
      </c>
      <c r="M79" s="105">
        <v>0</v>
      </c>
      <c r="N79" s="105">
        <v>1.1110407638648037</v>
      </c>
      <c r="O79" s="105">
        <v>533.29956665510576</v>
      </c>
      <c r="P79" s="105">
        <v>1.1314791465923224</v>
      </c>
      <c r="Q79" s="105">
        <v>543.10999036431474</v>
      </c>
      <c r="R79" s="105">
        <v>1.5869936688620203</v>
      </c>
      <c r="S79" s="105">
        <v>761.75696105376971</v>
      </c>
      <c r="T79" s="105">
        <v>1.670007132682187</v>
      </c>
      <c r="U79" s="105">
        <v>801.60342368744978</v>
      </c>
      <c r="V79" s="105">
        <v>1.8061905883641636</v>
      </c>
      <c r="W79" s="105">
        <v>866.97148241479852</v>
      </c>
      <c r="X79" s="105">
        <v>2.1621596090574013</v>
      </c>
      <c r="Y79" s="105">
        <v>1037.8366123475525</v>
      </c>
      <c r="Z79" s="105">
        <v>1.7643412757389014</v>
      </c>
      <c r="AA79" s="105">
        <v>846.88381235467273</v>
      </c>
      <c r="AB79" s="105">
        <v>1.6555175500739088</v>
      </c>
      <c r="AC79" s="105">
        <v>794.64842403547618</v>
      </c>
      <c r="AD79" s="105">
        <v>1.4013559168334973</v>
      </c>
      <c r="AE79" s="105">
        <v>672.65084008007864</v>
      </c>
      <c r="AF79" s="105">
        <v>1.6091383024171533</v>
      </c>
      <c r="AG79" s="105">
        <v>772.38638516023354</v>
      </c>
      <c r="AH79" s="105">
        <v>1.3841182685193187</v>
      </c>
      <c r="AI79" s="105">
        <v>664.37676888927297</v>
      </c>
      <c r="AJ79" s="105">
        <v>1.0526887288957161</v>
      </c>
      <c r="AK79" s="105">
        <v>505.29058986994369</v>
      </c>
      <c r="AL79" s="105">
        <v>1.4813876851530716</v>
      </c>
      <c r="AM79" s="105">
        <v>711.06608887347443</v>
      </c>
      <c r="AN79" s="105">
        <v>1.8110940953102352</v>
      </c>
      <c r="AO79" s="105">
        <v>869.32516574891292</v>
      </c>
      <c r="AP79" s="105">
        <v>1.8284602815596567</v>
      </c>
      <c r="AQ79" s="105">
        <v>877.66093514863519</v>
      </c>
      <c r="AR79" s="105">
        <v>1.5480021146656144</v>
      </c>
      <c r="AS79" s="105">
        <v>743.04101503949494</v>
      </c>
      <c r="AT79" s="105">
        <v>1.8994807993727842</v>
      </c>
      <c r="AU79" s="105">
        <v>911.7507836989364</v>
      </c>
      <c r="AV79" s="105">
        <v>1.9353688330918699</v>
      </c>
      <c r="AW79" s="105">
        <v>928.97703988409751</v>
      </c>
      <c r="AX79" s="105">
        <v>1.3525010944447409</v>
      </c>
      <c r="AY79" s="105">
        <v>649.20052533347564</v>
      </c>
      <c r="AZ79" s="105">
        <v>1.7860675967666977</v>
      </c>
      <c r="BA79" s="105">
        <v>857.31244644801484</v>
      </c>
      <c r="BB79" s="105">
        <v>1.9324238544341745</v>
      </c>
      <c r="BC79" s="105">
        <v>927.56345012840382</v>
      </c>
      <c r="BD79" s="105">
        <v>1.6532696616135838</v>
      </c>
      <c r="BE79" s="105">
        <v>793.56943757452018</v>
      </c>
      <c r="BF79" s="105">
        <v>1.6115134353316014</v>
      </c>
      <c r="BG79" s="105">
        <v>773.52644895916865</v>
      </c>
      <c r="BH79" s="105">
        <v>2.066414845856678</v>
      </c>
      <c r="BI79" s="105">
        <v>991.87912601120547</v>
      </c>
      <c r="BJ79" s="105">
        <v>1.2503431981484818</v>
      </c>
      <c r="BK79" s="105">
        <v>600.16473511127128</v>
      </c>
      <c r="BL79" s="105">
        <v>1.468854579851727</v>
      </c>
      <c r="BM79" s="105">
        <v>705.05019832882897</v>
      </c>
      <c r="BN79" s="105">
        <v>1.2954289775872685</v>
      </c>
      <c r="BO79" s="105">
        <v>621.80590924188891</v>
      </c>
      <c r="BP79" s="105">
        <v>1.9291745743808497</v>
      </c>
      <c r="BQ79" s="105">
        <v>926.00379570280791</v>
      </c>
      <c r="BR79" s="105">
        <v>1.2540268664331058</v>
      </c>
      <c r="BS79" s="105">
        <v>601.93289588789082</v>
      </c>
      <c r="BT79" s="105">
        <v>1.1918616299769631</v>
      </c>
      <c r="BU79" s="105">
        <v>572.09358238894231</v>
      </c>
      <c r="BV79" s="105">
        <v>1.3718044954803807</v>
      </c>
      <c r="BW79" s="105">
        <v>658.4661578305828</v>
      </c>
      <c r="BX79" s="105">
        <v>1.3819022530485636</v>
      </c>
      <c r="BY79" s="105">
        <v>663.31308146331048</v>
      </c>
      <c r="BZ79" s="105">
        <v>1.3834472279636651</v>
      </c>
      <c r="CA79" s="105">
        <v>664.0546694225593</v>
      </c>
      <c r="CB79" s="105">
        <v>1.7758637199388723</v>
      </c>
      <c r="CC79" s="105">
        <v>852.41458557065869</v>
      </c>
      <c r="CD79" s="105">
        <v>1.6971131676260607</v>
      </c>
      <c r="CE79" s="105">
        <v>814.61432046050913</v>
      </c>
      <c r="CF79" s="105">
        <v>1.8589359431779235</v>
      </c>
      <c r="CG79" s="105">
        <v>892.28925272540334</v>
      </c>
      <c r="CH79" s="105">
        <v>1.6516884201152566</v>
      </c>
      <c r="CI79" s="105">
        <v>792.81044165532319</v>
      </c>
      <c r="CJ79" s="105">
        <v>1.7078764163101423</v>
      </c>
      <c r="CK79" s="105">
        <v>819.7806798288683</v>
      </c>
      <c r="CL79" s="105">
        <v>1.7418890826012812</v>
      </c>
      <c r="CM79" s="105">
        <v>836.10675964861491</v>
      </c>
      <c r="CN79" s="105">
        <v>1.8650084741745725</v>
      </c>
      <c r="CO79" s="105">
        <v>895.20406760379478</v>
      </c>
      <c r="CP79" s="105">
        <v>1.7106246356883263</v>
      </c>
      <c r="CQ79" s="105">
        <v>821.09982513039665</v>
      </c>
      <c r="CR79" s="105">
        <v>1.416382739154654</v>
      </c>
      <c r="CS79" s="105">
        <v>679.86371479423394</v>
      </c>
      <c r="CT79" s="105">
        <v>1.6557428134074628</v>
      </c>
      <c r="CU79" s="105">
        <v>794.75655043558208</v>
      </c>
    </row>
    <row r="80" spans="2:99" x14ac:dyDescent="0.2">
      <c r="C80" s="104" t="s">
        <v>246</v>
      </c>
      <c r="D80" s="105">
        <v>2.0962056565541256</v>
      </c>
      <c r="E80" s="105">
        <v>1597.3087102942436</v>
      </c>
      <c r="F80" s="105">
        <v>0</v>
      </c>
      <c r="G80" s="105">
        <v>0</v>
      </c>
      <c r="H80" s="105">
        <v>0</v>
      </c>
      <c r="I80" s="105">
        <v>0</v>
      </c>
      <c r="J80" s="105">
        <v>0</v>
      </c>
      <c r="K80" s="105">
        <v>0</v>
      </c>
      <c r="L80" s="105">
        <v>0</v>
      </c>
      <c r="M80" s="105">
        <v>0</v>
      </c>
      <c r="N80" s="105">
        <v>1.1110407638648037</v>
      </c>
      <c r="O80" s="105">
        <v>846.61306206498034</v>
      </c>
      <c r="P80" s="105">
        <v>1.1314791465923224</v>
      </c>
      <c r="Q80" s="105">
        <v>862.18710970334962</v>
      </c>
      <c r="R80" s="105">
        <v>1.5675550074099318</v>
      </c>
      <c r="S80" s="105">
        <v>1194.4769156463681</v>
      </c>
      <c r="T80" s="105">
        <v>1.670007132682187</v>
      </c>
      <c r="U80" s="105">
        <v>1272.5454351038265</v>
      </c>
      <c r="V80" s="105">
        <v>1.6232129837896851</v>
      </c>
      <c r="W80" s="105">
        <v>1236.8882936477401</v>
      </c>
      <c r="X80" s="105">
        <v>1.6814833905370332</v>
      </c>
      <c r="Y80" s="105">
        <v>1281.2903435892192</v>
      </c>
      <c r="Z80" s="105">
        <v>1.7643412757389014</v>
      </c>
      <c r="AA80" s="105">
        <v>1344.4280521130429</v>
      </c>
      <c r="AB80" s="105">
        <v>1.6791138186396501</v>
      </c>
      <c r="AC80" s="105">
        <v>1279.4847298034133</v>
      </c>
      <c r="AD80" s="105">
        <v>1.9873621262466079</v>
      </c>
      <c r="AE80" s="105">
        <v>1514.3699401999152</v>
      </c>
      <c r="AF80" s="105">
        <v>1.0727588682781024</v>
      </c>
      <c r="AG80" s="105">
        <v>817.44225762791405</v>
      </c>
      <c r="AH80" s="105">
        <v>1.8341292124879167</v>
      </c>
      <c r="AI80" s="105">
        <v>1397.6064599157926</v>
      </c>
      <c r="AJ80" s="105">
        <v>1.0526887288957161</v>
      </c>
      <c r="AK80" s="105">
        <v>802.14881141853562</v>
      </c>
      <c r="AL80" s="105">
        <v>1.1110407638648037</v>
      </c>
      <c r="AM80" s="105">
        <v>846.61306206498034</v>
      </c>
      <c r="AN80" s="105">
        <v>1.8110940953102352</v>
      </c>
      <c r="AO80" s="105">
        <v>1380.0537006263992</v>
      </c>
      <c r="AP80" s="105">
        <v>1.8284602815596567</v>
      </c>
      <c r="AQ80" s="105">
        <v>1393.2867345484583</v>
      </c>
      <c r="AR80" s="105">
        <v>1.570604426003487</v>
      </c>
      <c r="AS80" s="105">
        <v>1196.8005726146571</v>
      </c>
      <c r="AT80" s="105">
        <v>2.0203607144305713</v>
      </c>
      <c r="AU80" s="105">
        <v>1539.5148643960954</v>
      </c>
      <c r="AV80" s="105">
        <v>1.9353688330918699</v>
      </c>
      <c r="AW80" s="105">
        <v>1474.7510508160049</v>
      </c>
      <c r="AX80" s="105">
        <v>1.1088888387083708</v>
      </c>
      <c r="AY80" s="105">
        <v>844.97329509577855</v>
      </c>
      <c r="AZ80" s="105">
        <v>1.7860675967666977</v>
      </c>
      <c r="BA80" s="105">
        <v>1360.9835087362237</v>
      </c>
      <c r="BB80" s="105">
        <v>1.9112588405359334</v>
      </c>
      <c r="BC80" s="105">
        <v>1456.3792364883814</v>
      </c>
      <c r="BD80" s="105">
        <v>1.6303791440177757</v>
      </c>
      <c r="BE80" s="105">
        <v>1242.3489077415452</v>
      </c>
      <c r="BF80" s="105">
        <v>1.6115134353316014</v>
      </c>
      <c r="BG80" s="105">
        <v>1227.9732377226803</v>
      </c>
      <c r="BH80" s="105">
        <v>1.3653024761738486</v>
      </c>
      <c r="BI80" s="105">
        <v>1040.3604868444727</v>
      </c>
      <c r="BJ80" s="105">
        <v>1.3876769587092244</v>
      </c>
      <c r="BK80" s="105">
        <v>1057.4098425364289</v>
      </c>
      <c r="BL80" s="105">
        <v>1.7119985673745208</v>
      </c>
      <c r="BM80" s="105">
        <v>1304.5429083393849</v>
      </c>
      <c r="BN80" s="105">
        <v>1.2954289775872685</v>
      </c>
      <c r="BO80" s="105">
        <v>987.11688092149859</v>
      </c>
      <c r="BP80" s="105">
        <v>1.4468809307856374</v>
      </c>
      <c r="BQ80" s="105">
        <v>1102.5232692586558</v>
      </c>
      <c r="BR80" s="105">
        <v>1.2285264338924613</v>
      </c>
      <c r="BS80" s="105">
        <v>936.13714262605549</v>
      </c>
      <c r="BT80" s="105">
        <v>1.1918616299769631</v>
      </c>
      <c r="BU80" s="105">
        <v>908.19856204244593</v>
      </c>
      <c r="BV80" s="105">
        <v>1.9462958244506467</v>
      </c>
      <c r="BW80" s="105">
        <v>1483.0774182313928</v>
      </c>
      <c r="BX80" s="105">
        <v>1.3819022530485636</v>
      </c>
      <c r="BY80" s="105">
        <v>1053.0095168230055</v>
      </c>
      <c r="BZ80" s="105">
        <v>1.3834472279636651</v>
      </c>
      <c r="CA80" s="105">
        <v>1054.1867877083127</v>
      </c>
      <c r="CB80" s="105">
        <v>1.7562934936371448</v>
      </c>
      <c r="CC80" s="105">
        <v>1338.2956421515044</v>
      </c>
      <c r="CD80" s="105">
        <v>1.7217485788072988</v>
      </c>
      <c r="CE80" s="105">
        <v>1311.9724170511618</v>
      </c>
      <c r="CF80" s="105">
        <v>1.6524014053191947</v>
      </c>
      <c r="CG80" s="105">
        <v>1259.1298708532263</v>
      </c>
      <c r="CH80" s="105">
        <v>1.8753456245410656</v>
      </c>
      <c r="CI80" s="105">
        <v>1429.013365900292</v>
      </c>
      <c r="CJ80" s="105">
        <v>1.9213320771154532</v>
      </c>
      <c r="CK80" s="105">
        <v>1464.0550427619753</v>
      </c>
      <c r="CL80" s="105">
        <v>1.7418890826012812</v>
      </c>
      <c r="CM80" s="105">
        <v>1327.3194809421761</v>
      </c>
      <c r="CN80" s="105">
        <v>1.8446240935323091</v>
      </c>
      <c r="CO80" s="105">
        <v>1405.6035592716196</v>
      </c>
      <c r="CP80" s="105">
        <v>1.4289121376258602</v>
      </c>
      <c r="CQ80" s="105">
        <v>1088.8310488709055</v>
      </c>
      <c r="CR80" s="105">
        <v>1.1145401694691044</v>
      </c>
      <c r="CS80" s="105">
        <v>849.27960913545758</v>
      </c>
      <c r="CT80" s="105">
        <v>1.2671636423478776</v>
      </c>
      <c r="CU80" s="105">
        <v>965.57869546908273</v>
      </c>
    </row>
    <row r="81" spans="2:99" x14ac:dyDescent="0.2">
      <c r="C81" s="104" t="s">
        <v>247</v>
      </c>
      <c r="D81" s="105">
        <v>2.0962056565541256</v>
      </c>
      <c r="E81" s="105">
        <v>1308.0323296897743</v>
      </c>
      <c r="F81" s="105">
        <v>0</v>
      </c>
      <c r="G81" s="105">
        <v>0</v>
      </c>
      <c r="H81" s="105">
        <v>0</v>
      </c>
      <c r="I81" s="105">
        <v>0</v>
      </c>
      <c r="J81" s="105">
        <v>0</v>
      </c>
      <c r="K81" s="105">
        <v>0</v>
      </c>
      <c r="L81" s="105">
        <v>0</v>
      </c>
      <c r="M81" s="105">
        <v>0</v>
      </c>
      <c r="N81" s="105">
        <v>1.6665611457972056</v>
      </c>
      <c r="O81" s="105">
        <v>1039.9341549774563</v>
      </c>
      <c r="P81" s="105">
        <v>1.3722494510027996</v>
      </c>
      <c r="Q81" s="105">
        <v>856.28365742574692</v>
      </c>
      <c r="R81" s="105">
        <v>1.5675550074099318</v>
      </c>
      <c r="S81" s="105">
        <v>978.15432462379749</v>
      </c>
      <c r="T81" s="105">
        <v>1.670007132682187</v>
      </c>
      <c r="U81" s="105">
        <v>1042.0844507936847</v>
      </c>
      <c r="V81" s="105">
        <v>1.6232129837896851</v>
      </c>
      <c r="W81" s="105">
        <v>1012.8849018847635</v>
      </c>
      <c r="X81" s="105">
        <v>2.1621596090574013</v>
      </c>
      <c r="Y81" s="105">
        <v>1349.1875960518184</v>
      </c>
      <c r="Z81" s="105">
        <v>1.0425387759101716</v>
      </c>
      <c r="AA81" s="105">
        <v>650.54419616794712</v>
      </c>
      <c r="AB81" s="105">
        <v>1.6555175500739088</v>
      </c>
      <c r="AC81" s="105">
        <v>1033.0429512461192</v>
      </c>
      <c r="AD81" s="105">
        <v>1.9873621262466079</v>
      </c>
      <c r="AE81" s="105">
        <v>1240.1139667778834</v>
      </c>
      <c r="AF81" s="105">
        <v>1.0727588682781024</v>
      </c>
      <c r="AG81" s="105">
        <v>669.40153380553591</v>
      </c>
      <c r="AH81" s="105">
        <v>1.8341292124879167</v>
      </c>
      <c r="AI81" s="105">
        <v>1144.49662859246</v>
      </c>
      <c r="AJ81" s="105">
        <v>1.5790330933435739</v>
      </c>
      <c r="AK81" s="105">
        <v>985.31665024639005</v>
      </c>
      <c r="AL81" s="105">
        <v>1.4813876851530716</v>
      </c>
      <c r="AM81" s="105">
        <v>924.38591553551669</v>
      </c>
      <c r="AN81" s="105">
        <v>1.9853104583424528</v>
      </c>
      <c r="AO81" s="105">
        <v>1238.8337260056906</v>
      </c>
      <c r="AP81" s="105">
        <v>1.9808676274951749</v>
      </c>
      <c r="AQ81" s="105">
        <v>1236.061399556989</v>
      </c>
      <c r="AR81" s="105">
        <v>1.5480021146656144</v>
      </c>
      <c r="AS81" s="105">
        <v>965.95331955134338</v>
      </c>
      <c r="AT81" s="105">
        <v>2.0405073669402034</v>
      </c>
      <c r="AU81" s="105">
        <v>1273.276596970687</v>
      </c>
      <c r="AV81" s="105">
        <v>1.4882342173273233</v>
      </c>
      <c r="AW81" s="105">
        <v>928.65815161224975</v>
      </c>
      <c r="AX81" s="105">
        <v>1.325433066029589</v>
      </c>
      <c r="AY81" s="105">
        <v>827.07023320246356</v>
      </c>
      <c r="AZ81" s="105">
        <v>1.7860675967666977</v>
      </c>
      <c r="BA81" s="105">
        <v>1114.5061803824194</v>
      </c>
      <c r="BB81" s="105">
        <v>1.9112588405359334</v>
      </c>
      <c r="BC81" s="105">
        <v>1192.6255164944225</v>
      </c>
      <c r="BD81" s="105">
        <v>1.6303791440177757</v>
      </c>
      <c r="BE81" s="105">
        <v>1017.356585867092</v>
      </c>
      <c r="BF81" s="105">
        <v>1.0743422902210675</v>
      </c>
      <c r="BG81" s="105">
        <v>670.3895890979461</v>
      </c>
      <c r="BH81" s="105">
        <v>1.3653024761738486</v>
      </c>
      <c r="BI81" s="105">
        <v>851.94874513248146</v>
      </c>
      <c r="BJ81" s="105">
        <v>1.3876769587092244</v>
      </c>
      <c r="BK81" s="105">
        <v>865.91042223455599</v>
      </c>
      <c r="BL81" s="105">
        <v>1.468854579851727</v>
      </c>
      <c r="BM81" s="105">
        <v>916.56525782747758</v>
      </c>
      <c r="BN81" s="105">
        <v>1.3218500515687972</v>
      </c>
      <c r="BO81" s="105">
        <v>824.83443217892943</v>
      </c>
      <c r="BP81" s="105">
        <v>2.1186421123446308</v>
      </c>
      <c r="BQ81" s="105">
        <v>1322.0326781030496</v>
      </c>
      <c r="BR81" s="105">
        <v>1.5367844603509586</v>
      </c>
      <c r="BS81" s="105">
        <v>958.95350325899813</v>
      </c>
      <c r="BT81" s="105">
        <v>1.1918616299769631</v>
      </c>
      <c r="BU81" s="105">
        <v>743.72165710562501</v>
      </c>
      <c r="BV81" s="105">
        <v>1.3439517657878994</v>
      </c>
      <c r="BW81" s="105">
        <v>838.62590185164925</v>
      </c>
      <c r="BX81" s="105">
        <v>1.5585737046797923</v>
      </c>
      <c r="BY81" s="105">
        <v>972.54999172019041</v>
      </c>
      <c r="BZ81" s="105">
        <v>1.8445963039515538</v>
      </c>
      <c r="CA81" s="105">
        <v>1151.0280936657696</v>
      </c>
      <c r="CB81" s="105">
        <v>1.7758637199388723</v>
      </c>
      <c r="CC81" s="105">
        <v>1108.1389612418564</v>
      </c>
      <c r="CD81" s="105">
        <v>1.5000298781761545</v>
      </c>
      <c r="CE81" s="105">
        <v>936.01864398192038</v>
      </c>
      <c r="CF81" s="105">
        <v>1.8382824893920509</v>
      </c>
      <c r="CG81" s="105">
        <v>1147.0882733806397</v>
      </c>
      <c r="CH81" s="105">
        <v>1.4827559926418705</v>
      </c>
      <c r="CI81" s="105">
        <v>925.23973940852716</v>
      </c>
      <c r="CJ81" s="105">
        <v>1.8999865110349221</v>
      </c>
      <c r="CK81" s="105">
        <v>1185.5915828857915</v>
      </c>
      <c r="CL81" s="105">
        <v>1.7672082600899492</v>
      </c>
      <c r="CM81" s="105">
        <v>1102.7379542961282</v>
      </c>
      <c r="CN81" s="105">
        <v>1.8446240935323091</v>
      </c>
      <c r="CO81" s="105">
        <v>1151.0454343641609</v>
      </c>
      <c r="CP81" s="105">
        <v>1.6636725526779155</v>
      </c>
      <c r="CQ81" s="105">
        <v>1038.1316728710192</v>
      </c>
      <c r="CR81" s="105">
        <v>1.1145401694691044</v>
      </c>
      <c r="CS81" s="105">
        <v>695.47306574872118</v>
      </c>
      <c r="CT81" s="105">
        <v>1.6557428134074628</v>
      </c>
      <c r="CU81" s="105">
        <v>1033.1835155662568</v>
      </c>
    </row>
    <row r="82" spans="2:99" x14ac:dyDescent="0.2">
      <c r="C82" s="104" t="s">
        <v>248</v>
      </c>
      <c r="D82" s="105">
        <v>2.0962056565541256</v>
      </c>
      <c r="E82" s="105">
        <v>749.60314278375529</v>
      </c>
      <c r="F82" s="105">
        <v>0</v>
      </c>
      <c r="G82" s="105">
        <v>0</v>
      </c>
      <c r="H82" s="105">
        <v>0</v>
      </c>
      <c r="I82" s="105">
        <v>0</v>
      </c>
      <c r="J82" s="105">
        <v>0</v>
      </c>
      <c r="K82" s="105">
        <v>0</v>
      </c>
      <c r="L82" s="105">
        <v>0</v>
      </c>
      <c r="M82" s="105">
        <v>0</v>
      </c>
      <c r="N82" s="105">
        <v>1.1110407638648037</v>
      </c>
      <c r="O82" s="105">
        <v>397.30817715805375</v>
      </c>
      <c r="P82" s="105">
        <v>1.3990017070484082</v>
      </c>
      <c r="Q82" s="105">
        <v>500.28301044051074</v>
      </c>
      <c r="R82" s="105">
        <v>1.5869936688620203</v>
      </c>
      <c r="S82" s="105">
        <v>567.50893598505843</v>
      </c>
      <c r="T82" s="105">
        <v>1.670007132682187</v>
      </c>
      <c r="U82" s="105">
        <v>597.19455064714998</v>
      </c>
      <c r="V82" s="105">
        <v>1.6232129837896851</v>
      </c>
      <c r="W82" s="105">
        <v>580.46096300319141</v>
      </c>
      <c r="X82" s="105">
        <v>1.7054288640346258</v>
      </c>
      <c r="Y82" s="105">
        <v>609.86136177878211</v>
      </c>
      <c r="Z82" s="105">
        <v>1.5638081638652572</v>
      </c>
      <c r="AA82" s="105">
        <v>559.2177993982159</v>
      </c>
      <c r="AB82" s="105">
        <v>1.6791138186396501</v>
      </c>
      <c r="AC82" s="105">
        <v>600.45110154553879</v>
      </c>
      <c r="AD82" s="105">
        <v>1.4013559168334973</v>
      </c>
      <c r="AE82" s="105">
        <v>501.12487585965857</v>
      </c>
      <c r="AF82" s="105">
        <v>1.0727588682781024</v>
      </c>
      <c r="AG82" s="105">
        <v>383.6185712962494</v>
      </c>
      <c r="AH82" s="105">
        <v>1.4011609868260813</v>
      </c>
      <c r="AI82" s="105">
        <v>501.05516888900661</v>
      </c>
      <c r="AJ82" s="105">
        <v>1.5790330933435739</v>
      </c>
      <c r="AK82" s="105">
        <v>564.66223417966194</v>
      </c>
      <c r="AL82" s="105">
        <v>1.4813876851530716</v>
      </c>
      <c r="AM82" s="105">
        <v>529.74423621073834</v>
      </c>
      <c r="AN82" s="105">
        <v>1.8110940953102352</v>
      </c>
      <c r="AO82" s="105">
        <v>647.64724848294009</v>
      </c>
      <c r="AP82" s="105">
        <v>1.8284602815596567</v>
      </c>
      <c r="AQ82" s="105">
        <v>653.85739668573319</v>
      </c>
      <c r="AR82" s="105">
        <v>1.3671836239626334</v>
      </c>
      <c r="AS82" s="105">
        <v>488.90486392903767</v>
      </c>
      <c r="AT82" s="105">
        <v>2.0203607144305713</v>
      </c>
      <c r="AU82" s="105">
        <v>722.48099148037227</v>
      </c>
      <c r="AV82" s="105">
        <v>1.9353688330918699</v>
      </c>
      <c r="AW82" s="105">
        <v>692.08789471365264</v>
      </c>
      <c r="AX82" s="105">
        <v>1.325433066029589</v>
      </c>
      <c r="AY82" s="105">
        <v>473.97486441218098</v>
      </c>
      <c r="AZ82" s="105">
        <v>1.5831044952454114</v>
      </c>
      <c r="BA82" s="105">
        <v>566.11816749975901</v>
      </c>
      <c r="BB82" s="105">
        <v>1.3064540470125019</v>
      </c>
      <c r="BC82" s="105">
        <v>467.18796721167064</v>
      </c>
      <c r="BD82" s="105">
        <v>2.1204276509668145</v>
      </c>
      <c r="BE82" s="105">
        <v>758.26492798573281</v>
      </c>
      <c r="BF82" s="105">
        <v>1.6115134353316014</v>
      </c>
      <c r="BG82" s="105">
        <v>576.27720447458057</v>
      </c>
      <c r="BH82" s="105">
        <v>1.3653024761738486</v>
      </c>
      <c r="BI82" s="105">
        <v>488.23216547976818</v>
      </c>
      <c r="BJ82" s="105">
        <v>1.3876769587092244</v>
      </c>
      <c r="BK82" s="105">
        <v>496.23328043441859</v>
      </c>
      <c r="BL82" s="105">
        <v>1.468854579851727</v>
      </c>
      <c r="BM82" s="105">
        <v>525.26239775497754</v>
      </c>
      <c r="BN82" s="105">
        <v>1.2954289775872685</v>
      </c>
      <c r="BO82" s="105">
        <v>463.24540238520717</v>
      </c>
      <c r="BP82" s="105">
        <v>1.6363484687494181</v>
      </c>
      <c r="BQ82" s="105">
        <v>585.15821242479183</v>
      </c>
      <c r="BR82" s="105">
        <v>1.5367844603509586</v>
      </c>
      <c r="BS82" s="105">
        <v>549.55412302150273</v>
      </c>
      <c r="BT82" s="105">
        <v>1.1918616299769631</v>
      </c>
      <c r="BU82" s="105">
        <v>426.20971887976197</v>
      </c>
      <c r="BV82" s="105">
        <v>1.7234739869107985</v>
      </c>
      <c r="BW82" s="105">
        <v>616.31429771930152</v>
      </c>
      <c r="BX82" s="105">
        <v>1.3819022530485636</v>
      </c>
      <c r="BY82" s="105">
        <v>494.16824569016632</v>
      </c>
      <c r="BZ82" s="105">
        <v>1.3834472279636651</v>
      </c>
      <c r="CA82" s="105">
        <v>494.72072871980663</v>
      </c>
      <c r="CB82" s="105">
        <v>1.7562934936371448</v>
      </c>
      <c r="CC82" s="105">
        <v>628.05055332464292</v>
      </c>
      <c r="CD82" s="105">
        <v>1.5000298781761545</v>
      </c>
      <c r="CE82" s="105">
        <v>536.41068443579286</v>
      </c>
      <c r="CF82" s="105">
        <v>1.6524014053191947</v>
      </c>
      <c r="CG82" s="105">
        <v>590.89874254214396</v>
      </c>
      <c r="CH82" s="105">
        <v>1.8753456245410656</v>
      </c>
      <c r="CI82" s="105">
        <v>670.62359533588494</v>
      </c>
      <c r="CJ82" s="105">
        <v>1.8999865110349221</v>
      </c>
      <c r="CK82" s="105">
        <v>679.43517634608804</v>
      </c>
      <c r="CL82" s="105">
        <v>1.5393356626919359</v>
      </c>
      <c r="CM82" s="105">
        <v>550.46643297863625</v>
      </c>
      <c r="CN82" s="105">
        <v>1.8650084741745725</v>
      </c>
      <c r="CO82" s="105">
        <v>666.92703036482703</v>
      </c>
      <c r="CP82" s="105">
        <v>1.4289121376258602</v>
      </c>
      <c r="CQ82" s="105">
        <v>510.97898041500758</v>
      </c>
      <c r="CR82" s="105">
        <v>1.1145401694691044</v>
      </c>
      <c r="CS82" s="105">
        <v>398.55956460215168</v>
      </c>
      <c r="CT82" s="105">
        <v>1.6726471682689832</v>
      </c>
      <c r="CU82" s="105">
        <v>598.13862737298837</v>
      </c>
    </row>
    <row r="83" spans="2:99" x14ac:dyDescent="0.2">
      <c r="C83" s="104" t="s">
        <v>249</v>
      </c>
      <c r="D83" s="105">
        <v>2.0962056565541256</v>
      </c>
      <c r="E83" s="105">
        <v>1252.6925003567455</v>
      </c>
      <c r="F83" s="105">
        <v>0</v>
      </c>
      <c r="G83" s="105">
        <v>0</v>
      </c>
      <c r="H83" s="105">
        <v>0</v>
      </c>
      <c r="I83" s="105">
        <v>0</v>
      </c>
      <c r="J83" s="105">
        <v>0</v>
      </c>
      <c r="K83" s="105">
        <v>0</v>
      </c>
      <c r="L83" s="105">
        <v>0</v>
      </c>
      <c r="M83" s="105">
        <v>0</v>
      </c>
      <c r="N83" s="105">
        <v>1.1110407638648037</v>
      </c>
      <c r="O83" s="105">
        <v>663.95796048560669</v>
      </c>
      <c r="P83" s="105">
        <v>1.3990017070484082</v>
      </c>
      <c r="Q83" s="105">
        <v>836.04342013212874</v>
      </c>
      <c r="R83" s="105">
        <v>1.5869936688620203</v>
      </c>
      <c r="S83" s="105">
        <v>948.38741651194334</v>
      </c>
      <c r="T83" s="105">
        <v>1.670007132682187</v>
      </c>
      <c r="U83" s="105">
        <v>997.99626249087498</v>
      </c>
      <c r="V83" s="105">
        <v>1.6232129837896851</v>
      </c>
      <c r="W83" s="105">
        <v>970.03207911271591</v>
      </c>
      <c r="X83" s="105">
        <v>1.4420286555611046</v>
      </c>
      <c r="Y83" s="105">
        <v>861.75632456331618</v>
      </c>
      <c r="Z83" s="105">
        <v>1.0425387759101716</v>
      </c>
      <c r="AA83" s="105">
        <v>623.02117248391858</v>
      </c>
      <c r="AB83" s="105">
        <v>1.6555175500739088</v>
      </c>
      <c r="AC83" s="105">
        <v>989.33728792416787</v>
      </c>
      <c r="AD83" s="105">
        <v>1.4013559168334973</v>
      </c>
      <c r="AE83" s="105">
        <v>837.45029589969795</v>
      </c>
      <c r="AF83" s="105">
        <v>1.6091383024171533</v>
      </c>
      <c r="AG83" s="105">
        <v>961.62104952449079</v>
      </c>
      <c r="AH83" s="105">
        <v>1.4011609868260813</v>
      </c>
      <c r="AI83" s="105">
        <v>837.33380572726617</v>
      </c>
      <c r="AJ83" s="105">
        <v>1.5790330933435739</v>
      </c>
      <c r="AK83" s="105">
        <v>943.63017658211982</v>
      </c>
      <c r="AL83" s="105">
        <v>1.4813876851530716</v>
      </c>
      <c r="AM83" s="105">
        <v>885.27728064747566</v>
      </c>
      <c r="AN83" s="105">
        <v>1.8110940953102352</v>
      </c>
      <c r="AO83" s="105">
        <v>1082.3098313573967</v>
      </c>
      <c r="AP83" s="105">
        <v>1.8284602815596567</v>
      </c>
      <c r="AQ83" s="105">
        <v>1092.6878642600509</v>
      </c>
      <c r="AR83" s="105">
        <v>1.570604426003487</v>
      </c>
      <c r="AS83" s="105">
        <v>938.59320497968395</v>
      </c>
      <c r="AT83" s="105">
        <v>1.4246105995295881</v>
      </c>
      <c r="AU83" s="105">
        <v>851.34729427888192</v>
      </c>
      <c r="AV83" s="105">
        <v>1.9353688330918699</v>
      </c>
      <c r="AW83" s="105">
        <v>1156.5764146557015</v>
      </c>
      <c r="AX83" s="105">
        <v>1.325433066029589</v>
      </c>
      <c r="AY83" s="105">
        <v>792.07880025928239</v>
      </c>
      <c r="AZ83" s="105">
        <v>2.0296213944370858</v>
      </c>
      <c r="BA83" s="105">
        <v>1212.9017453156025</v>
      </c>
      <c r="BB83" s="105">
        <v>1.3064540470125019</v>
      </c>
      <c r="BC83" s="105">
        <v>780.73693849467111</v>
      </c>
      <c r="BD83" s="105">
        <v>1.6532696616135838</v>
      </c>
      <c r="BE83" s="105">
        <v>987.99394978027772</v>
      </c>
      <c r="BF83" s="105">
        <v>1.8798097134700436</v>
      </c>
      <c r="BG83" s="105">
        <v>1123.3742847696981</v>
      </c>
      <c r="BH83" s="105">
        <v>1.8204033015651315</v>
      </c>
      <c r="BI83" s="105">
        <v>1087.8730130153226</v>
      </c>
      <c r="BJ83" s="105">
        <v>1.3876769587092244</v>
      </c>
      <c r="BK83" s="105">
        <v>829.27575052463249</v>
      </c>
      <c r="BL83" s="105">
        <v>1.468854579851727</v>
      </c>
      <c r="BM83" s="105">
        <v>877.78749691939208</v>
      </c>
      <c r="BN83" s="105">
        <v>1.2690079036057398</v>
      </c>
      <c r="BO83" s="105">
        <v>758.35912319479007</v>
      </c>
      <c r="BP83" s="105">
        <v>1.6363484687494181</v>
      </c>
      <c r="BQ83" s="105">
        <v>977.88184492465223</v>
      </c>
      <c r="BR83" s="105">
        <v>1.5367844603509586</v>
      </c>
      <c r="BS83" s="105">
        <v>918.38239350573292</v>
      </c>
      <c r="BT83" s="105">
        <v>1.1918616299769631</v>
      </c>
      <c r="BU83" s="105">
        <v>712.25651007423312</v>
      </c>
      <c r="BV83" s="105">
        <v>1.3718044954803807</v>
      </c>
      <c r="BW83" s="105">
        <v>819.79036649907562</v>
      </c>
      <c r="BX83" s="105">
        <v>1.5364897732258889</v>
      </c>
      <c r="BY83" s="105">
        <v>918.20628847979117</v>
      </c>
      <c r="BZ83" s="105">
        <v>1.3834472279636651</v>
      </c>
      <c r="CA83" s="105">
        <v>826.74806343108628</v>
      </c>
      <c r="CB83" s="105">
        <v>1.7562934936371448</v>
      </c>
      <c r="CC83" s="105">
        <v>1049.5609917975578</v>
      </c>
      <c r="CD83" s="105">
        <v>1.5000298781761545</v>
      </c>
      <c r="CE83" s="105">
        <v>896.41785519807001</v>
      </c>
      <c r="CF83" s="105">
        <v>1.6524014053191947</v>
      </c>
      <c r="CG83" s="105">
        <v>987.47507981875071</v>
      </c>
      <c r="CH83" s="105">
        <v>1.9160105708003035</v>
      </c>
      <c r="CI83" s="105">
        <v>1145.0079171102614</v>
      </c>
      <c r="CJ83" s="105">
        <v>1.9213320771154532</v>
      </c>
      <c r="CK83" s="105">
        <v>1148.1880492841949</v>
      </c>
      <c r="CL83" s="105">
        <v>1.5393356626919359</v>
      </c>
      <c r="CM83" s="105">
        <v>919.90699202470091</v>
      </c>
      <c r="CN83" s="105">
        <v>1.4344290217548914</v>
      </c>
      <c r="CO83" s="105">
        <v>857.21478340072315</v>
      </c>
      <c r="CP83" s="105">
        <v>1.4289121376258602</v>
      </c>
      <c r="CQ83" s="105">
        <v>853.91789344521408</v>
      </c>
      <c r="CR83" s="105">
        <v>1.416382739154654</v>
      </c>
      <c r="CS83" s="105">
        <v>846.43032491882127</v>
      </c>
      <c r="CT83" s="105">
        <v>1.6557428134074628</v>
      </c>
      <c r="CU83" s="105">
        <v>989.47190529229977</v>
      </c>
    </row>
    <row r="84" spans="2:99" x14ac:dyDescent="0.2">
      <c r="C84" s="104" t="s">
        <v>250</v>
      </c>
      <c r="D84" s="105">
        <v>2.0962056565541256</v>
      </c>
      <c r="E84" s="105">
        <v>1071.5803316304689</v>
      </c>
      <c r="F84" s="105">
        <v>0</v>
      </c>
      <c r="G84" s="105">
        <v>0</v>
      </c>
      <c r="H84" s="105">
        <v>0</v>
      </c>
      <c r="I84" s="105">
        <v>0</v>
      </c>
      <c r="J84" s="105">
        <v>0</v>
      </c>
      <c r="K84" s="105">
        <v>0</v>
      </c>
      <c r="L84" s="105">
        <v>0</v>
      </c>
      <c r="M84" s="105">
        <v>0</v>
      </c>
      <c r="N84" s="105">
        <v>1.1110407638648037</v>
      </c>
      <c r="O84" s="105">
        <v>567.96403848768762</v>
      </c>
      <c r="P84" s="105">
        <v>1.1314791465923224</v>
      </c>
      <c r="Q84" s="105">
        <v>578.41213973799518</v>
      </c>
      <c r="R84" s="105">
        <v>1.5869936688620203</v>
      </c>
      <c r="S84" s="105">
        <v>811.27116352226471</v>
      </c>
      <c r="T84" s="105">
        <v>1.670007132682187</v>
      </c>
      <c r="U84" s="105">
        <v>853.70764622713398</v>
      </c>
      <c r="V84" s="105">
        <v>1.6232129837896851</v>
      </c>
      <c r="W84" s="105">
        <v>829.78647731328704</v>
      </c>
      <c r="X84" s="105">
        <v>1.6814833905370332</v>
      </c>
      <c r="Y84" s="105">
        <v>859.5743092425314</v>
      </c>
      <c r="Z84" s="105">
        <v>1.7643412757389014</v>
      </c>
      <c r="AA84" s="105">
        <v>901.93126015772634</v>
      </c>
      <c r="AB84" s="105">
        <v>1.6791138186396501</v>
      </c>
      <c r="AC84" s="105">
        <v>858.36298408858909</v>
      </c>
      <c r="AD84" s="105">
        <v>2.0160300634975172</v>
      </c>
      <c r="AE84" s="105">
        <v>1030.5945684599308</v>
      </c>
      <c r="AF84" s="105">
        <v>1.6091383024171533</v>
      </c>
      <c r="AG84" s="105">
        <v>822.59150019564879</v>
      </c>
      <c r="AH84" s="105">
        <v>1.4182037051328438</v>
      </c>
      <c r="AI84" s="105">
        <v>724.98573406390972</v>
      </c>
      <c r="AJ84" s="105">
        <v>1.5790330933435739</v>
      </c>
      <c r="AK84" s="105">
        <v>807.20171731723497</v>
      </c>
      <c r="AL84" s="105">
        <v>1.4813876851530716</v>
      </c>
      <c r="AM84" s="105">
        <v>757.28538465025019</v>
      </c>
      <c r="AN84" s="105">
        <v>1.8110940953102352</v>
      </c>
      <c r="AO84" s="105">
        <v>925.83130152259218</v>
      </c>
      <c r="AP84" s="105">
        <v>1.9808676274951749</v>
      </c>
      <c r="AQ84" s="105">
        <v>1012.6195311755333</v>
      </c>
      <c r="AR84" s="105">
        <v>1.5480021146656144</v>
      </c>
      <c r="AS84" s="105">
        <v>791.33868101706207</v>
      </c>
      <c r="AT84" s="105">
        <v>2.0405073669402034</v>
      </c>
      <c r="AU84" s="105">
        <v>1043.1073659798319</v>
      </c>
      <c r="AV84" s="105">
        <v>1.9353688330918699</v>
      </c>
      <c r="AW84" s="105">
        <v>989.36054747656385</v>
      </c>
      <c r="AX84" s="105">
        <v>1.325433066029589</v>
      </c>
      <c r="AY84" s="105">
        <v>677.56138335432593</v>
      </c>
      <c r="AZ84" s="105">
        <v>2.0296213944370858</v>
      </c>
      <c r="BA84" s="105">
        <v>1037.5424568362382</v>
      </c>
      <c r="BB84" s="105">
        <v>1.7419387293500024</v>
      </c>
      <c r="BC84" s="105">
        <v>890.47907844372116</v>
      </c>
      <c r="BD84" s="105">
        <v>1.6303791440177757</v>
      </c>
      <c r="BE84" s="105">
        <v>833.4498184218869</v>
      </c>
      <c r="BF84" s="105">
        <v>1.0743422902210675</v>
      </c>
      <c r="BG84" s="105">
        <v>549.20377876100974</v>
      </c>
      <c r="BH84" s="105">
        <v>1.6113140204653951</v>
      </c>
      <c r="BI84" s="105">
        <v>823.70372726190999</v>
      </c>
      <c r="BJ84" s="105">
        <v>1.3876769587092244</v>
      </c>
      <c r="BK84" s="105">
        <v>709.38046129215547</v>
      </c>
      <c r="BL84" s="105">
        <v>1.468854579851727</v>
      </c>
      <c r="BM84" s="105">
        <v>750.87846122020278</v>
      </c>
      <c r="BN84" s="105">
        <v>1.8506697074455523</v>
      </c>
      <c r="BO84" s="105">
        <v>946.0623544461663</v>
      </c>
      <c r="BP84" s="105">
        <v>1.4468809307856374</v>
      </c>
      <c r="BQ84" s="105">
        <v>739.64553181761778</v>
      </c>
      <c r="BR84" s="105">
        <v>1.5367844603509586</v>
      </c>
      <c r="BS84" s="105">
        <v>785.60421613141</v>
      </c>
      <c r="BT84" s="105">
        <v>1.1918616299769631</v>
      </c>
      <c r="BU84" s="105">
        <v>609.27966524422357</v>
      </c>
      <c r="BV84" s="105">
        <v>1.3439517657878994</v>
      </c>
      <c r="BW84" s="105">
        <v>687.02814267077417</v>
      </c>
      <c r="BX84" s="105">
        <v>1.3819022530485636</v>
      </c>
      <c r="BY84" s="105">
        <v>706.42843175842575</v>
      </c>
      <c r="BZ84" s="105">
        <v>1.8445963039515538</v>
      </c>
      <c r="CA84" s="105">
        <v>942.95763058003433</v>
      </c>
      <c r="CB84" s="105">
        <v>1.7562934936371448</v>
      </c>
      <c r="CC84" s="105">
        <v>897.81723394730841</v>
      </c>
      <c r="CD84" s="105">
        <v>1.5000298781761545</v>
      </c>
      <c r="CE84" s="105">
        <v>766.81527372365019</v>
      </c>
      <c r="CF84" s="105">
        <v>1.4458355918481249</v>
      </c>
      <c r="CG84" s="105">
        <v>739.11115455276149</v>
      </c>
      <c r="CH84" s="105">
        <v>1.8956780976706844</v>
      </c>
      <c r="CI84" s="105">
        <v>969.07064352925386</v>
      </c>
      <c r="CJ84" s="105">
        <v>1.5157085391184486</v>
      </c>
      <c r="CK84" s="105">
        <v>774.83020519735089</v>
      </c>
      <c r="CL84" s="105">
        <v>1.5393356626919359</v>
      </c>
      <c r="CM84" s="105">
        <v>786.90839076811756</v>
      </c>
      <c r="CN84" s="105">
        <v>1.8650084741745725</v>
      </c>
      <c r="CO84" s="105">
        <v>953.39233199804141</v>
      </c>
      <c r="CP84" s="105">
        <v>1.4289121376258602</v>
      </c>
      <c r="CQ84" s="105">
        <v>730.45988475433978</v>
      </c>
      <c r="CR84" s="105">
        <v>1.1145401694691044</v>
      </c>
      <c r="CS84" s="105">
        <v>569.75293463260618</v>
      </c>
      <c r="CT84" s="105">
        <v>1.6726471682689832</v>
      </c>
      <c r="CU84" s="105">
        <v>855.05723241910414</v>
      </c>
    </row>
    <row r="85" spans="2:99" x14ac:dyDescent="0.2">
      <c r="C85" s="104" t="s">
        <v>251</v>
      </c>
      <c r="D85" s="105">
        <v>2.0962056565541256</v>
      </c>
      <c r="E85" s="105">
        <v>571.00642084534377</v>
      </c>
      <c r="F85" s="105">
        <v>0</v>
      </c>
      <c r="G85" s="105">
        <v>0</v>
      </c>
      <c r="H85" s="105">
        <v>0</v>
      </c>
      <c r="I85" s="105">
        <v>0</v>
      </c>
      <c r="J85" s="105">
        <v>0</v>
      </c>
      <c r="K85" s="105">
        <v>0</v>
      </c>
      <c r="L85" s="105">
        <v>0</v>
      </c>
      <c r="M85" s="105">
        <v>0</v>
      </c>
      <c r="N85" s="105">
        <v>1.6665611457972056</v>
      </c>
      <c r="O85" s="105">
        <v>453.97125611515878</v>
      </c>
      <c r="P85" s="105">
        <v>1.3990017070484082</v>
      </c>
      <c r="Q85" s="105">
        <v>381.08806499998639</v>
      </c>
      <c r="R85" s="105">
        <v>1.5869936688620203</v>
      </c>
      <c r="S85" s="105">
        <v>432.29707539801427</v>
      </c>
      <c r="T85" s="105">
        <v>1.670007132682187</v>
      </c>
      <c r="U85" s="105">
        <v>454.90994294262771</v>
      </c>
      <c r="V85" s="105">
        <v>1.6232129837896851</v>
      </c>
      <c r="W85" s="105">
        <v>442.16321678431018</v>
      </c>
      <c r="X85" s="105">
        <v>1.7054288640346258</v>
      </c>
      <c r="Y85" s="105">
        <v>464.55882256303204</v>
      </c>
      <c r="Z85" s="105">
        <v>1.0425387759101716</v>
      </c>
      <c r="AA85" s="105">
        <v>283.98756255793074</v>
      </c>
      <c r="AB85" s="105">
        <v>1.6791138186396501</v>
      </c>
      <c r="AC85" s="105">
        <v>457.39060419744067</v>
      </c>
      <c r="AD85" s="105">
        <v>1.4013559168334973</v>
      </c>
      <c r="AE85" s="105">
        <v>381.7293517454446</v>
      </c>
      <c r="AF85" s="105">
        <v>1.6091383024171533</v>
      </c>
      <c r="AG85" s="105">
        <v>438.32927357843249</v>
      </c>
      <c r="AH85" s="105">
        <v>1.4011609868260813</v>
      </c>
      <c r="AI85" s="105">
        <v>381.67625281142449</v>
      </c>
      <c r="AJ85" s="105">
        <v>1.5790330933435739</v>
      </c>
      <c r="AK85" s="105">
        <v>430.1286146267895</v>
      </c>
      <c r="AL85" s="105">
        <v>1.4813876851530716</v>
      </c>
      <c r="AM85" s="105">
        <v>403.53000543569669</v>
      </c>
      <c r="AN85" s="105">
        <v>1.8110940953102352</v>
      </c>
      <c r="AO85" s="105">
        <v>493.34203156250805</v>
      </c>
      <c r="AP85" s="105">
        <v>1.8284602815596567</v>
      </c>
      <c r="AQ85" s="105">
        <v>498.07258069685042</v>
      </c>
      <c r="AR85" s="105">
        <v>1.5932067373413599</v>
      </c>
      <c r="AS85" s="105">
        <v>433.98951525178637</v>
      </c>
      <c r="AT85" s="105">
        <v>1.5454905145873759</v>
      </c>
      <c r="AU85" s="105">
        <v>420.99161617360113</v>
      </c>
      <c r="AV85" s="105">
        <v>1.9353688330918699</v>
      </c>
      <c r="AW85" s="105">
        <v>527.1944701342253</v>
      </c>
      <c r="AX85" s="105">
        <v>1.325433066029589</v>
      </c>
      <c r="AY85" s="105">
        <v>361.04796718646003</v>
      </c>
      <c r="AZ85" s="105">
        <v>1.3395506975750233</v>
      </c>
      <c r="BA85" s="105">
        <v>364.89361001943632</v>
      </c>
      <c r="BB85" s="105">
        <v>1.9112588405359334</v>
      </c>
      <c r="BC85" s="105">
        <v>520.62690816198824</v>
      </c>
      <c r="BD85" s="105">
        <v>1.4701455208471168</v>
      </c>
      <c r="BE85" s="105">
        <v>400.4676398787546</v>
      </c>
      <c r="BF85" s="105">
        <v>1.6115134353316014</v>
      </c>
      <c r="BG85" s="105">
        <v>438.97625978432819</v>
      </c>
      <c r="BH85" s="105">
        <v>1.3653024761738486</v>
      </c>
      <c r="BI85" s="105">
        <v>371.90839450975631</v>
      </c>
      <c r="BJ85" s="105">
        <v>1.3876769587092244</v>
      </c>
      <c r="BK85" s="105">
        <v>378.00320355239268</v>
      </c>
      <c r="BL85" s="105">
        <v>1.7606273648790796</v>
      </c>
      <c r="BM85" s="105">
        <v>479.59489419306124</v>
      </c>
      <c r="BN85" s="105">
        <v>1.2954289775872685</v>
      </c>
      <c r="BO85" s="105">
        <v>352.87485349477191</v>
      </c>
      <c r="BP85" s="105">
        <v>1.9291745743808497</v>
      </c>
      <c r="BQ85" s="105">
        <v>525.50715406134339</v>
      </c>
      <c r="BR85" s="105">
        <v>1.0245229735673058</v>
      </c>
      <c r="BS85" s="105">
        <v>279.08005799973409</v>
      </c>
      <c r="BT85" s="105">
        <v>1.1918616299769631</v>
      </c>
      <c r="BU85" s="105">
        <v>324.66310800572472</v>
      </c>
      <c r="BV85" s="105">
        <v>1.3718044954803807</v>
      </c>
      <c r="BW85" s="105">
        <v>373.6795445688557</v>
      </c>
      <c r="BX85" s="105">
        <v>1.3819022530485636</v>
      </c>
      <c r="BY85" s="105">
        <v>376.43017373042869</v>
      </c>
      <c r="BZ85" s="105">
        <v>1.8445963039515538</v>
      </c>
      <c r="CA85" s="105">
        <v>502.46803319640321</v>
      </c>
      <c r="CB85" s="105">
        <v>1.7562934936371448</v>
      </c>
      <c r="CC85" s="105">
        <v>478.4143476667582</v>
      </c>
      <c r="CD85" s="105">
        <v>1.5000298781761545</v>
      </c>
      <c r="CE85" s="105">
        <v>408.60813881518447</v>
      </c>
      <c r="CF85" s="105">
        <v>1.8382824893920509</v>
      </c>
      <c r="CG85" s="105">
        <v>500.74815011039459</v>
      </c>
      <c r="CH85" s="105">
        <v>1.8956780976706844</v>
      </c>
      <c r="CI85" s="105">
        <v>516.3827138054944</v>
      </c>
      <c r="CJ85" s="105">
        <v>1.7078764163101423</v>
      </c>
      <c r="CK85" s="105">
        <v>465.22553580288275</v>
      </c>
      <c r="CL85" s="105">
        <v>1.7672082600899492</v>
      </c>
      <c r="CM85" s="105">
        <v>481.38753004850213</v>
      </c>
      <c r="CN85" s="105">
        <v>1.4344290217548914</v>
      </c>
      <c r="CO85" s="105">
        <v>390.73846552603237</v>
      </c>
      <c r="CP85" s="105">
        <v>1.4289121376258602</v>
      </c>
      <c r="CQ85" s="105">
        <v>389.23566628928427</v>
      </c>
      <c r="CR85" s="105">
        <v>1.1145401694691044</v>
      </c>
      <c r="CS85" s="105">
        <v>303.60074216338398</v>
      </c>
      <c r="CT85" s="105">
        <v>1.6726471682689832</v>
      </c>
      <c r="CU85" s="105">
        <v>455.62908863647095</v>
      </c>
    </row>
    <row r="86" spans="2:99" x14ac:dyDescent="0.2">
      <c r="C86" s="104" t="s">
        <v>252</v>
      </c>
      <c r="D86" s="105">
        <v>2.0962056565541256</v>
      </c>
      <c r="E86" s="105">
        <v>1038.8795233882245</v>
      </c>
      <c r="F86" s="105">
        <v>0</v>
      </c>
      <c r="G86" s="105">
        <v>0</v>
      </c>
      <c r="H86" s="105">
        <v>0</v>
      </c>
      <c r="I86" s="105">
        <v>0</v>
      </c>
      <c r="J86" s="105">
        <v>0</v>
      </c>
      <c r="K86" s="105">
        <v>0</v>
      </c>
      <c r="L86" s="105">
        <v>0</v>
      </c>
      <c r="M86" s="105">
        <v>0</v>
      </c>
      <c r="N86" s="105">
        <v>1.6665611457972056</v>
      </c>
      <c r="O86" s="105">
        <v>825.94770385709501</v>
      </c>
      <c r="P86" s="105">
        <v>1.1314791465923224</v>
      </c>
      <c r="Q86" s="105">
        <v>560.7610650511549</v>
      </c>
      <c r="R86" s="105">
        <v>1.5675550074099318</v>
      </c>
      <c r="S86" s="105">
        <v>776.88026167236217</v>
      </c>
      <c r="T86" s="105">
        <v>1.670007132682187</v>
      </c>
      <c r="U86" s="105">
        <v>827.65553495729182</v>
      </c>
      <c r="V86" s="105">
        <v>1.6232129837896851</v>
      </c>
      <c r="W86" s="105">
        <v>804.46435476616796</v>
      </c>
      <c r="X86" s="105">
        <v>1.4420286555611046</v>
      </c>
      <c r="Y86" s="105">
        <v>714.66940169608336</v>
      </c>
      <c r="Z86" s="105">
        <v>1.0425387759101716</v>
      </c>
      <c r="AA86" s="105">
        <v>516.68221734108101</v>
      </c>
      <c r="AB86" s="105">
        <v>1.6555175500739088</v>
      </c>
      <c r="AC86" s="105">
        <v>820.47449781662908</v>
      </c>
      <c r="AD86" s="105">
        <v>1.758018628239332</v>
      </c>
      <c r="AE86" s="105">
        <v>871.2740321554129</v>
      </c>
      <c r="AF86" s="105">
        <v>1.6091383024171533</v>
      </c>
      <c r="AG86" s="105">
        <v>797.48894267794105</v>
      </c>
      <c r="AH86" s="105">
        <v>1.7318729026473421</v>
      </c>
      <c r="AI86" s="105">
        <v>858.31621055202265</v>
      </c>
      <c r="AJ86" s="105">
        <v>1.5790330933435739</v>
      </c>
      <c r="AK86" s="105">
        <v>782.56880106107519</v>
      </c>
      <c r="AL86" s="105">
        <v>1.4813876851530716</v>
      </c>
      <c r="AM86" s="105">
        <v>734.17573676186225</v>
      </c>
      <c r="AN86" s="105">
        <v>1.9853104583424528</v>
      </c>
      <c r="AO86" s="105">
        <v>983.91986315451959</v>
      </c>
      <c r="AP86" s="105">
        <v>1.3713452111697426</v>
      </c>
      <c r="AQ86" s="105">
        <v>679.63868665572443</v>
      </c>
      <c r="AR86" s="105">
        <v>1.5480021146656144</v>
      </c>
      <c r="AS86" s="105">
        <v>767.18984802827845</v>
      </c>
      <c r="AT86" s="105">
        <v>2.0405073669402034</v>
      </c>
      <c r="AU86" s="105">
        <v>1011.2754510555648</v>
      </c>
      <c r="AV86" s="105">
        <v>1.9353688330918699</v>
      </c>
      <c r="AW86" s="105">
        <v>959.16879368033062</v>
      </c>
      <c r="AX86" s="105">
        <v>1.325433066029589</v>
      </c>
      <c r="AY86" s="105">
        <v>656.88462752426426</v>
      </c>
      <c r="AZ86" s="105">
        <v>1.7860675967666977</v>
      </c>
      <c r="BA86" s="105">
        <v>885.1751009575753</v>
      </c>
      <c r="BB86" s="105">
        <v>1.9112588405359334</v>
      </c>
      <c r="BC86" s="105">
        <v>947.21988136960852</v>
      </c>
      <c r="BD86" s="105">
        <v>1.4701455208471168</v>
      </c>
      <c r="BE86" s="105">
        <v>728.604120131831</v>
      </c>
      <c r="BF86" s="105">
        <v>1.0743422902210675</v>
      </c>
      <c r="BG86" s="105">
        <v>532.44403903356101</v>
      </c>
      <c r="BH86" s="105">
        <v>2.066414845856678</v>
      </c>
      <c r="BI86" s="105">
        <v>1024.1151976065696</v>
      </c>
      <c r="BJ86" s="105">
        <v>1.2503431981484818</v>
      </c>
      <c r="BK86" s="105">
        <v>619.6700890023875</v>
      </c>
      <c r="BL86" s="105">
        <v>1.468854579851727</v>
      </c>
      <c r="BM86" s="105">
        <v>727.96432977451582</v>
      </c>
      <c r="BN86" s="105">
        <v>1.3218500515687972</v>
      </c>
      <c r="BO86" s="105">
        <v>655.1088855574958</v>
      </c>
      <c r="BP86" s="105">
        <v>1.9291745743808497</v>
      </c>
      <c r="BQ86" s="105">
        <v>956.09891906314908</v>
      </c>
      <c r="BR86" s="105">
        <v>1.7662883532167588</v>
      </c>
      <c r="BS86" s="105">
        <v>875.37250785422566</v>
      </c>
      <c r="BT86" s="105">
        <v>1.1918616299769631</v>
      </c>
      <c r="BU86" s="105">
        <v>590.68662381658282</v>
      </c>
      <c r="BV86" s="105">
        <v>1.3439517657878994</v>
      </c>
      <c r="BW86" s="105">
        <v>666.06249512448289</v>
      </c>
      <c r="BX86" s="105">
        <v>1.5585737046797923</v>
      </c>
      <c r="BY86" s="105">
        <v>772.42912803930506</v>
      </c>
      <c r="BZ86" s="105">
        <v>1.8445963039515538</v>
      </c>
      <c r="CA86" s="105">
        <v>914.18192823839001</v>
      </c>
      <c r="CB86" s="105">
        <v>1.7562934936371448</v>
      </c>
      <c r="CC86" s="105">
        <v>870.4190554465689</v>
      </c>
      <c r="CD86" s="105">
        <v>1.6971131676260607</v>
      </c>
      <c r="CE86" s="105">
        <v>841.08928587547564</v>
      </c>
      <c r="CF86" s="105">
        <v>1.2393010539893961</v>
      </c>
      <c r="CG86" s="105">
        <v>614.19760235714466</v>
      </c>
      <c r="CH86" s="105">
        <v>1.8753456245410656</v>
      </c>
      <c r="CI86" s="105">
        <v>929.421291522552</v>
      </c>
      <c r="CJ86" s="105">
        <v>1.942677643195984</v>
      </c>
      <c r="CK86" s="105">
        <v>962.79103996792958</v>
      </c>
      <c r="CL86" s="105">
        <v>1.7418890826012812</v>
      </c>
      <c r="CM86" s="105">
        <v>863.2802293371949</v>
      </c>
      <c r="CN86" s="105">
        <v>1.8242397128900452</v>
      </c>
      <c r="CO86" s="105">
        <v>904.09320170830631</v>
      </c>
      <c r="CP86" s="105">
        <v>1.4289121376258602</v>
      </c>
      <c r="CQ86" s="105">
        <v>708.16885540737633</v>
      </c>
      <c r="CR86" s="105">
        <v>1.443822972762431</v>
      </c>
      <c r="CS86" s="105">
        <v>715.55866530106073</v>
      </c>
      <c r="CT86" s="105">
        <v>1.6726471682689832</v>
      </c>
      <c r="CU86" s="105">
        <v>828.96393659410796</v>
      </c>
    </row>
    <row r="87" spans="2:99" x14ac:dyDescent="0.2">
      <c r="B87" s="104" t="s">
        <v>131</v>
      </c>
      <c r="C87" s="104" t="s">
        <v>253</v>
      </c>
      <c r="D87" s="105">
        <v>3</v>
      </c>
      <c r="E87" s="105">
        <v>2822.3999999999996</v>
      </c>
      <c r="F87" s="105">
        <v>4</v>
      </c>
      <c r="G87" s="105">
        <v>3763.2</v>
      </c>
      <c r="H87" s="105">
        <v>4</v>
      </c>
      <c r="I87" s="105">
        <v>3763.2</v>
      </c>
      <c r="J87" s="105">
        <v>3</v>
      </c>
      <c r="K87" s="105">
        <v>2822.3999999999996</v>
      </c>
      <c r="L87" s="105">
        <v>0.82551733476229372</v>
      </c>
      <c r="M87" s="105">
        <v>776.64670854436588</v>
      </c>
      <c r="N87" s="105">
        <v>2.7679612395261892</v>
      </c>
      <c r="O87" s="105">
        <v>2604.0979341462389</v>
      </c>
      <c r="P87" s="105">
        <v>2.3615004797609691</v>
      </c>
      <c r="Q87" s="105">
        <v>2221.6996513591198</v>
      </c>
      <c r="R87" s="105">
        <v>2.9351885668851114</v>
      </c>
      <c r="S87" s="105">
        <v>2761.4254037255128</v>
      </c>
      <c r="T87" s="105">
        <v>3.6296236279988872</v>
      </c>
      <c r="U87" s="105">
        <v>3414.7499092213529</v>
      </c>
      <c r="V87" s="105">
        <v>2.3265843581223296</v>
      </c>
      <c r="W87" s="105">
        <v>2188.8505641214874</v>
      </c>
      <c r="X87" s="105">
        <v>3.812732460023315</v>
      </c>
      <c r="Y87" s="105">
        <v>3587.0186983899348</v>
      </c>
      <c r="Z87" s="105">
        <v>3.1900563460064126</v>
      </c>
      <c r="AA87" s="105">
        <v>3001.205010322833</v>
      </c>
      <c r="AB87" s="105">
        <v>3.5424781698379366</v>
      </c>
      <c r="AC87" s="105">
        <v>3332.7634621835305</v>
      </c>
      <c r="AD87" s="105">
        <v>3.3938775466268534</v>
      </c>
      <c r="AE87" s="105">
        <v>3192.9599958665435</v>
      </c>
      <c r="AF87" s="105">
        <v>3.1548880872506881</v>
      </c>
      <c r="AG87" s="105">
        <v>2968.1187124854473</v>
      </c>
      <c r="AH87" s="105">
        <v>1.7306282157247204</v>
      </c>
      <c r="AI87" s="105">
        <v>1628.1750253538169</v>
      </c>
      <c r="AJ87" s="105">
        <v>4.5954101785482502</v>
      </c>
      <c r="AK87" s="105">
        <v>4323.3618959781934</v>
      </c>
      <c r="AL87" s="105">
        <v>2.1070200184408208</v>
      </c>
      <c r="AM87" s="105">
        <v>1982.2844333491241</v>
      </c>
      <c r="AN87" s="105">
        <v>3.9146420816352263</v>
      </c>
      <c r="AO87" s="105">
        <v>3682.8952704024209</v>
      </c>
      <c r="AP87" s="105">
        <v>3.8915750250402996</v>
      </c>
      <c r="AQ87" s="105">
        <v>3661.1937835579138</v>
      </c>
      <c r="AR87" s="105">
        <v>3.0734888332590615</v>
      </c>
      <c r="AS87" s="105">
        <v>2891.5382943301252</v>
      </c>
      <c r="AT87" s="105">
        <v>2.540173982207071</v>
      </c>
      <c r="AU87" s="105">
        <v>2389.7956824604121</v>
      </c>
      <c r="AV87" s="105">
        <v>3.0262896694347301</v>
      </c>
      <c r="AW87" s="105">
        <v>2847.1333210041939</v>
      </c>
      <c r="AX87" s="105">
        <v>3.2214446439066973</v>
      </c>
      <c r="AY87" s="105">
        <v>3030.7351209874205</v>
      </c>
      <c r="AZ87" s="105">
        <v>3.2598919530928052</v>
      </c>
      <c r="BA87" s="105">
        <v>3066.9063494697111</v>
      </c>
      <c r="BB87" s="105">
        <v>3.7434547953696415</v>
      </c>
      <c r="BC87" s="105">
        <v>3521.8422714837584</v>
      </c>
      <c r="BD87" s="105">
        <v>3.227001331246159</v>
      </c>
      <c r="BE87" s="105">
        <v>3035.9628524363861</v>
      </c>
      <c r="BF87" s="105">
        <v>2.9902486119431995</v>
      </c>
      <c r="BG87" s="105">
        <v>2813.2258941161617</v>
      </c>
      <c r="BH87" s="105">
        <v>3.5198661003429175</v>
      </c>
      <c r="BI87" s="105">
        <v>3311.4900272026166</v>
      </c>
      <c r="BJ87" s="105">
        <v>4.1664024816449068</v>
      </c>
      <c r="BK87" s="105">
        <v>3919.7514547315282</v>
      </c>
      <c r="BL87" s="105">
        <v>3.188944982220435</v>
      </c>
      <c r="BM87" s="105">
        <v>3000.1594392729853</v>
      </c>
      <c r="BN87" s="105">
        <v>2.892829768324344</v>
      </c>
      <c r="BO87" s="105">
        <v>2721.5742460395427</v>
      </c>
      <c r="BP87" s="105">
        <v>3.3548669219060785</v>
      </c>
      <c r="BQ87" s="105">
        <v>3156.2588001292384</v>
      </c>
      <c r="BR87" s="105">
        <v>2.5820582540501213</v>
      </c>
      <c r="BS87" s="105">
        <v>2429.2004054103541</v>
      </c>
      <c r="BT87" s="105">
        <v>3.698869684339595</v>
      </c>
      <c r="BU87" s="105">
        <v>3479.8965990266906</v>
      </c>
      <c r="BV87" s="105">
        <v>3.9740404686119195</v>
      </c>
      <c r="BW87" s="105">
        <v>3738.7772728700938</v>
      </c>
      <c r="BX87" s="105">
        <v>1.9103434314540755</v>
      </c>
      <c r="BY87" s="105">
        <v>1797.2511003119942</v>
      </c>
      <c r="BZ87" s="105">
        <v>3.5822391921292978</v>
      </c>
      <c r="CA87" s="105">
        <v>3370.1706319552432</v>
      </c>
      <c r="CB87" s="105">
        <v>2.967235367153962</v>
      </c>
      <c r="CC87" s="105">
        <v>2791.5750334184472</v>
      </c>
      <c r="CD87" s="105">
        <v>3.6746867928295868</v>
      </c>
      <c r="CE87" s="105">
        <v>3457.1453346940752</v>
      </c>
      <c r="CF87" s="105">
        <v>2.6470778261824388</v>
      </c>
      <c r="CG87" s="105">
        <v>2490.3708188724381</v>
      </c>
      <c r="CH87" s="105">
        <v>2.3667623068648411</v>
      </c>
      <c r="CI87" s="105">
        <v>2226.6499782984424</v>
      </c>
      <c r="CJ87" s="105">
        <v>3.4355867586166755</v>
      </c>
      <c r="CK87" s="105">
        <v>3232.2000225065681</v>
      </c>
      <c r="CL87" s="105">
        <v>3.1454917834687453</v>
      </c>
      <c r="CM87" s="105">
        <v>2959.2786698873956</v>
      </c>
      <c r="CN87" s="105">
        <v>2.9200060831310863</v>
      </c>
      <c r="CO87" s="105">
        <v>2747.1417230097259</v>
      </c>
      <c r="CP87" s="105">
        <v>2.5277569607512866</v>
      </c>
      <c r="CQ87" s="105">
        <v>2378.1137486748103</v>
      </c>
      <c r="CR87" s="105">
        <v>3.1274694080158083</v>
      </c>
      <c r="CS87" s="105">
        <v>2942.3232190612721</v>
      </c>
      <c r="CT87" s="105">
        <v>3.7597910792546343</v>
      </c>
      <c r="CU87" s="105">
        <v>3537.2114473627598</v>
      </c>
    </row>
    <row r="88" spans="2:99" x14ac:dyDescent="0.2">
      <c r="C88" s="104" t="s">
        <v>254</v>
      </c>
      <c r="D88" s="105">
        <v>3</v>
      </c>
      <c r="E88" s="105">
        <v>2628</v>
      </c>
      <c r="F88" s="105">
        <v>4</v>
      </c>
      <c r="G88" s="105">
        <v>3504</v>
      </c>
      <c r="H88" s="105">
        <v>4</v>
      </c>
      <c r="I88" s="105">
        <v>3504</v>
      </c>
      <c r="J88" s="105">
        <v>2</v>
      </c>
      <c r="K88" s="105">
        <v>1752</v>
      </c>
      <c r="L88" s="105">
        <v>0.72232766791700698</v>
      </c>
      <c r="M88" s="105">
        <v>632.75903709529814</v>
      </c>
      <c r="N88" s="105">
        <v>2.7679612395261892</v>
      </c>
      <c r="O88" s="105">
        <v>2424.7340458249419</v>
      </c>
      <c r="P88" s="105">
        <v>2.342910626207801</v>
      </c>
      <c r="Q88" s="105">
        <v>2052.3897085580338</v>
      </c>
      <c r="R88" s="105">
        <v>2.9351885668851114</v>
      </c>
      <c r="S88" s="105">
        <v>2571.2251845913574</v>
      </c>
      <c r="T88" s="105">
        <v>4.0833265814987474</v>
      </c>
      <c r="U88" s="105">
        <v>3576.9940853929029</v>
      </c>
      <c r="V88" s="105">
        <v>2.3265843581223296</v>
      </c>
      <c r="W88" s="105">
        <v>2038.0878977151606</v>
      </c>
      <c r="X88" s="105">
        <v>3.2295780069376239</v>
      </c>
      <c r="Y88" s="105">
        <v>2829.1103340773584</v>
      </c>
      <c r="Z88" s="105">
        <v>2.6954106428148683</v>
      </c>
      <c r="AA88" s="105">
        <v>2361.1797231058245</v>
      </c>
      <c r="AB88" s="105">
        <v>3.5154019235947356</v>
      </c>
      <c r="AC88" s="105">
        <v>3079.4920850689882</v>
      </c>
      <c r="AD88" s="105">
        <v>3.7958757283999534</v>
      </c>
      <c r="AE88" s="105">
        <v>3325.1871380783591</v>
      </c>
      <c r="AF88" s="105">
        <v>3.6055863854293575</v>
      </c>
      <c r="AG88" s="105">
        <v>3158.4936736361174</v>
      </c>
      <c r="AH88" s="105">
        <v>1.723265908131101</v>
      </c>
      <c r="AI88" s="105">
        <v>1509.5809355228446</v>
      </c>
      <c r="AJ88" s="105">
        <v>4.1278915007086301</v>
      </c>
      <c r="AK88" s="105">
        <v>3616.0329546207599</v>
      </c>
      <c r="AL88" s="105">
        <v>2.1070200184408208</v>
      </c>
      <c r="AM88" s="105">
        <v>1845.7495361541589</v>
      </c>
      <c r="AN88" s="105">
        <v>3.9662455943093642</v>
      </c>
      <c r="AO88" s="105">
        <v>3474.4311406150032</v>
      </c>
      <c r="AP88" s="105">
        <v>3.8915750250402996</v>
      </c>
      <c r="AQ88" s="105">
        <v>3409.0197219353026</v>
      </c>
      <c r="AR88" s="105">
        <v>2.7074702588091375</v>
      </c>
      <c r="AS88" s="105">
        <v>2371.7439467168047</v>
      </c>
      <c r="AT88" s="105">
        <v>3.0253936799380852</v>
      </c>
      <c r="AU88" s="105">
        <v>2650.2448636257627</v>
      </c>
      <c r="AV88" s="105">
        <v>2.9723490158271462</v>
      </c>
      <c r="AW88" s="105">
        <v>2603.7777378645801</v>
      </c>
      <c r="AX88" s="105">
        <v>2.7975239386567701</v>
      </c>
      <c r="AY88" s="105">
        <v>2450.6309702633307</v>
      </c>
      <c r="AZ88" s="105">
        <v>3.2822113759437346</v>
      </c>
      <c r="BA88" s="105">
        <v>2875.2171653267114</v>
      </c>
      <c r="BB88" s="105">
        <v>3.0370266675686506</v>
      </c>
      <c r="BC88" s="105">
        <v>2660.435360790138</v>
      </c>
      <c r="BD88" s="105">
        <v>2.8835261542480777</v>
      </c>
      <c r="BE88" s="105">
        <v>2525.9689111213161</v>
      </c>
      <c r="BF88" s="105">
        <v>2.9902486119431995</v>
      </c>
      <c r="BG88" s="105">
        <v>2619.4577840622428</v>
      </c>
      <c r="BH88" s="105">
        <v>3.4818408279987079</v>
      </c>
      <c r="BI88" s="105">
        <v>3050.0925653268682</v>
      </c>
      <c r="BJ88" s="105">
        <v>4.1469602866544326</v>
      </c>
      <c r="BK88" s="105">
        <v>3632.7372111092832</v>
      </c>
      <c r="BL88" s="105">
        <v>3.214237968228574</v>
      </c>
      <c r="BM88" s="105">
        <v>2815.6724601682308</v>
      </c>
      <c r="BN88" s="105">
        <v>3.3380736701739626</v>
      </c>
      <c r="BO88" s="105">
        <v>2924.1525350723914</v>
      </c>
      <c r="BP88" s="105">
        <v>3.8455038970718074</v>
      </c>
      <c r="BQ88" s="105">
        <v>3368.6614138349032</v>
      </c>
      <c r="BR88" s="105">
        <v>2.6053045585941081</v>
      </c>
      <c r="BS88" s="105">
        <v>2282.2467933284388</v>
      </c>
      <c r="BT88" s="105">
        <v>4.1300912169400963</v>
      </c>
      <c r="BU88" s="105">
        <v>3617.9599060395244</v>
      </c>
      <c r="BV88" s="105">
        <v>3.4772854100354298</v>
      </c>
      <c r="BW88" s="105">
        <v>3046.1020191910366</v>
      </c>
      <c r="BX88" s="105">
        <v>1.9013201047240684</v>
      </c>
      <c r="BY88" s="105">
        <v>1665.5564117382839</v>
      </c>
      <c r="BZ88" s="105">
        <v>3.5593523249871262</v>
      </c>
      <c r="CA88" s="105">
        <v>3117.9926366887225</v>
      </c>
      <c r="CB88" s="105">
        <v>3.4993981409001624</v>
      </c>
      <c r="CC88" s="105">
        <v>3065.4727714285423</v>
      </c>
      <c r="CD88" s="105">
        <v>3.6746867928295868</v>
      </c>
      <c r="CE88" s="105">
        <v>3219.0256305187181</v>
      </c>
      <c r="CF88" s="105">
        <v>2.2739146331938072</v>
      </c>
      <c r="CG88" s="105">
        <v>1991.949218677775</v>
      </c>
      <c r="CH88" s="105">
        <v>2.3667623068648411</v>
      </c>
      <c r="CI88" s="105">
        <v>2073.283780813601</v>
      </c>
      <c r="CJ88" s="105">
        <v>2.9068778919587954</v>
      </c>
      <c r="CK88" s="105">
        <v>2546.4250333559048</v>
      </c>
      <c r="CL88" s="105">
        <v>3.1662243013234863</v>
      </c>
      <c r="CM88" s="105">
        <v>2773.612487959374</v>
      </c>
      <c r="CN88" s="105">
        <v>3.701533822043793</v>
      </c>
      <c r="CO88" s="105">
        <v>3242.5436281103625</v>
      </c>
      <c r="CP88" s="105">
        <v>2.9174940863379457</v>
      </c>
      <c r="CQ88" s="105">
        <v>2555.7248196320406</v>
      </c>
      <c r="CR88" s="105">
        <v>3.4550318170471939</v>
      </c>
      <c r="CS88" s="105">
        <v>3026.6078717333417</v>
      </c>
      <c r="CT88" s="105">
        <v>3.7762781922283608</v>
      </c>
      <c r="CU88" s="105">
        <v>3308.0196963920439</v>
      </c>
    </row>
    <row r="89" spans="2:99" x14ac:dyDescent="0.2">
      <c r="C89" s="104" t="s">
        <v>255</v>
      </c>
      <c r="D89" s="105">
        <v>3</v>
      </c>
      <c r="E89" s="105">
        <v>1749.6</v>
      </c>
      <c r="F89" s="105">
        <v>4</v>
      </c>
      <c r="G89" s="105">
        <v>2332.7999999999997</v>
      </c>
      <c r="H89" s="105">
        <v>4</v>
      </c>
      <c r="I89" s="105">
        <v>2332.7999999999997</v>
      </c>
      <c r="J89" s="105">
        <v>3</v>
      </c>
      <c r="K89" s="105">
        <v>1749.6</v>
      </c>
      <c r="L89" s="105">
        <v>0.82551733476229372</v>
      </c>
      <c r="M89" s="105">
        <v>481.44170963336967</v>
      </c>
      <c r="N89" s="105">
        <v>2.7679612395261892</v>
      </c>
      <c r="O89" s="105">
        <v>1614.2749948916733</v>
      </c>
      <c r="P89" s="105">
        <v>2.7333957305757677</v>
      </c>
      <c r="Q89" s="105">
        <v>1594.1163900717875</v>
      </c>
      <c r="R89" s="105">
        <v>3.2868099507027515</v>
      </c>
      <c r="S89" s="105">
        <v>1916.8675632498444</v>
      </c>
      <c r="T89" s="105">
        <v>3.6296236279988872</v>
      </c>
      <c r="U89" s="105">
        <v>2116.7964998489506</v>
      </c>
      <c r="V89" s="105">
        <v>2.3265843581223296</v>
      </c>
      <c r="W89" s="105">
        <v>1356.8639976569425</v>
      </c>
      <c r="X89" s="105">
        <v>3.2010502122549722</v>
      </c>
      <c r="Y89" s="105">
        <v>1866.8524837870996</v>
      </c>
      <c r="Z89" s="105">
        <v>3.1653694430222852</v>
      </c>
      <c r="AA89" s="105">
        <v>1846.0434591705964</v>
      </c>
      <c r="AB89" s="105">
        <v>3.5424781698379366</v>
      </c>
      <c r="AC89" s="105">
        <v>2065.9732686494845</v>
      </c>
      <c r="AD89" s="105">
        <v>3.7958757283999534</v>
      </c>
      <c r="AE89" s="105">
        <v>2213.7547248028527</v>
      </c>
      <c r="AF89" s="105">
        <v>3.6055863854293575</v>
      </c>
      <c r="AG89" s="105">
        <v>2102.7779799824011</v>
      </c>
      <c r="AH89" s="105">
        <v>1.7306282157247204</v>
      </c>
      <c r="AI89" s="105">
        <v>1009.3023754106569</v>
      </c>
      <c r="AJ89" s="105">
        <v>4.5954101785482502</v>
      </c>
      <c r="AK89" s="105">
        <v>2680.0432161293393</v>
      </c>
      <c r="AL89" s="105">
        <v>2.1070200184408208</v>
      </c>
      <c r="AM89" s="105">
        <v>1228.8140747546865</v>
      </c>
      <c r="AN89" s="105">
        <v>3.9146420816352263</v>
      </c>
      <c r="AO89" s="105">
        <v>2283.0192620096636</v>
      </c>
      <c r="AP89" s="105">
        <v>3.9142499651643727</v>
      </c>
      <c r="AQ89" s="105">
        <v>2282.7905796838618</v>
      </c>
      <c r="AR89" s="105">
        <v>2.7074702588091375</v>
      </c>
      <c r="AS89" s="105">
        <v>1578.9966549374888</v>
      </c>
      <c r="AT89" s="105">
        <v>2.540173982207071</v>
      </c>
      <c r="AU89" s="105">
        <v>1481.4294664231636</v>
      </c>
      <c r="AV89" s="105">
        <v>3.0262896694347301</v>
      </c>
      <c r="AW89" s="105">
        <v>1764.9321352143345</v>
      </c>
      <c r="AX89" s="105">
        <v>3.2214446439066973</v>
      </c>
      <c r="AY89" s="105">
        <v>1878.7465163263855</v>
      </c>
      <c r="AZ89" s="105">
        <v>3.7287792925133387</v>
      </c>
      <c r="BA89" s="105">
        <v>2174.6240833937791</v>
      </c>
      <c r="BB89" s="105">
        <v>3.4078502444995369</v>
      </c>
      <c r="BC89" s="105">
        <v>1987.4582625921296</v>
      </c>
      <c r="BD89" s="105">
        <v>2.8665605619651497</v>
      </c>
      <c r="BE89" s="105">
        <v>1671.7781197380752</v>
      </c>
      <c r="BF89" s="105">
        <v>2.9902486119431995</v>
      </c>
      <c r="BG89" s="105">
        <v>1743.9129904852737</v>
      </c>
      <c r="BH89" s="105">
        <v>3.9075646134124944</v>
      </c>
      <c r="BI89" s="105">
        <v>2278.8916825421666</v>
      </c>
      <c r="BJ89" s="105">
        <v>3.7555948919775579</v>
      </c>
      <c r="BK89" s="105">
        <v>2190.2629410013114</v>
      </c>
      <c r="BL89" s="105">
        <v>3.2395309542367134</v>
      </c>
      <c r="BM89" s="105">
        <v>1889.294452510851</v>
      </c>
      <c r="BN89" s="105">
        <v>3.3380736701739626</v>
      </c>
      <c r="BO89" s="105">
        <v>1946.7645644454549</v>
      </c>
      <c r="BP89" s="105">
        <v>3.38055723883806</v>
      </c>
      <c r="BQ89" s="105">
        <v>1971.5409816903564</v>
      </c>
      <c r="BR89" s="105">
        <v>2.5820582540501213</v>
      </c>
      <c r="BS89" s="105">
        <v>1505.8563737620307</v>
      </c>
      <c r="BT89" s="105">
        <v>4.5613127495405967</v>
      </c>
      <c r="BU89" s="105">
        <v>2660.1575955320759</v>
      </c>
      <c r="BV89" s="105">
        <v>3.9740404686119195</v>
      </c>
      <c r="BW89" s="105">
        <v>2317.6604012944713</v>
      </c>
      <c r="BX89" s="105">
        <v>2.1716482158660773</v>
      </c>
      <c r="BY89" s="105">
        <v>1266.505239493096</v>
      </c>
      <c r="BZ89" s="105">
        <v>3.086838498355235</v>
      </c>
      <c r="CA89" s="105">
        <v>1800.2442122407729</v>
      </c>
      <c r="CB89" s="105">
        <v>3.5249332657687424</v>
      </c>
      <c r="CC89" s="105">
        <v>2055.7410805963304</v>
      </c>
      <c r="CD89" s="105">
        <v>3.225912622983083</v>
      </c>
      <c r="CE89" s="105">
        <v>1881.3522417237339</v>
      </c>
      <c r="CF89" s="105">
        <v>2.2913823708248136</v>
      </c>
      <c r="CG89" s="105">
        <v>1336.3341986650312</v>
      </c>
      <c r="CH89" s="105">
        <v>2.3882763665799218</v>
      </c>
      <c r="CI89" s="105">
        <v>1392.8427769894101</v>
      </c>
      <c r="CJ89" s="105">
        <v>3.4619201144836156</v>
      </c>
      <c r="CK89" s="105">
        <v>2018.9918107668443</v>
      </c>
      <c r="CL89" s="105">
        <v>3.1869568191782269</v>
      </c>
      <c r="CM89" s="105">
        <v>1858.6332169447417</v>
      </c>
      <c r="CN89" s="105">
        <v>3.701533822043793</v>
      </c>
      <c r="CO89" s="105">
        <v>2158.7345250159397</v>
      </c>
      <c r="CP89" s="105">
        <v>2.5088235400281538</v>
      </c>
      <c r="CQ89" s="105">
        <v>1463.1458885444192</v>
      </c>
      <c r="CR89" s="105">
        <v>3.7662844327391847</v>
      </c>
      <c r="CS89" s="105">
        <v>2196.4970811734925</v>
      </c>
      <c r="CT89" s="105">
        <v>3.7762781922283608</v>
      </c>
      <c r="CU89" s="105">
        <v>2202.3254417075796</v>
      </c>
    </row>
    <row r="90" spans="2:99" x14ac:dyDescent="0.2">
      <c r="C90" s="104" t="s">
        <v>256</v>
      </c>
      <c r="D90" s="105">
        <v>3</v>
      </c>
      <c r="E90" s="105">
        <v>2455.1999999999998</v>
      </c>
      <c r="F90" s="105">
        <v>4</v>
      </c>
      <c r="G90" s="105">
        <v>3273.6</v>
      </c>
      <c r="H90" s="105">
        <v>4</v>
      </c>
      <c r="I90" s="105">
        <v>3273.6</v>
      </c>
      <c r="J90" s="105">
        <v>3</v>
      </c>
      <c r="K90" s="105">
        <v>2455.1999999999998</v>
      </c>
      <c r="L90" s="105">
        <v>0.82551733476229372</v>
      </c>
      <c r="M90" s="105">
        <v>675.60338676946117</v>
      </c>
      <c r="N90" s="105">
        <v>2.7679612395261892</v>
      </c>
      <c r="O90" s="105">
        <v>2265.2994784282332</v>
      </c>
      <c r="P90" s="105">
        <v>2.7333957305757677</v>
      </c>
      <c r="Q90" s="105">
        <v>2237.0110659032084</v>
      </c>
      <c r="R90" s="105">
        <v>3.2868099507027515</v>
      </c>
      <c r="S90" s="105">
        <v>2689.9252636551319</v>
      </c>
      <c r="T90" s="105">
        <v>4.0833265814987474</v>
      </c>
      <c r="U90" s="105">
        <v>3341.7944742985746</v>
      </c>
      <c r="V90" s="105">
        <v>2.3265843581223296</v>
      </c>
      <c r="W90" s="105">
        <v>1904.0766386873145</v>
      </c>
      <c r="X90" s="105">
        <v>3.2295780069376239</v>
      </c>
      <c r="Y90" s="105">
        <v>2643.0866408777515</v>
      </c>
      <c r="Z90" s="105">
        <v>2.6954106428148683</v>
      </c>
      <c r="AA90" s="105">
        <v>2205.9240700796881</v>
      </c>
      <c r="AB90" s="105">
        <v>2.9836540954820152</v>
      </c>
      <c r="AC90" s="105">
        <v>2441.8225117424813</v>
      </c>
      <c r="AD90" s="105">
        <v>3.3741117585777363</v>
      </c>
      <c r="AE90" s="105">
        <v>2761.3730632200195</v>
      </c>
      <c r="AF90" s="105">
        <v>3.1548880872506881</v>
      </c>
      <c r="AG90" s="105">
        <v>2581.9604106059633</v>
      </c>
      <c r="AH90" s="105">
        <v>1.7306282157247204</v>
      </c>
      <c r="AI90" s="105">
        <v>1416.346131749111</v>
      </c>
      <c r="AJ90" s="105">
        <v>4.1278915007086301</v>
      </c>
      <c r="AK90" s="105">
        <v>3378.2664041799426</v>
      </c>
      <c r="AL90" s="105">
        <v>2.1070200184408208</v>
      </c>
      <c r="AM90" s="105">
        <v>1724.3851830919677</v>
      </c>
      <c r="AN90" s="105">
        <v>3.4143829416006373</v>
      </c>
      <c r="AO90" s="105">
        <v>2794.3309994059614</v>
      </c>
      <c r="AP90" s="105">
        <v>4.3581813305617727</v>
      </c>
      <c r="AQ90" s="105">
        <v>3566.7356009317546</v>
      </c>
      <c r="AR90" s="105">
        <v>3.0916563629665204</v>
      </c>
      <c r="AS90" s="105">
        <v>2530.2115674518</v>
      </c>
      <c r="AT90" s="105">
        <v>2.540173982207071</v>
      </c>
      <c r="AU90" s="105">
        <v>2078.8783870382667</v>
      </c>
      <c r="AV90" s="105">
        <v>3.0262896694347301</v>
      </c>
      <c r="AW90" s="105">
        <v>2476.7154654653832</v>
      </c>
      <c r="AX90" s="105">
        <v>3.2002780016435963</v>
      </c>
      <c r="AY90" s="105">
        <v>2619.1075165451193</v>
      </c>
      <c r="AZ90" s="105">
        <v>3.7064598696624098</v>
      </c>
      <c r="BA90" s="105">
        <v>3033.3667573317161</v>
      </c>
      <c r="BB90" s="105">
        <v>3.3726312184387557</v>
      </c>
      <c r="BC90" s="105">
        <v>2760.1613891702777</v>
      </c>
      <c r="BD90" s="105">
        <v>3.210035738963231</v>
      </c>
      <c r="BE90" s="105">
        <v>2627.0932487675082</v>
      </c>
      <c r="BF90" s="105">
        <v>2.9902486119431995</v>
      </c>
      <c r="BG90" s="105">
        <v>2447.2194640143143</v>
      </c>
      <c r="BH90" s="105">
        <v>3.4818408279987079</v>
      </c>
      <c r="BI90" s="105">
        <v>2849.5385336341424</v>
      </c>
      <c r="BJ90" s="105">
        <v>4.1664024816449068</v>
      </c>
      <c r="BK90" s="105">
        <v>3409.7837909781915</v>
      </c>
      <c r="BL90" s="105">
        <v>3.214237968228574</v>
      </c>
      <c r="BM90" s="105">
        <v>2630.5323531982649</v>
      </c>
      <c r="BN90" s="105">
        <v>2.892829768324344</v>
      </c>
      <c r="BO90" s="105">
        <v>2367.4918823966432</v>
      </c>
      <c r="BP90" s="105">
        <v>3.3548669219060785</v>
      </c>
      <c r="BQ90" s="105">
        <v>2745.6230888879345</v>
      </c>
      <c r="BR90" s="105">
        <v>2.5820582540501213</v>
      </c>
      <c r="BS90" s="105">
        <v>2113.1564751146193</v>
      </c>
      <c r="BT90" s="105">
        <v>3.698869684339595</v>
      </c>
      <c r="BU90" s="105">
        <v>3027.1549496635243</v>
      </c>
      <c r="BV90" s="105">
        <v>3.9740404686119195</v>
      </c>
      <c r="BW90" s="105">
        <v>3252.354719511995</v>
      </c>
      <c r="BX90" s="105">
        <v>1.9013201047240684</v>
      </c>
      <c r="BY90" s="105">
        <v>1556.0403737061777</v>
      </c>
      <c r="BZ90" s="105">
        <v>3.086838498355235</v>
      </c>
      <c r="CA90" s="105">
        <v>2526.2686270539243</v>
      </c>
      <c r="CB90" s="105">
        <v>2.967235367153962</v>
      </c>
      <c r="CC90" s="105">
        <v>2428.3854244788026</v>
      </c>
      <c r="CD90" s="105">
        <v>3.2047892644686926</v>
      </c>
      <c r="CE90" s="105">
        <v>2622.799534041178</v>
      </c>
      <c r="CF90" s="105">
        <v>2.2739146331938072</v>
      </c>
      <c r="CG90" s="105">
        <v>1860.9717358058117</v>
      </c>
      <c r="CH90" s="105">
        <v>2.3667623068648411</v>
      </c>
      <c r="CI90" s="105">
        <v>1936.9582719381858</v>
      </c>
      <c r="CJ90" s="105">
        <v>3.4092534027497363</v>
      </c>
      <c r="CK90" s="105">
        <v>2790.1329848103842</v>
      </c>
      <c r="CL90" s="105">
        <v>3.1662243013234863</v>
      </c>
      <c r="CM90" s="105">
        <v>2591.237968203141</v>
      </c>
      <c r="CN90" s="105">
        <v>3.2923040528937784</v>
      </c>
      <c r="CO90" s="105">
        <v>2694.421636888268</v>
      </c>
      <c r="CP90" s="105">
        <v>2.5277569607512866</v>
      </c>
      <c r="CQ90" s="105">
        <v>2068.7162966788528</v>
      </c>
      <c r="CR90" s="105">
        <v>3.4387220237077991</v>
      </c>
      <c r="CS90" s="105">
        <v>2814.2501042024628</v>
      </c>
      <c r="CT90" s="105">
        <v>3.4464696308224676</v>
      </c>
      <c r="CU90" s="105">
        <v>2820.5907458651072</v>
      </c>
    </row>
    <row r="91" spans="2:99" x14ac:dyDescent="0.2">
      <c r="C91" s="104" t="s">
        <v>257</v>
      </c>
      <c r="D91" s="105">
        <v>3</v>
      </c>
      <c r="E91" s="105">
        <v>2358</v>
      </c>
      <c r="F91" s="105">
        <v>4</v>
      </c>
      <c r="G91" s="105">
        <v>3144</v>
      </c>
      <c r="H91" s="105">
        <v>4</v>
      </c>
      <c r="I91" s="105">
        <v>3144</v>
      </c>
      <c r="J91" s="105">
        <v>2</v>
      </c>
      <c r="K91" s="105">
        <v>1572</v>
      </c>
      <c r="L91" s="105">
        <v>0.72232766791700698</v>
      </c>
      <c r="M91" s="105">
        <v>567.74954698276747</v>
      </c>
      <c r="N91" s="105">
        <v>2.3725382053081621</v>
      </c>
      <c r="O91" s="105">
        <v>1864.8150293722153</v>
      </c>
      <c r="P91" s="105">
        <v>2.7333957305757677</v>
      </c>
      <c r="Q91" s="105">
        <v>2148.4490442325532</v>
      </c>
      <c r="R91" s="105">
        <v>2.9526482092199671</v>
      </c>
      <c r="S91" s="105">
        <v>2320.7814924468939</v>
      </c>
      <c r="T91" s="105">
        <v>3.6296236279988872</v>
      </c>
      <c r="U91" s="105">
        <v>2852.8841716071252</v>
      </c>
      <c r="V91" s="105">
        <v>2.0576384948506496</v>
      </c>
      <c r="W91" s="105">
        <v>1617.3038569526107</v>
      </c>
      <c r="X91" s="105">
        <v>3.2295780069376239</v>
      </c>
      <c r="Y91" s="105">
        <v>2538.4483134529723</v>
      </c>
      <c r="Z91" s="105">
        <v>3.1653694430222852</v>
      </c>
      <c r="AA91" s="105">
        <v>2487.9803822155163</v>
      </c>
      <c r="AB91" s="105">
        <v>3.5424781698379366</v>
      </c>
      <c r="AC91" s="105">
        <v>2784.387841492618</v>
      </c>
      <c r="AD91" s="105">
        <v>3.3741117585777363</v>
      </c>
      <c r="AE91" s="105">
        <v>2652.0518422421005</v>
      </c>
      <c r="AF91" s="105">
        <v>3.6055863854293575</v>
      </c>
      <c r="AG91" s="105">
        <v>2833.9908989474752</v>
      </c>
      <c r="AH91" s="105">
        <v>1.7306282157247204</v>
      </c>
      <c r="AI91" s="105">
        <v>1360.2737775596302</v>
      </c>
      <c r="AJ91" s="105">
        <v>4.1036576208341504</v>
      </c>
      <c r="AK91" s="105">
        <v>3225.4748899756423</v>
      </c>
      <c r="AL91" s="105">
        <v>2.0881944074561374</v>
      </c>
      <c r="AM91" s="105">
        <v>1641.320804260524</v>
      </c>
      <c r="AN91" s="105">
        <v>3.4143829416006373</v>
      </c>
      <c r="AO91" s="105">
        <v>2683.7049920981008</v>
      </c>
      <c r="AP91" s="105">
        <v>4.3808562706858458</v>
      </c>
      <c r="AQ91" s="105">
        <v>3443.3530287590747</v>
      </c>
      <c r="AR91" s="105">
        <v>3.0734888332590615</v>
      </c>
      <c r="AS91" s="105">
        <v>2415.7622229416224</v>
      </c>
      <c r="AT91" s="105">
        <v>2.5629890809174718</v>
      </c>
      <c r="AU91" s="105">
        <v>2014.5094176011328</v>
      </c>
      <c r="AV91" s="105">
        <v>2.9993193426309381</v>
      </c>
      <c r="AW91" s="105">
        <v>2357.4650033079174</v>
      </c>
      <c r="AX91" s="105">
        <v>3.2214446439066973</v>
      </c>
      <c r="AY91" s="105">
        <v>2532.0554901106639</v>
      </c>
      <c r="AZ91" s="105">
        <v>3.7287792925133387</v>
      </c>
      <c r="BA91" s="105">
        <v>2930.820523915484</v>
      </c>
      <c r="BB91" s="105">
        <v>3.7434547953696415</v>
      </c>
      <c r="BC91" s="105">
        <v>2942.3554691605382</v>
      </c>
      <c r="BD91" s="105">
        <v>3.210035738963231</v>
      </c>
      <c r="BE91" s="105">
        <v>2523.0880908250997</v>
      </c>
      <c r="BF91" s="105">
        <v>3.4576438085696695</v>
      </c>
      <c r="BG91" s="105">
        <v>2717.70803353576</v>
      </c>
      <c r="BH91" s="105">
        <v>3.9075646134124944</v>
      </c>
      <c r="BI91" s="105">
        <v>3071.3457861422207</v>
      </c>
      <c r="BJ91" s="105">
        <v>4.1469602866544326</v>
      </c>
      <c r="BK91" s="105">
        <v>3259.5107853103841</v>
      </c>
      <c r="BL91" s="105">
        <v>2.7333331098747804</v>
      </c>
      <c r="BM91" s="105">
        <v>2148.3998243615774</v>
      </c>
      <c r="BN91" s="105">
        <v>2.892829768324344</v>
      </c>
      <c r="BO91" s="105">
        <v>2273.7641979029345</v>
      </c>
      <c r="BP91" s="105">
        <v>3.8455038970718074</v>
      </c>
      <c r="BQ91" s="105">
        <v>3022.5660630984407</v>
      </c>
      <c r="BR91" s="105">
        <v>2.558811949506135</v>
      </c>
      <c r="BS91" s="105">
        <v>2011.2261923118222</v>
      </c>
      <c r="BT91" s="105">
        <v>4.1093330983121303</v>
      </c>
      <c r="BU91" s="105">
        <v>3229.9358152733344</v>
      </c>
      <c r="BV91" s="105">
        <v>3.4772854100354298</v>
      </c>
      <c r="BW91" s="105">
        <v>2733.1463322878476</v>
      </c>
      <c r="BX91" s="105">
        <v>1.9013201047240684</v>
      </c>
      <c r="BY91" s="105">
        <v>1494.4376023131178</v>
      </c>
      <c r="BZ91" s="105">
        <v>3.5822391921292978</v>
      </c>
      <c r="CA91" s="105">
        <v>2815.6400050136281</v>
      </c>
      <c r="CB91" s="105">
        <v>2.9927704920225429</v>
      </c>
      <c r="CC91" s="105">
        <v>2352.3176067297186</v>
      </c>
      <c r="CD91" s="105">
        <v>3.2470359814974734</v>
      </c>
      <c r="CE91" s="105">
        <v>2552.170281457014</v>
      </c>
      <c r="CF91" s="105">
        <v>2.6470778261824388</v>
      </c>
      <c r="CG91" s="105">
        <v>2080.6031713793968</v>
      </c>
      <c r="CH91" s="105">
        <v>2.409790426295003</v>
      </c>
      <c r="CI91" s="105">
        <v>1894.0952750678723</v>
      </c>
      <c r="CJ91" s="105">
        <v>3.4355867586166755</v>
      </c>
      <c r="CK91" s="105">
        <v>2700.371192272707</v>
      </c>
      <c r="CL91" s="105">
        <v>3.1662243013234863</v>
      </c>
      <c r="CM91" s="105">
        <v>2488.6523008402601</v>
      </c>
      <c r="CN91" s="105">
        <v>3.3107699525874397</v>
      </c>
      <c r="CO91" s="105">
        <v>2602.2651827337277</v>
      </c>
      <c r="CP91" s="105">
        <v>2.5088235400281538</v>
      </c>
      <c r="CQ91" s="105">
        <v>1971.9353024621289</v>
      </c>
      <c r="CR91" s="105">
        <v>3.4387220237077991</v>
      </c>
      <c r="CS91" s="105">
        <v>2702.8355106343301</v>
      </c>
      <c r="CT91" s="105">
        <v>3.1001739564428483</v>
      </c>
      <c r="CU91" s="105">
        <v>2436.736729764079</v>
      </c>
    </row>
    <row r="92" spans="2:99" x14ac:dyDescent="0.2">
      <c r="C92" s="104" t="s">
        <v>258</v>
      </c>
      <c r="D92" s="105">
        <v>3</v>
      </c>
      <c r="E92" s="105">
        <v>2811.6</v>
      </c>
      <c r="F92" s="105">
        <v>4</v>
      </c>
      <c r="G92" s="105">
        <v>3748.7999999999997</v>
      </c>
      <c r="H92" s="105">
        <v>4</v>
      </c>
      <c r="I92" s="105">
        <v>3748.7999999999997</v>
      </c>
      <c r="J92" s="105">
        <v>3</v>
      </c>
      <c r="K92" s="105">
        <v>2811.6</v>
      </c>
      <c r="L92" s="105">
        <v>0.72232766791700698</v>
      </c>
      <c r="M92" s="105">
        <v>676.96549037181887</v>
      </c>
      <c r="N92" s="105">
        <v>2.3725382053081621</v>
      </c>
      <c r="O92" s="105">
        <v>2223.5428060148092</v>
      </c>
      <c r="P92" s="105">
        <v>2.3615004797609691</v>
      </c>
      <c r="Q92" s="105">
        <v>2213.1982496319802</v>
      </c>
      <c r="R92" s="105">
        <v>2.9526482092199671</v>
      </c>
      <c r="S92" s="105">
        <v>2767.2219016809531</v>
      </c>
      <c r="T92" s="105">
        <v>3.6296236279988872</v>
      </c>
      <c r="U92" s="105">
        <v>3401.683264160557</v>
      </c>
      <c r="V92" s="105">
        <v>2.035761313357038</v>
      </c>
      <c r="W92" s="105">
        <v>1907.9155028782159</v>
      </c>
      <c r="X92" s="105">
        <v>3.2010502122549722</v>
      </c>
      <c r="Y92" s="105">
        <v>3000.0242589253598</v>
      </c>
      <c r="Z92" s="105">
        <v>2.6460368368466134</v>
      </c>
      <c r="AA92" s="105">
        <v>2479.8657234926459</v>
      </c>
      <c r="AB92" s="105">
        <v>3.5424781698379366</v>
      </c>
      <c r="AC92" s="105">
        <v>3320.0105407721139</v>
      </c>
      <c r="AD92" s="105">
        <v>3.7761099403508367</v>
      </c>
      <c r="AE92" s="105">
        <v>3538.970236096804</v>
      </c>
      <c r="AF92" s="105">
        <v>3.6055863854293575</v>
      </c>
      <c r="AG92" s="105">
        <v>3379.1555604243936</v>
      </c>
      <c r="AH92" s="105">
        <v>1.723265908131101</v>
      </c>
      <c r="AI92" s="105">
        <v>1615.0448091004678</v>
      </c>
      <c r="AJ92" s="105">
        <v>4.1036576208341504</v>
      </c>
      <c r="AK92" s="105">
        <v>3845.9479222457653</v>
      </c>
      <c r="AL92" s="105">
        <v>2.0881944074561374</v>
      </c>
      <c r="AM92" s="105">
        <v>1957.0557986678918</v>
      </c>
      <c r="AN92" s="105">
        <v>3.9662455943093642</v>
      </c>
      <c r="AO92" s="105">
        <v>3717.165370986736</v>
      </c>
      <c r="AP92" s="105">
        <v>4.3581813305617727</v>
      </c>
      <c r="AQ92" s="105">
        <v>4084.4875430024931</v>
      </c>
      <c r="AR92" s="105">
        <v>3.0734888332590615</v>
      </c>
      <c r="AS92" s="105">
        <v>2880.4737345303924</v>
      </c>
      <c r="AT92" s="105">
        <v>2.5629890809174718</v>
      </c>
      <c r="AU92" s="105">
        <v>2402.0333666358542</v>
      </c>
      <c r="AV92" s="105">
        <v>2.9723490158271462</v>
      </c>
      <c r="AW92" s="105">
        <v>2785.6854976332011</v>
      </c>
      <c r="AX92" s="105">
        <v>3.2426112861697982</v>
      </c>
      <c r="AY92" s="105">
        <v>3038.9752973983345</v>
      </c>
      <c r="AZ92" s="105">
        <v>3.3045307987946639</v>
      </c>
      <c r="BA92" s="105">
        <v>3097.0062646303586</v>
      </c>
      <c r="BB92" s="105">
        <v>3.7258452823392512</v>
      </c>
      <c r="BC92" s="105">
        <v>3491.8621986083458</v>
      </c>
      <c r="BD92" s="105">
        <v>3.210035738963231</v>
      </c>
      <c r="BE92" s="105">
        <v>3008.4454945563398</v>
      </c>
      <c r="BF92" s="105">
        <v>3.4344091295466233</v>
      </c>
      <c r="BG92" s="105">
        <v>3218.728236211095</v>
      </c>
      <c r="BH92" s="105">
        <v>3.9265772495845987</v>
      </c>
      <c r="BI92" s="105">
        <v>3679.9881983106857</v>
      </c>
      <c r="BJ92" s="105">
        <v>4.1664024816449068</v>
      </c>
      <c r="BK92" s="105">
        <v>3904.7524057976066</v>
      </c>
      <c r="BL92" s="105">
        <v>3.214237968228574</v>
      </c>
      <c r="BM92" s="105">
        <v>3012.3838238238195</v>
      </c>
      <c r="BN92" s="105">
        <v>3.3159370344512986</v>
      </c>
      <c r="BO92" s="105">
        <v>3107.6961886877571</v>
      </c>
      <c r="BP92" s="105">
        <v>3.3548669219060785</v>
      </c>
      <c r="BQ92" s="105">
        <v>3144.1812792103765</v>
      </c>
      <c r="BR92" s="105">
        <v>2.6053045585941081</v>
      </c>
      <c r="BS92" s="105">
        <v>2441.6914323143978</v>
      </c>
      <c r="BT92" s="105">
        <v>4.5613127495405967</v>
      </c>
      <c r="BU92" s="105">
        <v>4274.8623088694467</v>
      </c>
      <c r="BV92" s="105">
        <v>3.9740404686119195</v>
      </c>
      <c r="BW92" s="105">
        <v>3724.4707271830907</v>
      </c>
      <c r="BX92" s="105">
        <v>1.9013201047240684</v>
      </c>
      <c r="BY92" s="105">
        <v>1781.9172021473969</v>
      </c>
      <c r="BZ92" s="105">
        <v>3.1097253654974066</v>
      </c>
      <c r="CA92" s="105">
        <v>2914.4346125441693</v>
      </c>
      <c r="CB92" s="105">
        <v>2.967235367153962</v>
      </c>
      <c r="CC92" s="105">
        <v>2780.8929860966928</v>
      </c>
      <c r="CD92" s="105">
        <v>3.6746867928295868</v>
      </c>
      <c r="CE92" s="105">
        <v>3443.9164622398885</v>
      </c>
      <c r="CF92" s="105">
        <v>2.2739146331938072</v>
      </c>
      <c r="CG92" s="105">
        <v>2131.112794229236</v>
      </c>
      <c r="CH92" s="105">
        <v>2.409790426295003</v>
      </c>
      <c r="CI92" s="105">
        <v>2258.4555875236765</v>
      </c>
      <c r="CJ92" s="105">
        <v>2.9068778919587954</v>
      </c>
      <c r="CK92" s="105">
        <v>2724.3259603437828</v>
      </c>
      <c r="CL92" s="105">
        <v>3.1662243013234863</v>
      </c>
      <c r="CM92" s="105">
        <v>2967.385415200371</v>
      </c>
      <c r="CN92" s="105">
        <v>3.6830679223501317</v>
      </c>
      <c r="CO92" s="105">
        <v>3451.7712568265433</v>
      </c>
      <c r="CP92" s="105">
        <v>2.5088235400281538</v>
      </c>
      <c r="CQ92" s="105">
        <v>2351.2694217143858</v>
      </c>
      <c r="CR92" s="105">
        <v>3.1111596146764136</v>
      </c>
      <c r="CS92" s="105">
        <v>2915.7787908747346</v>
      </c>
      <c r="CT92" s="105">
        <v>3.4299825178487415</v>
      </c>
      <c r="CU92" s="105">
        <v>3214.5796157278405</v>
      </c>
    </row>
    <row r="93" spans="2:99" x14ac:dyDescent="0.2">
      <c r="C93" s="104" t="s">
        <v>259</v>
      </c>
      <c r="D93" s="105">
        <v>3</v>
      </c>
      <c r="E93" s="105">
        <v>1753.1999999999998</v>
      </c>
      <c r="F93" s="105">
        <v>4</v>
      </c>
      <c r="G93" s="105">
        <v>2337.6</v>
      </c>
      <c r="H93" s="105">
        <v>4</v>
      </c>
      <c r="I93" s="105">
        <v>2337.6</v>
      </c>
      <c r="J93" s="105">
        <v>2</v>
      </c>
      <c r="K93" s="105">
        <v>1168.8</v>
      </c>
      <c r="L93" s="105">
        <v>0.72232766791700698</v>
      </c>
      <c r="M93" s="105">
        <v>422.12828913069887</v>
      </c>
      <c r="N93" s="105">
        <v>2.7679612395261892</v>
      </c>
      <c r="O93" s="105">
        <v>1617.5965483791049</v>
      </c>
      <c r="P93" s="105">
        <v>2.7148058770225996</v>
      </c>
      <c r="Q93" s="105">
        <v>1586.5325545320072</v>
      </c>
      <c r="R93" s="105">
        <v>2.9351885668851114</v>
      </c>
      <c r="S93" s="105">
        <v>1715.324198487659</v>
      </c>
      <c r="T93" s="105">
        <v>3.6296236279988872</v>
      </c>
      <c r="U93" s="105">
        <v>2121.1520482025494</v>
      </c>
      <c r="V93" s="105">
        <v>2.0576384948506496</v>
      </c>
      <c r="W93" s="105">
        <v>1202.4839363907197</v>
      </c>
      <c r="X93" s="105">
        <v>3.8412602547059667</v>
      </c>
      <c r="Y93" s="105">
        <v>2244.832492850167</v>
      </c>
      <c r="Z93" s="105">
        <v>3.1653694430222852</v>
      </c>
      <c r="AA93" s="105">
        <v>1849.8419025022233</v>
      </c>
      <c r="AB93" s="105">
        <v>3.5695544160811377</v>
      </c>
      <c r="AC93" s="105">
        <v>2086.0476007578168</v>
      </c>
      <c r="AD93" s="105">
        <v>3.7958757283999534</v>
      </c>
      <c r="AE93" s="105">
        <v>2218.3097756769325</v>
      </c>
      <c r="AF93" s="105">
        <v>3.1548880872506881</v>
      </c>
      <c r="AG93" s="105">
        <v>1843.716598189302</v>
      </c>
      <c r="AH93" s="105">
        <v>1.7306282157247204</v>
      </c>
      <c r="AI93" s="105">
        <v>1011.3791292695265</v>
      </c>
      <c r="AJ93" s="105">
        <v>4.5954101785482502</v>
      </c>
      <c r="AK93" s="105">
        <v>2685.5577083435974</v>
      </c>
      <c r="AL93" s="105">
        <v>2.1070200184408208</v>
      </c>
      <c r="AM93" s="105">
        <v>1231.3424987768155</v>
      </c>
      <c r="AN93" s="105">
        <v>3.4143829416006373</v>
      </c>
      <c r="AO93" s="105">
        <v>1995.3653910714124</v>
      </c>
      <c r="AP93" s="105">
        <v>4.3581813305617727</v>
      </c>
      <c r="AQ93" s="105">
        <v>2546.9211695802996</v>
      </c>
      <c r="AR93" s="105">
        <v>3.0916563629665204</v>
      </c>
      <c r="AS93" s="105">
        <v>1806.7639785176343</v>
      </c>
      <c r="AT93" s="105">
        <v>3.0025785812276844</v>
      </c>
      <c r="AU93" s="105">
        <v>1754.7069228694586</v>
      </c>
      <c r="AV93" s="105">
        <v>2.9993193426309381</v>
      </c>
      <c r="AW93" s="105">
        <v>1752.8022238335202</v>
      </c>
      <c r="AX93" s="105">
        <v>3.2214446439066973</v>
      </c>
      <c r="AY93" s="105">
        <v>1882.6122498990737</v>
      </c>
      <c r="AZ93" s="105">
        <v>3.3045307987946639</v>
      </c>
      <c r="BA93" s="105">
        <v>1931.1677988156016</v>
      </c>
      <c r="BB93" s="105">
        <v>3.7610643084000324</v>
      </c>
      <c r="BC93" s="105">
        <v>2197.9659818289788</v>
      </c>
      <c r="BD93" s="105">
        <v>3.210035738963231</v>
      </c>
      <c r="BE93" s="105">
        <v>1875.9448858501121</v>
      </c>
      <c r="BF93" s="105">
        <v>3.4576438085696695</v>
      </c>
      <c r="BG93" s="105">
        <v>2020.6470417281148</v>
      </c>
      <c r="BH93" s="105">
        <v>3.9075646134124944</v>
      </c>
      <c r="BI93" s="105">
        <v>2283.5807600782618</v>
      </c>
      <c r="BJ93" s="105">
        <v>4.1469602866544326</v>
      </c>
      <c r="BK93" s="105">
        <v>2423.4835915208505</v>
      </c>
      <c r="BL93" s="105">
        <v>3.2395309542367134</v>
      </c>
      <c r="BM93" s="105">
        <v>1893.1818896559353</v>
      </c>
      <c r="BN93" s="105">
        <v>3.3159370344512986</v>
      </c>
      <c r="BO93" s="105">
        <v>1937.8336029333389</v>
      </c>
      <c r="BP93" s="105">
        <v>3.8711942140037894</v>
      </c>
      <c r="BQ93" s="105">
        <v>2262.3258986638143</v>
      </c>
      <c r="BR93" s="105">
        <v>2.6053045585941081</v>
      </c>
      <c r="BS93" s="105">
        <v>1522.5399840423968</v>
      </c>
      <c r="BT93" s="105">
        <v>4.1300912169400963</v>
      </c>
      <c r="BU93" s="105">
        <v>2413.6253071797923</v>
      </c>
      <c r="BV93" s="105">
        <v>3.9740404686119195</v>
      </c>
      <c r="BW93" s="105">
        <v>2322.4292498568057</v>
      </c>
      <c r="BX93" s="105">
        <v>1.9103434314540755</v>
      </c>
      <c r="BY93" s="105">
        <v>1116.4047013417617</v>
      </c>
      <c r="BZ93" s="105">
        <v>4.0547530187611898</v>
      </c>
      <c r="CA93" s="105">
        <v>2369.5976641640391</v>
      </c>
      <c r="CB93" s="105">
        <v>2.967235367153962</v>
      </c>
      <c r="CC93" s="105">
        <v>1734.0523485647752</v>
      </c>
      <c r="CD93" s="105">
        <v>3.225912622983083</v>
      </c>
      <c r="CE93" s="105">
        <v>1885.2233368713137</v>
      </c>
      <c r="CF93" s="105">
        <v>2.2739146331938072</v>
      </c>
      <c r="CG93" s="105">
        <v>1328.8757116384609</v>
      </c>
      <c r="CH93" s="105">
        <v>2.3882763665799218</v>
      </c>
      <c r="CI93" s="105">
        <v>1395.7087086293063</v>
      </c>
      <c r="CJ93" s="105">
        <v>3.4355867586166755</v>
      </c>
      <c r="CK93" s="105">
        <v>2007.7569017355852</v>
      </c>
      <c r="CL93" s="105">
        <v>3.1662243013234863</v>
      </c>
      <c r="CM93" s="105">
        <v>1850.3414816934453</v>
      </c>
      <c r="CN93" s="105">
        <v>3.3107699525874397</v>
      </c>
      <c r="CO93" s="105">
        <v>1934.8139602920996</v>
      </c>
      <c r="CP93" s="105">
        <v>2.5088235400281538</v>
      </c>
      <c r="CQ93" s="105">
        <v>1466.1564767924531</v>
      </c>
      <c r="CR93" s="105">
        <v>3.1274694080158083</v>
      </c>
      <c r="CS93" s="105">
        <v>1827.6931220444383</v>
      </c>
      <c r="CT93" s="105">
        <v>3.4464696308224676</v>
      </c>
      <c r="CU93" s="105">
        <v>2014.11685225265</v>
      </c>
    </row>
    <row r="94" spans="2:99" x14ac:dyDescent="0.2">
      <c r="C94" s="104" t="s">
        <v>260</v>
      </c>
      <c r="D94" s="105">
        <v>3</v>
      </c>
      <c r="E94" s="105">
        <v>2404.8000000000002</v>
      </c>
      <c r="F94" s="105">
        <v>3</v>
      </c>
      <c r="G94" s="105">
        <v>2404.8000000000002</v>
      </c>
      <c r="H94" s="105">
        <v>4</v>
      </c>
      <c r="I94" s="105">
        <v>3206.4</v>
      </c>
      <c r="J94" s="105">
        <v>3</v>
      </c>
      <c r="K94" s="105">
        <v>2404.8000000000002</v>
      </c>
      <c r="L94" s="105">
        <v>0.82551733476229372</v>
      </c>
      <c r="M94" s="105">
        <v>661.73469554545466</v>
      </c>
      <c r="N94" s="105">
        <v>2.7679612395261892</v>
      </c>
      <c r="O94" s="105">
        <v>2218.7977296041931</v>
      </c>
      <c r="P94" s="105">
        <v>2.7148058770225996</v>
      </c>
      <c r="Q94" s="105">
        <v>2176.188391021316</v>
      </c>
      <c r="R94" s="105">
        <v>3.3042695930376067</v>
      </c>
      <c r="S94" s="105">
        <v>2648.7025057789456</v>
      </c>
      <c r="T94" s="105">
        <v>4.0833265814987474</v>
      </c>
      <c r="U94" s="105">
        <v>3273.1945877293961</v>
      </c>
      <c r="V94" s="105">
        <v>2.3375229488691347</v>
      </c>
      <c r="W94" s="105">
        <v>1873.7583958134985</v>
      </c>
      <c r="X94" s="105">
        <v>3.7842046653406634</v>
      </c>
      <c r="Y94" s="105">
        <v>3033.4184597370759</v>
      </c>
      <c r="Z94" s="105">
        <v>2.6954106428148683</v>
      </c>
      <c r="AA94" s="105">
        <v>2160.6411712803983</v>
      </c>
      <c r="AB94" s="105">
        <v>2.9836540954820152</v>
      </c>
      <c r="AC94" s="105">
        <v>2391.6971229383835</v>
      </c>
      <c r="AD94" s="105">
        <v>3.7761099403508367</v>
      </c>
      <c r="AE94" s="105">
        <v>3026.9297281852309</v>
      </c>
      <c r="AF94" s="105">
        <v>3.1548880872506881</v>
      </c>
      <c r="AG94" s="105">
        <v>2528.9582907401518</v>
      </c>
      <c r="AH94" s="105">
        <v>1.6643674473821493</v>
      </c>
      <c r="AI94" s="105">
        <v>1334.1569458215308</v>
      </c>
      <c r="AJ94" s="105">
        <v>4.5954101785482502</v>
      </c>
      <c r="AK94" s="105">
        <v>3683.6807991242777</v>
      </c>
      <c r="AL94" s="105">
        <v>2.1258456294255046</v>
      </c>
      <c r="AM94" s="105">
        <v>1704.0778565474845</v>
      </c>
      <c r="AN94" s="105">
        <v>3.4401846979377058</v>
      </c>
      <c r="AO94" s="105">
        <v>2757.6520538668651</v>
      </c>
      <c r="AP94" s="105">
        <v>4.3581813305617727</v>
      </c>
      <c r="AQ94" s="105">
        <v>3493.5181545783171</v>
      </c>
      <c r="AR94" s="105">
        <v>3.0916563629665204</v>
      </c>
      <c r="AS94" s="105">
        <v>2478.2717405539629</v>
      </c>
      <c r="AT94" s="105">
        <v>2.540173982207071</v>
      </c>
      <c r="AU94" s="105">
        <v>2036.2034641371881</v>
      </c>
      <c r="AV94" s="105">
        <v>2.9993193426309381</v>
      </c>
      <c r="AW94" s="105">
        <v>2404.2543850529601</v>
      </c>
      <c r="AX94" s="105">
        <v>2.7975239386567701</v>
      </c>
      <c r="AY94" s="105">
        <v>2242.495189227267</v>
      </c>
      <c r="AZ94" s="105">
        <v>3.7510987153642685</v>
      </c>
      <c r="BA94" s="105">
        <v>3006.8807302359978</v>
      </c>
      <c r="BB94" s="105">
        <v>3.7434547953696415</v>
      </c>
      <c r="BC94" s="105">
        <v>3000.7533639683047</v>
      </c>
      <c r="BD94" s="105">
        <v>3.210035738963231</v>
      </c>
      <c r="BE94" s="105">
        <v>2573.1646483529262</v>
      </c>
      <c r="BF94" s="105">
        <v>3.0134832909662457</v>
      </c>
      <c r="BG94" s="105">
        <v>2415.6082060385424</v>
      </c>
      <c r="BH94" s="105">
        <v>3.9075646134124944</v>
      </c>
      <c r="BI94" s="105">
        <v>3132.3037941114558</v>
      </c>
      <c r="BJ94" s="105">
        <v>4.1664024816449068</v>
      </c>
      <c r="BK94" s="105">
        <v>3339.7882292865575</v>
      </c>
      <c r="BL94" s="105">
        <v>3.214237968228574</v>
      </c>
      <c r="BM94" s="105">
        <v>2576.5331553320248</v>
      </c>
      <c r="BN94" s="105">
        <v>3.3380736701739626</v>
      </c>
      <c r="BO94" s="105">
        <v>2675.7998540114486</v>
      </c>
      <c r="BP94" s="105">
        <v>3.8968845309357705</v>
      </c>
      <c r="BQ94" s="105">
        <v>3123.7426399981136</v>
      </c>
      <c r="BR94" s="105">
        <v>2.6053045585941081</v>
      </c>
      <c r="BS94" s="105">
        <v>2088.412134169037</v>
      </c>
      <c r="BT94" s="105">
        <v>3.7196278029675605</v>
      </c>
      <c r="BU94" s="105">
        <v>2981.6536468587965</v>
      </c>
      <c r="BV94" s="105">
        <v>3.4772854100354298</v>
      </c>
      <c r="BW94" s="105">
        <v>2787.3919846844005</v>
      </c>
      <c r="BX94" s="105">
        <v>1.9103434314540755</v>
      </c>
      <c r="BY94" s="105">
        <v>1531.3312946535868</v>
      </c>
      <c r="BZ94" s="105">
        <v>3.536465457844955</v>
      </c>
      <c r="CA94" s="105">
        <v>2834.8307110085161</v>
      </c>
      <c r="CB94" s="105">
        <v>2.9927704920225429</v>
      </c>
      <c r="CC94" s="105">
        <v>2399.0048264052703</v>
      </c>
      <c r="CD94" s="105">
        <v>3.6324400758008051</v>
      </c>
      <c r="CE94" s="105">
        <v>2911.7639647619253</v>
      </c>
      <c r="CF94" s="105">
        <v>2.6296100885514324</v>
      </c>
      <c r="CG94" s="105">
        <v>2107.8954469828282</v>
      </c>
      <c r="CH94" s="105">
        <v>2.409790426295003</v>
      </c>
      <c r="CI94" s="105">
        <v>1931.6880057180745</v>
      </c>
      <c r="CJ94" s="105">
        <v>2.8805445360918562</v>
      </c>
      <c r="CK94" s="105">
        <v>2309.0445001312319</v>
      </c>
      <c r="CL94" s="105">
        <v>2.7464862149061524</v>
      </c>
      <c r="CM94" s="105">
        <v>2201.5833498687716</v>
      </c>
      <c r="CN94" s="105">
        <v>2.901540183437425</v>
      </c>
      <c r="CO94" s="105">
        <v>2325.8746110434399</v>
      </c>
      <c r="CP94" s="105">
        <v>2.5088235400281538</v>
      </c>
      <c r="CQ94" s="105">
        <v>2011.0729496865681</v>
      </c>
      <c r="CR94" s="105">
        <v>3.1274694080158083</v>
      </c>
      <c r="CS94" s="105">
        <v>2506.979477465472</v>
      </c>
      <c r="CT94" s="105">
        <v>3.4464696308224676</v>
      </c>
      <c r="CU94" s="105">
        <v>2762.6900560672902</v>
      </c>
    </row>
    <row r="95" spans="2:99" x14ac:dyDescent="0.2">
      <c r="B95" s="104" t="s">
        <v>132</v>
      </c>
      <c r="C95" s="104" t="s">
        <v>261</v>
      </c>
      <c r="D95" s="105">
        <v>6</v>
      </c>
      <c r="E95" s="105">
        <v>2304</v>
      </c>
      <c r="F95" s="105">
        <v>7</v>
      </c>
      <c r="G95" s="105">
        <v>2688</v>
      </c>
      <c r="H95" s="105">
        <v>8</v>
      </c>
      <c r="I95" s="105">
        <v>3072</v>
      </c>
      <c r="J95" s="105">
        <v>5</v>
      </c>
      <c r="K95" s="105">
        <v>1920</v>
      </c>
      <c r="L95" s="105">
        <v>1.1350863352981537</v>
      </c>
      <c r="M95" s="105">
        <v>435.873152754491</v>
      </c>
      <c r="N95" s="105">
        <v>3.1633842737442164</v>
      </c>
      <c r="O95" s="105">
        <v>1214.739561117779</v>
      </c>
      <c r="P95" s="105">
        <v>3.5701354999712058</v>
      </c>
      <c r="Q95" s="105">
        <v>1370.932031988943</v>
      </c>
      <c r="R95" s="105">
        <v>5.4314575382783019</v>
      </c>
      <c r="S95" s="105">
        <v>2085.6796946988679</v>
      </c>
      <c r="T95" s="105">
        <v>4.0833265814987474</v>
      </c>
      <c r="U95" s="105">
        <v>1567.997407295519</v>
      </c>
      <c r="V95" s="105">
        <v>3.7806995819487845</v>
      </c>
      <c r="W95" s="105">
        <v>1451.7886394683333</v>
      </c>
      <c r="X95" s="105">
        <v>5.5621958192803884</v>
      </c>
      <c r="Y95" s="105">
        <v>2135.8831946036689</v>
      </c>
      <c r="Z95" s="105">
        <v>4.7480541645334275</v>
      </c>
      <c r="AA95" s="105">
        <v>1823.2527991808361</v>
      </c>
      <c r="AB95" s="105">
        <v>4.7142788110361815</v>
      </c>
      <c r="AC95" s="105">
        <v>1810.2830634378938</v>
      </c>
      <c r="AD95" s="105">
        <v>4.2769370623695213</v>
      </c>
      <c r="AE95" s="105">
        <v>1642.3438319498962</v>
      </c>
      <c r="AF95" s="105">
        <v>4.5069829817866971</v>
      </c>
      <c r="AG95" s="105">
        <v>1730.6814650060917</v>
      </c>
      <c r="AH95" s="105">
        <v>3.727869152583299</v>
      </c>
      <c r="AI95" s="105">
        <v>1431.5017545919868</v>
      </c>
      <c r="AJ95" s="105">
        <v>5.1356304960113084</v>
      </c>
      <c r="AK95" s="105">
        <v>1972.0821104683423</v>
      </c>
      <c r="AL95" s="105">
        <v>5.3012913046901069</v>
      </c>
      <c r="AM95" s="105">
        <v>2035.695861001001</v>
      </c>
      <c r="AN95" s="105">
        <v>4.0178491069835021</v>
      </c>
      <c r="AO95" s="105">
        <v>1542.8540570816649</v>
      </c>
      <c r="AP95" s="105">
        <v>3.9369249052884459</v>
      </c>
      <c r="AQ95" s="105">
        <v>1511.7791636307632</v>
      </c>
      <c r="AR95" s="105">
        <v>5.0125868837534338</v>
      </c>
      <c r="AS95" s="105">
        <v>1924.8333633613186</v>
      </c>
      <c r="AT95" s="105">
        <v>4.9206422734413398</v>
      </c>
      <c r="AU95" s="105">
        <v>1889.5266330014745</v>
      </c>
      <c r="AV95" s="105">
        <v>4.7611524906841929</v>
      </c>
      <c r="AW95" s="105">
        <v>1828.2825564227301</v>
      </c>
      <c r="AX95" s="105">
        <v>4.8536275381171041</v>
      </c>
      <c r="AY95" s="105">
        <v>1863.792974636968</v>
      </c>
      <c r="AZ95" s="105">
        <v>4.7335122399071929</v>
      </c>
      <c r="BA95" s="105">
        <v>1817.6687001243622</v>
      </c>
      <c r="BB95" s="105">
        <v>4.7502684479799564</v>
      </c>
      <c r="BC95" s="105">
        <v>1824.1030840243034</v>
      </c>
      <c r="BD95" s="105">
        <v>5.046170769934136</v>
      </c>
      <c r="BE95" s="105">
        <v>1937.7295756547082</v>
      </c>
      <c r="BF95" s="105">
        <v>4.9295334355182234</v>
      </c>
      <c r="BG95" s="105">
        <v>1892.9408392389978</v>
      </c>
      <c r="BH95" s="105">
        <v>4.33328839882628</v>
      </c>
      <c r="BI95" s="105">
        <v>1663.9827451492915</v>
      </c>
      <c r="BJ95" s="105">
        <v>4.1080758966734843</v>
      </c>
      <c r="BK95" s="105">
        <v>1577.5011443226181</v>
      </c>
      <c r="BL95" s="105">
        <v>4.8340034453469309</v>
      </c>
      <c r="BM95" s="105">
        <v>1856.2573230132216</v>
      </c>
      <c r="BN95" s="105">
        <v>4.7180786471681442</v>
      </c>
      <c r="BO95" s="105">
        <v>1811.7422005125673</v>
      </c>
      <c r="BP95" s="105">
        <v>4.9552294320631729</v>
      </c>
      <c r="BQ95" s="105">
        <v>1902.8081019122583</v>
      </c>
      <c r="BR95" s="105">
        <v>5.4992069834671735</v>
      </c>
      <c r="BS95" s="105">
        <v>2111.6954816513944</v>
      </c>
      <c r="BT95" s="105">
        <v>4.1300912169400963</v>
      </c>
      <c r="BU95" s="105">
        <v>1585.955027304997</v>
      </c>
      <c r="BV95" s="105">
        <v>4.4707955271884101</v>
      </c>
      <c r="BW95" s="105">
        <v>1716.7854824403494</v>
      </c>
      <c r="BX95" s="105">
        <v>3.7665469025281069</v>
      </c>
      <c r="BY95" s="105">
        <v>1446.354010570793</v>
      </c>
      <c r="BZ95" s="105">
        <v>5.944808325288756</v>
      </c>
      <c r="CA95" s="105">
        <v>2282.8063969108825</v>
      </c>
      <c r="CB95" s="105">
        <v>5.121421587007343</v>
      </c>
      <c r="CC95" s="105">
        <v>1966.6258894108196</v>
      </c>
      <c r="CD95" s="105">
        <v>4.5088650569794213</v>
      </c>
      <c r="CE95" s="105">
        <v>1731.4041818800979</v>
      </c>
      <c r="CF95" s="105">
        <v>4.8860569841142327</v>
      </c>
      <c r="CG95" s="105">
        <v>1876.2458818998653</v>
      </c>
      <c r="CH95" s="105">
        <v>5.7878429826922089</v>
      </c>
      <c r="CI95" s="105">
        <v>2222.5317053538083</v>
      </c>
      <c r="CJ95" s="105">
        <v>4.9690466468564383</v>
      </c>
      <c r="CK95" s="105">
        <v>1908.1139123928724</v>
      </c>
      <c r="CL95" s="105">
        <v>4.8451766469928206</v>
      </c>
      <c r="CM95" s="105">
        <v>1860.5478324452431</v>
      </c>
      <c r="CN95" s="105">
        <v>4.5753910594248062</v>
      </c>
      <c r="CO95" s="105">
        <v>1756.9501668191256</v>
      </c>
      <c r="CP95" s="105">
        <v>4.9419133971637743</v>
      </c>
      <c r="CQ95" s="105">
        <v>1897.6947445108894</v>
      </c>
      <c r="CR95" s="105">
        <v>4.7652814531727357</v>
      </c>
      <c r="CS95" s="105">
        <v>1829.8680780183304</v>
      </c>
      <c r="CT95" s="105">
        <v>5.1119995508256588</v>
      </c>
      <c r="CU95" s="105">
        <v>1963.0078275170531</v>
      </c>
    </row>
    <row r="96" spans="2:99" x14ac:dyDescent="0.2">
      <c r="C96" s="104" t="s">
        <v>262</v>
      </c>
      <c r="D96" s="105">
        <v>4.8911465319596266</v>
      </c>
      <c r="E96" s="105">
        <v>4090.9549593310317</v>
      </c>
      <c r="F96" s="105">
        <v>0</v>
      </c>
      <c r="G96" s="105">
        <v>0</v>
      </c>
      <c r="H96" s="105">
        <v>0</v>
      </c>
      <c r="I96" s="105">
        <v>0</v>
      </c>
      <c r="J96" s="105">
        <v>0</v>
      </c>
      <c r="K96" s="105">
        <v>0</v>
      </c>
      <c r="L96" s="105">
        <v>0</v>
      </c>
      <c r="M96" s="105">
        <v>0</v>
      </c>
      <c r="N96" s="105">
        <v>4.9996834373916172</v>
      </c>
      <c r="O96" s="105">
        <v>4181.7352270343481</v>
      </c>
      <c r="P96" s="105">
        <v>4.8736959149622008</v>
      </c>
      <c r="Q96" s="105">
        <v>4076.3592632743848</v>
      </c>
      <c r="R96" s="105">
        <v>6.3132513829581853</v>
      </c>
      <c r="S96" s="105">
        <v>5280.4034567062263</v>
      </c>
      <c r="T96" s="105">
        <v>5.8062752308145287</v>
      </c>
      <c r="U96" s="105">
        <v>4856.3686030532717</v>
      </c>
      <c r="V96" s="105">
        <v>6.2262473474238975</v>
      </c>
      <c r="W96" s="105">
        <v>5207.6332813853478</v>
      </c>
      <c r="X96" s="105">
        <v>5.0701623936772027</v>
      </c>
      <c r="Y96" s="105">
        <v>4240.6838260716122</v>
      </c>
      <c r="Z96" s="105">
        <v>4.967157520422032</v>
      </c>
      <c r="AA96" s="105">
        <v>4154.5305500809873</v>
      </c>
      <c r="AB96" s="105">
        <v>3.9978460555356561</v>
      </c>
      <c r="AC96" s="105">
        <v>3343.7984408500229</v>
      </c>
      <c r="AD96" s="105">
        <v>5.6754070062307287</v>
      </c>
      <c r="AE96" s="105">
        <v>4746.9104200113816</v>
      </c>
      <c r="AF96" s="105">
        <v>6.1917807215221963</v>
      </c>
      <c r="AG96" s="105">
        <v>5178.8053954811649</v>
      </c>
      <c r="AH96" s="105">
        <v>5.3319604543961256</v>
      </c>
      <c r="AI96" s="105">
        <v>4459.6517240569192</v>
      </c>
      <c r="AJ96" s="105">
        <v>5.2634436444785795</v>
      </c>
      <c r="AK96" s="105">
        <v>4402.344264241884</v>
      </c>
      <c r="AL96" s="105">
        <v>5.1848568980357506</v>
      </c>
      <c r="AM96" s="105">
        <v>4336.6143095171019</v>
      </c>
      <c r="AN96" s="105">
        <v>4.524542844731493</v>
      </c>
      <c r="AO96" s="105">
        <v>3784.3276353334209</v>
      </c>
      <c r="AP96" s="105">
        <v>3.8746453430271965</v>
      </c>
      <c r="AQ96" s="105">
        <v>3240.7533649079469</v>
      </c>
      <c r="AR96" s="105">
        <v>5.2842343572507939</v>
      </c>
      <c r="AS96" s="105">
        <v>4419.7336164045637</v>
      </c>
      <c r="AT96" s="105">
        <v>5.0106084810571669</v>
      </c>
      <c r="AU96" s="105">
        <v>4190.8729335562139</v>
      </c>
      <c r="AV96" s="105">
        <v>3.8707376661837398</v>
      </c>
      <c r="AW96" s="105">
        <v>3237.4849839960798</v>
      </c>
      <c r="AX96" s="105">
        <v>6.3154328402172579</v>
      </c>
      <c r="AY96" s="105">
        <v>5282.2280275577141</v>
      </c>
      <c r="AZ96" s="105">
        <v>3.8378302455374551</v>
      </c>
      <c r="BA96" s="105">
        <v>3209.9612173675273</v>
      </c>
      <c r="BB96" s="105">
        <v>4.9596516168984381</v>
      </c>
      <c r="BC96" s="105">
        <v>4148.2526123738535</v>
      </c>
      <c r="BD96" s="105">
        <v>6.6682073190830149</v>
      </c>
      <c r="BE96" s="105">
        <v>5577.2886016810335</v>
      </c>
      <c r="BF96" s="105">
        <v>5.1028365841332457</v>
      </c>
      <c r="BG96" s="105">
        <v>4268.0125189690461</v>
      </c>
      <c r="BH96" s="105">
        <v>5.2744853094403439</v>
      </c>
      <c r="BI96" s="105">
        <v>4411.5795128159034</v>
      </c>
      <c r="BJ96" s="105">
        <v>5.832545032509282</v>
      </c>
      <c r="BK96" s="105">
        <v>4878.3406651907635</v>
      </c>
      <c r="BL96" s="105">
        <v>4.7226509233348137</v>
      </c>
      <c r="BM96" s="105">
        <v>3950.025232277238</v>
      </c>
      <c r="BN96" s="105">
        <v>5.6052494465458933</v>
      </c>
      <c r="BO96" s="105">
        <v>4688.2306370909846</v>
      </c>
      <c r="BP96" s="105">
        <v>4.0951835712164257</v>
      </c>
      <c r="BQ96" s="105">
        <v>3425.2115389654182</v>
      </c>
      <c r="BR96" s="105">
        <v>5.4541204908649066</v>
      </c>
      <c r="BS96" s="105">
        <v>4561.8263785594081</v>
      </c>
      <c r="BT96" s="105">
        <v>5.7488619721060061</v>
      </c>
      <c r="BU96" s="105">
        <v>4808.3481534694638</v>
      </c>
      <c r="BV96" s="105">
        <v>5.5046547170421682</v>
      </c>
      <c r="BW96" s="105">
        <v>4604.0932053340694</v>
      </c>
      <c r="BX96" s="105">
        <v>7.1524345112357581</v>
      </c>
      <c r="BY96" s="105">
        <v>5982.2962251975878</v>
      </c>
      <c r="BZ96" s="105">
        <v>5.7873865791921215</v>
      </c>
      <c r="CA96" s="105">
        <v>4840.57013483629</v>
      </c>
      <c r="CB96" s="105">
        <v>3.3951656294639214</v>
      </c>
      <c r="CC96" s="105">
        <v>2839.7165324836237</v>
      </c>
      <c r="CD96" s="105">
        <v>5.2464537057328986</v>
      </c>
      <c r="CE96" s="105">
        <v>4388.1338794749963</v>
      </c>
      <c r="CF96" s="105">
        <v>6.4650001691633276</v>
      </c>
      <c r="CG96" s="105">
        <v>5407.3261414882072</v>
      </c>
      <c r="CH96" s="105">
        <v>5.5306471504115366</v>
      </c>
      <c r="CI96" s="105">
        <v>4625.8332766042095</v>
      </c>
      <c r="CJ96" s="105">
        <v>4.0348320314226003</v>
      </c>
      <c r="CK96" s="105">
        <v>3374.7335110818626</v>
      </c>
      <c r="CL96" s="105">
        <v>5.3843106505264684</v>
      </c>
      <c r="CM96" s="105">
        <v>4503.4374281003384</v>
      </c>
      <c r="CN96" s="105">
        <v>4.8179114991855529</v>
      </c>
      <c r="CO96" s="105">
        <v>4029.7011779187965</v>
      </c>
      <c r="CP96" s="105">
        <v>6.0208370900711117</v>
      </c>
      <c r="CQ96" s="105">
        <v>5035.8281421354777</v>
      </c>
      <c r="CR96" s="105">
        <v>8.0487432887537249</v>
      </c>
      <c r="CS96" s="105">
        <v>6731.9688867136156</v>
      </c>
      <c r="CT96" s="105">
        <v>5.2374771272513296</v>
      </c>
      <c r="CU96" s="105">
        <v>4380.6258692330121</v>
      </c>
    </row>
    <row r="97" spans="2:99" x14ac:dyDescent="0.2">
      <c r="C97" s="104" t="s">
        <v>263</v>
      </c>
      <c r="D97" s="105">
        <v>7</v>
      </c>
      <c r="E97" s="105">
        <v>1764</v>
      </c>
      <c r="F97" s="105">
        <v>7</v>
      </c>
      <c r="G97" s="105">
        <v>1764</v>
      </c>
      <c r="H97" s="105">
        <v>8</v>
      </c>
      <c r="I97" s="105">
        <v>2016</v>
      </c>
      <c r="J97" s="105">
        <v>5</v>
      </c>
      <c r="K97" s="105">
        <v>1260</v>
      </c>
      <c r="L97" s="105">
        <v>1.1350863352981537</v>
      </c>
      <c r="M97" s="105">
        <v>286.04175649513473</v>
      </c>
      <c r="N97" s="105">
        <v>3.5588073079622435</v>
      </c>
      <c r="O97" s="105">
        <v>896.81944160648538</v>
      </c>
      <c r="P97" s="105">
        <v>3.5887253535243735</v>
      </c>
      <c r="Q97" s="105">
        <v>904.35878908814209</v>
      </c>
      <c r="R97" s="105">
        <v>4.7456744129778778</v>
      </c>
      <c r="S97" s="105">
        <v>1195.9099520704251</v>
      </c>
      <c r="T97" s="105">
        <v>4.5370295349986085</v>
      </c>
      <c r="U97" s="105">
        <v>1143.3314428196493</v>
      </c>
      <c r="V97" s="105">
        <v>4.049645445220464</v>
      </c>
      <c r="W97" s="105">
        <v>1020.5106521955569</v>
      </c>
      <c r="X97" s="105">
        <v>5.6192514086456917</v>
      </c>
      <c r="Y97" s="105">
        <v>1416.0513549787142</v>
      </c>
      <c r="Z97" s="105">
        <v>5.7620324739006437</v>
      </c>
      <c r="AA97" s="105">
        <v>1452.0321834229621</v>
      </c>
      <c r="AB97" s="105">
        <v>4.7413550572793826</v>
      </c>
      <c r="AC97" s="105">
        <v>1194.8214744344043</v>
      </c>
      <c r="AD97" s="105">
        <v>4.718466820240856</v>
      </c>
      <c r="AE97" s="105">
        <v>1189.0536387006957</v>
      </c>
      <c r="AF97" s="105">
        <v>4.5069829817866971</v>
      </c>
      <c r="AG97" s="105">
        <v>1135.7597114102477</v>
      </c>
      <c r="AH97" s="105">
        <v>4.726489621012588</v>
      </c>
      <c r="AI97" s="105">
        <v>1191.0753844951721</v>
      </c>
      <c r="AJ97" s="105">
        <v>5.1840982557602659</v>
      </c>
      <c r="AK97" s="105">
        <v>1306.392760451587</v>
      </c>
      <c r="AL97" s="105">
        <v>6.113978334490942</v>
      </c>
      <c r="AM97" s="105">
        <v>1540.7225402917175</v>
      </c>
      <c r="AN97" s="105">
        <v>3.9920473506464331</v>
      </c>
      <c r="AO97" s="105">
        <v>1005.9959323629012</v>
      </c>
      <c r="AP97" s="105">
        <v>3.9595998454125194</v>
      </c>
      <c r="AQ97" s="105">
        <v>997.81916104395486</v>
      </c>
      <c r="AR97" s="105">
        <v>5.3422703987884432</v>
      </c>
      <c r="AS97" s="105">
        <v>1346.2521404946876</v>
      </c>
      <c r="AT97" s="105">
        <v>5.337416675041152</v>
      </c>
      <c r="AU97" s="105">
        <v>1345.0290021103704</v>
      </c>
      <c r="AV97" s="105">
        <v>4.815093144291775</v>
      </c>
      <c r="AW97" s="105">
        <v>1213.4034723615273</v>
      </c>
      <c r="AX97" s="105">
        <v>5.2563816011039304</v>
      </c>
      <c r="AY97" s="105">
        <v>1324.6081634781904</v>
      </c>
      <c r="AZ97" s="105">
        <v>4.7558316627581227</v>
      </c>
      <c r="BA97" s="105">
        <v>1198.469579015047</v>
      </c>
      <c r="BB97" s="105">
        <v>4.3970543840794614</v>
      </c>
      <c r="BC97" s="105">
        <v>1108.0577047880242</v>
      </c>
      <c r="BD97" s="105">
        <v>4.6857300006531268</v>
      </c>
      <c r="BE97" s="105">
        <v>1180.803960164588</v>
      </c>
      <c r="BF97" s="105">
        <v>4.9062987564951763</v>
      </c>
      <c r="BG97" s="105">
        <v>1236.3872866367844</v>
      </c>
      <c r="BH97" s="105">
        <v>4.7019742757237522</v>
      </c>
      <c r="BI97" s="105">
        <v>1184.8975174823856</v>
      </c>
      <c r="BJ97" s="105">
        <v>4.088633701683011</v>
      </c>
      <c r="BK97" s="105">
        <v>1030.3356928241187</v>
      </c>
      <c r="BL97" s="105">
        <v>4.9098824033713484</v>
      </c>
      <c r="BM97" s="105">
        <v>1237.2903656495798</v>
      </c>
      <c r="BN97" s="105">
        <v>5.1411859132950983</v>
      </c>
      <c r="BO97" s="105">
        <v>1295.5788501503648</v>
      </c>
      <c r="BP97" s="105">
        <v>4.9552294320631729</v>
      </c>
      <c r="BQ97" s="105">
        <v>1248.7178168799196</v>
      </c>
      <c r="BR97" s="105">
        <v>5.5224532880111594</v>
      </c>
      <c r="BS97" s="105">
        <v>1391.6582285788122</v>
      </c>
      <c r="BT97" s="105">
        <v>4.1300912169400963</v>
      </c>
      <c r="BU97" s="105">
        <v>1040.7829866689042</v>
      </c>
      <c r="BV97" s="105">
        <v>4.4707955271884101</v>
      </c>
      <c r="BW97" s="105">
        <v>1126.6404728514794</v>
      </c>
      <c r="BX97" s="105">
        <v>4.0278516869401084</v>
      </c>
      <c r="BY97" s="105">
        <v>1015.0186251089074</v>
      </c>
      <c r="BZ97" s="105">
        <v>5.944808325288756</v>
      </c>
      <c r="CA97" s="105">
        <v>1498.0916979727665</v>
      </c>
      <c r="CB97" s="105">
        <v>4.5637236883925629</v>
      </c>
      <c r="CC97" s="105">
        <v>1150.0583694749259</v>
      </c>
      <c r="CD97" s="105">
        <v>4.9153925097971447</v>
      </c>
      <c r="CE97" s="105">
        <v>1238.6789124688805</v>
      </c>
      <c r="CF97" s="105">
        <v>5.9531433501871103</v>
      </c>
      <c r="CG97" s="105">
        <v>1500.1921242471517</v>
      </c>
      <c r="CH97" s="105">
        <v>5.3575186407494035</v>
      </c>
      <c r="CI97" s="105">
        <v>1350.0946974688497</v>
      </c>
      <c r="CJ97" s="105">
        <v>4.9953800027233761</v>
      </c>
      <c r="CK97" s="105">
        <v>1258.8357606862908</v>
      </c>
      <c r="CL97" s="105">
        <v>4.8451766469928206</v>
      </c>
      <c r="CM97" s="105">
        <v>1220.9845150421909</v>
      </c>
      <c r="CN97" s="105">
        <v>4.5753910594248062</v>
      </c>
      <c r="CO97" s="105">
        <v>1152.9985469750511</v>
      </c>
      <c r="CP97" s="105">
        <v>4.922979976440641</v>
      </c>
      <c r="CQ97" s="105">
        <v>1240.5909540630416</v>
      </c>
      <c r="CR97" s="105">
        <v>4.4377190441413497</v>
      </c>
      <c r="CS97" s="105">
        <v>1118.30519912362</v>
      </c>
      <c r="CT97" s="105">
        <v>4.139060979581707</v>
      </c>
      <c r="CU97" s="105">
        <v>1043.0433668545902</v>
      </c>
    </row>
    <row r="98" spans="2:99" x14ac:dyDescent="0.2">
      <c r="C98" s="104" t="s">
        <v>264</v>
      </c>
      <c r="D98" s="105">
        <v>6</v>
      </c>
      <c r="E98" s="105">
        <v>4881.6000000000004</v>
      </c>
      <c r="F98" s="105">
        <v>6</v>
      </c>
      <c r="G98" s="105">
        <v>4881.6000000000004</v>
      </c>
      <c r="H98" s="105">
        <v>8</v>
      </c>
      <c r="I98" s="105">
        <v>6508.8</v>
      </c>
      <c r="J98" s="105">
        <v>5</v>
      </c>
      <c r="K98" s="105">
        <v>4068</v>
      </c>
      <c r="L98" s="105">
        <v>1.1350863352981537</v>
      </c>
      <c r="M98" s="105">
        <v>923.50624239857791</v>
      </c>
      <c r="N98" s="105">
        <v>3.1633842737442164</v>
      </c>
      <c r="O98" s="105">
        <v>2573.7294451182947</v>
      </c>
      <c r="P98" s="105">
        <v>3.1982402491564068</v>
      </c>
      <c r="Q98" s="105">
        <v>2602.0882667136525</v>
      </c>
      <c r="R98" s="105">
        <v>4.7282147706430226</v>
      </c>
      <c r="S98" s="105">
        <v>3846.8755373951635</v>
      </c>
      <c r="T98" s="105">
        <v>4.5370295349986085</v>
      </c>
      <c r="U98" s="105">
        <v>3691.3272296748678</v>
      </c>
      <c r="V98" s="105">
        <v>3.7806995819487845</v>
      </c>
      <c r="W98" s="105">
        <v>3075.977179873531</v>
      </c>
      <c r="X98" s="105">
        <v>5.5621958192803884</v>
      </c>
      <c r="Y98" s="105">
        <v>4525.4025185665241</v>
      </c>
      <c r="Z98" s="105">
        <v>4.6986803585651726</v>
      </c>
      <c r="AA98" s="105">
        <v>3822.8463397286246</v>
      </c>
      <c r="AB98" s="105">
        <v>4.7413550572793826</v>
      </c>
      <c r="AC98" s="105">
        <v>3857.5664746025059</v>
      </c>
      <c r="AD98" s="105">
        <v>3.8749388805964218</v>
      </c>
      <c r="AE98" s="105">
        <v>3152.650273253249</v>
      </c>
      <c r="AF98" s="105">
        <v>4.9576812799653664</v>
      </c>
      <c r="AG98" s="105">
        <v>4033.5694893798222</v>
      </c>
      <c r="AH98" s="105">
        <v>4.0607426420597283</v>
      </c>
      <c r="AI98" s="105">
        <v>3303.8202135797951</v>
      </c>
      <c r="AJ98" s="105">
        <v>5.1356304960113084</v>
      </c>
      <c r="AK98" s="105">
        <v>4178.3489715548003</v>
      </c>
      <c r="AL98" s="105">
        <v>5.2824656937054231</v>
      </c>
      <c r="AM98" s="105">
        <v>4297.8140883987326</v>
      </c>
      <c r="AN98" s="105">
        <v>4.5181082470180911</v>
      </c>
      <c r="AO98" s="105">
        <v>3675.9328697739188</v>
      </c>
      <c r="AP98" s="105">
        <v>3.9369249052884459</v>
      </c>
      <c r="AQ98" s="105">
        <v>3203.0821029426797</v>
      </c>
      <c r="AR98" s="105">
        <v>4.9944193540459754</v>
      </c>
      <c r="AS98" s="105">
        <v>4063.4595864518055</v>
      </c>
      <c r="AT98" s="105">
        <v>5.3602317737515515</v>
      </c>
      <c r="AU98" s="105">
        <v>4361.0845711242628</v>
      </c>
      <c r="AV98" s="105">
        <v>5.3394400977673468</v>
      </c>
      <c r="AW98" s="105">
        <v>4344.1684635435131</v>
      </c>
      <c r="AX98" s="105">
        <v>4.8324608958540036</v>
      </c>
      <c r="AY98" s="105">
        <v>3931.6901848668176</v>
      </c>
      <c r="AZ98" s="105">
        <v>4.7335122399071929</v>
      </c>
      <c r="BA98" s="105">
        <v>3851.1855583884922</v>
      </c>
      <c r="BB98" s="105">
        <v>4.0262308071485746</v>
      </c>
      <c r="BC98" s="105">
        <v>3275.7413846960803</v>
      </c>
      <c r="BD98" s="105">
        <v>4.6857300006531268</v>
      </c>
      <c r="BE98" s="105">
        <v>3812.3099285313842</v>
      </c>
      <c r="BF98" s="105">
        <v>4.9062987564951763</v>
      </c>
      <c r="BG98" s="105">
        <v>3991.7646682844756</v>
      </c>
      <c r="BH98" s="105">
        <v>3.8885519772403896</v>
      </c>
      <c r="BI98" s="105">
        <v>3163.7258886827813</v>
      </c>
      <c r="BJ98" s="105">
        <v>3.6972683070061363</v>
      </c>
      <c r="BK98" s="105">
        <v>3008.0974945801927</v>
      </c>
      <c r="BL98" s="105">
        <v>4.8592964313550704</v>
      </c>
      <c r="BM98" s="105">
        <v>3953.5235765504854</v>
      </c>
      <c r="BN98" s="105">
        <v>4.6959420114454806</v>
      </c>
      <c r="BO98" s="105">
        <v>3820.618420512043</v>
      </c>
      <c r="BP98" s="105">
        <v>4.3875215061014989</v>
      </c>
      <c r="BQ98" s="105">
        <v>3569.6874973641798</v>
      </c>
      <c r="BR98" s="105">
        <v>5.0478849853803114</v>
      </c>
      <c r="BS98" s="105">
        <v>4106.9592241054215</v>
      </c>
      <c r="BT98" s="105">
        <v>3.678111565711629</v>
      </c>
      <c r="BU98" s="105">
        <v>2992.5115698629816</v>
      </c>
      <c r="BV98" s="105">
        <v>3.9740404686119195</v>
      </c>
      <c r="BW98" s="105">
        <v>3233.2793252626579</v>
      </c>
      <c r="BX98" s="105">
        <v>3.7575235757980994</v>
      </c>
      <c r="BY98" s="105">
        <v>3057.1211812693336</v>
      </c>
      <c r="BZ98" s="105">
        <v>4.9768938048828</v>
      </c>
      <c r="CA98" s="105">
        <v>4049.2007996526463</v>
      </c>
      <c r="CB98" s="105">
        <v>4.5381885635239829</v>
      </c>
      <c r="CC98" s="105">
        <v>3692.2702152831125</v>
      </c>
      <c r="CD98" s="105">
        <v>4.0600908871329189</v>
      </c>
      <c r="CE98" s="105">
        <v>3303.2899457713429</v>
      </c>
      <c r="CF98" s="105">
        <v>5.241752439471858</v>
      </c>
      <c r="CG98" s="105">
        <v>4264.6897847543041</v>
      </c>
      <c r="CH98" s="105">
        <v>5.3575186407494035</v>
      </c>
      <c r="CI98" s="105">
        <v>4358.8771661137152</v>
      </c>
      <c r="CJ98" s="105">
        <v>4.4403377801985568</v>
      </c>
      <c r="CK98" s="105">
        <v>3612.6588179695459</v>
      </c>
      <c r="CL98" s="105">
        <v>4.8244441291380804</v>
      </c>
      <c r="CM98" s="105">
        <v>3925.1677434667422</v>
      </c>
      <c r="CN98" s="105">
        <v>4.5938569591184679</v>
      </c>
      <c r="CO98" s="105">
        <v>3737.5620219387856</v>
      </c>
      <c r="CP98" s="105">
        <v>5.7213876483370925</v>
      </c>
      <c r="CQ98" s="105">
        <v>4654.9209906870583</v>
      </c>
      <c r="CR98" s="105">
        <v>4.405099457462561</v>
      </c>
      <c r="CS98" s="105">
        <v>3583.9889185915399</v>
      </c>
      <c r="CT98" s="105">
        <v>4.4523824280138733</v>
      </c>
      <c r="CU98" s="105">
        <v>3622.4583434320875</v>
      </c>
    </row>
    <row r="99" spans="2:99" x14ac:dyDescent="0.2">
      <c r="C99" s="104" t="s">
        <v>265</v>
      </c>
      <c r="D99" s="105">
        <v>5</v>
      </c>
      <c r="E99" s="105">
        <v>19416</v>
      </c>
      <c r="F99" s="105">
        <v>5</v>
      </c>
      <c r="G99" s="105">
        <v>19416</v>
      </c>
      <c r="H99" s="105">
        <v>6</v>
      </c>
      <c r="I99" s="105">
        <v>23299.199999999997</v>
      </c>
      <c r="J99" s="105">
        <v>4</v>
      </c>
      <c r="K99" s="105">
        <v>15532.8</v>
      </c>
      <c r="L99" s="105">
        <v>0.82551733476229372</v>
      </c>
      <c r="M99" s="105">
        <v>3205.6489143489389</v>
      </c>
      <c r="N99" s="105">
        <v>2.3725382053081621</v>
      </c>
      <c r="O99" s="105">
        <v>9213.0403588526551</v>
      </c>
      <c r="P99" s="105">
        <v>2.7891652912352716</v>
      </c>
      <c r="Q99" s="105">
        <v>10830.886658924806</v>
      </c>
      <c r="R99" s="105">
        <v>3.6558909768552468</v>
      </c>
      <c r="S99" s="105">
        <v>14196.555841324294</v>
      </c>
      <c r="T99" s="105">
        <v>3.175920674499026</v>
      </c>
      <c r="U99" s="105">
        <v>12332.735163214616</v>
      </c>
      <c r="V99" s="105">
        <v>2.6174074028876202</v>
      </c>
      <c r="W99" s="105">
        <v>10163.916426893205</v>
      </c>
      <c r="X99" s="105">
        <v>4.3673591184263545</v>
      </c>
      <c r="Y99" s="105">
        <v>16959.328928673218</v>
      </c>
      <c r="Z99" s="105">
        <v>3.709388952182084</v>
      </c>
      <c r="AA99" s="105">
        <v>14404.299179113468</v>
      </c>
      <c r="AB99" s="105">
        <v>3.5695544160811377</v>
      </c>
      <c r="AC99" s="105">
        <v>13861.293708526273</v>
      </c>
      <c r="AD99" s="105">
        <v>3.433409122725088</v>
      </c>
      <c r="AE99" s="105">
        <v>13332.614305366062</v>
      </c>
      <c r="AF99" s="105">
        <v>3.6055863854293575</v>
      </c>
      <c r="AG99" s="105">
        <v>14001.21305189928</v>
      </c>
      <c r="AH99" s="105">
        <v>3.3802710479196314</v>
      </c>
      <c r="AI99" s="105">
        <v>13126.268533281513</v>
      </c>
      <c r="AJ99" s="105">
        <v>3.6361389429945299</v>
      </c>
      <c r="AK99" s="105">
        <v>14119.854743436357</v>
      </c>
      <c r="AL99" s="105">
        <v>4.4697786639045889</v>
      </c>
      <c r="AM99" s="105">
        <v>17357.044507674298</v>
      </c>
      <c r="AN99" s="105">
        <v>3.4143829416006373</v>
      </c>
      <c r="AO99" s="105">
        <v>13258.731838823594</v>
      </c>
      <c r="AP99" s="105">
        <v>3.4476436596428992</v>
      </c>
      <c r="AQ99" s="105">
        <v>13387.889859125306</v>
      </c>
      <c r="AR99" s="105">
        <v>3.8418610415738272</v>
      </c>
      <c r="AS99" s="105">
        <v>14918.714796639486</v>
      </c>
      <c r="AT99" s="105">
        <v>4.3897923782895241</v>
      </c>
      <c r="AU99" s="105">
        <v>17046.441763373878</v>
      </c>
      <c r="AV99" s="105">
        <v>4.1558945567972465</v>
      </c>
      <c r="AW99" s="105">
        <v>16138.169742955068</v>
      </c>
      <c r="AX99" s="105">
        <v>3.539532137841122</v>
      </c>
      <c r="AY99" s="105">
        <v>13744.711197664645</v>
      </c>
      <c r="AZ99" s="105">
        <v>3.7734181382151974</v>
      </c>
      <c r="BA99" s="105">
        <v>14652.937314317254</v>
      </c>
      <c r="BB99" s="105">
        <v>3.6554072302176888</v>
      </c>
      <c r="BC99" s="105">
        <v>14194.677356381328</v>
      </c>
      <c r="BD99" s="105">
        <v>3.9648484620911071</v>
      </c>
      <c r="BE99" s="105">
        <v>15396.299547992186</v>
      </c>
      <c r="BF99" s="105">
        <v>3.4344091295466233</v>
      </c>
      <c r="BG99" s="105">
        <v>13336.497531855446</v>
      </c>
      <c r="BH99" s="105">
        <v>3.0371044064128174</v>
      </c>
      <c r="BI99" s="105">
        <v>11793.683830982252</v>
      </c>
      <c r="BJ99" s="105">
        <v>3.2670185223483137</v>
      </c>
      <c r="BK99" s="105">
        <v>12686.486325982971</v>
      </c>
      <c r="BL99" s="105">
        <v>3.7963147706149249</v>
      </c>
      <c r="BM99" s="105">
        <v>14741.849517251876</v>
      </c>
      <c r="BN99" s="105">
        <v>3.7833175720235808</v>
      </c>
      <c r="BO99" s="105">
        <v>14691.378795681969</v>
      </c>
      <c r="BP99" s="105">
        <v>3.3034862880421159</v>
      </c>
      <c r="BQ99" s="105">
        <v>12828.097953725144</v>
      </c>
      <c r="BR99" s="105">
        <v>4.0522557710306408</v>
      </c>
      <c r="BS99" s="105">
        <v>15735.719610066184</v>
      </c>
      <c r="BT99" s="105">
        <v>3.2053737958551967</v>
      </c>
      <c r="BU99" s="105">
        <v>12447.107524064899</v>
      </c>
      <c r="BV99" s="105">
        <v>3.4772854100354298</v>
      </c>
      <c r="BW99" s="105">
        <v>13502.994704249581</v>
      </c>
      <c r="BX99" s="105">
        <v>2.9555625691020806</v>
      </c>
      <c r="BY99" s="105">
        <v>11477.040568337199</v>
      </c>
      <c r="BZ99" s="105">
        <v>4.4814931111087377</v>
      </c>
      <c r="CA99" s="105">
        <v>17402.534049057449</v>
      </c>
      <c r="CB99" s="105">
        <v>3.9804906649092024</v>
      </c>
      <c r="CC99" s="105">
        <v>15457.041349975414</v>
      </c>
      <c r="CD99" s="105">
        <v>3.5901933587720247</v>
      </c>
      <c r="CE99" s="105">
        <v>13941.438850783527</v>
      </c>
      <c r="CF99" s="105">
        <v>4.087327385243948</v>
      </c>
      <c r="CG99" s="105">
        <v>15871.909702379298</v>
      </c>
      <c r="CH99" s="105">
        <v>4.4323277777185481</v>
      </c>
      <c r="CI99" s="105">
        <v>17211.615226436665</v>
      </c>
      <c r="CJ99" s="105">
        <v>3.3565866910158575</v>
      </c>
      <c r="CK99" s="105">
        <v>13034.297438552778</v>
      </c>
      <c r="CL99" s="105">
        <v>3.964235438448672</v>
      </c>
      <c r="CM99" s="105">
        <v>15393.919054583883</v>
      </c>
      <c r="CN99" s="105">
        <v>3.7384656214311152</v>
      </c>
      <c r="CO99" s="105">
        <v>14517.209701141306</v>
      </c>
      <c r="CP99" s="105">
        <v>4.4953760094077158</v>
      </c>
      <c r="CQ99" s="105">
        <v>17456.444119732041</v>
      </c>
      <c r="CR99" s="105">
        <v>3.7336648460603952</v>
      </c>
      <c r="CS99" s="105">
        <v>14498.567330221726</v>
      </c>
      <c r="CT99" s="105">
        <v>3.7762781922283608</v>
      </c>
      <c r="CU99" s="105">
        <v>14664.04347606117</v>
      </c>
    </row>
    <row r="100" spans="2:99" x14ac:dyDescent="0.2">
      <c r="C100" s="104" t="s">
        <v>266</v>
      </c>
      <c r="D100" s="105">
        <v>7</v>
      </c>
      <c r="E100" s="105">
        <v>3872.3999999999996</v>
      </c>
      <c r="F100" s="105">
        <v>7</v>
      </c>
      <c r="G100" s="105">
        <v>3872.3999999999996</v>
      </c>
      <c r="H100" s="105">
        <v>8</v>
      </c>
      <c r="I100" s="105">
        <v>4425.5999999999995</v>
      </c>
      <c r="J100" s="105">
        <v>5</v>
      </c>
      <c r="K100" s="105">
        <v>2765.9999999999995</v>
      </c>
      <c r="L100" s="105">
        <v>1.031896668452867</v>
      </c>
      <c r="M100" s="105">
        <v>570.84523698812598</v>
      </c>
      <c r="N100" s="105">
        <v>3.1633842737442164</v>
      </c>
      <c r="O100" s="105">
        <v>1749.9841802353003</v>
      </c>
      <c r="P100" s="105">
        <v>2.8263449983416082</v>
      </c>
      <c r="Q100" s="105">
        <v>1563.5340530825774</v>
      </c>
      <c r="R100" s="105">
        <v>4.7631340553127339</v>
      </c>
      <c r="S100" s="105">
        <v>2634.9657593990041</v>
      </c>
      <c r="T100" s="105">
        <v>4.0833265814987474</v>
      </c>
      <c r="U100" s="105">
        <v>2258.8962648851066</v>
      </c>
      <c r="V100" s="105">
        <v>3.4789379464366883</v>
      </c>
      <c r="W100" s="105">
        <v>1924.5484719687756</v>
      </c>
      <c r="X100" s="105">
        <v>5.5621958192803884</v>
      </c>
      <c r="Y100" s="105">
        <v>3077.0067272259107</v>
      </c>
      <c r="Z100" s="105">
        <v>4.7480541645334275</v>
      </c>
      <c r="AA100" s="105">
        <v>2626.6235638198918</v>
      </c>
      <c r="AB100" s="105">
        <v>4.7413550572793826</v>
      </c>
      <c r="AC100" s="105">
        <v>2622.9176176869541</v>
      </c>
      <c r="AD100" s="105">
        <v>4.2769370623695213</v>
      </c>
      <c r="AE100" s="105">
        <v>2366.0015829028189</v>
      </c>
      <c r="AF100" s="105">
        <v>4.5069829817866971</v>
      </c>
      <c r="AG100" s="105">
        <v>2493.2629855244004</v>
      </c>
      <c r="AH100" s="105">
        <v>3.727869152583299</v>
      </c>
      <c r="AI100" s="105">
        <v>2062.2572152090806</v>
      </c>
      <c r="AJ100" s="105">
        <v>4.6438779382972077</v>
      </c>
      <c r="AK100" s="105">
        <v>2568.9932754660149</v>
      </c>
      <c r="AL100" s="105">
        <v>6.0951527235062573</v>
      </c>
      <c r="AM100" s="105">
        <v>3371.8384866436609</v>
      </c>
      <c r="AN100" s="105">
        <v>4.5181082470180911</v>
      </c>
      <c r="AO100" s="105">
        <v>2499.4174822504078</v>
      </c>
      <c r="AP100" s="105">
        <v>3.9369249052884459</v>
      </c>
      <c r="AQ100" s="105">
        <v>2177.9068576055679</v>
      </c>
      <c r="AR100" s="105">
        <v>4.9944193540459754</v>
      </c>
      <c r="AS100" s="105">
        <v>2762.912786658233</v>
      </c>
      <c r="AT100" s="105">
        <v>5.337416675041152</v>
      </c>
      <c r="AU100" s="105">
        <v>2952.6589046327649</v>
      </c>
      <c r="AV100" s="105">
        <v>4.7611524906841929</v>
      </c>
      <c r="AW100" s="105">
        <v>2633.8695578464954</v>
      </c>
      <c r="AX100" s="105">
        <v>5.2563816011039304</v>
      </c>
      <c r="AY100" s="105">
        <v>2907.8303017306939</v>
      </c>
      <c r="AZ100" s="105">
        <v>4.3092637461885186</v>
      </c>
      <c r="BA100" s="105">
        <v>2383.8847043914884</v>
      </c>
      <c r="BB100" s="105">
        <v>4.3970543840794614</v>
      </c>
      <c r="BC100" s="105">
        <v>2432.4504852727578</v>
      </c>
      <c r="BD100" s="105">
        <v>4.7026955929360552</v>
      </c>
      <c r="BE100" s="105">
        <v>2601.5312020122255</v>
      </c>
      <c r="BF100" s="105">
        <v>4.9295334355182234</v>
      </c>
      <c r="BG100" s="105">
        <v>2727.0178965286809</v>
      </c>
      <c r="BH100" s="105">
        <v>4.33328839882628</v>
      </c>
      <c r="BI100" s="105">
        <v>2397.1751422306979</v>
      </c>
      <c r="BJ100" s="105">
        <v>4.088633701683011</v>
      </c>
      <c r="BK100" s="105">
        <v>2261.8321637710415</v>
      </c>
      <c r="BL100" s="105">
        <v>4.8845894173632098</v>
      </c>
      <c r="BM100" s="105">
        <v>2702.1548656853274</v>
      </c>
      <c r="BN100" s="105">
        <v>4.6959420114454806</v>
      </c>
      <c r="BO100" s="105">
        <v>2597.7951207316396</v>
      </c>
      <c r="BP100" s="105">
        <v>3.8711942140037894</v>
      </c>
      <c r="BQ100" s="105">
        <v>2141.5446391868959</v>
      </c>
      <c r="BR100" s="105">
        <v>5.4992069834671735</v>
      </c>
      <c r="BS100" s="105">
        <v>3042.1613032540399</v>
      </c>
      <c r="BT100" s="105">
        <v>4.1508493355680605</v>
      </c>
      <c r="BU100" s="105">
        <v>2296.2498524362509</v>
      </c>
      <c r="BV100" s="105">
        <v>3.9740404686119195</v>
      </c>
      <c r="BW100" s="105">
        <v>2198.4391872361134</v>
      </c>
      <c r="BX100" s="105">
        <v>4.2711098178920945</v>
      </c>
      <c r="BY100" s="105">
        <v>2362.7779512579064</v>
      </c>
      <c r="BZ100" s="105">
        <v>5.9676951924309263</v>
      </c>
      <c r="CA100" s="105">
        <v>3301.3289804527881</v>
      </c>
      <c r="CB100" s="105">
        <v>4.5381885635239829</v>
      </c>
      <c r="CC100" s="105">
        <v>2510.525913341467</v>
      </c>
      <c r="CD100" s="105">
        <v>4.5088650569794213</v>
      </c>
      <c r="CE100" s="105">
        <v>2494.3041495210155</v>
      </c>
      <c r="CF100" s="105">
        <v>5.9182078749250966</v>
      </c>
      <c r="CG100" s="105">
        <v>3273.9525964085628</v>
      </c>
      <c r="CH100" s="105">
        <v>5.3360045810343228</v>
      </c>
      <c r="CI100" s="105">
        <v>2951.8777342281869</v>
      </c>
      <c r="CJ100" s="105">
        <v>4.9953800027233761</v>
      </c>
      <c r="CK100" s="105">
        <v>2763.4442175065715</v>
      </c>
      <c r="CL100" s="105">
        <v>4.8451766469928206</v>
      </c>
      <c r="CM100" s="105">
        <v>2680.3517211164281</v>
      </c>
      <c r="CN100" s="105">
        <v>4.9661549288811599</v>
      </c>
      <c r="CO100" s="105">
        <v>2747.2769066570572</v>
      </c>
      <c r="CP100" s="105">
        <v>4.922979976440641</v>
      </c>
      <c r="CQ100" s="105">
        <v>2723.3925229669621</v>
      </c>
      <c r="CR100" s="105">
        <v>4.7489716598333409</v>
      </c>
      <c r="CS100" s="105">
        <v>2627.1311222198037</v>
      </c>
      <c r="CT100" s="105">
        <v>4.1555480925554331</v>
      </c>
      <c r="CU100" s="105">
        <v>2298.8492048016651</v>
      </c>
    </row>
    <row r="101" spans="2:99" x14ac:dyDescent="0.2">
      <c r="C101" s="104" t="s">
        <v>267</v>
      </c>
      <c r="D101" s="105">
        <v>4.1924113131082512</v>
      </c>
      <c r="E101" s="105">
        <v>3571.9344387682299</v>
      </c>
      <c r="F101" s="105">
        <v>0</v>
      </c>
      <c r="G101" s="105">
        <v>0</v>
      </c>
      <c r="H101" s="105">
        <v>0</v>
      </c>
      <c r="I101" s="105">
        <v>0</v>
      </c>
      <c r="J101" s="105">
        <v>0</v>
      </c>
      <c r="K101" s="105">
        <v>0</v>
      </c>
      <c r="L101" s="105">
        <v>0</v>
      </c>
      <c r="M101" s="105">
        <v>0</v>
      </c>
      <c r="N101" s="105">
        <v>3.8886426735268129</v>
      </c>
      <c r="O101" s="105">
        <v>3313.1235578448445</v>
      </c>
      <c r="P101" s="105">
        <v>4.8469436589165928</v>
      </c>
      <c r="Q101" s="105">
        <v>4129.5959973969375</v>
      </c>
      <c r="R101" s="105">
        <v>5.842569477693778</v>
      </c>
      <c r="S101" s="105">
        <v>4977.869194995099</v>
      </c>
      <c r="T101" s="105">
        <v>5.2496061865871324</v>
      </c>
      <c r="U101" s="105">
        <v>4472.6644709722368</v>
      </c>
      <c r="V101" s="105">
        <v>6.2033751468520864</v>
      </c>
      <c r="W101" s="105">
        <v>5285.2756251179771</v>
      </c>
      <c r="X101" s="105">
        <v>4.6134316486544282</v>
      </c>
      <c r="Y101" s="105">
        <v>3930.6437646535728</v>
      </c>
      <c r="Z101" s="105">
        <v>5.5134935473613238</v>
      </c>
      <c r="AA101" s="105">
        <v>4697.496502351848</v>
      </c>
      <c r="AB101" s="105">
        <v>3.9978460555356561</v>
      </c>
      <c r="AC101" s="105">
        <v>3406.1648393163791</v>
      </c>
      <c r="AD101" s="105">
        <v>5.6467390689798194</v>
      </c>
      <c r="AE101" s="105">
        <v>4811.0216867708059</v>
      </c>
      <c r="AF101" s="105">
        <v>6.1917807215221963</v>
      </c>
      <c r="AG101" s="105">
        <v>5275.3971747369114</v>
      </c>
      <c r="AH101" s="105">
        <v>5.3490031727028882</v>
      </c>
      <c r="AI101" s="105">
        <v>4557.3507031428608</v>
      </c>
      <c r="AJ101" s="105">
        <v>4.7370992800307219</v>
      </c>
      <c r="AK101" s="105">
        <v>4036.0085865861752</v>
      </c>
      <c r="AL101" s="105">
        <v>4.814509976747483</v>
      </c>
      <c r="AM101" s="105">
        <v>4101.9625001888553</v>
      </c>
      <c r="AN101" s="105">
        <v>5.1033528246398259</v>
      </c>
      <c r="AO101" s="105">
        <v>4348.0566065931316</v>
      </c>
      <c r="AP101" s="105">
        <v>3.3957577946464941</v>
      </c>
      <c r="AQ101" s="105">
        <v>2893.1856410388132</v>
      </c>
      <c r="AR101" s="105">
        <v>5.2842343572507939</v>
      </c>
      <c r="AS101" s="105">
        <v>4502.1676723776764</v>
      </c>
      <c r="AT101" s="105">
        <v>5.4451853758811009</v>
      </c>
      <c r="AU101" s="105">
        <v>4639.297940250698</v>
      </c>
      <c r="AV101" s="105">
        <v>4.3178722819482864</v>
      </c>
      <c r="AW101" s="105">
        <v>3678.8271842199401</v>
      </c>
      <c r="AX101" s="105">
        <v>6.3154328402172579</v>
      </c>
      <c r="AY101" s="105">
        <v>5380.7487798651036</v>
      </c>
      <c r="AZ101" s="105">
        <v>4.3064883990628013</v>
      </c>
      <c r="BA101" s="105">
        <v>3669.1281160015069</v>
      </c>
      <c r="BB101" s="105">
        <v>5.8306209815734391</v>
      </c>
      <c r="BC101" s="105">
        <v>4967.6890763005704</v>
      </c>
      <c r="BD101" s="105">
        <v>7.1811463436278631</v>
      </c>
      <c r="BE101" s="105">
        <v>6118.3366847709394</v>
      </c>
      <c r="BF101" s="105">
        <v>5.6668373570576245</v>
      </c>
      <c r="BG101" s="105">
        <v>4828.1454282130962</v>
      </c>
      <c r="BH101" s="105">
        <v>4.3642836586577776</v>
      </c>
      <c r="BI101" s="105">
        <v>3718.3696771764266</v>
      </c>
      <c r="BJ101" s="105">
        <v>5.832545032509282</v>
      </c>
      <c r="BK101" s="105">
        <v>4969.3283676979081</v>
      </c>
      <c r="BL101" s="105">
        <v>4.6740221258302546</v>
      </c>
      <c r="BM101" s="105">
        <v>3982.2668512073769</v>
      </c>
      <c r="BN101" s="105">
        <v>6.1340691024226484</v>
      </c>
      <c r="BO101" s="105">
        <v>5226.2268752640966</v>
      </c>
      <c r="BP101" s="105">
        <v>3.6365733698666856</v>
      </c>
      <c r="BQ101" s="105">
        <v>3098.360511126416</v>
      </c>
      <c r="BR101" s="105">
        <v>5.4541204908649066</v>
      </c>
      <c r="BS101" s="105">
        <v>4646.9106582169006</v>
      </c>
      <c r="BT101" s="105">
        <v>5.7192093077052615</v>
      </c>
      <c r="BU101" s="105">
        <v>4872.7663301648827</v>
      </c>
      <c r="BV101" s="105">
        <v>4.930163388071902</v>
      </c>
      <c r="BW101" s="105">
        <v>4200.4992066372606</v>
      </c>
      <c r="BX101" s="105">
        <v>7.1524345112357581</v>
      </c>
      <c r="BY101" s="105">
        <v>6093.8742035728656</v>
      </c>
      <c r="BZ101" s="105">
        <v>5.7873865791921215</v>
      </c>
      <c r="CA101" s="105">
        <v>4930.8533654716875</v>
      </c>
      <c r="CB101" s="105">
        <v>3.3951656294639214</v>
      </c>
      <c r="CC101" s="105">
        <v>2892.6811163032612</v>
      </c>
      <c r="CD101" s="105">
        <v>5.2710891169141361</v>
      </c>
      <c r="CE101" s="105">
        <v>4490.9679276108436</v>
      </c>
      <c r="CF101" s="105">
        <v>6.4856536229492008</v>
      </c>
      <c r="CG101" s="105">
        <v>5525.7768867527193</v>
      </c>
      <c r="CH101" s="105">
        <v>5.1177250453827217</v>
      </c>
      <c r="CI101" s="105">
        <v>4360.3017386660786</v>
      </c>
      <c r="CJ101" s="105">
        <v>4.0134864653420683</v>
      </c>
      <c r="CK101" s="105">
        <v>3419.490468471442</v>
      </c>
      <c r="CL101" s="105">
        <v>4.8965179404511572</v>
      </c>
      <c r="CM101" s="105">
        <v>4171.8332852643862</v>
      </c>
      <c r="CN101" s="105">
        <v>4.387332046765871</v>
      </c>
      <c r="CO101" s="105">
        <v>3738.0069038445222</v>
      </c>
      <c r="CP101" s="105">
        <v>5.5210570026906201</v>
      </c>
      <c r="CQ101" s="105">
        <v>4703.9405662924082</v>
      </c>
      <c r="CR101" s="105">
        <v>7.5189134376269511</v>
      </c>
      <c r="CS101" s="105">
        <v>6406.1142488581627</v>
      </c>
      <c r="CT101" s="105">
        <v>5.2374771272513296</v>
      </c>
      <c r="CU101" s="105">
        <v>4462.3305124181325</v>
      </c>
    </row>
    <row r="102" spans="2:99" x14ac:dyDescent="0.2">
      <c r="C102" s="104" t="s">
        <v>268</v>
      </c>
      <c r="D102" s="105">
        <v>7</v>
      </c>
      <c r="E102" s="105">
        <v>428.4</v>
      </c>
      <c r="F102" s="105">
        <v>7</v>
      </c>
      <c r="G102" s="105">
        <v>428.4</v>
      </c>
      <c r="H102" s="105">
        <v>8</v>
      </c>
      <c r="I102" s="105">
        <v>489.59999999999997</v>
      </c>
      <c r="J102" s="105">
        <v>5</v>
      </c>
      <c r="K102" s="105">
        <v>306</v>
      </c>
      <c r="L102" s="105">
        <v>1.031896668452867</v>
      </c>
      <c r="M102" s="105">
        <v>63.152076109315452</v>
      </c>
      <c r="N102" s="105">
        <v>3.5588073079622435</v>
      </c>
      <c r="O102" s="105">
        <v>217.7990072472893</v>
      </c>
      <c r="P102" s="105">
        <v>3.5701354999712058</v>
      </c>
      <c r="Q102" s="105">
        <v>218.49229259823778</v>
      </c>
      <c r="R102" s="105">
        <v>5.4838364652828702</v>
      </c>
      <c r="S102" s="105">
        <v>335.61079167531165</v>
      </c>
      <c r="T102" s="105">
        <v>4.0833265814987474</v>
      </c>
      <c r="U102" s="105">
        <v>249.89958678772334</v>
      </c>
      <c r="V102" s="105">
        <v>3.7806995819487845</v>
      </c>
      <c r="W102" s="105">
        <v>231.37881441526559</v>
      </c>
      <c r="X102" s="105">
        <v>6.2024058617313829</v>
      </c>
      <c r="Y102" s="105">
        <v>379.5872387379606</v>
      </c>
      <c r="Z102" s="105">
        <v>4.7480541645334275</v>
      </c>
      <c r="AA102" s="105">
        <v>290.58091486944573</v>
      </c>
      <c r="AB102" s="105">
        <v>4.1825309829234616</v>
      </c>
      <c r="AC102" s="105">
        <v>255.97089615491583</v>
      </c>
      <c r="AD102" s="105">
        <v>4.6987010321917388</v>
      </c>
      <c r="AE102" s="105">
        <v>287.56050317013438</v>
      </c>
      <c r="AF102" s="105">
        <v>4.5069829817866971</v>
      </c>
      <c r="AG102" s="105">
        <v>275.82735848534583</v>
      </c>
      <c r="AH102" s="105">
        <v>4.726489621012588</v>
      </c>
      <c r="AI102" s="105">
        <v>289.26116480597034</v>
      </c>
      <c r="AJ102" s="105">
        <v>4.6681118181716874</v>
      </c>
      <c r="AK102" s="105">
        <v>285.68844327210724</v>
      </c>
      <c r="AL102" s="105">
        <v>5.3012913046901069</v>
      </c>
      <c r="AM102" s="105">
        <v>324.43902784703454</v>
      </c>
      <c r="AN102" s="105">
        <v>4.54391000335516</v>
      </c>
      <c r="AO102" s="105">
        <v>278.08729220533576</v>
      </c>
      <c r="AP102" s="105">
        <v>4.4262061509339929</v>
      </c>
      <c r="AQ102" s="105">
        <v>270.88381643716036</v>
      </c>
      <c r="AR102" s="105">
        <v>5.3422703987884432</v>
      </c>
      <c r="AS102" s="105">
        <v>326.94694840585271</v>
      </c>
      <c r="AT102" s="105">
        <v>5.799821274061765</v>
      </c>
      <c r="AU102" s="105">
        <v>354.94906197258001</v>
      </c>
      <c r="AV102" s="105">
        <v>5.3394400977673468</v>
      </c>
      <c r="AW102" s="105">
        <v>326.77373398336158</v>
      </c>
      <c r="AX102" s="105">
        <v>4.8324608958540036</v>
      </c>
      <c r="AY102" s="105">
        <v>295.74660682626501</v>
      </c>
      <c r="AZ102" s="105">
        <v>4.3092637461885186</v>
      </c>
      <c r="BA102" s="105">
        <v>263.7269412667373</v>
      </c>
      <c r="BB102" s="105">
        <v>4.7502684479799564</v>
      </c>
      <c r="BC102" s="105">
        <v>290.7164290163733</v>
      </c>
      <c r="BD102" s="105">
        <v>4.736626777501912</v>
      </c>
      <c r="BE102" s="105">
        <v>289.88155878311699</v>
      </c>
      <c r="BF102" s="105">
        <v>5.3969286321446939</v>
      </c>
      <c r="BG102" s="105">
        <v>330.29203228725527</v>
      </c>
      <c r="BH102" s="105">
        <v>4.7399995480679618</v>
      </c>
      <c r="BI102" s="105">
        <v>290.08797234175921</v>
      </c>
      <c r="BJ102" s="105">
        <v>4.088633701683011</v>
      </c>
      <c r="BK102" s="105">
        <v>250.22438254300025</v>
      </c>
      <c r="BL102" s="105">
        <v>4.8845894173632098</v>
      </c>
      <c r="BM102" s="105">
        <v>298.93687234262842</v>
      </c>
      <c r="BN102" s="105">
        <v>4.6959420114454806</v>
      </c>
      <c r="BO102" s="105">
        <v>287.39165110046338</v>
      </c>
      <c r="BP102" s="105">
        <v>4.3875215061014989</v>
      </c>
      <c r="BQ102" s="105">
        <v>268.51631617341172</v>
      </c>
      <c r="BR102" s="105">
        <v>5.5689458970991321</v>
      </c>
      <c r="BS102" s="105">
        <v>340.81948890246684</v>
      </c>
      <c r="BT102" s="105">
        <v>4.1508493355680605</v>
      </c>
      <c r="BU102" s="105">
        <v>254.03197933676529</v>
      </c>
      <c r="BV102" s="105">
        <v>3.9740404686119195</v>
      </c>
      <c r="BW102" s="105">
        <v>243.21127667904946</v>
      </c>
      <c r="BX102" s="105">
        <v>4.280133144622102</v>
      </c>
      <c r="BY102" s="105">
        <v>261.9441484508726</v>
      </c>
      <c r="BZ102" s="105">
        <v>5.4951813657990352</v>
      </c>
      <c r="CA102" s="105">
        <v>336.30509958690095</v>
      </c>
      <c r="CB102" s="105">
        <v>4.5637236883925629</v>
      </c>
      <c r="CC102" s="105">
        <v>279.29988972962485</v>
      </c>
      <c r="CD102" s="105">
        <v>4.9576392268259246</v>
      </c>
      <c r="CE102" s="105">
        <v>303.40752068174658</v>
      </c>
      <c r="CF102" s="105">
        <v>5.9356756125561043</v>
      </c>
      <c r="CG102" s="105">
        <v>363.26334748843357</v>
      </c>
      <c r="CH102" s="105">
        <v>6.1966532649199344</v>
      </c>
      <c r="CI102" s="105">
        <v>379.23517981309993</v>
      </c>
      <c r="CJ102" s="105">
        <v>4.9953800027233761</v>
      </c>
      <c r="CK102" s="105">
        <v>305.71725616667061</v>
      </c>
      <c r="CL102" s="105">
        <v>5.285647251264896</v>
      </c>
      <c r="CM102" s="105">
        <v>323.48161177741162</v>
      </c>
      <c r="CN102" s="105">
        <v>4.5753910594248062</v>
      </c>
      <c r="CO102" s="105">
        <v>280.01393283679812</v>
      </c>
      <c r="CP102" s="105">
        <v>6.111124773923752</v>
      </c>
      <c r="CQ102" s="105">
        <v>374.0008361641336</v>
      </c>
      <c r="CR102" s="105">
        <v>5.0765340688647269</v>
      </c>
      <c r="CS102" s="105">
        <v>310.68388501452125</v>
      </c>
      <c r="CT102" s="105">
        <v>4.4688695409875994</v>
      </c>
      <c r="CU102" s="105">
        <v>273.49481590844107</v>
      </c>
    </row>
    <row r="103" spans="2:99" x14ac:dyDescent="0.2">
      <c r="C103" s="104" t="s">
        <v>269</v>
      </c>
      <c r="D103" s="105">
        <v>7</v>
      </c>
      <c r="E103" s="105">
        <v>873.6</v>
      </c>
      <c r="F103" s="105">
        <v>7</v>
      </c>
      <c r="G103" s="105">
        <v>873.6</v>
      </c>
      <c r="H103" s="105">
        <v>8</v>
      </c>
      <c r="I103" s="105">
        <v>998.4</v>
      </c>
      <c r="J103" s="105">
        <v>5</v>
      </c>
      <c r="K103" s="105">
        <v>624</v>
      </c>
      <c r="L103" s="105">
        <v>1.2382760021434405</v>
      </c>
      <c r="M103" s="105">
        <v>154.53684506750136</v>
      </c>
      <c r="N103" s="105">
        <v>3.1633842737442164</v>
      </c>
      <c r="O103" s="105">
        <v>394.79035736327819</v>
      </c>
      <c r="P103" s="105">
        <v>3.1982402491564068</v>
      </c>
      <c r="Q103" s="105">
        <v>399.14038309471954</v>
      </c>
      <c r="R103" s="105">
        <v>4.3940530291602382</v>
      </c>
      <c r="S103" s="105">
        <v>548.37781803919768</v>
      </c>
      <c r="T103" s="105">
        <v>4.5370295349986085</v>
      </c>
      <c r="U103" s="105">
        <v>566.22128596782636</v>
      </c>
      <c r="V103" s="105">
        <v>3.5117537186771055</v>
      </c>
      <c r="W103" s="105">
        <v>438.26686409090274</v>
      </c>
      <c r="X103" s="105">
        <v>5.6192514086456917</v>
      </c>
      <c r="Y103" s="105">
        <v>701.28257579898229</v>
      </c>
      <c r="Z103" s="105">
        <v>4.7233672615493001</v>
      </c>
      <c r="AA103" s="105">
        <v>589.47623424135259</v>
      </c>
      <c r="AB103" s="105">
        <v>4.7142788110361815</v>
      </c>
      <c r="AC103" s="105">
        <v>588.34199561731543</v>
      </c>
      <c r="AD103" s="105">
        <v>4.6789352441426209</v>
      </c>
      <c r="AE103" s="105">
        <v>583.9311184689991</v>
      </c>
      <c r="AF103" s="105">
        <v>4.9576812799653664</v>
      </c>
      <c r="AG103" s="105">
        <v>618.7186237396777</v>
      </c>
      <c r="AH103" s="105">
        <v>4.0607426420597283</v>
      </c>
      <c r="AI103" s="105">
        <v>506.78068172905409</v>
      </c>
      <c r="AJ103" s="105">
        <v>4.6681118181716874</v>
      </c>
      <c r="AK103" s="105">
        <v>582.58035490782663</v>
      </c>
      <c r="AL103" s="105">
        <v>6.4638450164373076</v>
      </c>
      <c r="AM103" s="105">
        <v>806.687858051376</v>
      </c>
      <c r="AN103" s="105">
        <v>4.5181082470180911</v>
      </c>
      <c r="AO103" s="105">
        <v>563.85990922785777</v>
      </c>
      <c r="AP103" s="105">
        <v>3.492993539891045</v>
      </c>
      <c r="AQ103" s="105">
        <v>435.9255937784024</v>
      </c>
      <c r="AR103" s="105">
        <v>4.6284007795960509</v>
      </c>
      <c r="AS103" s="105">
        <v>577.62441729358716</v>
      </c>
      <c r="AT103" s="105">
        <v>5.3602317737515515</v>
      </c>
      <c r="AU103" s="105">
        <v>668.95692536419358</v>
      </c>
      <c r="AV103" s="105">
        <v>4.7611524906841929</v>
      </c>
      <c r="AW103" s="105">
        <v>594.19183083738722</v>
      </c>
      <c r="AX103" s="105">
        <v>4.8536275381171041</v>
      </c>
      <c r="AY103" s="105">
        <v>605.7327167570146</v>
      </c>
      <c r="AZ103" s="105">
        <v>4.7558316627581227</v>
      </c>
      <c r="BA103" s="105">
        <v>593.52779151221375</v>
      </c>
      <c r="BB103" s="105">
        <v>4.3794448710490697</v>
      </c>
      <c r="BC103" s="105">
        <v>546.55471990692388</v>
      </c>
      <c r="BD103" s="105">
        <v>5.0631363622170644</v>
      </c>
      <c r="BE103" s="105">
        <v>631.87941800468957</v>
      </c>
      <c r="BF103" s="105">
        <v>4.9062987564951763</v>
      </c>
      <c r="BG103" s="105">
        <v>612.30608481059801</v>
      </c>
      <c r="BH103" s="105">
        <v>4.3142757626541757</v>
      </c>
      <c r="BI103" s="105">
        <v>538.42161517924114</v>
      </c>
      <c r="BJ103" s="105">
        <v>3.6972683070061363</v>
      </c>
      <c r="BK103" s="105">
        <v>461.41908471436579</v>
      </c>
      <c r="BL103" s="105">
        <v>5.3654942757170039</v>
      </c>
      <c r="BM103" s="105">
        <v>669.6136856094821</v>
      </c>
      <c r="BN103" s="105">
        <v>5.1411859132950983</v>
      </c>
      <c r="BO103" s="105">
        <v>641.62000197922828</v>
      </c>
      <c r="BP103" s="105">
        <v>4.9552294320631729</v>
      </c>
      <c r="BQ103" s="105">
        <v>618.41263312148396</v>
      </c>
      <c r="BR103" s="105">
        <v>5.0711312899242973</v>
      </c>
      <c r="BS103" s="105">
        <v>632.87718498255231</v>
      </c>
      <c r="BT103" s="105">
        <v>4.1508493355680605</v>
      </c>
      <c r="BU103" s="105">
        <v>518.02599707889397</v>
      </c>
      <c r="BV103" s="105">
        <v>4.4707955271884101</v>
      </c>
      <c r="BW103" s="105">
        <v>557.95528179311361</v>
      </c>
      <c r="BX103" s="105">
        <v>4.0098050334800934</v>
      </c>
      <c r="BY103" s="105">
        <v>500.42366817831567</v>
      </c>
      <c r="BZ103" s="105">
        <v>5.9905820595730983</v>
      </c>
      <c r="CA103" s="105">
        <v>747.62464103472269</v>
      </c>
      <c r="CB103" s="105">
        <v>5.6535843607535439</v>
      </c>
      <c r="CC103" s="105">
        <v>705.56732822204231</v>
      </c>
      <c r="CD103" s="105">
        <v>4.5088650569794213</v>
      </c>
      <c r="CE103" s="105">
        <v>562.70635911103182</v>
      </c>
      <c r="CF103" s="105">
        <v>5.2068169642098452</v>
      </c>
      <c r="CG103" s="105">
        <v>649.81075713338862</v>
      </c>
      <c r="CH103" s="105">
        <v>5.7663289229771282</v>
      </c>
      <c r="CI103" s="105">
        <v>719.63784958754559</v>
      </c>
      <c r="CJ103" s="105">
        <v>4.9953800027233761</v>
      </c>
      <c r="CK103" s="105">
        <v>623.42342433987733</v>
      </c>
      <c r="CL103" s="105">
        <v>4.8451766469928206</v>
      </c>
      <c r="CM103" s="105">
        <v>604.67804554470399</v>
      </c>
      <c r="CN103" s="105">
        <v>5.0030867282684817</v>
      </c>
      <c r="CO103" s="105">
        <v>624.38522368790655</v>
      </c>
      <c r="CP103" s="105">
        <v>5.3505839434735663</v>
      </c>
      <c r="CQ103" s="105">
        <v>667.75287614550109</v>
      </c>
      <c r="CR103" s="105">
        <v>5.0928438622041208</v>
      </c>
      <c r="CS103" s="105">
        <v>635.5869140030743</v>
      </c>
      <c r="CT103" s="105">
        <v>4.8151652153672186</v>
      </c>
      <c r="CU103" s="105">
        <v>600.93261887782887</v>
      </c>
    </row>
    <row r="104" spans="2:99" x14ac:dyDescent="0.2">
      <c r="C104" s="104" t="s">
        <v>270</v>
      </c>
      <c r="D104" s="105">
        <v>6</v>
      </c>
      <c r="E104" s="105">
        <v>1425.6</v>
      </c>
      <c r="F104" s="105">
        <v>7</v>
      </c>
      <c r="G104" s="105">
        <v>1663.2</v>
      </c>
      <c r="H104" s="105">
        <v>7</v>
      </c>
      <c r="I104" s="105">
        <v>1663.2</v>
      </c>
      <c r="J104" s="105">
        <v>5</v>
      </c>
      <c r="K104" s="105">
        <v>1188</v>
      </c>
      <c r="L104" s="105">
        <v>1.1350863352981537</v>
      </c>
      <c r="M104" s="105">
        <v>269.69651326684129</v>
      </c>
      <c r="N104" s="105">
        <v>3.5588073079622435</v>
      </c>
      <c r="O104" s="105">
        <v>845.5726163718291</v>
      </c>
      <c r="P104" s="105">
        <v>3.5701354999712058</v>
      </c>
      <c r="Q104" s="105">
        <v>848.26419479315848</v>
      </c>
      <c r="R104" s="105">
        <v>5.1322150814652305</v>
      </c>
      <c r="S104" s="105">
        <v>1219.4143033561388</v>
      </c>
      <c r="T104" s="105">
        <v>4.5370295349986085</v>
      </c>
      <c r="U104" s="105">
        <v>1077.9982175156695</v>
      </c>
      <c r="V104" s="105">
        <v>3.7697609912019789</v>
      </c>
      <c r="W104" s="105">
        <v>895.69521150959019</v>
      </c>
      <c r="X104" s="105">
        <v>5.5907236139630401</v>
      </c>
      <c r="Y104" s="105">
        <v>1328.3559306776183</v>
      </c>
      <c r="Z104" s="105">
        <v>5.7373455709165162</v>
      </c>
      <c r="AA104" s="105">
        <v>1363.1933076497642</v>
      </c>
      <c r="AB104" s="105">
        <v>4.7142788110361815</v>
      </c>
      <c r="AC104" s="105">
        <v>1120.1126455021968</v>
      </c>
      <c r="AD104" s="105">
        <v>4.2967028504186393</v>
      </c>
      <c r="AE104" s="105">
        <v>1020.8965972594686</v>
      </c>
      <c r="AF104" s="105">
        <v>4.9576812799653664</v>
      </c>
      <c r="AG104" s="105">
        <v>1177.9450721197711</v>
      </c>
      <c r="AH104" s="105">
        <v>4.0533803344661106</v>
      </c>
      <c r="AI104" s="105">
        <v>963.08316746914784</v>
      </c>
      <c r="AJ104" s="105">
        <v>4.7165795779206459</v>
      </c>
      <c r="AK104" s="105">
        <v>1120.6593077139455</v>
      </c>
      <c r="AL104" s="105">
        <v>5.7264604305752078</v>
      </c>
      <c r="AM104" s="105">
        <v>1360.6069983046693</v>
      </c>
      <c r="AN104" s="105">
        <v>4.5181082470180911</v>
      </c>
      <c r="AO104" s="105">
        <v>1073.5025194914983</v>
      </c>
      <c r="AP104" s="105">
        <v>3.4703185997669728</v>
      </c>
      <c r="AQ104" s="105">
        <v>824.54769930463272</v>
      </c>
      <c r="AR104" s="105">
        <v>5.3786054582033582</v>
      </c>
      <c r="AS104" s="105">
        <v>1277.956656869118</v>
      </c>
      <c r="AT104" s="105">
        <v>4.8978271747309385</v>
      </c>
      <c r="AU104" s="105">
        <v>1163.723736716071</v>
      </c>
      <c r="AV104" s="105">
        <v>4.7881228174879844</v>
      </c>
      <c r="AW104" s="105">
        <v>1137.6579814351451</v>
      </c>
      <c r="AX104" s="105">
        <v>4.8536275381171041</v>
      </c>
      <c r="AY104" s="105">
        <v>1153.2219030566239</v>
      </c>
      <c r="AZ104" s="105">
        <v>4.2869443233375897</v>
      </c>
      <c r="BA104" s="105">
        <v>1018.5779712250113</v>
      </c>
      <c r="BB104" s="105">
        <v>4.3970543840794614</v>
      </c>
      <c r="BC104" s="105">
        <v>1044.74012165728</v>
      </c>
      <c r="BD104" s="105">
        <v>5.4235771314980745</v>
      </c>
      <c r="BE104" s="105">
        <v>1288.6419264439426</v>
      </c>
      <c r="BF104" s="105">
        <v>4.4156688808456579</v>
      </c>
      <c r="BG104" s="105">
        <v>1049.1629260889283</v>
      </c>
      <c r="BH104" s="105">
        <v>4.33328839882628</v>
      </c>
      <c r="BI104" s="105">
        <v>1029.589323561124</v>
      </c>
      <c r="BJ104" s="105">
        <v>4.0691915066925359</v>
      </c>
      <c r="BK104" s="105">
        <v>966.83990199014647</v>
      </c>
      <c r="BL104" s="105">
        <v>4.8845894173632098</v>
      </c>
      <c r="BM104" s="105">
        <v>1160.5784455654987</v>
      </c>
      <c r="BN104" s="105">
        <v>5.1633225490177628</v>
      </c>
      <c r="BO104" s="105">
        <v>1226.8054376466205</v>
      </c>
      <c r="BP104" s="105">
        <v>3.8968845309357705</v>
      </c>
      <c r="BQ104" s="105">
        <v>925.899764550339</v>
      </c>
      <c r="BR104" s="105">
        <v>5.5224532880111594</v>
      </c>
      <c r="BS104" s="105">
        <v>1312.1349012314515</v>
      </c>
      <c r="BT104" s="105">
        <v>3.7196278029675605</v>
      </c>
      <c r="BU104" s="105">
        <v>883.78356598509231</v>
      </c>
      <c r="BV104" s="105">
        <v>4.4707955271884101</v>
      </c>
      <c r="BW104" s="105">
        <v>1062.2610172599661</v>
      </c>
      <c r="BX104" s="105">
        <v>4.280133144622102</v>
      </c>
      <c r="BY104" s="105">
        <v>1016.9596351622114</v>
      </c>
      <c r="BZ104" s="105">
        <v>5.944808325288756</v>
      </c>
      <c r="CA104" s="105">
        <v>1412.4864580886083</v>
      </c>
      <c r="CB104" s="105">
        <v>5.0958864621387638</v>
      </c>
      <c r="CC104" s="105">
        <v>1210.7826234041702</v>
      </c>
      <c r="CD104" s="105">
        <v>4.9365158683115338</v>
      </c>
      <c r="CE104" s="105">
        <v>1172.9161703108205</v>
      </c>
      <c r="CF104" s="105">
        <v>5.5974478948294832</v>
      </c>
      <c r="CG104" s="105">
        <v>1329.9536198114852</v>
      </c>
      <c r="CH104" s="105">
        <v>5.3575186407494035</v>
      </c>
      <c r="CI104" s="105">
        <v>1272.9464290420583</v>
      </c>
      <c r="CJ104" s="105">
        <v>4.9953800027233761</v>
      </c>
      <c r="CK104" s="105">
        <v>1186.9022886470741</v>
      </c>
      <c r="CL104" s="105">
        <v>5.264914733410154</v>
      </c>
      <c r="CM104" s="105">
        <v>1250.9437406582526</v>
      </c>
      <c r="CN104" s="105">
        <v>4.2215589893557741</v>
      </c>
      <c r="CO104" s="105">
        <v>1003.0424158709319</v>
      </c>
      <c r="CP104" s="105">
        <v>5.7213876483370925</v>
      </c>
      <c r="CQ104" s="105">
        <v>1359.401705244893</v>
      </c>
      <c r="CR104" s="105">
        <v>4.4377190441413497</v>
      </c>
      <c r="CS104" s="105">
        <v>1054.4020448879846</v>
      </c>
      <c r="CT104" s="105">
        <v>4.4688695409875994</v>
      </c>
      <c r="CU104" s="105">
        <v>1061.8034029386536</v>
      </c>
    </row>
    <row r="105" spans="2:99" x14ac:dyDescent="0.2">
      <c r="C105" s="104" t="s">
        <v>271</v>
      </c>
      <c r="D105" s="105">
        <v>7</v>
      </c>
      <c r="E105" s="105">
        <v>1209.5999999999999</v>
      </c>
      <c r="F105" s="105">
        <v>7</v>
      </c>
      <c r="G105" s="105">
        <v>1209.5999999999999</v>
      </c>
      <c r="H105" s="105">
        <v>8</v>
      </c>
      <c r="I105" s="105">
        <v>1382.3999999999999</v>
      </c>
      <c r="J105" s="105">
        <v>5</v>
      </c>
      <c r="K105" s="105">
        <v>863.99999999999989</v>
      </c>
      <c r="L105" s="105">
        <v>1.031896668452867</v>
      </c>
      <c r="M105" s="105">
        <v>178.31174430865539</v>
      </c>
      <c r="N105" s="105">
        <v>3.5588073079622435</v>
      </c>
      <c r="O105" s="105">
        <v>614.96190281587565</v>
      </c>
      <c r="P105" s="105">
        <v>3.6073152070775416</v>
      </c>
      <c r="Q105" s="105">
        <v>623.3440677829991</v>
      </c>
      <c r="R105" s="105">
        <v>5.1322150814652305</v>
      </c>
      <c r="S105" s="105">
        <v>886.84676607719177</v>
      </c>
      <c r="T105" s="105">
        <v>4.0833265814987474</v>
      </c>
      <c r="U105" s="105">
        <v>705.59883328298349</v>
      </c>
      <c r="V105" s="105">
        <v>4.049645445220464</v>
      </c>
      <c r="W105" s="105">
        <v>699.77873293409607</v>
      </c>
      <c r="X105" s="105">
        <v>6.2024058617313829</v>
      </c>
      <c r="Y105" s="105">
        <v>1071.7757329071828</v>
      </c>
      <c r="Z105" s="105">
        <v>5.7620324739006437</v>
      </c>
      <c r="AA105" s="105">
        <v>995.67921149003109</v>
      </c>
      <c r="AB105" s="105">
        <v>4.7142788110361815</v>
      </c>
      <c r="AC105" s="105">
        <v>814.6273785470521</v>
      </c>
      <c r="AD105" s="105">
        <v>4.718466820240856</v>
      </c>
      <c r="AE105" s="105">
        <v>815.35106653761977</v>
      </c>
      <c r="AF105" s="105">
        <v>4.5069829817866971</v>
      </c>
      <c r="AG105" s="105">
        <v>778.80665925274116</v>
      </c>
      <c r="AH105" s="105">
        <v>4.3862538239425399</v>
      </c>
      <c r="AI105" s="105">
        <v>757.94466077727077</v>
      </c>
      <c r="AJ105" s="105">
        <v>5.1840982557602659</v>
      </c>
      <c r="AK105" s="105">
        <v>895.81217859537389</v>
      </c>
      <c r="AL105" s="105">
        <v>6.4638450164373076</v>
      </c>
      <c r="AM105" s="105">
        <v>1116.9524188403666</v>
      </c>
      <c r="AN105" s="105">
        <v>4.5697117596922281</v>
      </c>
      <c r="AO105" s="105">
        <v>789.6461920748169</v>
      </c>
      <c r="AP105" s="105">
        <v>3.9369249052884459</v>
      </c>
      <c r="AQ105" s="105">
        <v>680.30062363384343</v>
      </c>
      <c r="AR105" s="105">
        <v>4.6102332498885934</v>
      </c>
      <c r="AS105" s="105">
        <v>796.64830558074891</v>
      </c>
      <c r="AT105" s="105">
        <v>5.337416675041152</v>
      </c>
      <c r="AU105" s="105">
        <v>922.30560144711103</v>
      </c>
      <c r="AV105" s="105">
        <v>5.3124697709635553</v>
      </c>
      <c r="AW105" s="105">
        <v>917.99477642250224</v>
      </c>
      <c r="AX105" s="105">
        <v>4.8536275381171041</v>
      </c>
      <c r="AY105" s="105">
        <v>838.70683858663551</v>
      </c>
      <c r="AZ105" s="105">
        <v>4.3315831690394475</v>
      </c>
      <c r="BA105" s="105">
        <v>748.49757161001651</v>
      </c>
      <c r="BB105" s="105">
        <v>4.7678779610103472</v>
      </c>
      <c r="BC105" s="105">
        <v>823.88931166258794</v>
      </c>
      <c r="BD105" s="105">
        <v>4.7196611852189836</v>
      </c>
      <c r="BE105" s="105">
        <v>815.55745280584028</v>
      </c>
      <c r="BF105" s="105">
        <v>4.9062987564951763</v>
      </c>
      <c r="BG105" s="105">
        <v>847.80842512236643</v>
      </c>
      <c r="BH105" s="105">
        <v>4.33328839882628</v>
      </c>
      <c r="BI105" s="105">
        <v>748.79223531718117</v>
      </c>
      <c r="BJ105" s="105">
        <v>4.088633701683011</v>
      </c>
      <c r="BK105" s="105">
        <v>706.51590365082427</v>
      </c>
      <c r="BL105" s="105">
        <v>4.3783915730012763</v>
      </c>
      <c r="BM105" s="105">
        <v>756.5860638146205</v>
      </c>
      <c r="BN105" s="105">
        <v>4.6959420114454806</v>
      </c>
      <c r="BO105" s="105">
        <v>811.45877957777896</v>
      </c>
      <c r="BP105" s="105">
        <v>4.438902139965462</v>
      </c>
      <c r="BQ105" s="105">
        <v>767.0422897860318</v>
      </c>
      <c r="BR105" s="105">
        <v>5.5456995925551462</v>
      </c>
      <c r="BS105" s="105">
        <v>958.29688959352916</v>
      </c>
      <c r="BT105" s="105">
        <v>4.1300912169400963</v>
      </c>
      <c r="BU105" s="105">
        <v>713.67976228724854</v>
      </c>
      <c r="BV105" s="105">
        <v>4.4707955271884101</v>
      </c>
      <c r="BW105" s="105">
        <v>772.55346709815717</v>
      </c>
      <c r="BX105" s="105">
        <v>3.7575235757980994</v>
      </c>
      <c r="BY105" s="105">
        <v>649.30007389791149</v>
      </c>
      <c r="BZ105" s="105">
        <v>5.472294498656864</v>
      </c>
      <c r="CA105" s="105">
        <v>945.61248936790605</v>
      </c>
      <c r="CB105" s="105">
        <v>5.121421587007343</v>
      </c>
      <c r="CC105" s="105">
        <v>884.98165023486877</v>
      </c>
      <c r="CD105" s="105">
        <v>4.5088650569794213</v>
      </c>
      <c r="CE105" s="105">
        <v>779.13188184604394</v>
      </c>
      <c r="CF105" s="105">
        <v>5.9182078749250966</v>
      </c>
      <c r="CG105" s="105">
        <v>1022.6663207870566</v>
      </c>
      <c r="CH105" s="105">
        <v>5.3575186407494035</v>
      </c>
      <c r="CI105" s="105">
        <v>925.77922112149679</v>
      </c>
      <c r="CJ105" s="105">
        <v>4.4403377801985568</v>
      </c>
      <c r="CK105" s="105">
        <v>767.29036841831055</v>
      </c>
      <c r="CL105" s="105">
        <v>4.4254385605754871</v>
      </c>
      <c r="CM105" s="105">
        <v>764.71578326744407</v>
      </c>
      <c r="CN105" s="105">
        <v>4.9846208285748208</v>
      </c>
      <c r="CO105" s="105">
        <v>861.34247917772893</v>
      </c>
      <c r="CP105" s="105">
        <v>5.3505839434735663</v>
      </c>
      <c r="CQ105" s="105">
        <v>924.58090543223216</v>
      </c>
      <c r="CR105" s="105">
        <v>4.7652814531727357</v>
      </c>
      <c r="CS105" s="105">
        <v>823.44063510824867</v>
      </c>
      <c r="CT105" s="105">
        <v>4.4853566539613263</v>
      </c>
      <c r="CU105" s="105">
        <v>775.06962980451715</v>
      </c>
    </row>
    <row r="107" spans="2:99" x14ac:dyDescent="0.2">
      <c r="B107" s="109" t="s">
        <v>276</v>
      </c>
    </row>
    <row r="108" spans="2:99" x14ac:dyDescent="0.2">
      <c r="C108" s="104" t="s">
        <v>277</v>
      </c>
      <c r="D108" s="104" t="s">
        <v>92</v>
      </c>
      <c r="E108" s="104" t="s">
        <v>93</v>
      </c>
      <c r="F108" s="104" t="s">
        <v>94</v>
      </c>
      <c r="G108" s="104" t="s">
        <v>95</v>
      </c>
      <c r="H108" s="104" t="s">
        <v>96</v>
      </c>
      <c r="I108" s="104" t="s">
        <v>97</v>
      </c>
      <c r="J108" s="104" t="s">
        <v>98</v>
      </c>
      <c r="K108" s="104" t="s">
        <v>99</v>
      </c>
      <c r="L108" s="104" t="s">
        <v>100</v>
      </c>
      <c r="M108" s="104" t="s">
        <v>101</v>
      </c>
      <c r="N108" s="104" t="s">
        <v>102</v>
      </c>
      <c r="O108" s="104" t="s">
        <v>103</v>
      </c>
    </row>
    <row r="109" spans="2:99" x14ac:dyDescent="0.2">
      <c r="C109" s="104" t="s">
        <v>126</v>
      </c>
      <c r="D109" s="105">
        <f>SUM(D$6:D$19)+SUM(F$6:F$19)+SUM(H$6:H$19)+SUM(J$6:J$19)</f>
        <v>211</v>
      </c>
      <c r="E109" s="105">
        <f>SUM(L$6:L$19)+SUM(N$6:N$19)+SUM(P$6:P$19)+SUM(R$6:R$19)</f>
        <v>227.18746414078768</v>
      </c>
      <c r="F109" s="105">
        <f>SUM(T$6:T$19)+SUM(V$6:V$19)+SUM(X$6:X$19)+SUM(Z$6:Z$19)</f>
        <v>240.47853408519259</v>
      </c>
      <c r="G109" s="105">
        <f>SUM(AB$6:AB$19)+SUM(AD$6:AD$19)+SUM(AF$6:AF$19)+SUM(AH$6:AH$19)</f>
        <v>244.59427210164887</v>
      </c>
      <c r="H109" s="105">
        <f>SUM(AJ$6:AJ$19)+SUM(AL$6:AL$19)+SUM(AN$6:AN$19)+SUM(AP$6:AP$19)</f>
        <v>251.69871290053726</v>
      </c>
      <c r="I109" s="105">
        <f>SUM(AR$6:AR$19)+SUM(AT$6:AT$19)+SUM(AV$6:AV$19)+SUM(AX$6:AX$19)</f>
        <v>228.81811086040148</v>
      </c>
      <c r="J109" s="105">
        <f>SUM(AZ$6:AZ$19)+SUM(BB$6:BB$19)+SUM(BD$6:BD$19)+SUM(BF$6:BF$19)</f>
        <v>286.56882682783271</v>
      </c>
      <c r="K109" s="105">
        <f>SUM(BH$6:BH$19)+SUM(BJ$6:BJ$19)+SUM(BL$6:BL$19)+SUM(BN$6:BN$19)</f>
        <v>245.72080142747018</v>
      </c>
      <c r="L109" s="105">
        <f>SUM(BP$6:BP$19)+SUM(BR$6:BR$19)+SUM(BT$6:BT$19)+SUM(BV$6:BV$19)</f>
        <v>239.4974072718463</v>
      </c>
      <c r="M109" s="105">
        <f>SUM(BX$6:BX$19)+SUM(BZ$6:BZ$19)+SUM(CB$6:CB$19)+SUM(CD$6:CD$19)</f>
        <v>252.11687205894759</v>
      </c>
      <c r="N109" s="105">
        <f>SUM(CF$6:CF$19)+SUM(CH$6:CH$19)+SUM(CJ$6:CJ$19)+SUM(CL$6:CL$19)</f>
        <v>249.58586211974958</v>
      </c>
      <c r="O109" s="105">
        <f>SUM(CN$6:CN$19)+SUM(CP$6:CP$19)+SUM(CR$6:CR$19)+SUM(CT$6:CT$19)</f>
        <v>249.06891555932441</v>
      </c>
    </row>
    <row r="110" spans="2:99" x14ac:dyDescent="0.2">
      <c r="C110" s="104" t="s">
        <v>127</v>
      </c>
      <c r="D110" s="105">
        <f>SUM(D$20:D$36)+SUM(F$20:F$36)+SUM(H$20:H$36)+SUM(J$20:J$36)</f>
        <v>414.00636720347768</v>
      </c>
      <c r="E110" s="105">
        <f>SUM(L$20:L$36)+SUM(N$20:N$36)+SUM(P$20:P$36)+SUM(R$20:R$36)</f>
        <v>494.46392368054029</v>
      </c>
      <c r="F110" s="105">
        <f>SUM(T$20:T$36)+SUM(V$20:V$36)+SUM(X$20:X$36)+SUM(Z$20:Z$36)</f>
        <v>559.83921527447728</v>
      </c>
      <c r="G110" s="105">
        <f>SUM(AB$20:AB$36)+SUM(AD$20:AD$36)+SUM(AF$20:AF$36)+SUM(AH$20:AH$36)</f>
        <v>529.80891684991229</v>
      </c>
      <c r="H110" s="105">
        <f>SUM(AJ$20:AJ$36)+SUM(AL$20:AL$36)+SUM(AN$20:AN$36)+SUM(AP$20:AP$36)</f>
        <v>520.68159830224386</v>
      </c>
      <c r="I110" s="105">
        <f>SUM(AR$20:AR$36)+SUM(AT$20:AT$36)+SUM(AV$20:AV$36)+SUM(AX$20:AX$36)</f>
        <v>523.55110557142268</v>
      </c>
      <c r="J110" s="105">
        <f>SUM(AZ$20:AZ$36)+SUM(BB$20:BB$36)+SUM(BD$20:BD$36)+SUM(BF$20:BF$36)</f>
        <v>523.05439569018927</v>
      </c>
      <c r="K110" s="105">
        <f>SUM(BH$20:BH$36)+SUM(BJ$20:BJ$36)+SUM(BL$20:BL$36)+SUM(BN$20:BN$36)</f>
        <v>546.11176605144294</v>
      </c>
      <c r="L110" s="105">
        <f>SUM(BP$20:BP$36)+SUM(BR$20:BR$36)+SUM(BT$20:BT$36)+SUM(BV$20:BV$36)</f>
        <v>561.04238854605092</v>
      </c>
      <c r="M110" s="105">
        <f>SUM(BX$20:BX$36)+SUM(BZ$20:BZ$36)+SUM(CB$20:CB$36)+SUM(CD$20:CD$36)</f>
        <v>553.68660082365011</v>
      </c>
      <c r="N110" s="105">
        <f>SUM(CF$20:CF$36)+SUM(CH$20:CH$36)+SUM(CJ$20:CJ$36)+SUM(CL$20:CL$36)</f>
        <v>563.07058296313733</v>
      </c>
      <c r="O110" s="105">
        <f>SUM(CN$20:CN$36)+SUM(CP$20:CP$36)+SUM(CR$20:CR$36)+SUM(CT$20:CT$36)</f>
        <v>556.95466532545925</v>
      </c>
    </row>
    <row r="111" spans="2:99" x14ac:dyDescent="0.2">
      <c r="C111" s="104" t="s">
        <v>128</v>
      </c>
      <c r="D111" s="105">
        <f>SUM(D$37:D$48)+SUM(F$37:F$48)+SUM(H$37:H$48)+SUM(J$37:J$48)</f>
        <v>187</v>
      </c>
      <c r="E111" s="105">
        <f>SUM(L$37:L$48)+SUM(N$37:N$48)+SUM(P$37:P$48)+SUM(R$37:R$48)</f>
        <v>166.8222323008406</v>
      </c>
      <c r="F111" s="105">
        <f>SUM(T$37:T$48)+SUM(V$37:V$48)+SUM(X$37:X$48)+SUM(Z$37:Z$48)</f>
        <v>173.10339266001631</v>
      </c>
      <c r="G111" s="105">
        <f>SUM(AB$37:AB$48)+SUM(AD$37:AD$48)+SUM(AF$37:AF$48)+SUM(AH$37:AH$48)</f>
        <v>180.96347407930568</v>
      </c>
      <c r="H111" s="105">
        <f>SUM(AJ$37:AJ$48)+SUM(AL$37:AL$48)+SUM(AN$37:AN$48)+SUM(AP$37:AP$48)</f>
        <v>185.75443920568387</v>
      </c>
      <c r="I111" s="105">
        <f>SUM(AR$37:AR$48)+SUM(AT$37:AT$48)+SUM(AV$37:AV$48)+SUM(AX$37:AX$48)</f>
        <v>225.93846435632511</v>
      </c>
      <c r="J111" s="105">
        <f>SUM(AZ$37:AZ$48)+SUM(BB$37:BB$48)+SUM(BD$37:BD$48)+SUM(BF$37:BF$48)</f>
        <v>205.65679872046368</v>
      </c>
      <c r="K111" s="105">
        <f>SUM(BH$37:BH$48)+SUM(BJ$37:BJ$48)+SUM(BL$37:BL$48)+SUM(BN$37:BN$48)</f>
        <v>181.98081270749248</v>
      </c>
      <c r="L111" s="105">
        <f>SUM(BP$37:BP$48)+SUM(BR$37:BR$48)+SUM(BT$37:BT$48)+SUM(BV$37:BV$48)</f>
        <v>170.64464902833322</v>
      </c>
      <c r="M111" s="105">
        <f>SUM(BX$37:BX$48)+SUM(BZ$37:BZ$48)+SUM(CB$37:CB$48)+SUM(CD$37:CD$48)</f>
        <v>163.44913567846913</v>
      </c>
      <c r="N111" s="105">
        <f>SUM(CF$37:CF$48)+SUM(CH$37:CH$48)+SUM(CJ$37:CJ$48)+SUM(CL$37:CL$48)</f>
        <v>188.60686628448178</v>
      </c>
      <c r="O111" s="105">
        <f>SUM(CN$37:CN$48)+SUM(CP$37:CP$48)+SUM(CR$37:CR$48)+SUM(CT$37:CT$48)</f>
        <v>194.70759709916561</v>
      </c>
    </row>
    <row r="112" spans="2:99" x14ac:dyDescent="0.2">
      <c r="C112" s="104" t="s">
        <v>129</v>
      </c>
      <c r="D112" s="105">
        <f>SUM(D$49:D$70)+SUM(F$49:F$70)+SUM(H$49:H$70)+SUM(J$49:J$70)</f>
        <v>118.23704765689359</v>
      </c>
      <c r="E112" s="105">
        <f>SUM(L$49:L$70)+SUM(N$49:N$70)+SUM(P$49:P$70)+SUM(R$49:R$70)</f>
        <v>275.98572235047948</v>
      </c>
      <c r="F112" s="105">
        <f>SUM(T$49:T$70)+SUM(V$49:V$70)+SUM(X$49:X$70)+SUM(Z$49:Z$70)</f>
        <v>408.86541735370406</v>
      </c>
      <c r="G112" s="105">
        <f>SUM(AB$49:AB$70)+SUM(AD$49:AD$70)+SUM(AF$49:AF$70)+SUM(AH$49:AH$70)</f>
        <v>405.67897468342665</v>
      </c>
      <c r="H112" s="105">
        <f>SUM(AJ$49:AJ$70)+SUM(AL$49:AL$70)+SUM(AN$49:AN$70)+SUM(AP$49:AP$70)</f>
        <v>365.7431920592694</v>
      </c>
      <c r="I112" s="105">
        <f>SUM(AR$49:AR$70)+SUM(AT$49:AT$70)+SUM(AV$49:AV$70)+SUM(AX$49:AX$70)</f>
        <v>358.24635666434546</v>
      </c>
      <c r="J112" s="105">
        <f>SUM(AZ$49:AZ$70)+SUM(BB$49:BB$70)+SUM(BD$49:BD$70)+SUM(BF$49:BF$70)</f>
        <v>397.89769646559563</v>
      </c>
      <c r="K112" s="105">
        <f>SUM(BH$49:BH$70)+SUM(BJ$49:BJ$70)+SUM(BL$49:BL$70)+SUM(BN$49:BN$70)</f>
        <v>373.0173387224587</v>
      </c>
      <c r="L112" s="105">
        <f>SUM(BP$49:BP$70)+SUM(BR$49:BR$70)+SUM(BT$49:BT$70)+SUM(BV$49:BV$70)</f>
        <v>365.99347314048293</v>
      </c>
      <c r="M112" s="105">
        <f>SUM(BX$49:BX$70)+SUM(BZ$49:BZ$70)+SUM(CB$49:CB$70)+SUM(CD$49:CD$70)</f>
        <v>351.0504197465176</v>
      </c>
      <c r="N112" s="105">
        <f>SUM(CF$49:CF$70)+SUM(CH$49:CH$70)+SUM(CJ$49:CJ$70)+SUM(CL$49:CL$70)</f>
        <v>311.63232888309938</v>
      </c>
      <c r="O112" s="105">
        <f>SUM(CN$49:CN$70)+SUM(CP$49:CP$70)+SUM(CR$49:CR$70)+SUM(CT$49:CT$70)</f>
        <v>346.70797709718215</v>
      </c>
    </row>
    <row r="113" spans="2:15" x14ac:dyDescent="0.2">
      <c r="C113" s="104" t="s">
        <v>130</v>
      </c>
      <c r="D113" s="105">
        <f>SUM(D$71:D$86)+SUM(F$71:F$86)+SUM(H$71:H$86)+SUM(J$71:J$86)</f>
        <v>34.238025723717385</v>
      </c>
      <c r="E113" s="105">
        <f>SUM(L$71:L$86)+SUM(N$71:N$86)+SUM(P$71:P$86)+SUM(R$71:R$86)</f>
        <v>67.713176583456118</v>
      </c>
      <c r="F113" s="105">
        <f>SUM(T$71:T$86)+SUM(V$71:V$86)+SUM(X$71:X$86)+SUM(Z$71:Z$86)</f>
        <v>103.34934425107302</v>
      </c>
      <c r="G113" s="105">
        <f>SUM(AB$71:AB$86)+SUM(AD$71:AD$86)+SUM(AF$71:AF$86)+SUM(AH$71:AH$86)</f>
        <v>99.19276368399828</v>
      </c>
      <c r="H113" s="105">
        <f>SUM(AJ$71:AJ$86)+SUM(AL$71:AL$86)+SUM(AN$71:AN$86)+SUM(AP$71:AP$86)</f>
        <v>103.71857669432353</v>
      </c>
      <c r="I113" s="105">
        <f>SUM(AR$71:AR$86)+SUM(AT$71:AT$86)+SUM(AV$71:AV$86)+SUM(AX$71:AX$86)</f>
        <v>103.31116488696232</v>
      </c>
      <c r="J113" s="105">
        <f>SUM(AZ$71:AZ$86)+SUM(BB$71:BB$86)+SUM(BD$71:BD$86)+SUM(BF$71:BF$86)</f>
        <v>107.87447522953202</v>
      </c>
      <c r="K113" s="105">
        <f>SUM(BH$71:BH$86)+SUM(BJ$71:BJ$86)+SUM(BL$71:BL$86)+SUM(BN$71:BN$86)</f>
        <v>93.039163666993957</v>
      </c>
      <c r="L113" s="105">
        <f>SUM(BP$71:BP$86)+SUM(BR$71:BR$86)+SUM(BT$71:BT$86)+SUM(BV$71:BV$86)</f>
        <v>95.742988275552136</v>
      </c>
      <c r="M113" s="105">
        <f>SUM(BX$71:BX$86)+SUM(BZ$71:BZ$86)+SUM(CB$71:CB$86)+SUM(CD$71:CD$86)</f>
        <v>102.33990846091041</v>
      </c>
      <c r="N113" s="105">
        <f>SUM(CF$71:CF$86)+SUM(CH$71:CH$86)+SUM(CJ$71:CJ$86)+SUM(CL$71:CL$86)</f>
        <v>110.34936689733749</v>
      </c>
      <c r="O113" s="105">
        <f>SUM(CN$71:CN$86)+SUM(CP$71:CP$86)+SUM(CR$71:CR$86)+SUM(CT$71:CT$86)</f>
        <v>98.43891179302679</v>
      </c>
    </row>
    <row r="114" spans="2:15" x14ac:dyDescent="0.2">
      <c r="C114" s="104" t="s">
        <v>131</v>
      </c>
      <c r="D114" s="105">
        <f>SUM(D$87:D$94)+SUM(F$87:F$94)+SUM(H$87:H$94)+SUM(J$87:J$94)</f>
        <v>108</v>
      </c>
      <c r="E114" s="105">
        <f>SUM(L$87:L$94)+SUM(N$87:N$94)+SUM(P$87:P$94)+SUM(R$87:R$94)</f>
        <v>72.828686003531288</v>
      </c>
      <c r="F114" s="105">
        <f>SUM(T$87:T$94)+SUM(V$87:V$94)+SUM(X$87:X$94)+SUM(Z$87:Z$94)</f>
        <v>99.14046183466472</v>
      </c>
      <c r="G114" s="105">
        <f>SUM(AB$87:AB$94)+SUM(AD$87:AD$94)+SUM(AF$87:AF$94)+SUM(AH$87:AH$94)</f>
        <v>97.110063572663648</v>
      </c>
      <c r="H114" s="105">
        <f>SUM(AJ$87:AJ$94)+SUM(AL$87:AL$94)+SUM(AN$87:AN$94)+SUM(AP$87:AP$94)</f>
        <v>114.63816397662714</v>
      </c>
      <c r="I114" s="105">
        <f>SUM(AR$87:AR$94)+SUM(AT$87:AT$94)+SUM(AV$87:AV$94)+SUM(AX$87:AX$94)</f>
        <v>94.170263266729023</v>
      </c>
      <c r="J114" s="105">
        <f>SUM(AZ$87:AZ$94)+SUM(BB$87:BB$94)+SUM(BD$87:BD$94)+SUM(BF$87:BF$94)</f>
        <v>106.95250543173492</v>
      </c>
      <c r="K114" s="105">
        <f>SUM(BH$87:BH$94)+SUM(BJ$87:BJ$94)+SUM(BL$87:BL$94)+SUM(BN$87:BN$94)</f>
        <v>113.48534539597584</v>
      </c>
      <c r="L114" s="105">
        <f>SUM(BP$87:BP$94)+SUM(BR$87:BR$94)+SUM(BT$87:BT$94)+SUM(BV$87:BV$94)</f>
        <v>112.54201626575855</v>
      </c>
      <c r="M114" s="105">
        <f>SUM(BX$87:BX$94)+SUM(BZ$87:BZ$94)+SUM(CB$87:CB$94)+SUM(CD$87:CD$94)</f>
        <v>95.54537528273606</v>
      </c>
      <c r="N114" s="105">
        <f>SUM(CF$87:CF$94)+SUM(CH$87:CH$94)+SUM(CJ$87:CJ$94)+SUM(CL$87:CL$94)</f>
        <v>89.199308014419117</v>
      </c>
      <c r="O114" s="105">
        <f>SUM(CN$87:CN$94)+SUM(CP$87:CP$94)+SUM(CR$87:CR$94)+SUM(CT$87:CT$94)</f>
        <v>102.11289246545233</v>
      </c>
    </row>
    <row r="115" spans="2:15" x14ac:dyDescent="0.2">
      <c r="C115" s="104" t="s">
        <v>132</v>
      </c>
      <c r="D115" s="105">
        <f>SUM(D$95:D$105)+SUM(F$95:F$105)+SUM(H$95:H$105)+SUM(J$95:J$105)</f>
        <v>240.08355784506787</v>
      </c>
      <c r="E115" s="105">
        <f>SUM(L$95:L$105)+SUM(N$95:N$105)+SUM(P$95:P$105)+SUM(R$95:R$105)</f>
        <v>143.11104902088613</v>
      </c>
      <c r="F115" s="105">
        <f>SUM(T$95:T$105)+SUM(V$95:V$105)+SUM(X$95:X$105)+SUM(Z$95:Z$105)</f>
        <v>209.05133817337111</v>
      </c>
      <c r="G115" s="105">
        <f>SUM(AB$95:AB$105)+SUM(AD$95:AD$105)+SUM(AF$95:AF$105)+SUM(AH$95:AH$105)</f>
        <v>200.05277713860644</v>
      </c>
      <c r="H115" s="105">
        <f>SUM(AJ$95:AJ$105)+SUM(AL$95:AL$105)+SUM(AN$95:AN$105)+SUM(AP$95:AP$105)</f>
        <v>204.24339026102521</v>
      </c>
      <c r="I115" s="105">
        <f>SUM(AR$95:AR$105)+SUM(AT$95:AT$105)+SUM(AV$95:AV$105)+SUM(AX$95:AX$105)</f>
        <v>219.89524703319384</v>
      </c>
      <c r="J115" s="105">
        <f>SUM(AZ$95:AZ$105)+SUM(BB$95:BB$105)+SUM(BD$95:BD$105)+SUM(BF$95:BF$105)</f>
        <v>208.82288551515546</v>
      </c>
      <c r="K115" s="105">
        <f>SUM(BH$95:BH$105)+SUM(BJ$95:BJ$105)+SUM(BL$95:BL$105)+SUM(BN$95:BN$105)</f>
        <v>201.17627733519097</v>
      </c>
      <c r="L115" s="105">
        <f>SUM(BP$95:BP$105)+SUM(BR$95:BR$105)+SUM(BT$95:BT$105)+SUM(BV$95:BV$105)</f>
        <v>200.22264314189621</v>
      </c>
      <c r="M115" s="105">
        <f>SUM(BX$95:BX$105)+SUM(BZ$95:BZ$105)+SUM(CB$95:CB$105)+SUM(CD$95:CD$105)</f>
        <v>212.18419196593774</v>
      </c>
      <c r="N115" s="105">
        <f>SUM(CF$95:CF$105)+SUM(CH$95:CH$105)+SUM(CJ$95:CJ$105)+SUM(CL$95:CL$105)</f>
        <v>224.95063716114646</v>
      </c>
      <c r="O115" s="105">
        <f>SUM(CN$95:CN$105)+SUM(CP$95:CP$105)+SUM(CR$95:CR$105)+SUM(CT$95:CT$105)</f>
        <v>216.89862825406067</v>
      </c>
    </row>
    <row r="116" spans="2:15" x14ac:dyDescent="0.2">
      <c r="C116" s="104" t="s">
        <v>278</v>
      </c>
      <c r="D116" s="105">
        <f t="shared" ref="D116:O116" si="0">SUM(D$109:D$115)</f>
        <v>1312.5649984291565</v>
      </c>
      <c r="E116" s="105">
        <f t="shared" si="0"/>
        <v>1448.1122540805218</v>
      </c>
      <c r="F116" s="105">
        <f t="shared" si="0"/>
        <v>1793.8277036324989</v>
      </c>
      <c r="G116" s="105">
        <f t="shared" si="0"/>
        <v>1757.4012421095617</v>
      </c>
      <c r="H116" s="105">
        <f t="shared" si="0"/>
        <v>1746.4780733997102</v>
      </c>
      <c r="I116" s="105">
        <f t="shared" si="0"/>
        <v>1753.9307126393799</v>
      </c>
      <c r="J116" s="105">
        <f t="shared" si="0"/>
        <v>1836.8275838805034</v>
      </c>
      <c r="K116" s="105">
        <f t="shared" si="0"/>
        <v>1754.5315053070249</v>
      </c>
      <c r="L116" s="105">
        <f t="shared" si="0"/>
        <v>1745.6855656699204</v>
      </c>
      <c r="M116" s="105">
        <f t="shared" si="0"/>
        <v>1730.3725040171689</v>
      </c>
      <c r="N116" s="105">
        <f t="shared" si="0"/>
        <v>1737.3949523233712</v>
      </c>
      <c r="O116" s="105">
        <f t="shared" si="0"/>
        <v>1764.8895875936714</v>
      </c>
    </row>
    <row r="118" spans="2:15" x14ac:dyDescent="0.2">
      <c r="B118" s="108" t="s">
        <v>279</v>
      </c>
    </row>
    <row r="119" spans="2:15" x14ac:dyDescent="0.2">
      <c r="C119" s="104" t="s">
        <v>277</v>
      </c>
      <c r="D119" s="104" t="s">
        <v>92</v>
      </c>
      <c r="E119" s="104" t="s">
        <v>93</v>
      </c>
      <c r="F119" s="104" t="s">
        <v>94</v>
      </c>
      <c r="G119" s="104" t="s">
        <v>95</v>
      </c>
      <c r="H119" s="104" t="s">
        <v>96</v>
      </c>
      <c r="I119" s="104" t="s">
        <v>97</v>
      </c>
      <c r="J119" s="104" t="s">
        <v>98</v>
      </c>
      <c r="K119" s="104" t="s">
        <v>99</v>
      </c>
      <c r="L119" s="104" t="s">
        <v>100</v>
      </c>
      <c r="M119" s="104" t="s">
        <v>101</v>
      </c>
      <c r="N119" s="104" t="s">
        <v>102</v>
      </c>
      <c r="O119" s="104" t="s">
        <v>103</v>
      </c>
    </row>
    <row r="120" spans="2:15" x14ac:dyDescent="0.2">
      <c r="C120" s="104" t="s">
        <v>126</v>
      </c>
      <c r="D120" s="105">
        <f>D109*pricing!D24*2000</f>
        <v>1688000</v>
      </c>
      <c r="E120" s="105">
        <f>E109*pricing!E24*2000</f>
        <v>1599399.7475511453</v>
      </c>
      <c r="F120" s="105">
        <f>F109*pricing!F24*2000</f>
        <v>1692968.8799597558</v>
      </c>
      <c r="G120" s="105">
        <f>G109*pricing!G24*2000</f>
        <v>1721943.6755956081</v>
      </c>
      <c r="H120" s="105">
        <f>H109*pricing!H24*2000</f>
        <v>1771958.9388197823</v>
      </c>
      <c r="I120" s="105">
        <f>I109*pricing!I24*2000</f>
        <v>1610879.5004572263</v>
      </c>
      <c r="J120" s="105">
        <f>J109*pricing!J24*2000</f>
        <v>2017444.5408679424</v>
      </c>
      <c r="K120" s="105">
        <f>K109*pricing!K24*2000</f>
        <v>1729874.4420493902</v>
      </c>
      <c r="L120" s="105">
        <f>L109*pricing!L24*2000</f>
        <v>1686061.747193798</v>
      </c>
      <c r="M120" s="105">
        <f>M109*pricing!M24*2000</f>
        <v>1774902.7792949909</v>
      </c>
      <c r="N120" s="105">
        <f>N109*pricing!N24*2000</f>
        <v>1757084.469323037</v>
      </c>
      <c r="O120" s="105">
        <f>O109*pricing!O24*2000</f>
        <v>1753445.1655376437</v>
      </c>
    </row>
    <row r="121" spans="2:15" x14ac:dyDescent="0.2">
      <c r="C121" s="104" t="s">
        <v>127</v>
      </c>
      <c r="D121" s="105">
        <f>D110*pricing!D25*2000</f>
        <v>3312050.9376278212</v>
      </c>
      <c r="E121" s="105">
        <f>E110*pricing!E25*2000</f>
        <v>3214015.5039235121</v>
      </c>
      <c r="F121" s="105">
        <f>F110*pricing!F25*2000</f>
        <v>3638954.8992841025</v>
      </c>
      <c r="G121" s="105">
        <f>G110*pricing!G25*2000</f>
        <v>3443757.9595244299</v>
      </c>
      <c r="H121" s="105">
        <f>H110*pricing!H25*2000</f>
        <v>3384430.3889645855</v>
      </c>
      <c r="I121" s="105">
        <f>I110*pricing!I25*2000</f>
        <v>3403082.1862142477</v>
      </c>
      <c r="J121" s="105">
        <f>J110*pricing!J25*2000</f>
        <v>3399853.5719862301</v>
      </c>
      <c r="K121" s="105">
        <f>K110*pricing!K25*2000</f>
        <v>3549726.4793343791</v>
      </c>
      <c r="L121" s="105">
        <f>L110*pricing!L25*2000</f>
        <v>3646775.5255493312</v>
      </c>
      <c r="M121" s="105">
        <f>M110*pricing!M25*2000</f>
        <v>3598962.9053537254</v>
      </c>
      <c r="N121" s="105">
        <f>N110*pricing!N25*2000</f>
        <v>3659958.7892603925</v>
      </c>
      <c r="O121" s="105">
        <f>O110*pricing!O25*2000</f>
        <v>3620205.324615485</v>
      </c>
    </row>
    <row r="122" spans="2:15" x14ac:dyDescent="0.2">
      <c r="C122" s="104" t="s">
        <v>128</v>
      </c>
      <c r="D122" s="105">
        <f>D111*pricing!D26*2000</f>
        <v>1496000</v>
      </c>
      <c r="E122" s="105">
        <f>E111*pricing!E26*2000</f>
        <v>1224475.18508817</v>
      </c>
      <c r="F122" s="105">
        <f>F111*pricing!F26*2000</f>
        <v>1270578.9021245197</v>
      </c>
      <c r="G122" s="105">
        <f>G111*pricing!G26*2000</f>
        <v>1328271.8997421036</v>
      </c>
      <c r="H122" s="105">
        <f>H111*pricing!H26*2000</f>
        <v>1363437.5837697196</v>
      </c>
      <c r="I122" s="105">
        <f>I111*pricing!I26*2000</f>
        <v>1658388.3283754261</v>
      </c>
      <c r="J122" s="105">
        <f>J111*pricing!J26*2000</f>
        <v>1509520.9026082035</v>
      </c>
      <c r="K122" s="105">
        <f>K111*pricing!K26*2000</f>
        <v>1335739.1652729949</v>
      </c>
      <c r="L122" s="105">
        <f>L111*pricing!L26*2000</f>
        <v>1252531.7238679659</v>
      </c>
      <c r="M122" s="105">
        <f>M111*pricing!M26*2000</f>
        <v>1199716.6558799634</v>
      </c>
      <c r="N122" s="105">
        <f>N111*pricing!N26*2000</f>
        <v>1384374.3985280963</v>
      </c>
      <c r="O122" s="105">
        <f>O111*pricing!O26*2000</f>
        <v>1429153.7627078756</v>
      </c>
    </row>
    <row r="123" spans="2:15" x14ac:dyDescent="0.2">
      <c r="C123" s="104" t="s">
        <v>129</v>
      </c>
      <c r="D123" s="105">
        <f>D112*pricing!D27*2000</f>
        <v>945896.38125514879</v>
      </c>
      <c r="E123" s="105">
        <f>E112*pricing!E27*2000</f>
        <v>1617276.3329738097</v>
      </c>
      <c r="F123" s="105">
        <f>F112*pricing!F27*2000</f>
        <v>2395951.3456927063</v>
      </c>
      <c r="G123" s="105">
        <f>G112*pricing!G27*2000</f>
        <v>2377278.7916448801</v>
      </c>
      <c r="H123" s="105">
        <f>H112*pricing!H27*2000</f>
        <v>2143255.105467319</v>
      </c>
      <c r="I123" s="105">
        <f>I112*pricing!I27*2000</f>
        <v>2099323.6500530643</v>
      </c>
      <c r="J123" s="105">
        <f>J112*pricing!J27*2000</f>
        <v>2331680.5012883907</v>
      </c>
      <c r="K123" s="105">
        <f>K112*pricing!K27*2000</f>
        <v>2185881.6049136082</v>
      </c>
      <c r="L123" s="105">
        <f>L112*pricing!L27*2000</f>
        <v>2144721.7526032301</v>
      </c>
      <c r="M123" s="105">
        <f>M112*pricing!M27*2000</f>
        <v>2057155.4597145931</v>
      </c>
      <c r="N123" s="105">
        <f>N112*pricing!N27*2000</f>
        <v>1826165.4472549623</v>
      </c>
      <c r="O123" s="105">
        <f>O112*pricing!O27*2000</f>
        <v>2031708.7457894874</v>
      </c>
    </row>
    <row r="124" spans="2:15" x14ac:dyDescent="0.2">
      <c r="C124" s="104" t="s">
        <v>130</v>
      </c>
      <c r="D124" s="105">
        <f>D113*pricing!D28*2000</f>
        <v>273904.20578973909</v>
      </c>
      <c r="E124" s="105">
        <f>E113*pricing!E28*2000</f>
        <v>534934.09500930342</v>
      </c>
      <c r="F124" s="105">
        <f>F113*pricing!F28*2000</f>
        <v>816459.81958347699</v>
      </c>
      <c r="G124" s="105">
        <f>G113*pricing!G28*2000</f>
        <v>783622.83310358645</v>
      </c>
      <c r="H124" s="105">
        <f>H113*pricing!H28*2000</f>
        <v>819376.75588515599</v>
      </c>
      <c r="I124" s="105">
        <f>I113*pricing!I28*2000</f>
        <v>816158.20260700234</v>
      </c>
      <c r="J124" s="105">
        <f>J113*pricing!J28*2000</f>
        <v>852208.35431330302</v>
      </c>
      <c r="K124" s="105">
        <f>K113*pricing!K28*2000</f>
        <v>735009.39296925231</v>
      </c>
      <c r="L124" s="105">
        <f>L113*pricing!L28*2000</f>
        <v>756369.60737686197</v>
      </c>
      <c r="M124" s="105">
        <f>M113*pricing!M28*2000</f>
        <v>808485.27684119227</v>
      </c>
      <c r="N124" s="105">
        <f>N113*pricing!N28*2000</f>
        <v>871759.99848896614</v>
      </c>
      <c r="O124" s="105">
        <f>O113*pricing!O28*2000</f>
        <v>777667.40316491167</v>
      </c>
    </row>
    <row r="125" spans="2:15" x14ac:dyDescent="0.2">
      <c r="C125" s="104" t="s">
        <v>131</v>
      </c>
      <c r="D125" s="105">
        <f>D114*pricing!D29*2000</f>
        <v>864000</v>
      </c>
      <c r="E125" s="105">
        <f>E114*pricing!E29*2000</f>
        <v>416580.08394019894</v>
      </c>
      <c r="F125" s="105">
        <f>F114*pricing!F29*2000</f>
        <v>567083.44169428223</v>
      </c>
      <c r="G125" s="105">
        <f>G114*pricing!G29*2000</f>
        <v>555469.56363563612</v>
      </c>
      <c r="H125" s="105">
        <f>H114*pricing!H29*2000</f>
        <v>655730.29794630723</v>
      </c>
      <c r="I125" s="105">
        <f>I114*pricing!I29*2000</f>
        <v>538653.90588568989</v>
      </c>
      <c r="J125" s="105">
        <f>J114*pricing!J29*2000</f>
        <v>611768.3310695237</v>
      </c>
      <c r="K125" s="105">
        <f>K114*pricing!K29*2000</f>
        <v>649136.17566498183</v>
      </c>
      <c r="L125" s="105">
        <f>L114*pricing!L29*2000</f>
        <v>643740.33304013894</v>
      </c>
      <c r="M125" s="105">
        <f>M114*pricing!M29*2000</f>
        <v>546519.54661725031</v>
      </c>
      <c r="N125" s="105">
        <f>N114*pricing!N29*2000</f>
        <v>510220.04184247734</v>
      </c>
      <c r="O125" s="105">
        <f>O114*pricing!O29*2000</f>
        <v>584085.74490238726</v>
      </c>
    </row>
    <row r="126" spans="2:15" x14ac:dyDescent="0.2">
      <c r="C126" s="104" t="s">
        <v>132</v>
      </c>
      <c r="D126" s="105">
        <f>D115*pricing!D30*2000</f>
        <v>1728601.6164844886</v>
      </c>
      <c r="E126" s="105">
        <f>E115*pricing!E30*2000</f>
        <v>818595.20039946854</v>
      </c>
      <c r="F126" s="105">
        <f>F115*pricing!F30*2000</f>
        <v>1195773.6543516826</v>
      </c>
      <c r="G126" s="105">
        <f>G115*pricing!G30*2000</f>
        <v>1144301.885232829</v>
      </c>
      <c r="H126" s="105">
        <f>H115*pricing!H30*2000</f>
        <v>1168272.1922930642</v>
      </c>
      <c r="I126" s="105">
        <f>I115*pricing!I30*2000</f>
        <v>1257800.8130298688</v>
      </c>
      <c r="J126" s="105">
        <f>J115*pricing!J30*2000</f>
        <v>1194466.9051466892</v>
      </c>
      <c r="K126" s="105">
        <f>K115*pricing!K30*2000</f>
        <v>1150728.3063572922</v>
      </c>
      <c r="L126" s="105">
        <f>L115*pricing!L30*2000</f>
        <v>1145273.5187716461</v>
      </c>
      <c r="M126" s="105">
        <f>M115*pricing!M30*2000</f>
        <v>1213693.5780451638</v>
      </c>
      <c r="N126" s="105">
        <f>N115*pricing!N30*2000</f>
        <v>1286717.6445617576</v>
      </c>
      <c r="O126" s="105">
        <f>O115*pricing!O30*2000</f>
        <v>1240660.153613227</v>
      </c>
    </row>
    <row r="127" spans="2:15" x14ac:dyDescent="0.2">
      <c r="C127" s="104" t="s">
        <v>278</v>
      </c>
      <c r="D127" s="105">
        <f t="shared" ref="D127:O127" si="1">SUM(D$120:D$126)</f>
        <v>10308453.141157199</v>
      </c>
      <c r="E127" s="105">
        <f t="shared" si="1"/>
        <v>9425276.1488856077</v>
      </c>
      <c r="F127" s="105">
        <f t="shared" si="1"/>
        <v>11577770.942690527</v>
      </c>
      <c r="G127" s="105">
        <f t="shared" si="1"/>
        <v>11354646.608479073</v>
      </c>
      <c r="H127" s="105">
        <f t="shared" si="1"/>
        <v>11306461.263145935</v>
      </c>
      <c r="I127" s="105">
        <f t="shared" si="1"/>
        <v>11384286.586622523</v>
      </c>
      <c r="J127" s="105">
        <f t="shared" si="1"/>
        <v>11916943.107280284</v>
      </c>
      <c r="K127" s="105">
        <f t="shared" si="1"/>
        <v>11336095.566561898</v>
      </c>
      <c r="L127" s="105">
        <f t="shared" si="1"/>
        <v>11275474.208402973</v>
      </c>
      <c r="M127" s="105">
        <f t="shared" si="1"/>
        <v>11199436.201746879</v>
      </c>
      <c r="N127" s="105">
        <f t="shared" si="1"/>
        <v>11296280.789259691</v>
      </c>
      <c r="O127" s="105">
        <f t="shared" si="1"/>
        <v>11436926.300331017</v>
      </c>
    </row>
    <row r="129" spans="2:15" x14ac:dyDescent="0.2">
      <c r="B129" s="108" t="s">
        <v>280</v>
      </c>
    </row>
    <row r="130" spans="2:15" x14ac:dyDescent="0.2">
      <c r="C130" s="110" t="s">
        <v>277</v>
      </c>
      <c r="D130" s="110" t="s">
        <v>92</v>
      </c>
      <c r="E130" s="110" t="s">
        <v>93</v>
      </c>
      <c r="F130" s="110" t="s">
        <v>94</v>
      </c>
      <c r="G130" s="110" t="s">
        <v>95</v>
      </c>
      <c r="H130" s="110" t="s">
        <v>96</v>
      </c>
      <c r="I130" s="110" t="s">
        <v>97</v>
      </c>
      <c r="J130" s="110" t="s">
        <v>98</v>
      </c>
      <c r="K130" s="110" t="s">
        <v>99</v>
      </c>
      <c r="L130" s="110" t="s">
        <v>100</v>
      </c>
      <c r="M130" s="110" t="s">
        <v>101</v>
      </c>
      <c r="N130" s="110" t="s">
        <v>102</v>
      </c>
      <c r="O130" s="110" t="s">
        <v>103</v>
      </c>
    </row>
    <row r="131" spans="2:15" x14ac:dyDescent="0.2">
      <c r="C131" s="110" t="s">
        <v>126</v>
      </c>
      <c r="D131" s="111">
        <f>SUM(E$6:E$19)+SUM(G$6:G$19)+SUM(I$6:I$19)+SUM(K$6:K$19)</f>
        <v>121426.8</v>
      </c>
      <c r="E131" s="111">
        <f>SUM(M$6:M$19)+SUM(O$6:O$19)+SUM(Q$6:Q$19)+SUM(S$6:S$19)</f>
        <v>129704.84772449179</v>
      </c>
      <c r="F131" s="111">
        <f>SUM(U$6:U$19)+SUM(W$6:W$19)+SUM(Y$6:Y$19)+SUM(AA$6:AA$19)</f>
        <v>138120.37376527509</v>
      </c>
      <c r="G131" s="111">
        <f>SUM(AC$6:AC$19)+SUM(AE$6:AE$19)+SUM(AG$6:AG$19)+SUM(AI$6:AI$19)</f>
        <v>139417.49696162122</v>
      </c>
      <c r="H131" s="111">
        <f>SUM(AK$6:AK$19)+SUM(AM$6:AM$19)+SUM(AO$6:AO$19)+SUM(AQ$6:AQ$19)</f>
        <v>145026.1335815705</v>
      </c>
      <c r="I131" s="111">
        <f>SUM(AS$6:AS$19)+SUM(AU$6:AU$19)+SUM(AW$6:AW$19)+SUM(AY$6:AY$19)</f>
        <v>130398.73301279909</v>
      </c>
      <c r="J131" s="111">
        <f>SUM(BA$6:BA$19)+SUM(BC$6:BC$19)+SUM(BE$6:BE$19)+SUM(BG$6:BG$19)</f>
        <v>163708.59063472593</v>
      </c>
      <c r="K131" s="111">
        <f>SUM(BI$6:BI$19)+SUM(BK$6:BK$19)+SUM(BM$6:BM$19)+SUM(BO$6:BO$19)</f>
        <v>140813.43236612942</v>
      </c>
      <c r="L131" s="111">
        <f>SUM(BQ$6:BQ$19)+SUM(BS$6:BS$19)+SUM(BU$6:BU$19)+SUM(BW$6:BW$19)</f>
        <v>137282.9367708801</v>
      </c>
      <c r="M131" s="111">
        <f>SUM(BY$6:BY$19)+SUM(CA$6:CA$19)+SUM(CC$6:CC$19)+SUM(CE$6:CE$19)</f>
        <v>145081.29781280094</v>
      </c>
      <c r="N131" s="111">
        <f>SUM(CG$6:CG$19)+SUM(CI$6:CI$19)+SUM(CK$6:CK$19)+SUM(CM$6:CM$19)</f>
        <v>142552.4643173457</v>
      </c>
      <c r="O131" s="111">
        <f>SUM(CO$6:CO$19)+SUM(CQ$6:CQ$19)+SUM(CS$6:CS$19)+SUM(CU$6:CU$19)</f>
        <v>141959.19138683626</v>
      </c>
    </row>
    <row r="132" spans="2:15" x14ac:dyDescent="0.2">
      <c r="C132" s="110" t="s">
        <v>127</v>
      </c>
      <c r="D132" s="111">
        <f>SUM(E$20:E$36)+SUM(G$20:G$36)+SUM(I$20:I$36)+SUM(K$20:K$36)</f>
        <v>115168.62754271229</v>
      </c>
      <c r="E132" s="111">
        <f>SUM(M$20:M$36)+SUM(O$20:O$36)+SUM(Q$20:Q$36)+SUM(S$20:S$36)</f>
        <v>148428.41896263964</v>
      </c>
      <c r="F132" s="111">
        <f>SUM(U$20:U$36)+SUM(W$20:W$36)+SUM(Y$20:Y$36)+SUM(AA$20:AA$36)</f>
        <v>176174.96270657648</v>
      </c>
      <c r="G132" s="111">
        <f>SUM(AC$20:AC$36)+SUM(AE$20:AE$36)+SUM(AG$20:AG$36)+SUM(AI$20:AI$36)</f>
        <v>163432.74357221482</v>
      </c>
      <c r="H132" s="111">
        <f>SUM(AK$20:AK$36)+SUM(AM$20:AM$36)+SUM(AO$20:AO$36)+SUM(AQ$20:AQ$36)</f>
        <v>159263.27573117038</v>
      </c>
      <c r="I132" s="111">
        <f>SUM(AS$20:AS$36)+SUM(AU$20:AU$36)+SUM(AW$20:AW$36)+SUM(AY$20:AY$36)</f>
        <v>162951.58780083165</v>
      </c>
      <c r="J132" s="111">
        <f>SUM(BA$20:BA$36)+SUM(BC$20:BC$36)+SUM(BE$20:BE$36)+SUM(BG$20:BG$36)</f>
        <v>169650.8907849238</v>
      </c>
      <c r="K132" s="111">
        <f>SUM(BI$20:BI$36)+SUM(BK$20:BK$36)+SUM(BM$20:BM$36)+SUM(BO$20:BO$36)</f>
        <v>168680.1159516928</v>
      </c>
      <c r="L132" s="111">
        <f>SUM(BQ$20:BQ$36)+SUM(BS$20:BS$36)+SUM(BU$20:BU$36)+SUM(BW$20:BW$36)</f>
        <v>171248.7438092606</v>
      </c>
      <c r="M132" s="111">
        <f>SUM(BY$20:BY$36)+SUM(CA$20:CA$36)+SUM(CC$20:CC$36)+SUM(CE$20:CE$36)</f>
        <v>169843.65223207424</v>
      </c>
      <c r="N132" s="111">
        <f>SUM(CG$20:CG$36)+SUM(CI$20:CI$36)+SUM(CK$20:CK$36)+SUM(CM$20:CM$36)</f>
        <v>177314.51218633691</v>
      </c>
      <c r="O132" s="111">
        <f>SUM(CO$20:CO$36)+SUM(CQ$20:CQ$36)+SUM(CS$20:CS$36)+SUM(CU$20:CU$36)</f>
        <v>173402.33318539878</v>
      </c>
    </row>
    <row r="133" spans="2:15" x14ac:dyDescent="0.2">
      <c r="C133" s="110" t="s">
        <v>128</v>
      </c>
      <c r="D133" s="111">
        <f>SUM(E$37:E$48)+SUM(G$37:G$48)+SUM(I$37:I$48)+SUM(K$37:K$48)</f>
        <v>159878.39999999999</v>
      </c>
      <c r="E133" s="111">
        <f>SUM(M$37:M$48)+SUM(O$37:O$48)+SUM(Q$37:Q$48)+SUM(S$37:S$48)</f>
        <v>142219.56566031472</v>
      </c>
      <c r="F133" s="111">
        <f>SUM(U$37:U$48)+SUM(W$37:W$48)+SUM(Y$37:Y$48)+SUM(AA$37:AA$48)</f>
        <v>147427.426181902</v>
      </c>
      <c r="G133" s="111">
        <f>SUM(AC$37:AC$48)+SUM(AE$37:AE$48)+SUM(AG$37:AG$48)+SUM(AI$37:AI$48)</f>
        <v>153602.11045618958</v>
      </c>
      <c r="H133" s="111">
        <f>SUM(AK$37:AK$48)+SUM(AM$37:AM$48)+SUM(AO$37:AO$48)+SUM(AQ$37:AQ$48)</f>
        <v>158057.92112665891</v>
      </c>
      <c r="I133" s="111">
        <f>SUM(AS$37:AS$48)+SUM(AU$37:AU$48)+SUM(AW$37:AW$48)+SUM(AY$37:AY$48)</f>
        <v>192686.84199064711</v>
      </c>
      <c r="J133" s="111">
        <f>SUM(BA$37:BA$48)+SUM(BC$37:BC$48)+SUM(BE$37:BE$48)+SUM(BG$37:BG$48)</f>
        <v>174736.15286896218</v>
      </c>
      <c r="K133" s="111">
        <f>SUM(BI$37:BI$48)+SUM(BK$37:BK$48)+SUM(BM$37:BM$48)+SUM(BO$37:BO$48)</f>
        <v>154455.92843645409</v>
      </c>
      <c r="L133" s="111">
        <f>SUM(BQ$37:BQ$48)+SUM(BS$37:BS$48)+SUM(BU$37:BU$48)+SUM(BW$37:BW$48)</f>
        <v>145342.5135189532</v>
      </c>
      <c r="M133" s="111">
        <f>SUM(BY$37:BY$48)+SUM(CA$37:CA$48)+SUM(CC$37:CC$48)+SUM(CE$37:CE$48)</f>
        <v>138713.1350739082</v>
      </c>
      <c r="N133" s="111">
        <f>SUM(CG$37:CG$48)+SUM(CI$37:CI$48)+SUM(CK$37:CK$48)+SUM(CM$37:CM$48)</f>
        <v>161733.95542600384</v>
      </c>
      <c r="O133" s="111">
        <f>SUM(CO$37:CO$48)+SUM(CQ$37:CQ$48)+SUM(CS$37:CS$48)+SUM(CU$37:CU$48)</f>
        <v>164844.9213710794</v>
      </c>
    </row>
    <row r="134" spans="2:15" x14ac:dyDescent="0.2">
      <c r="C134" s="110" t="s">
        <v>129</v>
      </c>
      <c r="D134" s="111">
        <f>SUM(E$49:E$70)+SUM(G$49:G$70)+SUM(I$49:I$70)+SUM(K$49:K$70)</f>
        <v>46472.365134353226</v>
      </c>
      <c r="E134" s="111">
        <f>SUM(M$49:M$70)+SUM(O$49:O$70)+SUM(Q$49:Q$70)+SUM(S$49:S$70)</f>
        <v>110718.97307108337</v>
      </c>
      <c r="F134" s="111">
        <f>SUM(U$49:U$70)+SUM(W$49:W$70)+SUM(Y$49:Y$70)+SUM(AA$49:AA$70)</f>
        <v>158101.08557950583</v>
      </c>
      <c r="G134" s="111">
        <f>SUM(AC$49:AC$70)+SUM(AE$49:AE$70)+SUM(AG$49:AG$70)+SUM(AI$49:AI$70)</f>
        <v>159998.94626352834</v>
      </c>
      <c r="H134" s="111">
        <f>SUM(AK$49:AK$70)+SUM(AM$49:AM$70)+SUM(AO$49:AO$70)+SUM(AQ$49:AQ$70)</f>
        <v>145976.09949705598</v>
      </c>
      <c r="I134" s="111">
        <f>SUM(AS$49:AS$70)+SUM(AU$49:AU$70)+SUM(AW$49:AW$70)+SUM(AY$49:AY$70)</f>
        <v>141677.5263131164</v>
      </c>
      <c r="J134" s="111">
        <f>SUM(BA$49:BA$70)+SUM(BC$49:BC$70)+SUM(BE$49:BE$70)+SUM(BG$49:BG$70)</f>
        <v>153617.42546583459</v>
      </c>
      <c r="K134" s="111">
        <f>SUM(BI$49:BI$70)+SUM(BK$49:BK$70)+SUM(BM$49:BM$70)+SUM(BO$49:BO$70)</f>
        <v>149799.5947356862</v>
      </c>
      <c r="L134" s="111">
        <f>SUM(BQ$49:BQ$70)+SUM(BS$49:BS$70)+SUM(BU$49:BU$70)+SUM(BW$49:BW$70)</f>
        <v>148160.3981527116</v>
      </c>
      <c r="M134" s="111">
        <f>SUM(BY$49:BY$70)+SUM(CA$49:CA$70)+SUM(CC$49:CC$70)+SUM(CE$49:CE$70)</f>
        <v>138733.35008269176</v>
      </c>
      <c r="N134" s="111">
        <f>SUM(CG$49:CG$70)+SUM(CI$49:CI$70)+SUM(CK$49:CK$70)+SUM(CM$49:CM$70)</f>
        <v>121282.55744223902</v>
      </c>
      <c r="O134" s="111">
        <f>SUM(CO$49:CO$70)+SUM(CQ$49:CQ$70)+SUM(CS$49:CS$70)+SUM(CU$49:CU$70)</f>
        <v>137601.72717886348</v>
      </c>
    </row>
    <row r="135" spans="2:15" x14ac:dyDescent="0.2">
      <c r="C135" s="110" t="s">
        <v>130</v>
      </c>
      <c r="D135" s="111">
        <f>SUM(E$71:E$86)+SUM(G$71:G$86)+SUM(I$71:I$86)+SUM(K$71:K$86)</f>
        <v>17055.567703986984</v>
      </c>
      <c r="E135" s="111">
        <f>SUM(M$71:M$86)+SUM(O$71:O$86)+SUM(Q$71:Q$86)+SUM(S$71:S$86)</f>
        <v>33130.847528475722</v>
      </c>
      <c r="F135" s="111">
        <f>SUM(U$71:U$86)+SUM(W$71:W$86)+SUM(Y$71:Y$86)+SUM(AA$71:AA$86)</f>
        <v>51217.247246045285</v>
      </c>
      <c r="G135" s="111">
        <f>SUM(AC$71:AC$86)+SUM(AE$71:AE$86)+SUM(AG$71:AG$86)+SUM(AI$71:AI$86)</f>
        <v>49001.27982695579</v>
      </c>
      <c r="H135" s="111">
        <f>SUM(AK$71:AK$86)+SUM(AM$71:AM$86)+SUM(AO$71:AO$86)+SUM(AQ$71:AQ$86)</f>
        <v>51299.49874307758</v>
      </c>
      <c r="I135" s="111">
        <f>SUM(AS$71:AS$86)+SUM(AU$71:AU$86)+SUM(AW$71:AW$86)+SUM(AY$71:AY$86)</f>
        <v>50631.866939662563</v>
      </c>
      <c r="J135" s="111">
        <f>SUM(BA$71:BA$86)+SUM(BC$71:BC$86)+SUM(BE$71:BE$86)+SUM(BG$71:BG$86)</f>
        <v>53523.100675092217</v>
      </c>
      <c r="K135" s="111">
        <f>SUM(BI$71:BI$86)+SUM(BK$71:BK$86)+SUM(BM$71:BM$86)+SUM(BO$71:BO$86)</f>
        <v>46091.781447708585</v>
      </c>
      <c r="L135" s="111">
        <f>SUM(BQ$71:BQ$86)+SUM(BS$71:BS$86)+SUM(BU$71:BU$86)+SUM(BW$71:BW$86)</f>
        <v>46884.947322611828</v>
      </c>
      <c r="M135" s="111">
        <f>SUM(BY$71:BY$86)+SUM(CA$71:CA$86)+SUM(CC$71:CC$86)+SUM(CE$71:CE$86)</f>
        <v>50634.44389149201</v>
      </c>
      <c r="N135" s="111">
        <f>SUM(CG$71:CG$86)+SUM(CI$71:CI$86)+SUM(CK$71:CK$86)+SUM(CM$71:CM$86)</f>
        <v>54274.477226600946</v>
      </c>
      <c r="O135" s="111">
        <f>SUM(CO$71:CO$86)+SUM(CQ$71:CQ$86)+SUM(CS$71:CS$86)+SUM(CU$71:CU$86)</f>
        <v>48374.198719170323</v>
      </c>
    </row>
    <row r="136" spans="2:15" x14ac:dyDescent="0.2">
      <c r="C136" s="110" t="s">
        <v>131</v>
      </c>
      <c r="D136" s="111">
        <f>SUM(E$87:E$94)+SUM(G$87:G$94)+SUM(I$87:I$94)+SUM(K$87:K$94)</f>
        <v>85538.4</v>
      </c>
      <c r="E136" s="111">
        <f>SUM(M$87:M$94)+SUM(O$87:O$94)+SUM(Q$87:Q$94)+SUM(S$87:S$94)</f>
        <v>57349.245999660947</v>
      </c>
      <c r="F136" s="111">
        <f>SUM(U$87:U$94)+SUM(W$87:W$94)+SUM(Y$87:Y$94)+SUM(AA$87:AA$94)</f>
        <v>78324.06295494482</v>
      </c>
      <c r="G136" s="111">
        <f>SUM(AC$87:AC$94)+SUM(AE$87:AE$94)+SUM(AG$87:AG$94)+SUM(AI$87:AI$94)</f>
        <v>76713.162192573101</v>
      </c>
      <c r="H136" s="111">
        <f>SUM(AK$87:AK$94)+SUM(AM$87:AM$94)+SUM(AO$87:AO$94)+SUM(AQ$87:AQ$94)</f>
        <v>90629.98003868536</v>
      </c>
      <c r="I136" s="111">
        <f>SUM(AS$87:AS$94)+SUM(AU$87:AU$94)+SUM(AW$87:AW$94)+SUM(AY$87:AY$94)</f>
        <v>74429.687830904761</v>
      </c>
      <c r="J136" s="111">
        <f>SUM(BA$87:BA$94)+SUM(BC$87:BC$94)+SUM(BE$87:BE$94)+SUM(BG$87:BG$94)</f>
        <v>84516.777872561099</v>
      </c>
      <c r="K136" s="111">
        <f>SUM(BI$87:BI$94)+SUM(BK$87:BK$94)+SUM(BM$87:BM$94)+SUM(BO$87:BO$94)</f>
        <v>89658.53622689734</v>
      </c>
      <c r="L136" s="111">
        <f>SUM(BQ$87:BQ$94)+SUM(BS$87:BS$94)+SUM(BU$87:BU$94)+SUM(BW$87:BW$94)</f>
        <v>88796.808791289193</v>
      </c>
      <c r="M136" s="111">
        <f>SUM(BY$87:BY$94)+SUM(CA$87:CA$94)+SUM(CC$87:CC$94)+SUM(CE$87:CE$94)</f>
        <v>75539.461890400868</v>
      </c>
      <c r="N136" s="111">
        <f>SUM(CG$87:CG$94)+SUM(CI$87:CI$94)+SUM(CK$87:CK$94)+SUM(CM$87:CM$94)</f>
        <v>70457.768777750054</v>
      </c>
      <c r="O136" s="111">
        <f>SUM(CO$87:CO$94)+SUM(CQ$87:CQ$94)+SUM(CS$87:CS$94)+SUM(CU$87:CU$94)</f>
        <v>80652.937190434663</v>
      </c>
    </row>
    <row r="137" spans="2:15" x14ac:dyDescent="0.2">
      <c r="C137" s="110" t="s">
        <v>132</v>
      </c>
      <c r="D137" s="111">
        <f>SUM(E$95:E$105)+SUM(G$95:G$105)+SUM(I$95:I$105)+SUM(K$95:K$105)</f>
        <v>153018.88939809924</v>
      </c>
      <c r="E137" s="111">
        <f>SUM(M$95:M$105)+SUM(O$95:O$105)+SUM(Q$95:Q$105)+SUM(S$95:S$105)</f>
        <v>96079.413251821039</v>
      </c>
      <c r="F137" s="111">
        <f>SUM(U$95:U$105)+SUM(W$95:W$105)+SUM(Y$95:Y$105)+SUM(AA$95:AA$105)</f>
        <v>139303.82098416623</v>
      </c>
      <c r="G137" s="111">
        <f>SUM(AC$95:AC$105)+SUM(AE$95:AE$105)+SUM(AG$95:AG$105)+SUM(AI$95:AI$105)</f>
        <v>136173.21574924127</v>
      </c>
      <c r="H137" s="111">
        <f>SUM(AK$95:AK$105)+SUM(AM$95:AM$105)+SUM(AO$95:AO$105)+SUM(AQ$95:AQ$105)</f>
        <v>138563.62981212084</v>
      </c>
      <c r="I137" s="111">
        <f>SUM(AS$95:AS$105)+SUM(AU$95:AU$105)+SUM(AW$95:AW$105)+SUM(AY$95:AY$105)</f>
        <v>149831.93934313711</v>
      </c>
      <c r="J137" s="111">
        <f>SUM(BA$95:BA$105)+SUM(BC$95:BC$105)+SUM(BE$95:BE$105)+SUM(BG$95:BG$105)</f>
        <v>142835.0332461801</v>
      </c>
      <c r="K137" s="111">
        <f>SUM(BI$95:BI$105)+SUM(BK$95:BK$105)+SUM(BM$95:BM$105)+SUM(BO$95:BO$105)</f>
        <v>136145.15615740209</v>
      </c>
      <c r="L137" s="111">
        <f>SUM(BQ$95:BQ$105)+SUM(BS$95:BS$105)+SUM(BU$95:BU$105)+SUM(BW$95:BW$105)</f>
        <v>135267.31378743582</v>
      </c>
      <c r="M137" s="111">
        <f>SUM(BY$95:BY$105)+SUM(CA$95:CA$105)+SUM(CC$95:CC$105)+SUM(CE$95:CE$105)</f>
        <v>143606.45506076023</v>
      </c>
      <c r="N137" s="111">
        <f>SUM(CG$95:CG$105)+SUM(CI$95:CI$105)+SUM(CK$95:CK$105)+SUM(CM$95:CM$105)</f>
        <v>150419.48561308649</v>
      </c>
      <c r="O137" s="111">
        <f>SUM(CO$95:CO$105)+SUM(CQ$95:CQ$105)+SUM(CS$95:CS$105)+SUM(CU$95:CU$105)</f>
        <v>150252.75417085041</v>
      </c>
    </row>
    <row r="138" spans="2:15" x14ac:dyDescent="0.2">
      <c r="C138" s="110" t="s">
        <v>278</v>
      </c>
      <c r="D138" s="105">
        <f t="shared" ref="D138:O138" si="2">SUM(D$131:D$137)</f>
        <v>698559.0497791518</v>
      </c>
      <c r="E138" s="105">
        <f t="shared" si="2"/>
        <v>717631.31219848723</v>
      </c>
      <c r="F138" s="105">
        <f t="shared" si="2"/>
        <v>888668.97941841569</v>
      </c>
      <c r="G138" s="105">
        <f t="shared" si="2"/>
        <v>878338.95502232411</v>
      </c>
      <c r="H138" s="105">
        <f t="shared" si="2"/>
        <v>888816.5385303396</v>
      </c>
      <c r="I138" s="105">
        <f t="shared" si="2"/>
        <v>902608.18323109869</v>
      </c>
      <c r="J138" s="105">
        <f t="shared" si="2"/>
        <v>942587.97154827998</v>
      </c>
      <c r="K138" s="105">
        <f t="shared" si="2"/>
        <v>885644.5453219706</v>
      </c>
      <c r="L138" s="105">
        <f t="shared" si="2"/>
        <v>872983.66215314227</v>
      </c>
      <c r="M138" s="105">
        <f t="shared" si="2"/>
        <v>862151.79604412825</v>
      </c>
      <c r="N138" s="105">
        <f t="shared" si="2"/>
        <v>878035.22098936304</v>
      </c>
      <c r="O138" s="105">
        <f t="shared" si="2"/>
        <v>897088.06320263329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cols>
    <col min="1" max="16384" width="9.140625" style="105"/>
  </cols>
  <sheetData>
    <row r="1" spans="1:99" x14ac:dyDescent="0.2">
      <c r="A1" s="106"/>
    </row>
    <row r="2" spans="1:99" x14ac:dyDescent="0.2">
      <c r="B2" s="107" t="s">
        <v>272</v>
      </c>
    </row>
    <row r="3" spans="1:99" x14ac:dyDescent="0.2">
      <c r="B3" s="108" t="s">
        <v>273</v>
      </c>
    </row>
    <row r="4" spans="1:99" x14ac:dyDescent="0.2">
      <c r="A4" s="106"/>
      <c r="B4" s="106"/>
      <c r="C4" s="104" t="s">
        <v>274</v>
      </c>
      <c r="D4" s="104" t="s">
        <v>92</v>
      </c>
      <c r="E4" s="106"/>
      <c r="F4" s="106"/>
      <c r="G4" s="106"/>
      <c r="H4" s="106"/>
      <c r="I4" s="106"/>
      <c r="J4" s="106"/>
      <c r="K4" s="106"/>
      <c r="L4" s="104" t="s">
        <v>93</v>
      </c>
      <c r="M4" s="106"/>
      <c r="N4" s="106"/>
      <c r="O4" s="106"/>
      <c r="P4" s="106"/>
      <c r="Q4" s="106"/>
      <c r="R4" s="106"/>
      <c r="S4" s="106"/>
      <c r="T4" s="104" t="s">
        <v>94</v>
      </c>
      <c r="U4" s="106"/>
      <c r="V4" s="106"/>
      <c r="W4" s="106"/>
      <c r="X4" s="106"/>
      <c r="Y4" s="106"/>
      <c r="Z4" s="106"/>
      <c r="AA4" s="106"/>
      <c r="AB4" s="104" t="s">
        <v>95</v>
      </c>
      <c r="AC4" s="106"/>
      <c r="AD4" s="106"/>
      <c r="AE4" s="106"/>
      <c r="AF4" s="106"/>
      <c r="AG4" s="106"/>
      <c r="AH4" s="106"/>
      <c r="AI4" s="106"/>
      <c r="AJ4" s="104" t="s">
        <v>96</v>
      </c>
      <c r="AK4" s="106"/>
      <c r="AL4" s="106"/>
      <c r="AM4" s="106"/>
      <c r="AN4" s="106"/>
      <c r="AO4" s="106"/>
      <c r="AP4" s="106"/>
      <c r="AQ4" s="106"/>
      <c r="AR4" s="104" t="s">
        <v>97</v>
      </c>
      <c r="AS4" s="106"/>
      <c r="AT4" s="106"/>
      <c r="AU4" s="106"/>
      <c r="AV4" s="106"/>
      <c r="AW4" s="106"/>
      <c r="AX4" s="106"/>
      <c r="AY4" s="106"/>
      <c r="AZ4" s="104" t="s">
        <v>98</v>
      </c>
      <c r="BA4" s="106"/>
      <c r="BB4" s="106"/>
      <c r="BC4" s="106"/>
      <c r="BD4" s="106"/>
      <c r="BE4" s="106"/>
      <c r="BF4" s="106"/>
      <c r="BG4" s="106"/>
      <c r="BH4" s="104" t="s">
        <v>99</v>
      </c>
      <c r="BI4" s="106"/>
      <c r="BJ4" s="106"/>
      <c r="BK4" s="106"/>
      <c r="BL4" s="106"/>
      <c r="BM4" s="106"/>
      <c r="BN4" s="106"/>
      <c r="BO4" s="106"/>
      <c r="BP4" s="104" t="s">
        <v>100</v>
      </c>
      <c r="BQ4" s="106"/>
      <c r="BR4" s="106"/>
      <c r="BS4" s="106"/>
      <c r="BT4" s="106"/>
      <c r="BU4" s="106"/>
      <c r="BV4" s="106"/>
      <c r="BW4" s="106"/>
      <c r="BX4" s="104" t="s">
        <v>101</v>
      </c>
      <c r="BY4" s="106"/>
      <c r="BZ4" s="106"/>
      <c r="CA4" s="106"/>
      <c r="CB4" s="106"/>
      <c r="CC4" s="106"/>
      <c r="CD4" s="106"/>
      <c r="CE4" s="106"/>
      <c r="CF4" s="104" t="s">
        <v>102</v>
      </c>
      <c r="CG4" s="106"/>
      <c r="CH4" s="106"/>
      <c r="CI4" s="106"/>
      <c r="CJ4" s="106"/>
      <c r="CK4" s="106"/>
      <c r="CL4" s="106"/>
      <c r="CM4" s="106"/>
      <c r="CN4" s="104" t="s">
        <v>103</v>
      </c>
      <c r="CO4" s="106"/>
      <c r="CP4" s="106"/>
      <c r="CQ4" s="106"/>
      <c r="CR4" s="106"/>
      <c r="CS4" s="106"/>
      <c r="CT4" s="106"/>
      <c r="CU4" s="106"/>
    </row>
    <row r="5" spans="1:99" x14ac:dyDescent="0.2">
      <c r="B5" s="104" t="s">
        <v>167</v>
      </c>
      <c r="C5" s="104" t="s">
        <v>275</v>
      </c>
      <c r="D5" s="104">
        <v>1</v>
      </c>
      <c r="E5" s="104"/>
      <c r="F5" s="104">
        <v>2</v>
      </c>
      <c r="G5" s="104"/>
      <c r="H5" s="104">
        <v>3</v>
      </c>
      <c r="I5" s="104"/>
      <c r="J5" s="104">
        <v>4</v>
      </c>
      <c r="K5" s="104"/>
      <c r="L5" s="104">
        <v>1</v>
      </c>
      <c r="M5" s="104"/>
      <c r="N5" s="104">
        <v>2</v>
      </c>
      <c r="O5" s="104"/>
      <c r="P5" s="104">
        <v>3</v>
      </c>
      <c r="Q5" s="104"/>
      <c r="R5" s="104">
        <v>4</v>
      </c>
      <c r="S5" s="104"/>
      <c r="T5" s="104">
        <v>1</v>
      </c>
      <c r="U5" s="104"/>
      <c r="V5" s="104">
        <v>2</v>
      </c>
      <c r="W5" s="104"/>
      <c r="X5" s="104">
        <v>3</v>
      </c>
      <c r="Y5" s="104"/>
      <c r="Z5" s="104">
        <v>4</v>
      </c>
      <c r="AA5" s="104"/>
      <c r="AB5" s="104">
        <v>1</v>
      </c>
      <c r="AC5" s="104"/>
      <c r="AD5" s="104">
        <v>2</v>
      </c>
      <c r="AE5" s="104"/>
      <c r="AF5" s="104">
        <v>3</v>
      </c>
      <c r="AG5" s="104"/>
      <c r="AH5" s="104">
        <v>4</v>
      </c>
      <c r="AI5" s="104"/>
      <c r="AJ5" s="104">
        <v>1</v>
      </c>
      <c r="AK5" s="104"/>
      <c r="AL5" s="104">
        <v>2</v>
      </c>
      <c r="AM5" s="104"/>
      <c r="AN5" s="104">
        <v>3</v>
      </c>
      <c r="AO5" s="104"/>
      <c r="AP5" s="104">
        <v>4</v>
      </c>
      <c r="AQ5" s="104"/>
      <c r="AR5" s="104">
        <v>1</v>
      </c>
      <c r="AS5" s="104"/>
      <c r="AT5" s="104">
        <v>2</v>
      </c>
      <c r="AU5" s="104"/>
      <c r="AV5" s="104">
        <v>3</v>
      </c>
      <c r="AW5" s="104"/>
      <c r="AX5" s="104">
        <v>4</v>
      </c>
      <c r="AY5" s="104"/>
      <c r="AZ5" s="104">
        <v>1</v>
      </c>
      <c r="BA5" s="104"/>
      <c r="BB5" s="104">
        <v>2</v>
      </c>
      <c r="BC5" s="104"/>
      <c r="BD5" s="104">
        <v>3</v>
      </c>
      <c r="BE5" s="104"/>
      <c r="BF5" s="104">
        <v>4</v>
      </c>
      <c r="BG5" s="104"/>
      <c r="BH5" s="104">
        <v>1</v>
      </c>
      <c r="BI5" s="104"/>
      <c r="BJ5" s="104">
        <v>2</v>
      </c>
      <c r="BK5" s="104"/>
      <c r="BL5" s="104">
        <v>3</v>
      </c>
      <c r="BM5" s="104"/>
      <c r="BN5" s="104">
        <v>4</v>
      </c>
      <c r="BO5" s="104"/>
      <c r="BP5" s="104">
        <v>1</v>
      </c>
      <c r="BQ5" s="104"/>
      <c r="BR5" s="104">
        <v>2</v>
      </c>
      <c r="BS5" s="104"/>
      <c r="BT5" s="104">
        <v>3</v>
      </c>
      <c r="BU5" s="104"/>
      <c r="BV5" s="104">
        <v>4</v>
      </c>
      <c r="BW5" s="104"/>
      <c r="BX5" s="104">
        <v>1</v>
      </c>
      <c r="BY5" s="104"/>
      <c r="BZ5" s="104">
        <v>2</v>
      </c>
      <c r="CA5" s="104"/>
      <c r="CB5" s="104">
        <v>3</v>
      </c>
      <c r="CC5" s="104"/>
      <c r="CD5" s="104">
        <v>4</v>
      </c>
      <c r="CE5" s="104"/>
      <c r="CF5" s="104">
        <v>1</v>
      </c>
      <c r="CG5" s="104"/>
      <c r="CH5" s="104">
        <v>2</v>
      </c>
      <c r="CI5" s="104"/>
      <c r="CJ5" s="104">
        <v>3</v>
      </c>
      <c r="CK5" s="104"/>
      <c r="CL5" s="104">
        <v>4</v>
      </c>
      <c r="CM5" s="104"/>
      <c r="CN5" s="104">
        <v>1</v>
      </c>
      <c r="CO5" s="104"/>
      <c r="CP5" s="104">
        <v>2</v>
      </c>
      <c r="CQ5" s="104"/>
      <c r="CR5" s="104">
        <v>3</v>
      </c>
      <c r="CS5" s="104"/>
      <c r="CT5" s="104">
        <v>4</v>
      </c>
      <c r="CU5" s="104"/>
    </row>
    <row r="6" spans="1:99" x14ac:dyDescent="0.2">
      <c r="B6" s="104" t="s">
        <v>126</v>
      </c>
      <c r="C6" s="104" t="s">
        <v>172</v>
      </c>
      <c r="D6" s="105">
        <v>4.4892762512124476</v>
      </c>
      <c r="E6" s="105">
        <v>3065.277824327859</v>
      </c>
      <c r="F6" s="105">
        <v>5.5134826708796458</v>
      </c>
      <c r="G6" s="105">
        <v>3764.6059676766217</v>
      </c>
      <c r="H6" s="105">
        <v>0</v>
      </c>
      <c r="I6" s="105">
        <v>0</v>
      </c>
      <c r="J6" s="105">
        <v>0</v>
      </c>
      <c r="K6" s="105">
        <v>0</v>
      </c>
      <c r="L6" s="105">
        <v>34.724920779286862</v>
      </c>
      <c r="M6" s="105">
        <v>23710.175908097066</v>
      </c>
      <c r="N6" s="105">
        <v>43.169438836779072</v>
      </c>
      <c r="O6" s="105">
        <v>29476.092837752749</v>
      </c>
      <c r="P6" s="105">
        <v>31.618901285541508</v>
      </c>
      <c r="Q6" s="105">
        <v>21589.38579776774</v>
      </c>
      <c r="R6" s="105">
        <v>40.786317030525524</v>
      </c>
      <c r="S6" s="105">
        <v>27848.897268442826</v>
      </c>
      <c r="T6" s="105">
        <v>43.517979010110402</v>
      </c>
      <c r="U6" s="105">
        <v>29714.076068103379</v>
      </c>
      <c r="V6" s="105">
        <v>31.389500757065885</v>
      </c>
      <c r="W6" s="105">
        <v>21432.751116924584</v>
      </c>
      <c r="X6" s="105">
        <v>45.414684606540646</v>
      </c>
      <c r="Y6" s="105">
        <v>31009.146649345952</v>
      </c>
      <c r="Z6" s="105">
        <v>41.056383291084842</v>
      </c>
      <c r="AA6" s="105">
        <v>28033.298511152727</v>
      </c>
      <c r="AB6" s="105">
        <v>42.438689621087903</v>
      </c>
      <c r="AC6" s="105">
        <v>28977.137273278819</v>
      </c>
      <c r="AD6" s="105">
        <v>33.66585587647409</v>
      </c>
      <c r="AE6" s="105">
        <v>22987.046392456508</v>
      </c>
      <c r="AF6" s="105">
        <v>31.309171839122229</v>
      </c>
      <c r="AG6" s="105">
        <v>21377.902531752658</v>
      </c>
      <c r="AH6" s="105">
        <v>45.389155991136704</v>
      </c>
      <c r="AI6" s="105">
        <v>30991.71571074814</v>
      </c>
      <c r="AJ6" s="105">
        <v>31.198565345782619</v>
      </c>
      <c r="AK6" s="105">
        <v>21302.380418100372</v>
      </c>
      <c r="AL6" s="105">
        <v>37.320352925627716</v>
      </c>
      <c r="AM6" s="105">
        <v>25482.336977618605</v>
      </c>
      <c r="AN6" s="105">
        <v>53.071633018692488</v>
      </c>
      <c r="AO6" s="105">
        <v>36237.311025163232</v>
      </c>
      <c r="AP6" s="105">
        <v>50.608971812372729</v>
      </c>
      <c r="AQ6" s="105">
        <v>34555.805953488096</v>
      </c>
      <c r="AR6" s="105">
        <v>39.836156617567326</v>
      </c>
      <c r="AS6" s="105">
        <v>27200.12773847497</v>
      </c>
      <c r="AT6" s="105">
        <v>35.299483684020515</v>
      </c>
      <c r="AU6" s="105">
        <v>24102.487459449207</v>
      </c>
      <c r="AV6" s="105">
        <v>57.34598434903473</v>
      </c>
      <c r="AW6" s="105">
        <v>39155.838113520913</v>
      </c>
      <c r="AX6" s="105">
        <v>38.763158852638661</v>
      </c>
      <c r="AY6" s="105">
        <v>26467.484864581675</v>
      </c>
      <c r="AZ6" s="105">
        <v>38.398093495882655</v>
      </c>
      <c r="BA6" s="105">
        <v>26218.218238988677</v>
      </c>
      <c r="BB6" s="105">
        <v>46.014732429113032</v>
      </c>
      <c r="BC6" s="105">
        <v>31418.859302598376</v>
      </c>
      <c r="BD6" s="105">
        <v>37.499523886513749</v>
      </c>
      <c r="BE6" s="105">
        <v>25604.674909711586</v>
      </c>
      <c r="BF6" s="105">
        <v>36.493771897291069</v>
      </c>
      <c r="BG6" s="105">
        <v>24917.94745147034</v>
      </c>
      <c r="BH6" s="105">
        <v>43.688473657449258</v>
      </c>
      <c r="BI6" s="105">
        <v>29830.489813306351</v>
      </c>
      <c r="BJ6" s="105">
        <v>34.484227429116181</v>
      </c>
      <c r="BK6" s="105">
        <v>23545.830488600528</v>
      </c>
      <c r="BL6" s="105">
        <v>41.768015547258187</v>
      </c>
      <c r="BM6" s="105">
        <v>28519.201015667888</v>
      </c>
      <c r="BN6" s="105">
        <v>42.827039867368207</v>
      </c>
      <c r="BO6" s="105">
        <v>29242.302821439011</v>
      </c>
      <c r="BP6" s="105">
        <v>36.564244273056886</v>
      </c>
      <c r="BQ6" s="105">
        <v>24966.065989643241</v>
      </c>
      <c r="BR6" s="105">
        <v>35.399997039318855</v>
      </c>
      <c r="BS6" s="105">
        <v>24171.117978446913</v>
      </c>
      <c r="BT6" s="105">
        <v>43.037531327593456</v>
      </c>
      <c r="BU6" s="105">
        <v>29386.026390480809</v>
      </c>
      <c r="BV6" s="105">
        <v>39.092370666866771</v>
      </c>
      <c r="BW6" s="105">
        <v>26692.270691336627</v>
      </c>
      <c r="BX6" s="105">
        <v>47.28467546019246</v>
      </c>
      <c r="BY6" s="105">
        <v>32285.976404219411</v>
      </c>
      <c r="BZ6" s="105">
        <v>40.385282951860034</v>
      </c>
      <c r="CA6" s="105">
        <v>27575.07119953003</v>
      </c>
      <c r="CB6" s="105">
        <v>46.451914196668149</v>
      </c>
      <c r="CC6" s="105">
        <v>31717.367013485011</v>
      </c>
      <c r="CD6" s="105">
        <v>38.300103220242278</v>
      </c>
      <c r="CE6" s="105">
        <v>26151.310478781426</v>
      </c>
      <c r="CF6" s="105">
        <v>31.637354773282162</v>
      </c>
      <c r="CG6" s="105">
        <v>21601.985839197059</v>
      </c>
      <c r="CH6" s="105">
        <v>35.299803001777498</v>
      </c>
      <c r="CI6" s="105">
        <v>24102.705489613672</v>
      </c>
      <c r="CJ6" s="105">
        <v>40.997742726423652</v>
      </c>
      <c r="CK6" s="105">
        <v>27993.25873360207</v>
      </c>
      <c r="CL6" s="105">
        <v>51.499828100073771</v>
      </c>
      <c r="CM6" s="105">
        <v>35164.082626730371</v>
      </c>
      <c r="CN6" s="105">
        <v>39.646686398382933</v>
      </c>
      <c r="CO6" s="105">
        <v>27070.757472815865</v>
      </c>
      <c r="CP6" s="105">
        <v>49.589427345858219</v>
      </c>
      <c r="CQ6" s="105">
        <v>33859.660991751989</v>
      </c>
      <c r="CR6" s="105">
        <v>53.607926913633797</v>
      </c>
      <c r="CS6" s="105">
        <v>36603.492496629151</v>
      </c>
      <c r="CT6" s="105">
        <v>33.209962931644185</v>
      </c>
      <c r="CU6" s="105">
        <v>22675.762689726649</v>
      </c>
    </row>
    <row r="7" spans="1:99" x14ac:dyDescent="0.2">
      <c r="C7" s="104" t="s">
        <v>173</v>
      </c>
      <c r="D7" s="105">
        <v>5.1306014299570828</v>
      </c>
      <c r="E7" s="105">
        <v>4426.6829137669711</v>
      </c>
      <c r="F7" s="105">
        <v>4.82429733701969</v>
      </c>
      <c r="G7" s="105">
        <v>4162.4037423805885</v>
      </c>
      <c r="H7" s="105">
        <v>0</v>
      </c>
      <c r="I7" s="105">
        <v>0</v>
      </c>
      <c r="J7" s="105">
        <v>0</v>
      </c>
      <c r="K7" s="105">
        <v>0</v>
      </c>
      <c r="L7" s="105">
        <v>32.74063959189904</v>
      </c>
      <c r="M7" s="105">
        <v>28248.62383989049</v>
      </c>
      <c r="N7" s="105">
        <v>37.282697177218296</v>
      </c>
      <c r="O7" s="105">
        <v>32167.511124503944</v>
      </c>
      <c r="P7" s="105">
        <v>29.664097547784635</v>
      </c>
      <c r="Q7" s="105">
        <v>25594.183364228582</v>
      </c>
      <c r="R7" s="105">
        <v>36.984605703122014</v>
      </c>
      <c r="S7" s="105">
        <v>31910.317800653673</v>
      </c>
      <c r="T7" s="105">
        <v>43.517979010110402</v>
      </c>
      <c r="U7" s="105">
        <v>37547.312289923255</v>
      </c>
      <c r="V7" s="105">
        <v>33.804077738378645</v>
      </c>
      <c r="W7" s="105">
        <v>29166.158272673092</v>
      </c>
      <c r="X7" s="105">
        <v>47.156310367460087</v>
      </c>
      <c r="Y7" s="105">
        <v>40686.464585044559</v>
      </c>
      <c r="Z7" s="105">
        <v>38.60724018036769</v>
      </c>
      <c r="AA7" s="105">
        <v>33310.32682762124</v>
      </c>
      <c r="AB7" s="105">
        <v>41.549616085819132</v>
      </c>
      <c r="AC7" s="105">
        <v>35849.008758844742</v>
      </c>
      <c r="AD7" s="105">
        <v>37.429219303712102</v>
      </c>
      <c r="AE7" s="105">
        <v>32293.930415242801</v>
      </c>
      <c r="AF7" s="105">
        <v>33.461655287227018</v>
      </c>
      <c r="AG7" s="105">
        <v>28870.716181819469</v>
      </c>
      <c r="AH7" s="105">
        <v>44.596280357448627</v>
      </c>
      <c r="AI7" s="105">
        <v>38477.670692406675</v>
      </c>
      <c r="AJ7" s="105">
        <v>32.158852276626092</v>
      </c>
      <c r="AK7" s="105">
        <v>27746.65774427299</v>
      </c>
      <c r="AL7" s="105">
        <v>37.320352925627716</v>
      </c>
      <c r="AM7" s="105">
        <v>32200.000504231593</v>
      </c>
      <c r="AN7" s="105">
        <v>51.26727412166472</v>
      </c>
      <c r="AO7" s="105">
        <v>44233.40411217232</v>
      </c>
      <c r="AP7" s="105">
        <v>47.721093884921871</v>
      </c>
      <c r="AQ7" s="105">
        <v>41173.759803910587</v>
      </c>
      <c r="AR7" s="105">
        <v>41.717579763437861</v>
      </c>
      <c r="AS7" s="105">
        <v>35993.927819894183</v>
      </c>
      <c r="AT7" s="105">
        <v>36.299483684020515</v>
      </c>
      <c r="AU7" s="105">
        <v>31319.1945225729</v>
      </c>
      <c r="AV7" s="105">
        <v>55.609621627723833</v>
      </c>
      <c r="AW7" s="105">
        <v>47979.98154040012</v>
      </c>
      <c r="AX7" s="105">
        <v>33.13144229354635</v>
      </c>
      <c r="AY7" s="105">
        <v>28585.808410871789</v>
      </c>
      <c r="AZ7" s="105">
        <v>34.398093495882655</v>
      </c>
      <c r="BA7" s="105">
        <v>29678.675068247554</v>
      </c>
      <c r="BB7" s="105">
        <v>40.184557760873815</v>
      </c>
      <c r="BC7" s="105">
        <v>34671.236436081927</v>
      </c>
      <c r="BD7" s="105">
        <v>41.499523886513749</v>
      </c>
      <c r="BE7" s="105">
        <v>35805.789209284063</v>
      </c>
      <c r="BF7" s="105">
        <v>35.527292397834451</v>
      </c>
      <c r="BG7" s="105">
        <v>30652.947880851563</v>
      </c>
      <c r="BH7" s="105">
        <v>36.641945648183246</v>
      </c>
      <c r="BI7" s="105">
        <v>31614.670705252502</v>
      </c>
      <c r="BJ7" s="105">
        <v>38.566602666826554</v>
      </c>
      <c r="BK7" s="105">
        <v>33275.264780937949</v>
      </c>
      <c r="BL7" s="105">
        <v>43.513330412966411</v>
      </c>
      <c r="BM7" s="105">
        <v>37543.301480307418</v>
      </c>
      <c r="BN7" s="105">
        <v>38.816752236212665</v>
      </c>
      <c r="BO7" s="105">
        <v>33491.093829404286</v>
      </c>
      <c r="BP7" s="105">
        <v>32.807268330295585</v>
      </c>
      <c r="BQ7" s="105">
        <v>28306.11111537903</v>
      </c>
      <c r="BR7" s="105">
        <v>33.449996669233713</v>
      </c>
      <c r="BS7" s="105">
        <v>28860.657126214846</v>
      </c>
      <c r="BT7" s="105">
        <v>37.589703941311939</v>
      </c>
      <c r="BU7" s="105">
        <v>32432.396560563939</v>
      </c>
      <c r="BV7" s="105">
        <v>38.262064243413121</v>
      </c>
      <c r="BW7" s="105">
        <v>33012.509029216839</v>
      </c>
      <c r="BX7" s="105">
        <v>46.443844544242019</v>
      </c>
      <c r="BY7" s="105">
        <v>40071.749072772014</v>
      </c>
      <c r="BZ7" s="105">
        <v>33.538552221229715</v>
      </c>
      <c r="CA7" s="105">
        <v>28937.062856476998</v>
      </c>
      <c r="CB7" s="105">
        <v>46.451914196668149</v>
      </c>
      <c r="CC7" s="105">
        <v>40078.711568885279</v>
      </c>
      <c r="CD7" s="105">
        <v>38.300103220242278</v>
      </c>
      <c r="CE7" s="105">
        <v>33045.329058425035</v>
      </c>
      <c r="CF7" s="105">
        <v>28.12209313180637</v>
      </c>
      <c r="CG7" s="105">
        <v>24263.741954122535</v>
      </c>
      <c r="CH7" s="105">
        <v>29.249835834814579</v>
      </c>
      <c r="CI7" s="105">
        <v>25236.758358278017</v>
      </c>
      <c r="CJ7" s="105">
        <v>44.21325195986865</v>
      </c>
      <c r="CK7" s="105">
        <v>38147.19379097467</v>
      </c>
      <c r="CL7" s="105">
        <v>49.499828100073771</v>
      </c>
      <c r="CM7" s="105">
        <v>42708.451684743646</v>
      </c>
      <c r="CN7" s="105">
        <v>41.605073268660306</v>
      </c>
      <c r="CO7" s="105">
        <v>35896.857216200107</v>
      </c>
      <c r="CP7" s="105">
        <v>44.664356142702118</v>
      </c>
      <c r="CQ7" s="105">
        <v>38536.406479923382</v>
      </c>
      <c r="CR7" s="105">
        <v>48.12122926057161</v>
      </c>
      <c r="CS7" s="105">
        <v>41518.996606021181</v>
      </c>
      <c r="CT7" s="105">
        <v>30.797526431146991</v>
      </c>
      <c r="CU7" s="105">
        <v>26572.105804793624</v>
      </c>
    </row>
    <row r="8" spans="1:99" x14ac:dyDescent="0.2">
      <c r="C8" s="104" t="s">
        <v>174</v>
      </c>
      <c r="D8" s="105">
        <v>5.1306014299570828</v>
      </c>
      <c r="E8" s="105">
        <v>1680.7850284539402</v>
      </c>
      <c r="F8" s="105">
        <v>5.5134826708796458</v>
      </c>
      <c r="G8" s="105">
        <v>1806.2169229801718</v>
      </c>
      <c r="H8" s="105">
        <v>0</v>
      </c>
      <c r="I8" s="105">
        <v>0</v>
      </c>
      <c r="J8" s="105">
        <v>0</v>
      </c>
      <c r="K8" s="105">
        <v>0</v>
      </c>
      <c r="L8" s="105">
        <v>32.74063959189904</v>
      </c>
      <c r="M8" s="105">
        <v>10725.833530306125</v>
      </c>
      <c r="N8" s="105">
        <v>43.169438836779072</v>
      </c>
      <c r="O8" s="105">
        <v>14142.308162928823</v>
      </c>
      <c r="P8" s="105">
        <v>34.551106892176811</v>
      </c>
      <c r="Q8" s="105">
        <v>11318.942617877123</v>
      </c>
      <c r="R8" s="105">
        <v>41.678116477331997</v>
      </c>
      <c r="S8" s="105">
        <v>13653.750957973962</v>
      </c>
      <c r="T8" s="105">
        <v>42.949078957087174</v>
      </c>
      <c r="U8" s="105">
        <v>14070.118266341757</v>
      </c>
      <c r="V8" s="105">
        <v>39.438090694775092</v>
      </c>
      <c r="W8" s="105">
        <v>12919.918511608319</v>
      </c>
      <c r="X8" s="105">
        <v>55.864439172057303</v>
      </c>
      <c r="Y8" s="105">
        <v>18301.190272765969</v>
      </c>
      <c r="Z8" s="105">
        <v>41.095938532051356</v>
      </c>
      <c r="AA8" s="105">
        <v>13463.029463100023</v>
      </c>
      <c r="AB8" s="105">
        <v>47.164485820584829</v>
      </c>
      <c r="AC8" s="105">
        <v>15451.085554823589</v>
      </c>
      <c r="AD8" s="105">
        <v>38.475263858827525</v>
      </c>
      <c r="AE8" s="105">
        <v>12604.496440151896</v>
      </c>
      <c r="AF8" s="105">
        <v>35.866688545515572</v>
      </c>
      <c r="AG8" s="105">
        <v>11749.927167510899</v>
      </c>
      <c r="AH8" s="105">
        <v>43.010529090072481</v>
      </c>
      <c r="AI8" s="105">
        <v>14090.249329907743</v>
      </c>
      <c r="AJ8" s="105">
        <v>33.198565345782619</v>
      </c>
      <c r="AK8" s="105">
        <v>10875.850007278385</v>
      </c>
      <c r="AL8" s="105">
        <v>41.320352925627716</v>
      </c>
      <c r="AM8" s="105">
        <v>13536.547618435639</v>
      </c>
      <c r="AN8" s="105">
        <v>55.714623330705706</v>
      </c>
      <c r="AO8" s="105">
        <v>18252.110603139186</v>
      </c>
      <c r="AP8" s="105">
        <v>46.868907691469545</v>
      </c>
      <c r="AQ8" s="105">
        <v>15354.254159725422</v>
      </c>
      <c r="AR8" s="105">
        <v>44.493104403059924</v>
      </c>
      <c r="AS8" s="105">
        <v>14575.941002442429</v>
      </c>
      <c r="AT8" s="105">
        <v>38.34939763135727</v>
      </c>
      <c r="AU8" s="105">
        <v>12563.26266403264</v>
      </c>
      <c r="AV8" s="105">
        <v>58.34598434903473</v>
      </c>
      <c r="AW8" s="105">
        <v>19114.144472743774</v>
      </c>
      <c r="AX8" s="105">
        <v>35.055308207495102</v>
      </c>
      <c r="AY8" s="105">
        <v>11484.118968775394</v>
      </c>
      <c r="AZ8" s="105">
        <v>40.343832956644057</v>
      </c>
      <c r="BA8" s="105">
        <v>13216.639676596591</v>
      </c>
      <c r="BB8" s="105">
        <v>48.513378715501261</v>
      </c>
      <c r="BC8" s="105">
        <v>15892.982867198212</v>
      </c>
      <c r="BD8" s="105">
        <v>41.449571497862372</v>
      </c>
      <c r="BE8" s="105">
        <v>13578.879622699711</v>
      </c>
      <c r="BF8" s="105">
        <v>35.673684973576009</v>
      </c>
      <c r="BG8" s="105">
        <v>11686.6991973435</v>
      </c>
      <c r="BH8" s="105">
        <v>42.983820856522655</v>
      </c>
      <c r="BI8" s="105">
        <v>14081.49971259682</v>
      </c>
      <c r="BJ8" s="105">
        <v>36.597402411778717</v>
      </c>
      <c r="BK8" s="105">
        <v>11989.309030098706</v>
      </c>
      <c r="BL8" s="105">
        <v>45.816727490837131</v>
      </c>
      <c r="BM8" s="105">
        <v>15009.559925998243</v>
      </c>
      <c r="BN8" s="105">
        <v>42.866788739508131</v>
      </c>
      <c r="BO8" s="105">
        <v>14043.159991062863</v>
      </c>
      <c r="BP8" s="105">
        <v>36.697702461331616</v>
      </c>
      <c r="BQ8" s="105">
        <v>12022.167326332235</v>
      </c>
      <c r="BR8" s="105">
        <v>37.399997039318855</v>
      </c>
      <c r="BS8" s="105">
        <v>12252.239030080855</v>
      </c>
      <c r="BT8" s="105">
        <v>40.741610377464973</v>
      </c>
      <c r="BU8" s="105">
        <v>13346.951559657524</v>
      </c>
      <c r="BV8" s="105">
        <v>41.270309710922973</v>
      </c>
      <c r="BW8" s="105">
        <v>13520.153461298365</v>
      </c>
      <c r="BX8" s="105">
        <v>53.210120705239071</v>
      </c>
      <c r="BY8" s="105">
        <v>17431.635543036318</v>
      </c>
      <c r="BZ8" s="105">
        <v>37.498136941284592</v>
      </c>
      <c r="CA8" s="105">
        <v>12284.389661964831</v>
      </c>
      <c r="CB8" s="105">
        <v>54.422315304309208</v>
      </c>
      <c r="CC8" s="105">
        <v>17828.750493691696</v>
      </c>
      <c r="CD8" s="105">
        <v>39.164725193664289</v>
      </c>
      <c r="CE8" s="105">
        <v>12830.36397344442</v>
      </c>
      <c r="CF8" s="105">
        <v>29.944125908111193</v>
      </c>
      <c r="CG8" s="105">
        <v>9809.6956474972267</v>
      </c>
      <c r="CH8" s="105">
        <v>36.299803001777498</v>
      </c>
      <c r="CI8" s="105">
        <v>11891.815463382307</v>
      </c>
      <c r="CJ8" s="105">
        <v>45.821006576591145</v>
      </c>
      <c r="CK8" s="105">
        <v>15010.961754491258</v>
      </c>
      <c r="CL8" s="105">
        <v>50.511194112771953</v>
      </c>
      <c r="CM8" s="105">
        <v>16547.467191344091</v>
      </c>
      <c r="CN8" s="105">
        <v>46.381934624757733</v>
      </c>
      <c r="CO8" s="105">
        <v>15194.721783070632</v>
      </c>
      <c r="CP8" s="105">
        <v>55.043874661169141</v>
      </c>
      <c r="CQ8" s="105">
        <v>18032.373338999008</v>
      </c>
      <c r="CR8" s="105">
        <v>55.959368764946163</v>
      </c>
      <c r="CS8" s="105">
        <v>18332.289207396359</v>
      </c>
      <c r="CT8" s="105">
        <v>32.405817431478454</v>
      </c>
      <c r="CU8" s="105">
        <v>10616.14579055234</v>
      </c>
    </row>
    <row r="9" spans="1:99" x14ac:dyDescent="0.2">
      <c r="C9" s="104" t="s">
        <v>175</v>
      </c>
      <c r="D9" s="105">
        <v>4.4892762512124476</v>
      </c>
      <c r="E9" s="105">
        <v>3603.9909744733527</v>
      </c>
      <c r="F9" s="105">
        <v>5.5134826708796458</v>
      </c>
      <c r="G9" s="105">
        <v>4426.2238881821795</v>
      </c>
      <c r="H9" s="105">
        <v>0</v>
      </c>
      <c r="I9" s="105">
        <v>0</v>
      </c>
      <c r="J9" s="105">
        <v>0</v>
      </c>
      <c r="K9" s="105">
        <v>0</v>
      </c>
      <c r="L9" s="105">
        <v>31.748498998205129</v>
      </c>
      <c r="M9" s="105">
        <v>25487.694995759077</v>
      </c>
      <c r="N9" s="105">
        <v>42.188315226852275</v>
      </c>
      <c r="O9" s="105">
        <v>33868.779464117004</v>
      </c>
      <c r="P9" s="105">
        <v>32.645166223195886</v>
      </c>
      <c r="Q9" s="105">
        <v>26207.539443981655</v>
      </c>
      <c r="R9" s="105">
        <v>36.984605703122014</v>
      </c>
      <c r="S9" s="105">
        <v>29691.241458466353</v>
      </c>
      <c r="T9" s="105">
        <v>45.762741513825908</v>
      </c>
      <c r="U9" s="105">
        <v>36738.328887299438</v>
      </c>
      <c r="V9" s="105">
        <v>29.779782769524047</v>
      </c>
      <c r="W9" s="105">
        <v>23907.209607373905</v>
      </c>
      <c r="X9" s="105">
        <v>46.28549748700037</v>
      </c>
      <c r="Y9" s="105">
        <v>37157.997382563895</v>
      </c>
      <c r="Z9" s="105">
        <v>41.056383291084842</v>
      </c>
      <c r="AA9" s="105">
        <v>32960.064506082912</v>
      </c>
      <c r="AB9" s="105">
        <v>39.631254753705058</v>
      </c>
      <c r="AC9" s="105">
        <v>31815.971316274419</v>
      </c>
      <c r="AD9" s="105">
        <v>35.570916189716634</v>
      </c>
      <c r="AE9" s="105">
        <v>28556.331517104511</v>
      </c>
      <c r="AF9" s="105">
        <v>31.638648604669687</v>
      </c>
      <c r="AG9" s="105">
        <v>25399.507099828825</v>
      </c>
      <c r="AH9" s="105">
        <v>41.424777822696335</v>
      </c>
      <c r="AI9" s="105">
        <v>33255.811636060615</v>
      </c>
      <c r="AJ9" s="105">
        <v>30.198565345782619</v>
      </c>
      <c r="AK9" s="105">
        <v>24243.408259594285</v>
      </c>
      <c r="AL9" s="105">
        <v>33.289732984494741</v>
      </c>
      <c r="AM9" s="105">
        <v>26724.997639952377</v>
      </c>
      <c r="AN9" s="105">
        <v>47.785652394666045</v>
      </c>
      <c r="AO9" s="105">
        <v>38362.321742437896</v>
      </c>
      <c r="AP9" s="105">
        <v>50.656303147671849</v>
      </c>
      <c r="AQ9" s="105">
        <v>40666.880166950956</v>
      </c>
      <c r="AR9" s="105">
        <v>36.026700246642527</v>
      </c>
      <c r="AS9" s="105">
        <v>28922.234958004618</v>
      </c>
      <c r="AT9" s="105">
        <v>34.34939763135727</v>
      </c>
      <c r="AU9" s="105">
        <v>27575.696418453615</v>
      </c>
      <c r="AV9" s="105">
        <v>55.395410684611122</v>
      </c>
      <c r="AW9" s="105">
        <v>44471.435697605804</v>
      </c>
      <c r="AX9" s="105">
        <v>32.192822867030969</v>
      </c>
      <c r="AY9" s="105">
        <v>25844.398197652459</v>
      </c>
      <c r="AZ9" s="105">
        <v>33.398093495882655</v>
      </c>
      <c r="BA9" s="105">
        <v>26811.989458494594</v>
      </c>
      <c r="BB9" s="105">
        <v>44.348968238187538</v>
      </c>
      <c r="BC9" s="105">
        <v>35603.351701616957</v>
      </c>
      <c r="BD9" s="105">
        <v>40.449571497862372</v>
      </c>
      <c r="BE9" s="105">
        <v>32472.91599848391</v>
      </c>
      <c r="BF9" s="105">
        <v>36.493771897291069</v>
      </c>
      <c r="BG9" s="105">
        <v>29297.20007914527</v>
      </c>
      <c r="BH9" s="105">
        <v>36.641945648183246</v>
      </c>
      <c r="BI9" s="105">
        <v>29416.153966361508</v>
      </c>
      <c r="BJ9" s="105">
        <v>39.55120279435048</v>
      </c>
      <c r="BK9" s="105">
        <v>31751.705603304563</v>
      </c>
      <c r="BL9" s="105">
        <v>46.336451184801469</v>
      </c>
      <c r="BM9" s="105">
        <v>37198.903011158618</v>
      </c>
      <c r="BN9" s="105">
        <v>44.391406047690481</v>
      </c>
      <c r="BO9" s="105">
        <v>35637.420775085913</v>
      </c>
      <c r="BP9" s="105">
        <v>32.673810142020855</v>
      </c>
      <c r="BQ9" s="105">
        <v>26230.53478201434</v>
      </c>
      <c r="BR9" s="105">
        <v>30.399997039318855</v>
      </c>
      <c r="BS9" s="105">
        <v>24405.117623165173</v>
      </c>
      <c r="BT9" s="105">
        <v>43.037531327593456</v>
      </c>
      <c r="BU9" s="105">
        <v>34550.530149792023</v>
      </c>
      <c r="BV9" s="105">
        <v>41.100616134376622</v>
      </c>
      <c r="BW9" s="105">
        <v>32995.574632677548</v>
      </c>
      <c r="BX9" s="105">
        <v>45.642642461685043</v>
      </c>
      <c r="BY9" s="105">
        <v>36641.913368240748</v>
      </c>
      <c r="BZ9" s="105">
        <v>37.498136941284592</v>
      </c>
      <c r="CA9" s="105">
        <v>30103.504336463269</v>
      </c>
      <c r="CB9" s="105">
        <v>45.730610252315643</v>
      </c>
      <c r="CC9" s="105">
        <v>36712.533910558996</v>
      </c>
      <c r="CD9" s="105">
        <v>35.706237299976259</v>
      </c>
      <c r="CE9" s="105">
        <v>28664.967304420938</v>
      </c>
      <c r="CF9" s="105">
        <v>30.769273022174367</v>
      </c>
      <c r="CG9" s="105">
        <v>24701.572382201579</v>
      </c>
      <c r="CH9" s="105">
        <v>30.249835834814579</v>
      </c>
      <c r="CI9" s="105">
        <v>24284.568208189143</v>
      </c>
      <c r="CJ9" s="105">
        <v>46.624883884952389</v>
      </c>
      <c r="CK9" s="105">
        <v>37430.456782839778</v>
      </c>
      <c r="CL9" s="105">
        <v>45.09474934729645</v>
      </c>
      <c r="CM9" s="105">
        <v>36202.064776009589</v>
      </c>
      <c r="CN9" s="105">
        <v>39.694328726221343</v>
      </c>
      <c r="CO9" s="105">
        <v>31866.607101410493</v>
      </c>
      <c r="CP9" s="105">
        <v>48.295329610470972</v>
      </c>
      <c r="CQ9" s="105">
        <v>38771.490611286092</v>
      </c>
      <c r="CR9" s="105">
        <v>50.434098826398127</v>
      </c>
      <c r="CS9" s="105">
        <v>40488.494537832412</v>
      </c>
      <c r="CT9" s="105">
        <v>31.561672360504506</v>
      </c>
      <c r="CU9" s="105">
        <v>25337.710571013016</v>
      </c>
    </row>
    <row r="10" spans="1:99" x14ac:dyDescent="0.2">
      <c r="C10" s="104" t="s">
        <v>176</v>
      </c>
      <c r="D10" s="105">
        <v>4.4892762512124476</v>
      </c>
      <c r="E10" s="105">
        <v>2499.6290166750905</v>
      </c>
      <c r="F10" s="105">
        <v>4.82429733701969</v>
      </c>
      <c r="G10" s="105">
        <v>2686.168757252563</v>
      </c>
      <c r="H10" s="105">
        <v>0</v>
      </c>
      <c r="I10" s="105">
        <v>0</v>
      </c>
      <c r="J10" s="105">
        <v>0</v>
      </c>
      <c r="K10" s="105">
        <v>0</v>
      </c>
      <c r="L10" s="105">
        <v>31.748498998205129</v>
      </c>
      <c r="M10" s="105">
        <v>17677.564242200613</v>
      </c>
      <c r="N10" s="105">
        <v>44.150562446705869</v>
      </c>
      <c r="O10" s="105">
        <v>24583.033170325827</v>
      </c>
      <c r="P10" s="105">
        <v>31.667764354317452</v>
      </c>
      <c r="Q10" s="105">
        <v>17632.611192483957</v>
      </c>
      <c r="R10" s="105">
        <v>40.786317030525524</v>
      </c>
      <c r="S10" s="105">
        <v>22709.82132259661</v>
      </c>
      <c r="T10" s="105">
        <v>41.642203972284584</v>
      </c>
      <c r="U10" s="105">
        <v>23186.379171768054</v>
      </c>
      <c r="V10" s="105">
        <v>34.608936732149566</v>
      </c>
      <c r="W10" s="105">
        <v>19270.255972460876</v>
      </c>
      <c r="X10" s="105">
        <v>53.108682287378876</v>
      </c>
      <c r="Y10" s="105">
        <v>29570.914297612555</v>
      </c>
      <c r="Z10" s="105">
        <v>46.810605790391357</v>
      </c>
      <c r="AA10" s="105">
        <v>26064.145304089907</v>
      </c>
      <c r="AB10" s="105">
        <v>42.438689621087903</v>
      </c>
      <c r="AC10" s="105">
        <v>23629.862381021743</v>
      </c>
      <c r="AD10" s="105">
        <v>40.333566972822993</v>
      </c>
      <c r="AE10" s="105">
        <v>22457.730090467841</v>
      </c>
      <c r="AF10" s="105">
        <v>28.574661815286223</v>
      </c>
      <c r="AG10" s="105">
        <v>15910.371698751367</v>
      </c>
      <c r="AH10" s="105">
        <v>39.046150921632112</v>
      </c>
      <c r="AI10" s="105">
        <v>21740.896833164759</v>
      </c>
      <c r="AJ10" s="105">
        <v>35.158852276626092</v>
      </c>
      <c r="AK10" s="105">
        <v>19576.448947625406</v>
      </c>
      <c r="AL10" s="105">
        <v>35.366117629288823</v>
      </c>
      <c r="AM10" s="105">
        <v>19691.854295988014</v>
      </c>
      <c r="AN10" s="105">
        <v>50.428642706679263</v>
      </c>
      <c r="AO10" s="105">
        <v>28078.668259079011</v>
      </c>
      <c r="AP10" s="105">
        <v>47.815756555520124</v>
      </c>
      <c r="AQ10" s="105">
        <v>26623.813250113602</v>
      </c>
      <c r="AR10" s="105">
        <v>39.836156617567326</v>
      </c>
      <c r="AS10" s="105">
        <v>22180.772004661485</v>
      </c>
      <c r="AT10" s="105">
        <v>38.34939763135727</v>
      </c>
      <c r="AU10" s="105">
        <v>21352.944601139727</v>
      </c>
      <c r="AV10" s="105">
        <v>53.616554778128112</v>
      </c>
      <c r="AW10" s="105">
        <v>29853.697700461729</v>
      </c>
      <c r="AX10" s="105">
        <v>33.178069354464327</v>
      </c>
      <c r="AY10" s="105">
        <v>18473.549016565736</v>
      </c>
      <c r="AZ10" s="105">
        <v>36.398093495882655</v>
      </c>
      <c r="BA10" s="105">
        <v>20266.458458507459</v>
      </c>
      <c r="BB10" s="105">
        <v>48.513378715501261</v>
      </c>
      <c r="BC10" s="105">
        <v>27012.2492687911</v>
      </c>
      <c r="BD10" s="105">
        <v>42.499523886513749</v>
      </c>
      <c r="BE10" s="105">
        <v>23663.734900010855</v>
      </c>
      <c r="BF10" s="105">
        <v>38.954032668436263</v>
      </c>
      <c r="BG10" s="105">
        <v>21689.605389785309</v>
      </c>
      <c r="BH10" s="105">
        <v>40.869862453742854</v>
      </c>
      <c r="BI10" s="105">
        <v>22756.339414244019</v>
      </c>
      <c r="BJ10" s="105">
        <v>34.628202156730872</v>
      </c>
      <c r="BK10" s="105">
        <v>19280.982960867746</v>
      </c>
      <c r="BL10" s="105">
        <v>44.839211651085812</v>
      </c>
      <c r="BM10" s="105">
        <v>24966.473047324576</v>
      </c>
      <c r="BN10" s="105">
        <v>41.222924814905987</v>
      </c>
      <c r="BO10" s="105">
        <v>22952.924536939652</v>
      </c>
      <c r="BP10" s="105">
        <v>38.436359753642861</v>
      </c>
      <c r="BQ10" s="105">
        <v>21401.365110828345</v>
      </c>
      <c r="BR10" s="105">
        <v>33.399997039318855</v>
      </c>
      <c r="BS10" s="105">
        <v>18597.118351492736</v>
      </c>
      <c r="BT10" s="105">
        <v>42.259270272410383</v>
      </c>
      <c r="BU10" s="105">
        <v>23529.9616876781</v>
      </c>
      <c r="BV10" s="105">
        <v>39.270309710922973</v>
      </c>
      <c r="BW10" s="105">
        <v>21865.70844704191</v>
      </c>
      <c r="BX10" s="105">
        <v>49.846797041437277</v>
      </c>
      <c r="BY10" s="105">
        <v>27754.696592672273</v>
      </c>
      <c r="BZ10" s="105">
        <v>35.541928161104508</v>
      </c>
      <c r="CA10" s="105">
        <v>19789.74560010299</v>
      </c>
      <c r="CB10" s="105">
        <v>50.058433918430708</v>
      </c>
      <c r="CC10" s="105">
        <v>27872.536005782214</v>
      </c>
      <c r="CD10" s="105">
        <v>38.300103220242278</v>
      </c>
      <c r="CE10" s="105">
        <v>21325.497473030897</v>
      </c>
      <c r="CF10" s="105">
        <v>30.812207659218984</v>
      </c>
      <c r="CG10" s="105">
        <v>17156.23722465313</v>
      </c>
      <c r="CH10" s="105">
        <v>37.299803001777498</v>
      </c>
      <c r="CI10" s="105">
        <v>20768.53031138971</v>
      </c>
      <c r="CJ10" s="105">
        <v>45.821006576591145</v>
      </c>
      <c r="CK10" s="105">
        <v>25513.136461845948</v>
      </c>
      <c r="CL10" s="105">
        <v>55.511194112771953</v>
      </c>
      <c r="CM10" s="105">
        <v>30908.63288199142</v>
      </c>
      <c r="CN10" s="105">
        <v>42.560445539879794</v>
      </c>
      <c r="CO10" s="105">
        <v>23697.656076605068</v>
      </c>
      <c r="CP10" s="105">
        <v>50.394932016825294</v>
      </c>
      <c r="CQ10" s="105">
        <v>28059.89814696832</v>
      </c>
      <c r="CR10" s="105">
        <v>49.688857161446521</v>
      </c>
      <c r="CS10" s="105">
        <v>27666.75566749342</v>
      </c>
      <c r="CT10" s="105">
        <v>34.778254361167427</v>
      </c>
      <c r="CU10" s="105">
        <v>19364.532028298021</v>
      </c>
    </row>
    <row r="11" spans="1:99" x14ac:dyDescent="0.2">
      <c r="C11" s="104" t="s">
        <v>177</v>
      </c>
      <c r="D11" s="105">
        <v>5.1306014299570828</v>
      </c>
      <c r="E11" s="105">
        <v>3072.2041362583009</v>
      </c>
      <c r="F11" s="105">
        <v>5.5134826708796458</v>
      </c>
      <c r="G11" s="105">
        <v>3301.4734233227318</v>
      </c>
      <c r="H11" s="105">
        <v>0</v>
      </c>
      <c r="I11" s="105">
        <v>0</v>
      </c>
      <c r="J11" s="105">
        <v>0</v>
      </c>
      <c r="K11" s="105">
        <v>0</v>
      </c>
      <c r="L11" s="105">
        <v>34.724920779286862</v>
      </c>
      <c r="M11" s="105">
        <v>20793.28256263697</v>
      </c>
      <c r="N11" s="105">
        <v>36.301573567291499</v>
      </c>
      <c r="O11" s="105">
        <v>21737.382252094147</v>
      </c>
      <c r="P11" s="105">
        <v>32.596303154419942</v>
      </c>
      <c r="Q11" s="105">
        <v>19518.66632886666</v>
      </c>
      <c r="R11" s="105">
        <v>43.555520787015986</v>
      </c>
      <c r="S11" s="105">
        <v>26081.04584726517</v>
      </c>
      <c r="T11" s="105">
        <v>43.750426859145662</v>
      </c>
      <c r="U11" s="105">
        <v>26197.755603256421</v>
      </c>
      <c r="V11" s="105">
        <v>33.804077738378645</v>
      </c>
      <c r="W11" s="105">
        <v>20241.881749741129</v>
      </c>
      <c r="X11" s="105">
        <v>54.122813411137855</v>
      </c>
      <c r="Y11" s="105">
        <v>32408.740670589345</v>
      </c>
      <c r="Z11" s="105">
        <v>41.872764327990552</v>
      </c>
      <c r="AA11" s="105">
        <v>25073.411279600739</v>
      </c>
      <c r="AB11" s="105">
        <v>44.357050953201977</v>
      </c>
      <c r="AC11" s="105">
        <v>26561.002110777343</v>
      </c>
      <c r="AD11" s="105">
        <v>40.333566972822993</v>
      </c>
      <c r="AE11" s="105">
        <v>24151.739903326408</v>
      </c>
      <c r="AF11" s="105">
        <v>32.220675180400896</v>
      </c>
      <c r="AG11" s="105">
        <v>19293.740298024055</v>
      </c>
      <c r="AH11" s="105">
        <v>43.049578064255783</v>
      </c>
      <c r="AI11" s="105">
        <v>25778.08734487636</v>
      </c>
      <c r="AJ11" s="105">
        <v>32.198565345782619</v>
      </c>
      <c r="AK11" s="105">
        <v>19280.50092905463</v>
      </c>
      <c r="AL11" s="105">
        <v>39.320352925627716</v>
      </c>
      <c r="AM11" s="105">
        <v>23545.027331865876</v>
      </c>
      <c r="AN11" s="105">
        <v>47.785652394666045</v>
      </c>
      <c r="AO11" s="105">
        <v>28614.048653926024</v>
      </c>
      <c r="AP11" s="105">
        <v>49.709454283621277</v>
      </c>
      <c r="AQ11" s="105">
        <v>29766.021225032418</v>
      </c>
      <c r="AR11" s="105">
        <v>39.789546538383597</v>
      </c>
      <c r="AS11" s="105">
        <v>23825.980467184098</v>
      </c>
      <c r="AT11" s="105">
        <v>36.34939763135727</v>
      </c>
      <c r="AU11" s="105">
        <v>21766.019301656732</v>
      </c>
      <c r="AV11" s="105">
        <v>52.34598434903473</v>
      </c>
      <c r="AW11" s="105">
        <v>31344.775428201992</v>
      </c>
      <c r="AX11" s="105">
        <v>37.82453942612328</v>
      </c>
      <c r="AY11" s="105">
        <v>22649.334208362619</v>
      </c>
      <c r="AZ11" s="105">
        <v>36.398093495882655</v>
      </c>
      <c r="BA11" s="105">
        <v>21795.178385334533</v>
      </c>
      <c r="BB11" s="105">
        <v>46.014732429113032</v>
      </c>
      <c r="BC11" s="105">
        <v>27553.621778552882</v>
      </c>
      <c r="BD11" s="105">
        <v>40.449571497862372</v>
      </c>
      <c r="BE11" s="105">
        <v>24221.203412919986</v>
      </c>
      <c r="BF11" s="105">
        <v>39.733124866768513</v>
      </c>
      <c r="BG11" s="105">
        <v>23792.195170220984</v>
      </c>
      <c r="BH11" s="105">
        <v>41.57451525466945</v>
      </c>
      <c r="BI11" s="105">
        <v>24894.819734496064</v>
      </c>
      <c r="BJ11" s="105">
        <v>40.391828194259709</v>
      </c>
      <c r="BK11" s="105">
        <v>24186.626722722711</v>
      </c>
      <c r="BL11" s="105">
        <v>47.872049236715277</v>
      </c>
      <c r="BM11" s="105">
        <v>28665.783082945105</v>
      </c>
      <c r="BN11" s="105">
        <v>38.777003364072733</v>
      </c>
      <c r="BO11" s="105">
        <v>23219.66961440675</v>
      </c>
      <c r="BP11" s="105">
        <v>34.22998379443527</v>
      </c>
      <c r="BQ11" s="105">
        <v>20496.91429610784</v>
      </c>
      <c r="BR11" s="105">
        <v>36.399997039318855</v>
      </c>
      <c r="BS11" s="105">
        <v>21796.318227144129</v>
      </c>
      <c r="BT11" s="105">
        <v>45.372314493142675</v>
      </c>
      <c r="BU11" s="105">
        <v>27168.941918493831</v>
      </c>
      <c r="BV11" s="105">
        <v>40.092370666866771</v>
      </c>
      <c r="BW11" s="105">
        <v>24007.311555319819</v>
      </c>
      <c r="BX11" s="105">
        <v>43.921351796390674</v>
      </c>
      <c r="BY11" s="105">
        <v>26300.105455678735</v>
      </c>
      <c r="BZ11" s="105">
        <v>33.538552221229715</v>
      </c>
      <c r="CA11" s="105">
        <v>20082.885070072352</v>
      </c>
      <c r="CB11" s="105">
        <v>42.845394474905596</v>
      </c>
      <c r="CC11" s="105">
        <v>25655.822211573468</v>
      </c>
      <c r="CD11" s="105">
        <v>40.893969140508297</v>
      </c>
      <c r="CE11" s="105">
        <v>24487.308721336365</v>
      </c>
      <c r="CF11" s="105">
        <v>31.680289410326782</v>
      </c>
      <c r="CG11" s="105">
        <v>18970.157298903676</v>
      </c>
      <c r="CH11" s="105">
        <v>30.249835834814579</v>
      </c>
      <c r="CI11" s="105">
        <v>18113.60169788697</v>
      </c>
      <c r="CJ11" s="105">
        <v>49.84039311839738</v>
      </c>
      <c r="CK11" s="105">
        <v>29844.42739929635</v>
      </c>
      <c r="CL11" s="105">
        <v>49.511194112771953</v>
      </c>
      <c r="CM11" s="105">
        <v>29647.303034727844</v>
      </c>
      <c r="CN11" s="105">
        <v>37.68829952810556</v>
      </c>
      <c r="CO11" s="105">
        <v>22567.753757429608</v>
      </c>
      <c r="CP11" s="105">
        <v>52.653658420869334</v>
      </c>
      <c r="CQ11" s="105">
        <v>31529.010662416556</v>
      </c>
      <c r="CR11" s="105">
        <v>52.040299012758886</v>
      </c>
      <c r="CS11" s="105">
        <v>31161.731048840018</v>
      </c>
      <c r="CT11" s="105">
        <v>37.190690861664621</v>
      </c>
      <c r="CU11" s="105">
        <v>22269.785687964773</v>
      </c>
    </row>
    <row r="12" spans="1:99" x14ac:dyDescent="0.2">
      <c r="C12" s="104" t="s">
        <v>178</v>
      </c>
      <c r="D12" s="105">
        <v>5.1306014299570828</v>
      </c>
      <c r="E12" s="105">
        <v>3102.9877448380435</v>
      </c>
      <c r="F12" s="105">
        <v>4.82429733701969</v>
      </c>
      <c r="G12" s="105">
        <v>2917.7350294295084</v>
      </c>
      <c r="H12" s="105">
        <v>0</v>
      </c>
      <c r="I12" s="105">
        <v>0</v>
      </c>
      <c r="J12" s="105">
        <v>0</v>
      </c>
      <c r="K12" s="105">
        <v>0</v>
      </c>
      <c r="L12" s="105">
        <v>31.748498998205129</v>
      </c>
      <c r="M12" s="105">
        <v>19201.49219411446</v>
      </c>
      <c r="N12" s="105">
        <v>37.282697177218296</v>
      </c>
      <c r="O12" s="105">
        <v>22548.575252781622</v>
      </c>
      <c r="P12" s="105">
        <v>33.622568092074317</v>
      </c>
      <c r="Q12" s="105">
        <v>20334.929182086547</v>
      </c>
      <c r="R12" s="105">
        <v>42.66372134020952</v>
      </c>
      <c r="S12" s="105">
        <v>25803.018666558717</v>
      </c>
      <c r="T12" s="105">
        <v>39.766428934458766</v>
      </c>
      <c r="U12" s="105">
        <v>24050.736219560658</v>
      </c>
      <c r="V12" s="105">
        <v>32.19435975083681</v>
      </c>
      <c r="W12" s="105">
        <v>19471.148777306102</v>
      </c>
      <c r="X12" s="105">
        <v>48.02712324791981</v>
      </c>
      <c r="Y12" s="105">
        <v>29046.804140341897</v>
      </c>
      <c r="Z12" s="105">
        <v>44.321907438707697</v>
      </c>
      <c r="AA12" s="105">
        <v>26805.889618930414</v>
      </c>
      <c r="AB12" s="105">
        <v>39.631254753705058</v>
      </c>
      <c r="AC12" s="105">
        <v>23968.982875040816</v>
      </c>
      <c r="AD12" s="105">
        <v>35.617673388963709</v>
      </c>
      <c r="AE12" s="105">
        <v>21541.568865645251</v>
      </c>
      <c r="AF12" s="105">
        <v>29.486165156564887</v>
      </c>
      <c r="AG12" s="105">
        <v>17833.232686690444</v>
      </c>
      <c r="AH12" s="105">
        <v>43.049578064255783</v>
      </c>
      <c r="AI12" s="105">
        <v>26036.384813261895</v>
      </c>
      <c r="AJ12" s="105">
        <v>31.198565345782619</v>
      </c>
      <c r="AK12" s="105">
        <v>18868.892321129326</v>
      </c>
      <c r="AL12" s="105">
        <v>37.289732984494741</v>
      </c>
      <c r="AM12" s="105">
        <v>22552.830509022417</v>
      </c>
      <c r="AN12" s="105">
        <v>49.547645936008188</v>
      </c>
      <c r="AO12" s="105">
        <v>29966.416262097751</v>
      </c>
      <c r="AP12" s="105">
        <v>44.975209963368393</v>
      </c>
      <c r="AQ12" s="105">
        <v>27201.006985845201</v>
      </c>
      <c r="AR12" s="105">
        <v>39.789546538383597</v>
      </c>
      <c r="AS12" s="105">
        <v>24064.717746414397</v>
      </c>
      <c r="AT12" s="105">
        <v>38.299483684020515</v>
      </c>
      <c r="AU12" s="105">
        <v>23163.527732095605</v>
      </c>
      <c r="AV12" s="105">
        <v>55.616554778128112</v>
      </c>
      <c r="AW12" s="105">
        <v>33636.892329811883</v>
      </c>
      <c r="AX12" s="105">
        <v>36.93254706052587</v>
      </c>
      <c r="AY12" s="105">
        <v>22336.804462206044</v>
      </c>
      <c r="AZ12" s="105">
        <v>41.398093495882655</v>
      </c>
      <c r="BA12" s="105">
        <v>25037.566946309827</v>
      </c>
      <c r="BB12" s="105">
        <v>46.847614524575775</v>
      </c>
      <c r="BC12" s="105">
        <v>28333.437264463428</v>
      </c>
      <c r="BD12" s="105">
        <v>41.499523886513749</v>
      </c>
      <c r="BE12" s="105">
        <v>25098.912046563513</v>
      </c>
      <c r="BF12" s="105">
        <v>33.213424202430808</v>
      </c>
      <c r="BG12" s="105">
        <v>20087.478957630152</v>
      </c>
      <c r="BH12" s="105">
        <v>36.641945648183246</v>
      </c>
      <c r="BI12" s="105">
        <v>22161.048728021226</v>
      </c>
      <c r="BJ12" s="105">
        <v>34.484227429116181</v>
      </c>
      <c r="BK12" s="105">
        <v>20856.060749129465</v>
      </c>
      <c r="BL12" s="105">
        <v>47.910407754913436</v>
      </c>
      <c r="BM12" s="105">
        <v>28976.214610171643</v>
      </c>
      <c r="BN12" s="105">
        <v>39.658558634583706</v>
      </c>
      <c r="BO12" s="105">
        <v>23985.496262196222</v>
      </c>
      <c r="BP12" s="105">
        <v>37.328336522443863</v>
      </c>
      <c r="BQ12" s="105">
        <v>22576.177928774046</v>
      </c>
      <c r="BR12" s="105">
        <v>33.449996669233713</v>
      </c>
      <c r="BS12" s="105">
        <v>20230.557985552547</v>
      </c>
      <c r="BT12" s="105">
        <v>44.594053437959595</v>
      </c>
      <c r="BU12" s="105">
        <v>26970.483519277961</v>
      </c>
      <c r="BV12" s="105">
        <v>39.092370666866771</v>
      </c>
      <c r="BW12" s="105">
        <v>23643.065779321019</v>
      </c>
      <c r="BX12" s="105">
        <v>43.120149713833698</v>
      </c>
      <c r="BY12" s="105">
        <v>26079.066546926617</v>
      </c>
      <c r="BZ12" s="105">
        <v>34.563823771014462</v>
      </c>
      <c r="CA12" s="105">
        <v>20904.200616709546</v>
      </c>
      <c r="CB12" s="105">
        <v>45.730610252315643</v>
      </c>
      <c r="CC12" s="105">
        <v>27657.873080600497</v>
      </c>
      <c r="CD12" s="105">
        <v>37.435481246820274</v>
      </c>
      <c r="CE12" s="105">
        <v>22640.9790580769</v>
      </c>
      <c r="CF12" s="105">
        <v>29.033109519958778</v>
      </c>
      <c r="CG12" s="105">
        <v>17559.224637671068</v>
      </c>
      <c r="CH12" s="105">
        <v>31.299803001777494</v>
      </c>
      <c r="CI12" s="105">
        <v>18930.120855475026</v>
      </c>
      <c r="CJ12" s="105">
        <v>49.036515810036136</v>
      </c>
      <c r="CK12" s="105">
        <v>29657.284761909854</v>
      </c>
      <c r="CL12" s="105">
        <v>49.09474934729645</v>
      </c>
      <c r="CM12" s="105">
        <v>29692.50440524489</v>
      </c>
      <c r="CN12" s="105">
        <v>44.375905426641964</v>
      </c>
      <c r="CO12" s="105">
        <v>26838.547602033057</v>
      </c>
      <c r="CP12" s="105">
        <v>48.797071561191849</v>
      </c>
      <c r="CQ12" s="105">
        <v>29512.468880208828</v>
      </c>
      <c r="CR12" s="105">
        <v>57.488424380335218</v>
      </c>
      <c r="CS12" s="105">
        <v>34768.999065226737</v>
      </c>
      <c r="CT12" s="105">
        <v>30.797526431146991</v>
      </c>
      <c r="CU12" s="105">
        <v>18626.343985557698</v>
      </c>
    </row>
    <row r="13" spans="1:99" x14ac:dyDescent="0.2">
      <c r="C13" s="104" t="s">
        <v>179</v>
      </c>
      <c r="D13" s="105">
        <v>5.1306014299570828</v>
      </c>
      <c r="E13" s="105">
        <v>855.78431851684127</v>
      </c>
      <c r="F13" s="105">
        <v>5.5134826708796458</v>
      </c>
      <c r="G13" s="105">
        <v>919.64890950272479</v>
      </c>
      <c r="H13" s="105">
        <v>0</v>
      </c>
      <c r="I13" s="105">
        <v>0</v>
      </c>
      <c r="J13" s="105">
        <v>0</v>
      </c>
      <c r="K13" s="105">
        <v>0</v>
      </c>
      <c r="L13" s="105">
        <v>37.701342560368595</v>
      </c>
      <c r="M13" s="105">
        <v>6288.5839390694809</v>
      </c>
      <c r="N13" s="105">
        <v>43.169438836779072</v>
      </c>
      <c r="O13" s="105">
        <v>7200.6623979747483</v>
      </c>
      <c r="P13" s="105">
        <v>37.532175567588055</v>
      </c>
      <c r="Q13" s="105">
        <v>6260.3668846736873</v>
      </c>
      <c r="R13" s="105">
        <v>41.678116477331997</v>
      </c>
      <c r="S13" s="105">
        <v>6951.9098284189768</v>
      </c>
      <c r="T13" s="105">
        <v>46.700629032738817</v>
      </c>
      <c r="U13" s="105">
        <v>7789.6649226608342</v>
      </c>
      <c r="V13" s="105">
        <v>33.804077738378645</v>
      </c>
      <c r="W13" s="105">
        <v>5638.5201667615574</v>
      </c>
      <c r="X13" s="105">
        <v>49.768749008839258</v>
      </c>
      <c r="Y13" s="105">
        <v>8301.4273346743867</v>
      </c>
      <c r="Z13" s="105">
        <v>42.689145364896262</v>
      </c>
      <c r="AA13" s="105">
        <v>7120.5494468646957</v>
      </c>
      <c r="AB13" s="105">
        <v>40.613804463358179</v>
      </c>
      <c r="AC13" s="105">
        <v>6774.382584488143</v>
      </c>
      <c r="AD13" s="105">
        <v>42.238627286065537</v>
      </c>
      <c r="AE13" s="105">
        <v>7045.4030313157309</v>
      </c>
      <c r="AF13" s="105">
        <v>36.352482440705131</v>
      </c>
      <c r="AG13" s="105">
        <v>6063.5940711096155</v>
      </c>
      <c r="AH13" s="105">
        <v>41.463826796879637</v>
      </c>
      <c r="AI13" s="105">
        <v>6916.1663097195224</v>
      </c>
      <c r="AJ13" s="105">
        <v>35.198565345782619</v>
      </c>
      <c r="AK13" s="105">
        <v>5871.1206996765404</v>
      </c>
      <c r="AL13" s="105">
        <v>38.366117629288823</v>
      </c>
      <c r="AM13" s="105">
        <v>6399.4684205653748</v>
      </c>
      <c r="AN13" s="105">
        <v>51.309639477350338</v>
      </c>
      <c r="AO13" s="105">
        <v>8558.4478648220356</v>
      </c>
      <c r="AP13" s="105">
        <v>58.231094060076465</v>
      </c>
      <c r="AQ13" s="105">
        <v>9712.9464892207543</v>
      </c>
      <c r="AR13" s="105">
        <v>44.539714482243653</v>
      </c>
      <c r="AS13" s="105">
        <v>7429.2243756382404</v>
      </c>
      <c r="AT13" s="105">
        <v>35.34939763135727</v>
      </c>
      <c r="AU13" s="105">
        <v>5896.279524910392</v>
      </c>
      <c r="AV13" s="105">
        <v>60.34598434903473</v>
      </c>
      <c r="AW13" s="105">
        <v>10065.710189418993</v>
      </c>
      <c r="AX13" s="105">
        <v>41.625644193102794</v>
      </c>
      <c r="AY13" s="105">
        <v>6943.1574514095455</v>
      </c>
      <c r="AZ13" s="105">
        <v>40.398093495882655</v>
      </c>
      <c r="BA13" s="105">
        <v>6738.4019951132259</v>
      </c>
      <c r="BB13" s="105">
        <v>48.554622151233673</v>
      </c>
      <c r="BC13" s="105">
        <v>8098.9109748257761</v>
      </c>
      <c r="BD13" s="105">
        <v>43.449571497862372</v>
      </c>
      <c r="BE13" s="105">
        <v>7247.3885258434429</v>
      </c>
      <c r="BF13" s="105">
        <v>39.733124866768513</v>
      </c>
      <c r="BG13" s="105">
        <v>6627.4852277769869</v>
      </c>
      <c r="BH13" s="105">
        <v>47.211737662082264</v>
      </c>
      <c r="BI13" s="105">
        <v>7874.917842035321</v>
      </c>
      <c r="BJ13" s="105">
        <v>44.474203431970082</v>
      </c>
      <c r="BK13" s="105">
        <v>7418.2971324526088</v>
      </c>
      <c r="BL13" s="105">
        <v>54.782240470327444</v>
      </c>
      <c r="BM13" s="105">
        <v>9137.6777104506164</v>
      </c>
      <c r="BN13" s="105">
        <v>44.431154919830426</v>
      </c>
      <c r="BO13" s="105">
        <v>7411.1166406277143</v>
      </c>
      <c r="BP13" s="105">
        <v>38.898504751678509</v>
      </c>
      <c r="BQ13" s="105">
        <v>6488.2705925799746</v>
      </c>
      <c r="BR13" s="105">
        <v>38.399997039318855</v>
      </c>
      <c r="BS13" s="105">
        <v>6405.119506158384</v>
      </c>
      <c r="BT13" s="105">
        <v>43.815792382776529</v>
      </c>
      <c r="BU13" s="105">
        <v>7308.474169447124</v>
      </c>
      <c r="BV13" s="105">
        <v>40.270309710922973</v>
      </c>
      <c r="BW13" s="105">
        <v>6717.0876597819515</v>
      </c>
      <c r="BX13" s="105">
        <v>49.005966125486836</v>
      </c>
      <c r="BY13" s="105">
        <v>8174.1951497312039</v>
      </c>
      <c r="BZ13" s="105">
        <v>38.476241331374638</v>
      </c>
      <c r="CA13" s="105">
        <v>6417.8370540732885</v>
      </c>
      <c r="CB13" s="105">
        <v>49.337129974078195</v>
      </c>
      <c r="CC13" s="105">
        <v>8229.4332796762428</v>
      </c>
      <c r="CD13" s="105">
        <v>40.029347167086286</v>
      </c>
      <c r="CE13" s="105">
        <v>6676.8951074699917</v>
      </c>
      <c r="CF13" s="105">
        <v>35.109681777713341</v>
      </c>
      <c r="CG13" s="105">
        <v>5856.294920522585</v>
      </c>
      <c r="CH13" s="105">
        <v>34.249835834814583</v>
      </c>
      <c r="CI13" s="105">
        <v>5712.8726172470715</v>
      </c>
      <c r="CJ13" s="105">
        <v>53.055902351842377</v>
      </c>
      <c r="CK13" s="105">
        <v>8849.7245122873082</v>
      </c>
      <c r="CL13" s="105">
        <v>56.511194112771953</v>
      </c>
      <c r="CM13" s="105">
        <v>9426.0671780103603</v>
      </c>
      <c r="CN13" s="105">
        <v>43.468175483260872</v>
      </c>
      <c r="CO13" s="105">
        <v>7250.491670607913</v>
      </c>
      <c r="CP13" s="105">
        <v>54.383008712758553</v>
      </c>
      <c r="CQ13" s="105">
        <v>9071.0858532881248</v>
      </c>
      <c r="CR13" s="105">
        <v>55.959368764946163</v>
      </c>
      <c r="CS13" s="105">
        <v>9334.0227099930198</v>
      </c>
      <c r="CT13" s="105">
        <v>38.034835932638558</v>
      </c>
      <c r="CU13" s="105">
        <v>6344.210633564111</v>
      </c>
    </row>
    <row r="14" spans="1:99" x14ac:dyDescent="0.2">
      <c r="C14" s="104" t="s">
        <v>180</v>
      </c>
      <c r="D14" s="105">
        <v>5.1306014299570828</v>
      </c>
      <c r="E14" s="105">
        <v>2561.1962338345757</v>
      </c>
      <c r="F14" s="105">
        <v>5.5134826708796458</v>
      </c>
      <c r="G14" s="105">
        <v>2752.3305493031189</v>
      </c>
      <c r="H14" s="105">
        <v>0</v>
      </c>
      <c r="I14" s="105">
        <v>0</v>
      </c>
      <c r="J14" s="105">
        <v>0</v>
      </c>
      <c r="K14" s="105">
        <v>0</v>
      </c>
      <c r="L14" s="105">
        <v>31.748498998205129</v>
      </c>
      <c r="M14" s="105">
        <v>15848.850699904</v>
      </c>
      <c r="N14" s="105">
        <v>39.24494439707189</v>
      </c>
      <c r="O14" s="105">
        <v>19591.076243018288</v>
      </c>
      <c r="P14" s="105">
        <v>34.551106892176811</v>
      </c>
      <c r="Q14" s="105">
        <v>17247.912560574663</v>
      </c>
      <c r="R14" s="105">
        <v>37.923307857964012</v>
      </c>
      <c r="S14" s="105">
        <v>18931.315282695636</v>
      </c>
      <c r="T14" s="105">
        <v>44.455866529023311</v>
      </c>
      <c r="U14" s="105">
        <v>22192.368571288436</v>
      </c>
      <c r="V14" s="105">
        <v>33.804077738378645</v>
      </c>
      <c r="W14" s="105">
        <v>16874.995606998618</v>
      </c>
      <c r="X14" s="105">
        <v>47.156310367460087</v>
      </c>
      <c r="Y14" s="105">
        <v>23540.430135436076</v>
      </c>
      <c r="Z14" s="105">
        <v>41.912319568957074</v>
      </c>
      <c r="AA14" s="105">
        <v>20922.629928823371</v>
      </c>
      <c r="AB14" s="105">
        <v>45.246124488470748</v>
      </c>
      <c r="AC14" s="105">
        <v>22586.865344644597</v>
      </c>
      <c r="AD14" s="105">
        <v>38.428506659580449</v>
      </c>
      <c r="AE14" s="105">
        <v>19183.510524462559</v>
      </c>
      <c r="AF14" s="105">
        <v>30.397668497843558</v>
      </c>
      <c r="AG14" s="105">
        <v>15174.516114123504</v>
      </c>
      <c r="AH14" s="105">
        <v>44.596280357448627</v>
      </c>
      <c r="AI14" s="105">
        <v>22262.463154438356</v>
      </c>
      <c r="AJ14" s="105">
        <v>35.198565345782619</v>
      </c>
      <c r="AK14" s="105">
        <v>17571.123820614685</v>
      </c>
      <c r="AL14" s="105">
        <v>35.366117629288823</v>
      </c>
      <c r="AM14" s="105">
        <v>17654.76592054098</v>
      </c>
      <c r="AN14" s="105">
        <v>48.66664916533712</v>
      </c>
      <c r="AO14" s="105">
        <v>24294.391263336289</v>
      </c>
      <c r="AP14" s="105">
        <v>46.868907691469545</v>
      </c>
      <c r="AQ14" s="105">
        <v>23396.958719581595</v>
      </c>
      <c r="AR14" s="105">
        <v>38.848834965448333</v>
      </c>
      <c r="AS14" s="105">
        <v>19393.338414751808</v>
      </c>
      <c r="AT14" s="105">
        <v>38.34939763135727</v>
      </c>
      <c r="AU14" s="105">
        <v>19144.019297573548</v>
      </c>
      <c r="AV14" s="105">
        <v>55.395410684611122</v>
      </c>
      <c r="AW14" s="105">
        <v>27653.389013757871</v>
      </c>
      <c r="AX14" s="105">
        <v>35.947300573092505</v>
      </c>
      <c r="AY14" s="105">
        <v>17944.892446087779</v>
      </c>
      <c r="AZ14" s="105">
        <v>39.398093495882655</v>
      </c>
      <c r="BA14" s="105">
        <v>19667.52827314462</v>
      </c>
      <c r="BB14" s="105">
        <v>51.012025001889498</v>
      </c>
      <c r="BC14" s="105">
        <v>25465.202880943238</v>
      </c>
      <c r="BD14" s="105">
        <v>45.449571497862372</v>
      </c>
      <c r="BE14" s="105">
        <v>22688.426091732897</v>
      </c>
      <c r="BF14" s="105">
        <v>36.452777171908252</v>
      </c>
      <c r="BG14" s="105">
        <v>18197.2263642166</v>
      </c>
      <c r="BH14" s="105">
        <v>41.57451525466945</v>
      </c>
      <c r="BI14" s="105">
        <v>20753.99801513099</v>
      </c>
      <c r="BJ14" s="105">
        <v>41.376428321783628</v>
      </c>
      <c r="BK14" s="105">
        <v>20655.113018234388</v>
      </c>
      <c r="BL14" s="105">
        <v>46.336451184801469</v>
      </c>
      <c r="BM14" s="105">
        <v>23131.156431452891</v>
      </c>
      <c r="BN14" s="105">
        <v>47.639385024754851</v>
      </c>
      <c r="BO14" s="105">
        <v>23781.58100435762</v>
      </c>
      <c r="BP14" s="105">
        <v>39.676591577885709</v>
      </c>
      <c r="BQ14" s="105">
        <v>19806.554515680546</v>
      </c>
      <c r="BR14" s="105">
        <v>32.449996669233713</v>
      </c>
      <c r="BS14" s="105">
        <v>16199.038337281469</v>
      </c>
      <c r="BT14" s="105">
        <v>41.481009217227303</v>
      </c>
      <c r="BU14" s="105">
        <v>20707.319801239868</v>
      </c>
      <c r="BV14" s="105">
        <v>41.092370666866771</v>
      </c>
      <c r="BW14" s="105">
        <v>20513.31143689989</v>
      </c>
      <c r="BX14" s="105">
        <v>47.28467546019246</v>
      </c>
      <c r="BY14" s="105">
        <v>23604.509989728074</v>
      </c>
      <c r="BZ14" s="105">
        <v>37.450969781589897</v>
      </c>
      <c r="CA14" s="105">
        <v>18695.524114969678</v>
      </c>
      <c r="CB14" s="105">
        <v>50.058433918430708</v>
      </c>
      <c r="CC14" s="105">
        <v>24989.170212080608</v>
      </c>
      <c r="CD14" s="105">
        <v>41.758591113930308</v>
      </c>
      <c r="CE14" s="105">
        <v>20845.888684074009</v>
      </c>
      <c r="CF14" s="105">
        <v>29.944125908111193</v>
      </c>
      <c r="CG14" s="105">
        <v>14948.107653329107</v>
      </c>
      <c r="CH14" s="105">
        <v>34.249835834814583</v>
      </c>
      <c r="CI14" s="105">
        <v>17097.518048739439</v>
      </c>
      <c r="CJ14" s="105">
        <v>49.84039311839738</v>
      </c>
      <c r="CK14" s="105">
        <v>24880.32424470397</v>
      </c>
      <c r="CL14" s="105">
        <v>46.511194112771953</v>
      </c>
      <c r="CM14" s="105">
        <v>23218.388101095759</v>
      </c>
      <c r="CN14" s="105">
        <v>40.649700997440817</v>
      </c>
      <c r="CO14" s="105">
        <v>20292.330737922457</v>
      </c>
      <c r="CP14" s="105">
        <v>53.459163091836409</v>
      </c>
      <c r="CQ14" s="105">
        <v>26686.814215444734</v>
      </c>
      <c r="CR14" s="105">
        <v>51.256485062321438</v>
      </c>
      <c r="CS14" s="105">
        <v>25587.237343110861</v>
      </c>
      <c r="CT14" s="105">
        <v>33.209962931644185</v>
      </c>
      <c r="CU14" s="105">
        <v>16578.413495476776</v>
      </c>
    </row>
    <row r="15" spans="1:99" x14ac:dyDescent="0.2">
      <c r="C15" s="104" t="s">
        <v>181</v>
      </c>
      <c r="D15" s="105">
        <v>4.4892762512124476</v>
      </c>
      <c r="E15" s="105">
        <v>3700.9593414995416</v>
      </c>
      <c r="F15" s="105">
        <v>4.82429733701969</v>
      </c>
      <c r="G15" s="105">
        <v>3977.1507246390324</v>
      </c>
      <c r="H15" s="105">
        <v>0</v>
      </c>
      <c r="I15" s="105">
        <v>0</v>
      </c>
      <c r="J15" s="105">
        <v>0</v>
      </c>
      <c r="K15" s="105">
        <v>0</v>
      </c>
      <c r="L15" s="105">
        <v>33.732780185592951</v>
      </c>
      <c r="M15" s="105">
        <v>27809.303985002829</v>
      </c>
      <c r="N15" s="105">
        <v>42.188315226852275</v>
      </c>
      <c r="O15" s="105">
        <v>34780.047073017013</v>
      </c>
      <c r="P15" s="105">
        <v>29.664097547784635</v>
      </c>
      <c r="Q15" s="105">
        <v>24455.082018393652</v>
      </c>
      <c r="R15" s="105">
        <v>40.739414322489999</v>
      </c>
      <c r="S15" s="105">
        <v>33585.573167460752</v>
      </c>
      <c r="T15" s="105">
        <v>43.886966476000083</v>
      </c>
      <c r="U15" s="105">
        <v>36180.415162814468</v>
      </c>
      <c r="V15" s="105">
        <v>31.389500757065885</v>
      </c>
      <c r="W15" s="105">
        <v>25877.504424125116</v>
      </c>
      <c r="X15" s="105">
        <v>49.625430765539988</v>
      </c>
      <c r="Y15" s="105">
        <v>40911.205123111162</v>
      </c>
      <c r="Z15" s="105">
        <v>42.728700605862784</v>
      </c>
      <c r="AA15" s="105">
        <v>35225.540779473275</v>
      </c>
      <c r="AB15" s="105">
        <v>40.567066376166011</v>
      </c>
      <c r="AC15" s="105">
        <v>33443.489520511255</v>
      </c>
      <c r="AD15" s="105">
        <v>35.617673388963709</v>
      </c>
      <c r="AE15" s="105">
        <v>29363.209941861682</v>
      </c>
      <c r="AF15" s="105">
        <v>33.132178521679563</v>
      </c>
      <c r="AG15" s="105">
        <v>27314.16797327263</v>
      </c>
      <c r="AH15" s="105">
        <v>41.424777822696335</v>
      </c>
      <c r="AI15" s="105">
        <v>34150.58683703086</v>
      </c>
      <c r="AJ15" s="105">
        <v>30.158852276626096</v>
      </c>
      <c r="AK15" s="105">
        <v>24862.957816850554</v>
      </c>
      <c r="AL15" s="105">
        <v>33.289732984494741</v>
      </c>
      <c r="AM15" s="105">
        <v>27444.055872417463</v>
      </c>
      <c r="AN15" s="105">
        <v>49.547645936008188</v>
      </c>
      <c r="AO15" s="105">
        <v>40847.079309645145</v>
      </c>
      <c r="AP15" s="105">
        <v>48.762605419570704</v>
      </c>
      <c r="AQ15" s="105">
        <v>40199.891907894089</v>
      </c>
      <c r="AR15" s="105">
        <v>37.954733471696791</v>
      </c>
      <c r="AS15" s="105">
        <v>31289.882274066833</v>
      </c>
      <c r="AT15" s="105">
        <v>35.34939763135727</v>
      </c>
      <c r="AU15" s="105">
        <v>29142.043407290934</v>
      </c>
      <c r="AV15" s="105">
        <v>55.34598434903473</v>
      </c>
      <c r="AW15" s="105">
        <v>45627.229497344233</v>
      </c>
      <c r="AX15" s="105">
        <v>37.871166487041258</v>
      </c>
      <c r="AY15" s="105">
        <v>31220.989651916811</v>
      </c>
      <c r="AZ15" s="105">
        <v>38.398093495882655</v>
      </c>
      <c r="BA15" s="105">
        <v>31655.388278005659</v>
      </c>
      <c r="BB15" s="105">
        <v>41.850321951799309</v>
      </c>
      <c r="BC15" s="105">
        <v>34501.405417063346</v>
      </c>
      <c r="BD15" s="105">
        <v>38.499523886513749</v>
      </c>
      <c r="BE15" s="105">
        <v>31739.007492041936</v>
      </c>
      <c r="BF15" s="105">
        <v>37.272864095623319</v>
      </c>
      <c r="BG15" s="105">
        <v>30727.749160431864</v>
      </c>
      <c r="BH15" s="105">
        <v>40.869862453742854</v>
      </c>
      <c r="BI15" s="105">
        <v>33693.114606865609</v>
      </c>
      <c r="BJ15" s="105">
        <v>34.628202156730872</v>
      </c>
      <c r="BK15" s="105">
        <v>28547.489858008928</v>
      </c>
      <c r="BL15" s="105">
        <v>46.37480970299962</v>
      </c>
      <c r="BM15" s="105">
        <v>38231.393119152883</v>
      </c>
      <c r="BN15" s="105">
        <v>38.816752236212665</v>
      </c>
      <c r="BO15" s="105">
        <v>32000.530543533721</v>
      </c>
      <c r="BP15" s="105">
        <v>37.475789287538824</v>
      </c>
      <c r="BQ15" s="105">
        <v>30895.040688647005</v>
      </c>
      <c r="BR15" s="105">
        <v>34.399997039318855</v>
      </c>
      <c r="BS15" s="105">
        <v>28359.357559214463</v>
      </c>
      <c r="BT15" s="105">
        <v>43.815792382776529</v>
      </c>
      <c r="BU15" s="105">
        <v>36121.73924036097</v>
      </c>
      <c r="BV15" s="105">
        <v>36.092370666866771</v>
      </c>
      <c r="BW15" s="105">
        <v>29754.550377764965</v>
      </c>
      <c r="BX15" s="105">
        <v>46.483473377635491</v>
      </c>
      <c r="BY15" s="105">
        <v>38320.975452522696</v>
      </c>
      <c r="BZ15" s="105">
        <v>33.538552221229715</v>
      </c>
      <c r="CA15" s="105">
        <v>27649.182451181776</v>
      </c>
      <c r="CB15" s="105">
        <v>48.579768309962262</v>
      </c>
      <c r="CC15" s="105">
        <v>40049.160994732891</v>
      </c>
      <c r="CD15" s="105">
        <v>33.976993353132244</v>
      </c>
      <c r="CE15" s="105">
        <v>28010.63332032222</v>
      </c>
      <c r="CF15" s="105">
        <v>29.076044157003398</v>
      </c>
      <c r="CG15" s="105">
        <v>23970.2908030336</v>
      </c>
      <c r="CH15" s="105">
        <v>35.299803001777498</v>
      </c>
      <c r="CI15" s="105">
        <v>29101.157594665368</v>
      </c>
      <c r="CJ15" s="105">
        <v>49.036515810036136</v>
      </c>
      <c r="CK15" s="105">
        <v>40425.70363379379</v>
      </c>
      <c r="CL15" s="105">
        <v>52.409334157307498</v>
      </c>
      <c r="CM15" s="105">
        <v>43206.255079284303</v>
      </c>
      <c r="CN15" s="105">
        <v>37.735941855943963</v>
      </c>
      <c r="CO15" s="105">
        <v>31109.510466040203</v>
      </c>
      <c r="CP15" s="105">
        <v>46.268791041485912</v>
      </c>
      <c r="CQ15" s="105">
        <v>38143.991334600985</v>
      </c>
      <c r="CR15" s="105">
        <v>53.607926913633797</v>
      </c>
      <c r="CS15" s="105">
        <v>44194.374947599703</v>
      </c>
      <c r="CT15" s="105">
        <v>33.209962931644185</v>
      </c>
      <c r="CU15" s="105">
        <v>27378.293440847465</v>
      </c>
    </row>
    <row r="16" spans="1:99" x14ac:dyDescent="0.2">
      <c r="C16" s="104" t="s">
        <v>182</v>
      </c>
      <c r="D16" s="105">
        <v>4.4892762512124476</v>
      </c>
      <c r="E16" s="105">
        <v>2284.1437566168929</v>
      </c>
      <c r="F16" s="105">
        <v>5.5134826708796458</v>
      </c>
      <c r="G16" s="105">
        <v>2805.259982943563</v>
      </c>
      <c r="H16" s="105">
        <v>0</v>
      </c>
      <c r="I16" s="105">
        <v>0</v>
      </c>
      <c r="J16" s="105">
        <v>0</v>
      </c>
      <c r="K16" s="105">
        <v>0</v>
      </c>
      <c r="L16" s="105">
        <v>30.756358404511221</v>
      </c>
      <c r="M16" s="105">
        <v>15648.835156215306</v>
      </c>
      <c r="N16" s="105">
        <v>42.188315226852275</v>
      </c>
      <c r="O16" s="105">
        <v>21465.414787422433</v>
      </c>
      <c r="P16" s="105">
        <v>30.690362485439017</v>
      </c>
      <c r="Q16" s="105">
        <v>15615.256432591368</v>
      </c>
      <c r="R16" s="105">
        <v>37.031508411157539</v>
      </c>
      <c r="S16" s="105">
        <v>18841.631479596952</v>
      </c>
      <c r="T16" s="105">
        <v>45.393754047936227</v>
      </c>
      <c r="U16" s="105">
        <v>23096.342059589948</v>
      </c>
      <c r="V16" s="105">
        <v>34.608936732149566</v>
      </c>
      <c r="W16" s="105">
        <v>17609.027009317695</v>
      </c>
      <c r="X16" s="105">
        <v>54.122813411137855</v>
      </c>
      <c r="Y16" s="105">
        <v>27537.687463586935</v>
      </c>
      <c r="Z16" s="105">
        <v>45.138288475613415</v>
      </c>
      <c r="AA16" s="105">
        <v>22966.3611763921</v>
      </c>
      <c r="AB16" s="105">
        <v>42.485427708280078</v>
      </c>
      <c r="AC16" s="105">
        <v>21616.585617972898</v>
      </c>
      <c r="AD16" s="105">
        <v>34.618386033095355</v>
      </c>
      <c r="AE16" s="105">
        <v>17613.834813638914</v>
      </c>
      <c r="AF16" s="105">
        <v>30.352231607036778</v>
      </c>
      <c r="AG16" s="105">
        <v>15443.21544166031</v>
      </c>
      <c r="AH16" s="105">
        <v>41.463826796879637</v>
      </c>
      <c r="AI16" s="105">
        <v>21096.795074252354</v>
      </c>
      <c r="AJ16" s="105">
        <v>31.158852276626096</v>
      </c>
      <c r="AK16" s="105">
        <v>15853.624038347354</v>
      </c>
      <c r="AL16" s="105">
        <v>39.289732984494741</v>
      </c>
      <c r="AM16" s="105">
        <v>19990.61614251092</v>
      </c>
      <c r="AN16" s="105">
        <v>48.66664916533712</v>
      </c>
      <c r="AO16" s="105">
        <v>24761.591095323522</v>
      </c>
      <c r="AP16" s="105">
        <v>50.608971812372729</v>
      </c>
      <c r="AQ16" s="105">
        <v>25749.844858135239</v>
      </c>
      <c r="AR16" s="105">
        <v>44.493104403059924</v>
      </c>
      <c r="AS16" s="105">
        <v>22638.091520276885</v>
      </c>
      <c r="AT16" s="105">
        <v>38.34939763135727</v>
      </c>
      <c r="AU16" s="105">
        <v>19512.173514834576</v>
      </c>
      <c r="AV16" s="105">
        <v>57.395410684611122</v>
      </c>
      <c r="AW16" s="105">
        <v>29202.784956330132</v>
      </c>
      <c r="AX16" s="105">
        <v>34.070061720061737</v>
      </c>
      <c r="AY16" s="105">
        <v>17334.847403167409</v>
      </c>
      <c r="AZ16" s="105">
        <v>35.343832956644057</v>
      </c>
      <c r="BA16" s="105">
        <v>17982.942208340493</v>
      </c>
      <c r="BB16" s="105">
        <v>46.014732429113032</v>
      </c>
      <c r="BC16" s="105">
        <v>23412.295859932707</v>
      </c>
      <c r="BD16" s="105">
        <v>44.449571497862372</v>
      </c>
      <c r="BE16" s="105">
        <v>22615.941978112369</v>
      </c>
      <c r="BF16" s="105">
        <v>36.493771897291069</v>
      </c>
      <c r="BG16" s="105">
        <v>18568.031141341693</v>
      </c>
      <c r="BH16" s="105">
        <v>42.279168055596053</v>
      </c>
      <c r="BI16" s="105">
        <v>21511.640706687267</v>
      </c>
      <c r="BJ16" s="105">
        <v>36.453427684164019</v>
      </c>
      <c r="BK16" s="105">
        <v>18547.504005702649</v>
      </c>
      <c r="BL16" s="105">
        <v>44.071412625128907</v>
      </c>
      <c r="BM16" s="105">
        <v>22423.534743665583</v>
      </c>
      <c r="BN16" s="105">
        <v>38.856501108352596</v>
      </c>
      <c r="BO16" s="105">
        <v>19770.187763929796</v>
      </c>
      <c r="BP16" s="105">
        <v>38.253876113746024</v>
      </c>
      <c r="BQ16" s="105">
        <v>19463.572166673974</v>
      </c>
      <c r="BR16" s="105">
        <v>36.449996669233713</v>
      </c>
      <c r="BS16" s="105">
        <v>18545.75830530611</v>
      </c>
      <c r="BT16" s="105">
        <v>43.076393543014191</v>
      </c>
      <c r="BU16" s="105">
        <v>21917.269034685618</v>
      </c>
      <c r="BV16" s="105">
        <v>39.262064243413121</v>
      </c>
      <c r="BW16" s="105">
        <v>19976.538287048592</v>
      </c>
      <c r="BX16" s="105">
        <v>49.807168208043805</v>
      </c>
      <c r="BY16" s="105">
        <v>25341.887184252682</v>
      </c>
      <c r="BZ16" s="105">
        <v>35.541928161104508</v>
      </c>
      <c r="CA16" s="105">
        <v>18083.73304836997</v>
      </c>
      <c r="CB16" s="105">
        <v>46.451914196668149</v>
      </c>
      <c r="CC16" s="105">
        <v>23634.73394326475</v>
      </c>
      <c r="CD16" s="105">
        <v>41.758591113930308</v>
      </c>
      <c r="CE16" s="105">
        <v>21246.771158767737</v>
      </c>
      <c r="CF16" s="105">
        <v>29.944125908111193</v>
      </c>
      <c r="CG16" s="105">
        <v>15235.571262046971</v>
      </c>
      <c r="CH16" s="105">
        <v>31.249835834814579</v>
      </c>
      <c r="CI16" s="105">
        <v>15899.916472753655</v>
      </c>
      <c r="CJ16" s="105">
        <v>51.448147735119875</v>
      </c>
      <c r="CK16" s="105">
        <v>26176.817567628987</v>
      </c>
      <c r="CL16" s="105">
        <v>53.511194112771953</v>
      </c>
      <c r="CM16" s="105">
        <v>27226.495564578363</v>
      </c>
      <c r="CN16" s="105">
        <v>44.42354775448036</v>
      </c>
      <c r="CO16" s="105">
        <v>22602.701097479603</v>
      </c>
      <c r="CP16" s="105">
        <v>46.400280877741679</v>
      </c>
      <c r="CQ16" s="105">
        <v>23608.462910594961</v>
      </c>
      <c r="CR16" s="105">
        <v>58.310810616258536</v>
      </c>
      <c r="CS16" s="105">
        <v>29668.540441552337</v>
      </c>
      <c r="CT16" s="105">
        <v>33.209962931644185</v>
      </c>
      <c r="CU16" s="105">
        <v>16897.229139620558</v>
      </c>
    </row>
    <row r="17" spans="2:99" x14ac:dyDescent="0.2">
      <c r="C17" s="104" t="s">
        <v>183</v>
      </c>
      <c r="D17" s="105">
        <v>4.4892762512124476</v>
      </c>
      <c r="E17" s="105">
        <v>2230.2724416023439</v>
      </c>
      <c r="F17" s="105">
        <v>5.5134826708796458</v>
      </c>
      <c r="G17" s="105">
        <v>2739.098190893008</v>
      </c>
      <c r="H17" s="105">
        <v>0</v>
      </c>
      <c r="I17" s="105">
        <v>0</v>
      </c>
      <c r="J17" s="105">
        <v>0</v>
      </c>
      <c r="K17" s="105">
        <v>0</v>
      </c>
      <c r="L17" s="105">
        <v>30.756358404511221</v>
      </c>
      <c r="M17" s="105">
        <v>15279.758855361173</v>
      </c>
      <c r="N17" s="105">
        <v>42.188315226852275</v>
      </c>
      <c r="O17" s="105">
        <v>20959.155004700209</v>
      </c>
      <c r="P17" s="105">
        <v>36.554773698709624</v>
      </c>
      <c r="Q17" s="105">
        <v>18160.411573518941</v>
      </c>
      <c r="R17" s="105">
        <v>41.678116477331997</v>
      </c>
      <c r="S17" s="105">
        <v>20705.688265938534</v>
      </c>
      <c r="T17" s="105">
        <v>42.949078957087174</v>
      </c>
      <c r="U17" s="105">
        <v>21337.102425880905</v>
      </c>
      <c r="V17" s="105">
        <v>34.608936732149566</v>
      </c>
      <c r="W17" s="105">
        <v>17193.719768531904</v>
      </c>
      <c r="X17" s="105">
        <v>46.142179243701108</v>
      </c>
      <c r="Y17" s="105">
        <v>22923.434648270708</v>
      </c>
      <c r="Z17" s="105">
        <v>41.912319568957074</v>
      </c>
      <c r="AA17" s="105">
        <v>20822.040361857871</v>
      </c>
      <c r="AB17" s="105">
        <v>39.677992840897225</v>
      </c>
      <c r="AC17" s="105">
        <v>19712.02684335774</v>
      </c>
      <c r="AD17" s="105">
        <v>35.617673388963709</v>
      </c>
      <c r="AE17" s="105">
        <v>17694.860139637171</v>
      </c>
      <c r="AF17" s="105">
        <v>29.97195905175445</v>
      </c>
      <c r="AG17" s="105">
        <v>14890.069256911609</v>
      </c>
      <c r="AH17" s="105">
        <v>46.182031624824774</v>
      </c>
      <c r="AI17" s="105">
        <v>22943.233311212945</v>
      </c>
      <c r="AJ17" s="105">
        <v>34.158852276626092</v>
      </c>
      <c r="AK17" s="105">
        <v>16970.117811027842</v>
      </c>
      <c r="AL17" s="105">
        <v>39.320352925627716</v>
      </c>
      <c r="AM17" s="105">
        <v>19534.351333451847</v>
      </c>
      <c r="AN17" s="105">
        <v>58.357613642718924</v>
      </c>
      <c r="AO17" s="105">
        <v>28992.062457702759</v>
      </c>
      <c r="AP17" s="105">
        <v>49.709454283621277</v>
      </c>
      <c r="AQ17" s="105">
        <v>24695.656888103047</v>
      </c>
      <c r="AR17" s="105">
        <v>37.908123392513062</v>
      </c>
      <c r="AS17" s="105">
        <v>18832.755701400489</v>
      </c>
      <c r="AT17" s="105">
        <v>36.34939763135727</v>
      </c>
      <c r="AU17" s="105">
        <v>18058.380743258291</v>
      </c>
      <c r="AV17" s="105">
        <v>57.34598434903473</v>
      </c>
      <c r="AW17" s="105">
        <v>28489.48502460045</v>
      </c>
      <c r="AX17" s="105">
        <v>38.809785913556638</v>
      </c>
      <c r="AY17" s="105">
        <v>19280.701641854936</v>
      </c>
      <c r="AZ17" s="105">
        <v>38.398093495882655</v>
      </c>
      <c r="BA17" s="105">
        <v>19076.172848754501</v>
      </c>
      <c r="BB17" s="105">
        <v>45.181850333650289</v>
      </c>
      <c r="BC17" s="105">
        <v>22446.34324575746</v>
      </c>
      <c r="BD17" s="105">
        <v>38.499523886513749</v>
      </c>
      <c r="BE17" s="105">
        <v>19126.563466820029</v>
      </c>
      <c r="BF17" s="105">
        <v>33.213424202430808</v>
      </c>
      <c r="BG17" s="105">
        <v>16500.429143767626</v>
      </c>
      <c r="BH17" s="105">
        <v>41.57451525466945</v>
      </c>
      <c r="BI17" s="105">
        <v>20654.219178519779</v>
      </c>
      <c r="BJ17" s="105">
        <v>35.612802284254798</v>
      </c>
      <c r="BK17" s="105">
        <v>17692.440174817781</v>
      </c>
      <c r="BL17" s="105">
        <v>44.033054106930749</v>
      </c>
      <c r="BM17" s="105">
        <v>21875.621280323194</v>
      </c>
      <c r="BN17" s="105">
        <v>45.233212446061529</v>
      </c>
      <c r="BO17" s="105">
        <v>22471.859943203366</v>
      </c>
      <c r="BP17" s="105">
        <v>42.144310244782062</v>
      </c>
      <c r="BQ17" s="105">
        <v>20937.293329607728</v>
      </c>
      <c r="BR17" s="105">
        <v>32.399997039318855</v>
      </c>
      <c r="BS17" s="105">
        <v>16096.318529133605</v>
      </c>
      <c r="BT17" s="105">
        <v>40.70274816204423</v>
      </c>
      <c r="BU17" s="105">
        <v>20221.125286903571</v>
      </c>
      <c r="BV17" s="105">
        <v>39.100616134376622</v>
      </c>
      <c r="BW17" s="105">
        <v>19425.186095558303</v>
      </c>
      <c r="BX17" s="105">
        <v>48.165135209536388</v>
      </c>
      <c r="BY17" s="105">
        <v>23928.439172097675</v>
      </c>
      <c r="BZ17" s="105">
        <v>35.541928161104508</v>
      </c>
      <c r="CA17" s="105">
        <v>17657.229910436719</v>
      </c>
      <c r="CB17" s="105">
        <v>47.137160421257242</v>
      </c>
      <c r="CC17" s="105">
        <v>23417.741297280594</v>
      </c>
      <c r="CD17" s="105">
        <v>40.029347167086286</v>
      </c>
      <c r="CE17" s="105">
        <v>19886.579672608466</v>
      </c>
      <c r="CF17" s="105">
        <v>29.944125908111193</v>
      </c>
      <c r="CG17" s="105">
        <v>14876.241751149639</v>
      </c>
      <c r="CH17" s="105">
        <v>34.299803001777498</v>
      </c>
      <c r="CI17" s="105">
        <v>17040.142131283061</v>
      </c>
      <c r="CJ17" s="105">
        <v>45.017129268229894</v>
      </c>
      <c r="CK17" s="105">
        <v>22364.509820456609</v>
      </c>
      <c r="CL17" s="105">
        <v>48.499828100073771</v>
      </c>
      <c r="CM17" s="105">
        <v>24094.714600116647</v>
      </c>
      <c r="CN17" s="105">
        <v>42.512803212041391</v>
      </c>
      <c r="CO17" s="105">
        <v>21120.36063574216</v>
      </c>
      <c r="CP17" s="105">
        <v>53.584078484941834</v>
      </c>
      <c r="CQ17" s="105">
        <v>26620.570191319101</v>
      </c>
      <c r="CR17" s="105">
        <v>53.607926913633797</v>
      </c>
      <c r="CS17" s="105">
        <v>26632.418090693267</v>
      </c>
      <c r="CT17" s="105">
        <v>35.622399432141371</v>
      </c>
      <c r="CU17" s="105">
        <v>17697.208037887831</v>
      </c>
    </row>
    <row r="18" spans="2:99" x14ac:dyDescent="0.2">
      <c r="C18" s="104" t="s">
        <v>184</v>
      </c>
      <c r="D18" s="105">
        <v>4.4892762512124476</v>
      </c>
      <c r="E18" s="105">
        <v>3280.7630843860566</v>
      </c>
      <c r="F18" s="105">
        <v>4.82429733701969</v>
      </c>
      <c r="G18" s="105">
        <v>3525.5964938939892</v>
      </c>
      <c r="H18" s="105">
        <v>0</v>
      </c>
      <c r="I18" s="105">
        <v>0</v>
      </c>
      <c r="J18" s="105">
        <v>0</v>
      </c>
      <c r="K18" s="105">
        <v>0</v>
      </c>
      <c r="L18" s="105">
        <v>34.724920779286862</v>
      </c>
      <c r="M18" s="105">
        <v>25376.972105502839</v>
      </c>
      <c r="N18" s="105">
        <v>37.282697177218296</v>
      </c>
      <c r="O18" s="105">
        <v>27246.195097111129</v>
      </c>
      <c r="P18" s="105">
        <v>30.64149941666307</v>
      </c>
      <c r="Q18" s="105">
        <v>22392.807773697368</v>
      </c>
      <c r="R18" s="105">
        <v>37.923307857964012</v>
      </c>
      <c r="S18" s="105">
        <v>27714.353382600097</v>
      </c>
      <c r="T18" s="105">
        <v>40.704316453371675</v>
      </c>
      <c r="U18" s="105">
        <v>29746.714464124019</v>
      </c>
      <c r="V18" s="105">
        <v>35.413795725920487</v>
      </c>
      <c r="W18" s="105">
        <v>25880.401916502691</v>
      </c>
      <c r="X18" s="105">
        <v>51.510374769758698</v>
      </c>
      <c r="Y18" s="105">
        <v>37643.781881739655</v>
      </c>
      <c r="Z18" s="105">
        <v>41.872764327990552</v>
      </c>
      <c r="AA18" s="105">
        <v>30600.616170895493</v>
      </c>
      <c r="AB18" s="105">
        <v>42.438689621087903</v>
      </c>
      <c r="AC18" s="105">
        <v>31014.194375091036</v>
      </c>
      <c r="AD18" s="105">
        <v>40.333566972822993</v>
      </c>
      <c r="AE18" s="105">
        <v>29475.770743739042</v>
      </c>
      <c r="AF18" s="105">
        <v>33.132178521679563</v>
      </c>
      <c r="AG18" s="105">
        <v>24212.996063643423</v>
      </c>
      <c r="AH18" s="105">
        <v>39.046150921632112</v>
      </c>
      <c r="AI18" s="105">
        <v>28534.927093528746</v>
      </c>
      <c r="AJ18" s="105">
        <v>32.198565345782619</v>
      </c>
      <c r="AK18" s="105">
        <v>23530.711554697937</v>
      </c>
      <c r="AL18" s="105">
        <v>34.289732984494741</v>
      </c>
      <c r="AM18" s="105">
        <v>25058.936865068754</v>
      </c>
      <c r="AN18" s="105">
        <v>46.862290268309359</v>
      </c>
      <c r="AO18" s="105">
        <v>34246.961728080474</v>
      </c>
      <c r="AP18" s="105">
        <v>48.71527408427157</v>
      </c>
      <c r="AQ18" s="105">
        <v>35601.122300785661</v>
      </c>
      <c r="AR18" s="105">
        <v>38.848834965448333</v>
      </c>
      <c r="AS18" s="105">
        <v>28390.728592749641</v>
      </c>
      <c r="AT18" s="105">
        <v>35.718866434508861</v>
      </c>
      <c r="AU18" s="105">
        <v>26103.347590339075</v>
      </c>
      <c r="AV18" s="105">
        <v>47.395410684611122</v>
      </c>
      <c r="AW18" s="105">
        <v>34636.566128313803</v>
      </c>
      <c r="AX18" s="105">
        <v>37.871166487041258</v>
      </c>
      <c r="AY18" s="105">
        <v>27676.248468729751</v>
      </c>
      <c r="AZ18" s="105">
        <v>36.398093495882655</v>
      </c>
      <c r="BA18" s="105">
        <v>26599.726726791043</v>
      </c>
      <c r="BB18" s="105">
        <v>43.516086142724795</v>
      </c>
      <c r="BC18" s="105">
        <v>31801.555753103279</v>
      </c>
      <c r="BD18" s="105">
        <v>44.449571497862372</v>
      </c>
      <c r="BE18" s="105">
        <v>32483.746850637821</v>
      </c>
      <c r="BF18" s="105">
        <v>33.172429477047991</v>
      </c>
      <c r="BG18" s="105">
        <v>24242.411461826672</v>
      </c>
      <c r="BH18" s="105">
        <v>41.57451525466945</v>
      </c>
      <c r="BI18" s="105">
        <v>30382.655748112433</v>
      </c>
      <c r="BJ18" s="105">
        <v>34.628202156730872</v>
      </c>
      <c r="BK18" s="105">
        <v>25306.290136138919</v>
      </c>
      <c r="BL18" s="105">
        <v>44.071412625128907</v>
      </c>
      <c r="BM18" s="105">
        <v>32207.388346444204</v>
      </c>
      <c r="BN18" s="105">
        <v>40.420867288674884</v>
      </c>
      <c r="BO18" s="105">
        <v>29539.569814563605</v>
      </c>
      <c r="BP18" s="105">
        <v>38.113420637061182</v>
      </c>
      <c r="BQ18" s="105">
        <v>27853.287801564311</v>
      </c>
      <c r="BR18" s="105">
        <v>34.399997039318855</v>
      </c>
      <c r="BS18" s="105">
        <v>25139.517836334217</v>
      </c>
      <c r="BT18" s="105">
        <v>40.70274816204423</v>
      </c>
      <c r="BU18" s="105">
        <v>29745.568356821921</v>
      </c>
      <c r="BV18" s="105">
        <v>35.092370666866771</v>
      </c>
      <c r="BW18" s="105">
        <v>25645.504483346234</v>
      </c>
      <c r="BX18" s="105">
        <v>47.28467546019246</v>
      </c>
      <c r="BY18" s="105">
        <v>34555.640826308649</v>
      </c>
      <c r="BZ18" s="105">
        <v>33.538552221229715</v>
      </c>
      <c r="CA18" s="105">
        <v>24509.973963274675</v>
      </c>
      <c r="CB18" s="105">
        <v>45.009306307963129</v>
      </c>
      <c r="CC18" s="105">
        <v>32892.801049859452</v>
      </c>
      <c r="CD18" s="105">
        <v>34.798825928275257</v>
      </c>
      <c r="CE18" s="105">
        <v>25430.981988383555</v>
      </c>
      <c r="CF18" s="105">
        <v>30.769273022174367</v>
      </c>
      <c r="CG18" s="105">
        <v>22486.184724605027</v>
      </c>
      <c r="CH18" s="105">
        <v>34.299803001777498</v>
      </c>
      <c r="CI18" s="105">
        <v>25066.296033698993</v>
      </c>
      <c r="CJ18" s="105">
        <v>43.409374651507399</v>
      </c>
      <c r="CK18" s="105">
        <v>31723.570995321606</v>
      </c>
      <c r="CL18" s="105">
        <v>45.499828100073771</v>
      </c>
      <c r="CM18" s="105">
        <v>33251.274375533911</v>
      </c>
      <c r="CN18" s="105">
        <v>40.649700997440817</v>
      </c>
      <c r="CO18" s="105">
        <v>29706.801488929748</v>
      </c>
      <c r="CP18" s="105">
        <v>50.263442180569527</v>
      </c>
      <c r="CQ18" s="105">
        <v>36732.523545560209</v>
      </c>
      <c r="CR18" s="105">
        <v>51.256485062321438</v>
      </c>
      <c r="CS18" s="105">
        <v>37458.239283544506</v>
      </c>
      <c r="CT18" s="105">
        <v>34.014108431809909</v>
      </c>
      <c r="CU18" s="105">
        <v>24857.510441966679</v>
      </c>
    </row>
    <row r="19" spans="2:99" x14ac:dyDescent="0.2">
      <c r="C19" s="104" t="s">
        <v>185</v>
      </c>
      <c r="D19" s="105">
        <v>4.4892762512124476</v>
      </c>
      <c r="E19" s="105">
        <v>1734.6563434684897</v>
      </c>
      <c r="F19" s="105">
        <v>5.5134826708796458</v>
      </c>
      <c r="G19" s="105">
        <v>2130.4097040278948</v>
      </c>
      <c r="H19" s="105">
        <v>0</v>
      </c>
      <c r="I19" s="105">
        <v>0</v>
      </c>
      <c r="J19" s="105">
        <v>0</v>
      </c>
      <c r="K19" s="105">
        <v>0</v>
      </c>
      <c r="L19" s="105">
        <v>32.74063959189904</v>
      </c>
      <c r="M19" s="105">
        <v>12650.983138309788</v>
      </c>
      <c r="N19" s="105">
        <v>43.169438836779072</v>
      </c>
      <c r="O19" s="105">
        <v>16680.671166531432</v>
      </c>
      <c r="P19" s="105">
        <v>36.50591062993368</v>
      </c>
      <c r="Q19" s="105">
        <v>14105.883867406374</v>
      </c>
      <c r="R19" s="105">
        <v>41.725019185367522</v>
      </c>
      <c r="S19" s="105">
        <v>16122.54741322601</v>
      </c>
      <c r="T19" s="105">
        <v>47.269529085762052</v>
      </c>
      <c r="U19" s="105">
        <v>18264.946038738457</v>
      </c>
      <c r="V19" s="105">
        <v>35.413795725920487</v>
      </c>
      <c r="W19" s="105">
        <v>13683.890668495675</v>
      </c>
      <c r="X19" s="105">
        <v>48.897936128379534</v>
      </c>
      <c r="Y19" s="105">
        <v>18894.162520005852</v>
      </c>
      <c r="Z19" s="105">
        <v>41.872764327990552</v>
      </c>
      <c r="AA19" s="105">
        <v>16179.636136335548</v>
      </c>
      <c r="AB19" s="105">
        <v>40.567066376166011</v>
      </c>
      <c r="AC19" s="105">
        <v>15675.114447750546</v>
      </c>
      <c r="AD19" s="105">
        <v>36.570203545584981</v>
      </c>
      <c r="AE19" s="105">
        <v>14130.726650014036</v>
      </c>
      <c r="AF19" s="105">
        <v>34.043681862958238</v>
      </c>
      <c r="AG19" s="105">
        <v>13154.478671847062</v>
      </c>
      <c r="AH19" s="105">
        <v>44.596280357448627</v>
      </c>
      <c r="AI19" s="105">
        <v>17232.002730118147</v>
      </c>
      <c r="AJ19" s="105">
        <v>33.198565345782619</v>
      </c>
      <c r="AK19" s="105">
        <v>12827.925649610403</v>
      </c>
      <c r="AL19" s="105">
        <v>36.289732984494741</v>
      </c>
      <c r="AM19" s="105">
        <v>14022.352825208767</v>
      </c>
      <c r="AN19" s="105">
        <v>52.190636248021413</v>
      </c>
      <c r="AO19" s="105">
        <v>20166.461846235474</v>
      </c>
      <c r="AP19" s="105">
        <v>51.555820676423302</v>
      </c>
      <c r="AQ19" s="105">
        <v>19921.169109369963</v>
      </c>
      <c r="AR19" s="105">
        <v>41.670969684254125</v>
      </c>
      <c r="AS19" s="105">
        <v>16101.662685995792</v>
      </c>
      <c r="AT19" s="105">
        <v>34.299483684020515</v>
      </c>
      <c r="AU19" s="105">
        <v>13253.320495505526</v>
      </c>
      <c r="AV19" s="105">
        <v>60.34598434903473</v>
      </c>
      <c r="AW19" s="105">
        <v>23317.688352467019</v>
      </c>
      <c r="AX19" s="105">
        <v>38.763158852638661</v>
      </c>
      <c r="AY19" s="105">
        <v>14978.084580659577</v>
      </c>
      <c r="AZ19" s="105">
        <v>34.398093495882655</v>
      </c>
      <c r="BA19" s="105">
        <v>13291.423326809057</v>
      </c>
      <c r="BB19" s="105">
        <v>46.055975864845436</v>
      </c>
      <c r="BC19" s="105">
        <v>17796.029074176276</v>
      </c>
      <c r="BD19" s="105">
        <v>45.449571497862372</v>
      </c>
      <c r="BE19" s="105">
        <v>17561.714426774019</v>
      </c>
      <c r="BF19" s="105">
        <v>38.954032668436263</v>
      </c>
      <c r="BG19" s="105">
        <v>15051.838223083771</v>
      </c>
      <c r="BH19" s="105">
        <v>38.755904050963046</v>
      </c>
      <c r="BI19" s="105">
        <v>14975.281325292121</v>
      </c>
      <c r="BJ19" s="105">
        <v>35.612802284254798</v>
      </c>
      <c r="BK19" s="105">
        <v>13760.786802636054</v>
      </c>
      <c r="BL19" s="105">
        <v>51.749402884697972</v>
      </c>
      <c r="BM19" s="105">
        <v>19995.969274647294</v>
      </c>
      <c r="BN19" s="105">
        <v>46.035269972292632</v>
      </c>
      <c r="BO19" s="105">
        <v>17788.028317293873</v>
      </c>
      <c r="BP19" s="105">
        <v>42.00385476809722</v>
      </c>
      <c r="BQ19" s="105">
        <v>16230.289482392765</v>
      </c>
      <c r="BR19" s="105">
        <v>34.399997039318855</v>
      </c>
      <c r="BS19" s="105">
        <v>13292.158855992804</v>
      </c>
      <c r="BT19" s="105">
        <v>39.924487106861157</v>
      </c>
      <c r="BU19" s="105">
        <v>15426.82181809115</v>
      </c>
      <c r="BV19" s="105">
        <v>39.100616134376622</v>
      </c>
      <c r="BW19" s="105">
        <v>15108.478074323126</v>
      </c>
      <c r="BX19" s="105">
        <v>52.369289789288622</v>
      </c>
      <c r="BY19" s="105">
        <v>20235.493574581124</v>
      </c>
      <c r="BZ19" s="105">
        <v>41.36338734195008</v>
      </c>
      <c r="CA19" s="105">
        <v>15982.81286892951</v>
      </c>
      <c r="CB19" s="105">
        <v>52.943649695840762</v>
      </c>
      <c r="CC19" s="105">
        <v>20457.426242472869</v>
      </c>
      <c r="CD19" s="105">
        <v>41.758591113930308</v>
      </c>
      <c r="CE19" s="105">
        <v>16135.519606422669</v>
      </c>
      <c r="CF19" s="105">
        <v>30.812207659218984</v>
      </c>
      <c r="CG19" s="105">
        <v>11905.837039522215</v>
      </c>
      <c r="CH19" s="105">
        <v>36.299803001777498</v>
      </c>
      <c r="CI19" s="105">
        <v>14026.243879886824</v>
      </c>
      <c r="CJ19" s="105">
        <v>52.252025043481126</v>
      </c>
      <c r="CK19" s="105">
        <v>20190.182476801107</v>
      </c>
      <c r="CL19" s="105">
        <v>55.511194112771953</v>
      </c>
      <c r="CM19" s="105">
        <v>21449.525405175082</v>
      </c>
      <c r="CN19" s="105">
        <v>39.694328726221343</v>
      </c>
      <c r="CO19" s="105">
        <v>15337.888619811925</v>
      </c>
      <c r="CP19" s="105">
        <v>46.400280877741679</v>
      </c>
      <c r="CQ19" s="105">
        <v>17929.068531159384</v>
      </c>
      <c r="CR19" s="105">
        <v>55.175554814508715</v>
      </c>
      <c r="CS19" s="105">
        <v>21319.834380326167</v>
      </c>
      <c r="CT19" s="105">
        <v>34.81825393197564</v>
      </c>
      <c r="CU19" s="105">
        <v>13453.773319315387</v>
      </c>
    </row>
    <row r="20" spans="2:99" x14ac:dyDescent="0.2">
      <c r="B20" s="104" t="s">
        <v>127</v>
      </c>
      <c r="C20" s="104" t="s">
        <v>186</v>
      </c>
      <c r="D20" s="105">
        <v>4.4892762512124476</v>
      </c>
      <c r="E20" s="105">
        <v>430.97052011639494</v>
      </c>
      <c r="F20" s="105">
        <v>6.2026680047396017</v>
      </c>
      <c r="G20" s="105">
        <v>595.45612845500182</v>
      </c>
      <c r="H20" s="105">
        <v>0</v>
      </c>
      <c r="I20" s="105">
        <v>0</v>
      </c>
      <c r="J20" s="105">
        <v>0</v>
      </c>
      <c r="K20" s="105">
        <v>0</v>
      </c>
      <c r="L20" s="105">
        <v>49.607029684695519</v>
      </c>
      <c r="M20" s="105">
        <v>4762.2748497307693</v>
      </c>
      <c r="N20" s="105">
        <v>35.320449957364701</v>
      </c>
      <c r="O20" s="105">
        <v>3390.7631959070113</v>
      </c>
      <c r="P20" s="105">
        <v>49.505313338008989</v>
      </c>
      <c r="Q20" s="105">
        <v>4752.5100804488629</v>
      </c>
      <c r="R20" s="105">
        <v>34.449915486809175</v>
      </c>
      <c r="S20" s="105">
        <v>3307.1918867336808</v>
      </c>
      <c r="T20" s="105">
        <v>38.969223843089537</v>
      </c>
      <c r="U20" s="105">
        <v>3741.0454889365956</v>
      </c>
      <c r="V20" s="105">
        <v>47.486680632484287</v>
      </c>
      <c r="W20" s="105">
        <v>4558.7213407184918</v>
      </c>
      <c r="X20" s="105">
        <v>49.030350951014675</v>
      </c>
      <c r="Y20" s="105">
        <v>4706.9136912974091</v>
      </c>
      <c r="Z20" s="105">
        <v>42.110095773789659</v>
      </c>
      <c r="AA20" s="105">
        <v>4042.5691942838075</v>
      </c>
      <c r="AB20" s="105">
        <v>46.415626546892547</v>
      </c>
      <c r="AC20" s="105">
        <v>4455.9001485016843</v>
      </c>
      <c r="AD20" s="105">
        <v>38.615535456568765</v>
      </c>
      <c r="AE20" s="105">
        <v>3707.0914038306014</v>
      </c>
      <c r="AF20" s="105">
        <v>43.295025948165275</v>
      </c>
      <c r="AG20" s="105">
        <v>4156.322491023866</v>
      </c>
      <c r="AH20" s="105">
        <v>30.597861770346444</v>
      </c>
      <c r="AI20" s="105">
        <v>2937.3947299532588</v>
      </c>
      <c r="AJ20" s="105">
        <v>50.357417622408711</v>
      </c>
      <c r="AK20" s="105">
        <v>4834.312091751236</v>
      </c>
      <c r="AL20" s="105">
        <v>46.366117629288823</v>
      </c>
      <c r="AM20" s="105">
        <v>4451.147292411727</v>
      </c>
      <c r="AN20" s="105">
        <v>45.481584928137778</v>
      </c>
      <c r="AO20" s="105">
        <v>4366.2321531012267</v>
      </c>
      <c r="AP20" s="105">
        <v>40.193634307816382</v>
      </c>
      <c r="AQ20" s="105">
        <v>3858.5888935503726</v>
      </c>
      <c r="AR20" s="105">
        <v>39.128495440550736</v>
      </c>
      <c r="AS20" s="105">
        <v>3756.3355622928707</v>
      </c>
      <c r="AT20" s="105">
        <v>37.748709210051288</v>
      </c>
      <c r="AU20" s="105">
        <v>3623.8760841649237</v>
      </c>
      <c r="AV20" s="105">
        <v>36.543689691340298</v>
      </c>
      <c r="AW20" s="105">
        <v>3508.1942103686688</v>
      </c>
      <c r="AX20" s="105">
        <v>42.704144802372113</v>
      </c>
      <c r="AY20" s="105">
        <v>4099.5979010277224</v>
      </c>
      <c r="AZ20" s="105">
        <v>41.547378556838645</v>
      </c>
      <c r="BA20" s="105">
        <v>3988.5483414565097</v>
      </c>
      <c r="BB20" s="105">
        <v>35.434725802491826</v>
      </c>
      <c r="BC20" s="105">
        <v>3401.7336770392153</v>
      </c>
      <c r="BD20" s="105">
        <v>38.649381052467874</v>
      </c>
      <c r="BE20" s="105">
        <v>3710.3405810369159</v>
      </c>
      <c r="BF20" s="105">
        <v>47.974988829301985</v>
      </c>
      <c r="BG20" s="105">
        <v>4605.5989276129903</v>
      </c>
      <c r="BH20" s="105">
        <v>38.755904050963046</v>
      </c>
      <c r="BI20" s="105">
        <v>3720.5667888924527</v>
      </c>
      <c r="BJ20" s="105">
        <v>53.479579307300071</v>
      </c>
      <c r="BK20" s="105">
        <v>5134.0396135008068</v>
      </c>
      <c r="BL20" s="105">
        <v>44.263205216119673</v>
      </c>
      <c r="BM20" s="105">
        <v>4249.2677007474886</v>
      </c>
      <c r="BN20" s="105">
        <v>45.35245906248133</v>
      </c>
      <c r="BO20" s="105">
        <v>4353.8360699982077</v>
      </c>
      <c r="BP20" s="105">
        <v>47.150367476667</v>
      </c>
      <c r="BQ20" s="105">
        <v>4526.4352777600325</v>
      </c>
      <c r="BR20" s="105">
        <v>34.699994818807994</v>
      </c>
      <c r="BS20" s="105">
        <v>3331.1995026055674</v>
      </c>
      <c r="BT20" s="105">
        <v>41.714182509751708</v>
      </c>
      <c r="BU20" s="105">
        <v>4004.561520936164</v>
      </c>
      <c r="BV20" s="105">
        <v>41.437313003232092</v>
      </c>
      <c r="BW20" s="105">
        <v>3977.9820483102808</v>
      </c>
      <c r="BX20" s="105">
        <v>34.830727054509659</v>
      </c>
      <c r="BY20" s="105">
        <v>3343.7497972329274</v>
      </c>
      <c r="BZ20" s="105">
        <v>50.307828331844576</v>
      </c>
      <c r="CA20" s="105">
        <v>4829.5515198570793</v>
      </c>
      <c r="CB20" s="105">
        <v>35.848701349961026</v>
      </c>
      <c r="CC20" s="105">
        <v>3441.4753295962582</v>
      </c>
      <c r="CD20" s="105">
        <v>46.381226768993322</v>
      </c>
      <c r="CE20" s="105">
        <v>4452.5977698233592</v>
      </c>
      <c r="CF20" s="105">
        <v>44.00517247401438</v>
      </c>
      <c r="CG20" s="105">
        <v>4224.4965575053802</v>
      </c>
      <c r="CH20" s="105">
        <v>35.549638836592074</v>
      </c>
      <c r="CI20" s="105">
        <v>3412.7653283128393</v>
      </c>
      <c r="CJ20" s="105">
        <v>45.821006576591145</v>
      </c>
      <c r="CK20" s="105">
        <v>4398.8166313527499</v>
      </c>
      <c r="CL20" s="105">
        <v>38.899690580132784</v>
      </c>
      <c r="CM20" s="105">
        <v>3734.3702956927473</v>
      </c>
      <c r="CN20" s="105">
        <v>47.289664568138818</v>
      </c>
      <c r="CO20" s="105">
        <v>4539.8077985413265</v>
      </c>
      <c r="CP20" s="105">
        <v>45.938485142739438</v>
      </c>
      <c r="CQ20" s="105">
        <v>4410.0945737029861</v>
      </c>
      <c r="CR20" s="105">
        <v>30.915894636433439</v>
      </c>
      <c r="CS20" s="105">
        <v>2967.9258850976103</v>
      </c>
      <c r="CT20" s="105">
        <v>40.767268999601427</v>
      </c>
      <c r="CU20" s="105">
        <v>3913.657823961737</v>
      </c>
    </row>
    <row r="21" spans="2:99" x14ac:dyDescent="0.2">
      <c r="C21" s="104" t="s">
        <v>187</v>
      </c>
      <c r="D21" s="105">
        <v>5.1306014299570828</v>
      </c>
      <c r="E21" s="105">
        <v>1243.6577866215966</v>
      </c>
      <c r="F21" s="105">
        <v>6.2026680047396017</v>
      </c>
      <c r="G21" s="105">
        <v>1503.5267243488793</v>
      </c>
      <c r="H21" s="105">
        <v>0</v>
      </c>
      <c r="I21" s="105">
        <v>0</v>
      </c>
      <c r="J21" s="105">
        <v>0</v>
      </c>
      <c r="K21" s="105">
        <v>0</v>
      </c>
      <c r="L21" s="105">
        <v>44.646326716225964</v>
      </c>
      <c r="M21" s="105">
        <v>10822.269596013173</v>
      </c>
      <c r="N21" s="105">
        <v>34.339326347437904</v>
      </c>
      <c r="O21" s="105">
        <v>8323.8527066189472</v>
      </c>
      <c r="P21" s="105">
        <v>45.644568931271188</v>
      </c>
      <c r="Q21" s="105">
        <v>11064.243508940135</v>
      </c>
      <c r="R21" s="105">
        <v>36.327319796493164</v>
      </c>
      <c r="S21" s="105">
        <v>8805.7423186699416</v>
      </c>
      <c r="T21" s="105">
        <v>42.673879776226613</v>
      </c>
      <c r="U21" s="105">
        <v>10344.14845775733</v>
      </c>
      <c r="V21" s="105">
        <v>45.876962644942452</v>
      </c>
      <c r="W21" s="105">
        <v>11120.575745134049</v>
      </c>
      <c r="X21" s="105">
        <v>42.063847907336907</v>
      </c>
      <c r="Y21" s="105">
        <v>10196.276732738464</v>
      </c>
      <c r="Z21" s="105">
        <v>44.598794125473319</v>
      </c>
      <c r="AA21" s="105">
        <v>10810.747696014731</v>
      </c>
      <c r="AB21" s="105">
        <v>45.386338750047258</v>
      </c>
      <c r="AC21" s="105">
        <v>11001.648513011454</v>
      </c>
      <c r="AD21" s="105">
        <v>37.663005299947486</v>
      </c>
      <c r="AE21" s="105">
        <v>9129.5124847072693</v>
      </c>
      <c r="AF21" s="105">
        <v>45.072595739915833</v>
      </c>
      <c r="AG21" s="105">
        <v>10925.597207355597</v>
      </c>
      <c r="AH21" s="105">
        <v>33.730315330915431</v>
      </c>
      <c r="AI21" s="105">
        <v>8176.2284362138998</v>
      </c>
      <c r="AJ21" s="105">
        <v>43.317704553252192</v>
      </c>
      <c r="AK21" s="105">
        <v>10500.211583708331</v>
      </c>
      <c r="AL21" s="105">
        <v>45.366117629288823</v>
      </c>
      <c r="AM21" s="105">
        <v>10996.74691333961</v>
      </c>
      <c r="AN21" s="105">
        <v>48.124575240150996</v>
      </c>
      <c r="AO21" s="105">
        <v>11665.397038212601</v>
      </c>
      <c r="AP21" s="105">
        <v>35.506721322862624</v>
      </c>
      <c r="AQ21" s="105">
        <v>8606.8292486618993</v>
      </c>
      <c r="AR21" s="105">
        <v>37.247072294680201</v>
      </c>
      <c r="AS21" s="105">
        <v>9028.6903242304797</v>
      </c>
      <c r="AT21" s="105">
        <v>35.648881315377778</v>
      </c>
      <c r="AU21" s="105">
        <v>8641.2888308475722</v>
      </c>
      <c r="AV21" s="105">
        <v>32.593116026916682</v>
      </c>
      <c r="AW21" s="105">
        <v>7900.5713249246028</v>
      </c>
      <c r="AX21" s="105">
        <v>38.903040035392593</v>
      </c>
      <c r="AY21" s="105">
        <v>9430.0969045791644</v>
      </c>
      <c r="AZ21" s="105">
        <v>39.547378556838645</v>
      </c>
      <c r="BA21" s="105">
        <v>9586.2845621776869</v>
      </c>
      <c r="BB21" s="105">
        <v>33.810205047298751</v>
      </c>
      <c r="BC21" s="105">
        <v>8195.5937034652161</v>
      </c>
      <c r="BD21" s="105">
        <v>32.599428663816497</v>
      </c>
      <c r="BE21" s="105">
        <v>7902.1015081091182</v>
      </c>
      <c r="BF21" s="105">
        <v>49.615162676732112</v>
      </c>
      <c r="BG21" s="105">
        <v>12026.715432839863</v>
      </c>
      <c r="BH21" s="105">
        <v>38.755904050963046</v>
      </c>
      <c r="BI21" s="105">
        <v>9394.4311419534424</v>
      </c>
      <c r="BJ21" s="105">
        <v>48.412603942065765</v>
      </c>
      <c r="BK21" s="105">
        <v>11735.215195556741</v>
      </c>
      <c r="BL21" s="105">
        <v>45.069362760274736</v>
      </c>
      <c r="BM21" s="105">
        <v>10924.813533090595</v>
      </c>
      <c r="BN21" s="105">
        <v>48.560689167405769</v>
      </c>
      <c r="BO21" s="105">
        <v>11771.111054179157</v>
      </c>
      <c r="BP21" s="105">
        <v>44.816106998045385</v>
      </c>
      <c r="BQ21" s="105">
        <v>10863.424336326199</v>
      </c>
      <c r="BR21" s="105">
        <v>38.599995558978279</v>
      </c>
      <c r="BS21" s="105">
        <v>9356.6389234963335</v>
      </c>
      <c r="BT21" s="105">
        <v>44.048965675300927</v>
      </c>
      <c r="BU21" s="105">
        <v>10677.469279692943</v>
      </c>
      <c r="BV21" s="105">
        <v>39.388722669539639</v>
      </c>
      <c r="BW21" s="105">
        <v>9547.826375096407</v>
      </c>
      <c r="BX21" s="105">
        <v>30.6662013081509</v>
      </c>
      <c r="BY21" s="105">
        <v>7433.4871970957774</v>
      </c>
      <c r="BZ21" s="105">
        <v>49.32972394175453</v>
      </c>
      <c r="CA21" s="105">
        <v>11957.525083481298</v>
      </c>
      <c r="CB21" s="105">
        <v>39.419163351960151</v>
      </c>
      <c r="CC21" s="105">
        <v>9555.2051965151404</v>
      </c>
      <c r="CD21" s="105">
        <v>45.47381539729232</v>
      </c>
      <c r="CE21" s="105">
        <v>11022.852852303657</v>
      </c>
      <c r="CF21" s="105">
        <v>42.183139697709549</v>
      </c>
      <c r="CG21" s="105">
        <v>10225.193062724793</v>
      </c>
      <c r="CH21" s="105">
        <v>34.549638836592074</v>
      </c>
      <c r="CI21" s="105">
        <v>8374.8324539899186</v>
      </c>
      <c r="CJ21" s="105">
        <v>45.017129268229894</v>
      </c>
      <c r="CK21" s="105">
        <v>10912.152134618926</v>
      </c>
      <c r="CL21" s="105">
        <v>38.899690580132784</v>
      </c>
      <c r="CM21" s="105">
        <v>9429.2849966241865</v>
      </c>
      <c r="CN21" s="105">
        <v>54.8850004100563</v>
      </c>
      <c r="CO21" s="105">
        <v>13304.124099397646</v>
      </c>
      <c r="CP21" s="105">
        <v>45.898538927020802</v>
      </c>
      <c r="CQ21" s="105">
        <v>11125.805835909841</v>
      </c>
      <c r="CR21" s="105">
        <v>34.834964388620726</v>
      </c>
      <c r="CS21" s="105">
        <v>8443.9953678016627</v>
      </c>
      <c r="CT21" s="105">
        <v>38.354832499104234</v>
      </c>
      <c r="CU21" s="105">
        <v>9297.2113977828649</v>
      </c>
    </row>
    <row r="22" spans="2:99" x14ac:dyDescent="0.2">
      <c r="C22" s="104" t="s">
        <v>188</v>
      </c>
      <c r="D22" s="105">
        <v>4.4892762512124476</v>
      </c>
      <c r="E22" s="105">
        <v>280.1308380756567</v>
      </c>
      <c r="F22" s="105">
        <v>6.8918533385995575</v>
      </c>
      <c r="G22" s="105">
        <v>430.05164832861237</v>
      </c>
      <c r="H22" s="105">
        <v>0</v>
      </c>
      <c r="I22" s="105">
        <v>0</v>
      </c>
      <c r="J22" s="105">
        <v>0</v>
      </c>
      <c r="K22" s="105">
        <v>0</v>
      </c>
      <c r="L22" s="105">
        <v>48.614889091001601</v>
      </c>
      <c r="M22" s="105">
        <v>3033.5690792784999</v>
      </c>
      <c r="N22" s="105">
        <v>36.301573567291499</v>
      </c>
      <c r="O22" s="105">
        <v>2265.2181905989896</v>
      </c>
      <c r="P22" s="105">
        <v>50.580441344439301</v>
      </c>
      <c r="Q22" s="105">
        <v>3156.2195398930121</v>
      </c>
      <c r="R22" s="105">
        <v>34.40301277877365</v>
      </c>
      <c r="S22" s="105">
        <v>2146.7479973954755</v>
      </c>
      <c r="T22" s="105">
        <v>42.76766806125574</v>
      </c>
      <c r="U22" s="105">
        <v>2668.7024870223581</v>
      </c>
      <c r="V22" s="105">
        <v>45.876962644942452</v>
      </c>
      <c r="W22" s="105">
        <v>2862.7224690444091</v>
      </c>
      <c r="X22" s="105">
        <v>48.743714464416144</v>
      </c>
      <c r="Y22" s="105">
        <v>3041.6077825795674</v>
      </c>
      <c r="Z22" s="105">
        <v>45.415175162379036</v>
      </c>
      <c r="AA22" s="105">
        <v>2833.9069301324516</v>
      </c>
      <c r="AB22" s="105">
        <v>42.625641969856581</v>
      </c>
      <c r="AC22" s="105">
        <v>2659.8400589190505</v>
      </c>
      <c r="AD22" s="105">
        <v>36.757232342573289</v>
      </c>
      <c r="AE22" s="105">
        <v>2293.6512981765732</v>
      </c>
      <c r="AF22" s="105">
        <v>51.498556019673295</v>
      </c>
      <c r="AG22" s="105">
        <v>3213.5098956276133</v>
      </c>
      <c r="AH22" s="105">
        <v>32.937439697227362</v>
      </c>
      <c r="AI22" s="105">
        <v>2055.2962371069875</v>
      </c>
      <c r="AJ22" s="105">
        <v>47.317704553252192</v>
      </c>
      <c r="AK22" s="105">
        <v>2952.6247641229365</v>
      </c>
      <c r="AL22" s="105">
        <v>53.320352925627716</v>
      </c>
      <c r="AM22" s="105">
        <v>3327.1900225591694</v>
      </c>
      <c r="AN22" s="105">
        <v>48.920841299450835</v>
      </c>
      <c r="AO22" s="105">
        <v>3052.660497085732</v>
      </c>
      <c r="AP22" s="105">
        <v>35.506721322862624</v>
      </c>
      <c r="AQ22" s="105">
        <v>2215.6194105466279</v>
      </c>
      <c r="AR22" s="105">
        <v>32.590124509187611</v>
      </c>
      <c r="AS22" s="105">
        <v>2033.6237693733069</v>
      </c>
      <c r="AT22" s="105">
        <v>32.648881315377778</v>
      </c>
      <c r="AU22" s="105">
        <v>2037.2901940795732</v>
      </c>
      <c r="AV22" s="105">
        <v>32.543689691340298</v>
      </c>
      <c r="AW22" s="105">
        <v>2030.7262367396345</v>
      </c>
      <c r="AX22" s="105">
        <v>39.84165946190798</v>
      </c>
      <c r="AY22" s="105">
        <v>2486.1195504230577</v>
      </c>
      <c r="AZ22" s="105">
        <v>44.497616869853317</v>
      </c>
      <c r="BA22" s="105">
        <v>2776.6512926788469</v>
      </c>
      <c r="BB22" s="105">
        <v>39.557892844073137</v>
      </c>
      <c r="BC22" s="105">
        <v>2468.4125134701635</v>
      </c>
      <c r="BD22" s="105">
        <v>37.599428663816497</v>
      </c>
      <c r="BE22" s="105">
        <v>2346.2043486221492</v>
      </c>
      <c r="BF22" s="105">
        <v>46.375809707254675</v>
      </c>
      <c r="BG22" s="105">
        <v>2893.8505257326915</v>
      </c>
      <c r="BH22" s="105">
        <v>39.460556851889649</v>
      </c>
      <c r="BI22" s="105">
        <v>2462.3387475579138</v>
      </c>
      <c r="BJ22" s="105">
        <v>52.351004452161447</v>
      </c>
      <c r="BK22" s="105">
        <v>3266.7026778148743</v>
      </c>
      <c r="BL22" s="105">
        <v>48.102200345904208</v>
      </c>
      <c r="BM22" s="105">
        <v>3001.5773015844225</v>
      </c>
      <c r="BN22" s="105">
        <v>52.610725670701235</v>
      </c>
      <c r="BO22" s="105">
        <v>3282.909281851757</v>
      </c>
      <c r="BP22" s="105">
        <v>51.079564766389247</v>
      </c>
      <c r="BQ22" s="105">
        <v>3187.3648414226891</v>
      </c>
      <c r="BR22" s="105">
        <v>38.599995558978279</v>
      </c>
      <c r="BS22" s="105">
        <v>2408.6397228802443</v>
      </c>
      <c r="BT22" s="105">
        <v>42.570167995776245</v>
      </c>
      <c r="BU22" s="105">
        <v>2656.3784829364376</v>
      </c>
      <c r="BV22" s="105">
        <v>43.340132335847187</v>
      </c>
      <c r="BW22" s="105">
        <v>2704.4242577568643</v>
      </c>
      <c r="BX22" s="105">
        <v>30.62657247475742</v>
      </c>
      <c r="BY22" s="105">
        <v>1911.098122424863</v>
      </c>
      <c r="BZ22" s="105">
        <v>52.264037112024667</v>
      </c>
      <c r="CA22" s="105">
        <v>3261.2759157903392</v>
      </c>
      <c r="CB22" s="105">
        <v>36.533947574550105</v>
      </c>
      <c r="CC22" s="105">
        <v>2279.7183286519266</v>
      </c>
      <c r="CD22" s="105">
        <v>48.153260114116335</v>
      </c>
      <c r="CE22" s="105">
        <v>3004.7634311208594</v>
      </c>
      <c r="CF22" s="105">
        <v>39.621829081430789</v>
      </c>
      <c r="CG22" s="105">
        <v>2472.402134681281</v>
      </c>
      <c r="CH22" s="105">
        <v>33.599606003554989</v>
      </c>
      <c r="CI22" s="105">
        <v>2096.6154146218314</v>
      </c>
      <c r="CJ22" s="105">
        <v>40.997742726423652</v>
      </c>
      <c r="CK22" s="105">
        <v>2558.2591461288357</v>
      </c>
      <c r="CL22" s="105">
        <v>37.899690580132784</v>
      </c>
      <c r="CM22" s="105">
        <v>2364.9406922002859</v>
      </c>
      <c r="CN22" s="105">
        <v>56.748102624656866</v>
      </c>
      <c r="CO22" s="105">
        <v>3541.0816037785885</v>
      </c>
      <c r="CP22" s="105">
        <v>42.70281801575392</v>
      </c>
      <c r="CQ22" s="105">
        <v>2664.6558441830443</v>
      </c>
      <c r="CR22" s="105">
        <v>34.834964388620726</v>
      </c>
      <c r="CS22" s="105">
        <v>2173.7017778499335</v>
      </c>
      <c r="CT22" s="105">
        <v>42.375559999932882</v>
      </c>
      <c r="CU22" s="105">
        <v>2644.2349439958116</v>
      </c>
    </row>
    <row r="23" spans="2:99" x14ac:dyDescent="0.2">
      <c r="C23" s="104" t="s">
        <v>189</v>
      </c>
      <c r="D23" s="105">
        <v>5.1306014299570828</v>
      </c>
      <c r="E23" s="105">
        <v>1434.5161598160003</v>
      </c>
      <c r="F23" s="105">
        <v>6.8918533385995575</v>
      </c>
      <c r="G23" s="105">
        <v>1926.962193472436</v>
      </c>
      <c r="H23" s="105">
        <v>0</v>
      </c>
      <c r="I23" s="105">
        <v>0</v>
      </c>
      <c r="J23" s="105">
        <v>0</v>
      </c>
      <c r="K23" s="105">
        <v>0</v>
      </c>
      <c r="L23" s="105">
        <v>48.614889091001601</v>
      </c>
      <c r="M23" s="105">
        <v>13592.722989844046</v>
      </c>
      <c r="N23" s="105">
        <v>32.37707912758431</v>
      </c>
      <c r="O23" s="105">
        <v>9052.6313240725722</v>
      </c>
      <c r="P23" s="105">
        <v>47.648235737804001</v>
      </c>
      <c r="Q23" s="105">
        <v>13322.446712289997</v>
      </c>
      <c r="R23" s="105">
        <v>32.478705761054137</v>
      </c>
      <c r="S23" s="105">
        <v>9081.0461307907353</v>
      </c>
      <c r="T23" s="105">
        <v>37.984442181662061</v>
      </c>
      <c r="U23" s="105">
        <v>10620.450033992711</v>
      </c>
      <c r="V23" s="105">
        <v>41.852667676087847</v>
      </c>
      <c r="W23" s="105">
        <v>11702.00588223416</v>
      </c>
      <c r="X23" s="105">
        <v>48.159538070554959</v>
      </c>
      <c r="Y23" s="105">
        <v>13465.406844527164</v>
      </c>
      <c r="Z23" s="105">
        <v>46.152445717351711</v>
      </c>
      <c r="AA23" s="105">
        <v>12904.223822571537</v>
      </c>
      <c r="AB23" s="105">
        <v>45.433076837239433</v>
      </c>
      <c r="AC23" s="105">
        <v>12703.088283692145</v>
      </c>
      <c r="AD23" s="105">
        <v>33.946399071956549</v>
      </c>
      <c r="AE23" s="105">
        <v>9491.41318051905</v>
      </c>
      <c r="AF23" s="105">
        <v>48.764045995837286</v>
      </c>
      <c r="AG23" s="105">
        <v>13634.427260436103</v>
      </c>
      <c r="AH23" s="105">
        <v>35.316066598291577</v>
      </c>
      <c r="AI23" s="105">
        <v>9874.3722208823237</v>
      </c>
      <c r="AJ23" s="105">
        <v>40.357417622408711</v>
      </c>
      <c r="AK23" s="105">
        <v>11283.933967225474</v>
      </c>
      <c r="AL23" s="105">
        <v>48.366117629288823</v>
      </c>
      <c r="AM23" s="105">
        <v>13523.166489149153</v>
      </c>
      <c r="AN23" s="105">
        <v>42.753863904753317</v>
      </c>
      <c r="AO23" s="105">
        <v>11953.980347769026</v>
      </c>
      <c r="AP23" s="105">
        <v>32.618843395411766</v>
      </c>
      <c r="AQ23" s="105">
        <v>9120.2286133571288</v>
      </c>
      <c r="AR23" s="105">
        <v>33.530836082122875</v>
      </c>
      <c r="AS23" s="105">
        <v>9375.2217685615542</v>
      </c>
      <c r="AT23" s="105">
        <v>33.698795262714533</v>
      </c>
      <c r="AU23" s="105">
        <v>9422.1831554549826</v>
      </c>
      <c r="AV23" s="105">
        <v>35.642542362493074</v>
      </c>
      <c r="AW23" s="105">
        <v>9965.6548445530625</v>
      </c>
      <c r="AX23" s="105">
        <v>36.04055469492846</v>
      </c>
      <c r="AY23" s="105">
        <v>10076.939092701996</v>
      </c>
      <c r="AZ23" s="105">
        <v>42.497616869853317</v>
      </c>
      <c r="BA23" s="105">
        <v>11882.333676810986</v>
      </c>
      <c r="BB23" s="105">
        <v>36.267607897954569</v>
      </c>
      <c r="BC23" s="105">
        <v>10140.423168268097</v>
      </c>
      <c r="BD23" s="105">
        <v>31.64938105246787</v>
      </c>
      <c r="BE23" s="105">
        <v>8849.1669422700161</v>
      </c>
      <c r="BF23" s="105">
        <v>46.375809707254675</v>
      </c>
      <c r="BG23" s="105">
        <v>12966.676394148406</v>
      </c>
      <c r="BH23" s="105">
        <v>35.937292847256643</v>
      </c>
      <c r="BI23" s="105">
        <v>10048.067080092957</v>
      </c>
      <c r="BJ23" s="105">
        <v>43.489603304446156</v>
      </c>
      <c r="BK23" s="105">
        <v>12159.693083923145</v>
      </c>
      <c r="BL23" s="105">
        <v>45.107721278472887</v>
      </c>
      <c r="BM23" s="105">
        <v>12612.118869461017</v>
      </c>
      <c r="BN23" s="105">
        <v>49.40249556577681</v>
      </c>
      <c r="BO23" s="105">
        <v>13812.937760191195</v>
      </c>
      <c r="BP23" s="105">
        <v>40.925672867009347</v>
      </c>
      <c r="BQ23" s="105">
        <v>11442.818133615812</v>
      </c>
      <c r="BR23" s="105">
        <v>34.599995558978279</v>
      </c>
      <c r="BS23" s="105">
        <v>9674.1587582903248</v>
      </c>
      <c r="BT23" s="105">
        <v>41.013645885410099</v>
      </c>
      <c r="BU23" s="105">
        <v>11467.415389560663</v>
      </c>
      <c r="BV23" s="105">
        <v>41.388722669539639</v>
      </c>
      <c r="BW23" s="105">
        <v>11572.286858403282</v>
      </c>
      <c r="BX23" s="105">
        <v>29.785741558806972</v>
      </c>
      <c r="BY23" s="105">
        <v>8328.0933398424277</v>
      </c>
      <c r="BZ23" s="105">
        <v>57.154559062474895</v>
      </c>
      <c r="CA23" s="105">
        <v>15980.414713867978</v>
      </c>
      <c r="CB23" s="105">
        <v>37.219193799139198</v>
      </c>
      <c r="CC23" s="105">
        <v>10406.486586239318</v>
      </c>
      <c r="CD23" s="105">
        <v>47.245848742415333</v>
      </c>
      <c r="CE23" s="105">
        <v>13209.939308379326</v>
      </c>
      <c r="CF23" s="105">
        <v>37.060518465152022</v>
      </c>
      <c r="CG23" s="105">
        <v>10362.120962856505</v>
      </c>
      <c r="CH23" s="105">
        <v>31.599606003554992</v>
      </c>
      <c r="CI23" s="105">
        <v>8835.2498385939743</v>
      </c>
      <c r="CJ23" s="105">
        <v>36.978356184617418</v>
      </c>
      <c r="CK23" s="105">
        <v>10339.148389219028</v>
      </c>
      <c r="CL23" s="105">
        <v>35.899690580132784</v>
      </c>
      <c r="CM23" s="105">
        <v>10037.553486205124</v>
      </c>
      <c r="CN23" s="105">
        <v>50.155781381797276</v>
      </c>
      <c r="CO23" s="105">
        <v>14023.556474350517</v>
      </c>
      <c r="CP23" s="105">
        <v>48.295329610470972</v>
      </c>
      <c r="CQ23" s="105">
        <v>13503.374159087682</v>
      </c>
      <c r="CR23" s="105">
        <v>30.87732235094759</v>
      </c>
      <c r="CS23" s="105">
        <v>8633.2993293249456</v>
      </c>
      <c r="CT23" s="105">
        <v>42.335560429124676</v>
      </c>
      <c r="CU23" s="105">
        <v>11837.022695983258</v>
      </c>
    </row>
    <row r="24" spans="2:99" x14ac:dyDescent="0.2">
      <c r="C24" s="104" t="s">
        <v>190</v>
      </c>
      <c r="D24" s="105">
        <v>5.1306014299570828</v>
      </c>
      <c r="E24" s="105">
        <v>1563.8073158509189</v>
      </c>
      <c r="F24" s="105">
        <v>6.8918533385995575</v>
      </c>
      <c r="G24" s="105">
        <v>2100.6368976051454</v>
      </c>
      <c r="H24" s="105">
        <v>0</v>
      </c>
      <c r="I24" s="105">
        <v>0</v>
      </c>
      <c r="J24" s="105">
        <v>0</v>
      </c>
      <c r="K24" s="105">
        <v>0</v>
      </c>
      <c r="L24" s="105">
        <v>40.67776434145032</v>
      </c>
      <c r="M24" s="105">
        <v>12398.582571274059</v>
      </c>
      <c r="N24" s="105">
        <v>33.358202737511107</v>
      </c>
      <c r="O24" s="105">
        <v>10167.580194393386</v>
      </c>
      <c r="P24" s="105">
        <v>47.55050960025212</v>
      </c>
      <c r="Q24" s="105">
        <v>14493.395326156846</v>
      </c>
      <c r="R24" s="105">
        <v>31.586906314247663</v>
      </c>
      <c r="S24" s="105">
        <v>9627.6890445826884</v>
      </c>
      <c r="T24" s="105">
        <v>39.016117985604097</v>
      </c>
      <c r="U24" s="105">
        <v>11892.11276201213</v>
      </c>
      <c r="V24" s="105">
        <v>39.438090694775092</v>
      </c>
      <c r="W24" s="105">
        <v>12020.730043767448</v>
      </c>
      <c r="X24" s="105">
        <v>43.662155424957078</v>
      </c>
      <c r="Y24" s="105">
        <v>13308.224973526918</v>
      </c>
      <c r="Z24" s="105">
        <v>41.254159495917428</v>
      </c>
      <c r="AA24" s="105">
        <v>12574.267814355633</v>
      </c>
      <c r="AB24" s="105">
        <v>42.625641969856581</v>
      </c>
      <c r="AC24" s="105">
        <v>12992.295672412287</v>
      </c>
      <c r="AD24" s="105">
        <v>33.899641872709473</v>
      </c>
      <c r="AE24" s="105">
        <v>10332.610842801849</v>
      </c>
      <c r="AF24" s="105">
        <v>48.718609105030509</v>
      </c>
      <c r="AG24" s="105">
        <v>14849.432055213299</v>
      </c>
      <c r="AH24" s="105">
        <v>35.316066598291577</v>
      </c>
      <c r="AI24" s="105">
        <v>10764.337099159273</v>
      </c>
      <c r="AJ24" s="105">
        <v>44.357417622408711</v>
      </c>
      <c r="AK24" s="105">
        <v>13520.140891310175</v>
      </c>
      <c r="AL24" s="105">
        <v>49.366117629288823</v>
      </c>
      <c r="AM24" s="105">
        <v>15046.792653407234</v>
      </c>
      <c r="AN24" s="105">
        <v>40.991870363411174</v>
      </c>
      <c r="AO24" s="105">
        <v>12494.322086767726</v>
      </c>
      <c r="AP24" s="105">
        <v>34.559872458812045</v>
      </c>
      <c r="AQ24" s="105">
        <v>10533.849125445911</v>
      </c>
      <c r="AR24" s="105">
        <v>32.496904350820138</v>
      </c>
      <c r="AS24" s="105">
        <v>9905.0564461299782</v>
      </c>
      <c r="AT24" s="105">
        <v>36.698795262714533</v>
      </c>
      <c r="AU24" s="105">
        <v>11185.79279607539</v>
      </c>
      <c r="AV24" s="105">
        <v>35.543689691340298</v>
      </c>
      <c r="AW24" s="105">
        <v>10833.716617920523</v>
      </c>
      <c r="AX24" s="105">
        <v>42.610890680536158</v>
      </c>
      <c r="AY24" s="105">
        <v>12987.799479427422</v>
      </c>
      <c r="AZ24" s="105">
        <v>39.497616869853317</v>
      </c>
      <c r="BA24" s="105">
        <v>12038.873621931292</v>
      </c>
      <c r="BB24" s="105">
        <v>36.226364462222158</v>
      </c>
      <c r="BC24" s="105">
        <v>11041.795888085315</v>
      </c>
      <c r="BD24" s="105">
        <v>33.599428663816497</v>
      </c>
      <c r="BE24" s="105">
        <v>10241.105856731268</v>
      </c>
      <c r="BF24" s="105">
        <v>50.476244325830002</v>
      </c>
      <c r="BG24" s="105">
        <v>15385.159270512986</v>
      </c>
      <c r="BH24" s="105">
        <v>35.232640046330047</v>
      </c>
      <c r="BI24" s="105">
        <v>10738.908686121398</v>
      </c>
      <c r="BJ24" s="105">
        <v>45.458803559494001</v>
      </c>
      <c r="BK24" s="105">
        <v>13855.843324933772</v>
      </c>
      <c r="BL24" s="105">
        <v>41.268726148688351</v>
      </c>
      <c r="BM24" s="105">
        <v>12578.70773012021</v>
      </c>
      <c r="BN24" s="105">
        <v>45.35245906248133</v>
      </c>
      <c r="BO24" s="105">
        <v>13823.429522244311</v>
      </c>
      <c r="BP24" s="105">
        <v>46.411043809146015</v>
      </c>
      <c r="BQ24" s="105">
        <v>14146.086153027705</v>
      </c>
      <c r="BR24" s="105">
        <v>34.699994818807994</v>
      </c>
      <c r="BS24" s="105">
        <v>10576.558420772677</v>
      </c>
      <c r="BT24" s="105">
        <v>45.644350001087808</v>
      </c>
      <c r="BU24" s="105">
        <v>13912.397880331564</v>
      </c>
      <c r="BV24" s="105">
        <v>39.437313003232092</v>
      </c>
      <c r="BW24" s="105">
        <v>12020.493003385141</v>
      </c>
      <c r="BX24" s="105">
        <v>30.6662013081509</v>
      </c>
      <c r="BY24" s="105">
        <v>9347.0581587243942</v>
      </c>
      <c r="BZ24" s="105">
        <v>53.194974342420011</v>
      </c>
      <c r="CA24" s="105">
        <v>16213.82817956962</v>
      </c>
      <c r="CB24" s="105">
        <v>32.963485572550972</v>
      </c>
      <c r="CC24" s="105">
        <v>10047.270402513537</v>
      </c>
      <c r="CD24" s="105">
        <v>43.787360848727303</v>
      </c>
      <c r="CE24" s="105">
        <v>13346.387586692083</v>
      </c>
      <c r="CF24" s="105">
        <v>43.094156085861961</v>
      </c>
      <c r="CG24" s="105">
        <v>13135.098774970726</v>
      </c>
      <c r="CH24" s="105">
        <v>36.549638836592074</v>
      </c>
      <c r="CI24" s="105">
        <v>11140.329917393265</v>
      </c>
      <c r="CJ24" s="105">
        <v>40.997742726423652</v>
      </c>
      <c r="CK24" s="105">
        <v>12496.111983013931</v>
      </c>
      <c r="CL24" s="105">
        <v>34.999656200147541</v>
      </c>
      <c r="CM24" s="105">
        <v>10667.89520980497</v>
      </c>
      <c r="CN24" s="105">
        <v>50.060496726120469</v>
      </c>
      <c r="CO24" s="105">
        <v>15258.439402121519</v>
      </c>
      <c r="CP24" s="105">
        <v>48.295329610470972</v>
      </c>
      <c r="CQ24" s="105">
        <v>14720.416465271554</v>
      </c>
      <c r="CR24" s="105">
        <v>32.483522537308353</v>
      </c>
      <c r="CS24" s="105">
        <v>9900.9776693715867</v>
      </c>
      <c r="CT24" s="105">
        <v>41.571414499767158</v>
      </c>
      <c r="CU24" s="105">
        <v>12670.96713952903</v>
      </c>
    </row>
    <row r="25" spans="2:99" x14ac:dyDescent="0.2">
      <c r="C25" s="104" t="s">
        <v>191</v>
      </c>
      <c r="D25" s="105">
        <v>4.4892762512124476</v>
      </c>
      <c r="E25" s="105">
        <v>1459.912636894288</v>
      </c>
      <c r="F25" s="105">
        <v>6.2026680047396017</v>
      </c>
      <c r="G25" s="105">
        <v>2017.1076351413185</v>
      </c>
      <c r="H25" s="105">
        <v>0</v>
      </c>
      <c r="I25" s="105">
        <v>0</v>
      </c>
      <c r="J25" s="105">
        <v>0</v>
      </c>
      <c r="K25" s="105">
        <v>0</v>
      </c>
      <c r="L25" s="105">
        <v>41.669904935144231</v>
      </c>
      <c r="M25" s="105">
        <v>13551.053084908903</v>
      </c>
      <c r="N25" s="105">
        <v>35.320449957364701</v>
      </c>
      <c r="O25" s="105">
        <v>11486.210326135</v>
      </c>
      <c r="P25" s="105">
        <v>43.738628262290263</v>
      </c>
      <c r="Q25" s="105">
        <v>14223.801910896793</v>
      </c>
      <c r="R25" s="105">
        <v>32.478705761054137</v>
      </c>
      <c r="S25" s="105">
        <v>10562.075113494804</v>
      </c>
      <c r="T25" s="105">
        <v>42.76766806125574</v>
      </c>
      <c r="U25" s="105">
        <v>13908.045653520367</v>
      </c>
      <c r="V25" s="105">
        <v>42.657526669858768</v>
      </c>
      <c r="W25" s="105">
        <v>13872.227673038071</v>
      </c>
      <c r="X25" s="105">
        <v>49.030350951014675</v>
      </c>
      <c r="Y25" s="105">
        <v>15944.670129269973</v>
      </c>
      <c r="Z25" s="105">
        <v>42.110095773789659</v>
      </c>
      <c r="AA25" s="105">
        <v>13694.203145636397</v>
      </c>
      <c r="AB25" s="105">
        <v>43.514715505125366</v>
      </c>
      <c r="AC25" s="105">
        <v>14150.985482266769</v>
      </c>
      <c r="AD25" s="105">
        <v>33.852884673462398</v>
      </c>
      <c r="AE25" s="105">
        <v>11008.958095809972</v>
      </c>
      <c r="AF25" s="105">
        <v>45.11803263072261</v>
      </c>
      <c r="AG25" s="105">
        <v>14672.384211510993</v>
      </c>
      <c r="AH25" s="105">
        <v>33.808413279282043</v>
      </c>
      <c r="AI25" s="105">
        <v>10994.495998422521</v>
      </c>
      <c r="AJ25" s="105">
        <v>46.317704553252192</v>
      </c>
      <c r="AK25" s="105">
        <v>15062.517520717613</v>
      </c>
      <c r="AL25" s="105">
        <v>42.320352925627716</v>
      </c>
      <c r="AM25" s="105">
        <v>13762.578771414133</v>
      </c>
      <c r="AN25" s="105">
        <v>43.770673617715595</v>
      </c>
      <c r="AO25" s="105">
        <v>14234.22306048111</v>
      </c>
      <c r="AP25" s="105">
        <v>32.666174730710893</v>
      </c>
      <c r="AQ25" s="105">
        <v>10623.040022427182</v>
      </c>
      <c r="AR25" s="105">
        <v>34.22252095699092</v>
      </c>
      <c r="AS25" s="105">
        <v>11129.163815213447</v>
      </c>
      <c r="AT25" s="105">
        <v>33.748709210051288</v>
      </c>
      <c r="AU25" s="105">
        <v>10975.080235108679</v>
      </c>
      <c r="AV25" s="105">
        <v>35.642542362493074</v>
      </c>
      <c r="AW25" s="105">
        <v>11590.954776282748</v>
      </c>
      <c r="AX25" s="105">
        <v>39.84165946190798</v>
      </c>
      <c r="AY25" s="105">
        <v>12956.507657012475</v>
      </c>
      <c r="AZ25" s="105">
        <v>37.547378556838645</v>
      </c>
      <c r="BA25" s="105">
        <v>12210.407506683927</v>
      </c>
      <c r="BB25" s="105">
        <v>33.768961611566333</v>
      </c>
      <c r="BC25" s="105">
        <v>10981.666316081371</v>
      </c>
      <c r="BD25" s="105">
        <v>31.599428663816497</v>
      </c>
      <c r="BE25" s="105">
        <v>10276.134201473124</v>
      </c>
      <c r="BF25" s="105">
        <v>45.514728058156784</v>
      </c>
      <c r="BG25" s="105">
        <v>14801.389564512585</v>
      </c>
      <c r="BH25" s="105">
        <v>34.527987245403445</v>
      </c>
      <c r="BI25" s="105">
        <v>11228.501452205201</v>
      </c>
      <c r="BJ25" s="105">
        <v>50.525778924728307</v>
      </c>
      <c r="BK25" s="105">
        <v>16430.983306321647</v>
      </c>
      <c r="BL25" s="105">
        <v>46.528243775792241</v>
      </c>
      <c r="BM25" s="105">
        <v>15130.984875887636</v>
      </c>
      <c r="BN25" s="105">
        <v>49.40249556577681</v>
      </c>
      <c r="BO25" s="105">
        <v>16065.691557990618</v>
      </c>
      <c r="BP25" s="105">
        <v>45.594193824252592</v>
      </c>
      <c r="BQ25" s="105">
        <v>14827.231831646943</v>
      </c>
      <c r="BR25" s="105">
        <v>37.649995188893136</v>
      </c>
      <c r="BS25" s="105">
        <v>12243.778435428048</v>
      </c>
      <c r="BT25" s="105">
        <v>44.087827890721663</v>
      </c>
      <c r="BU25" s="105">
        <v>14337.361630062684</v>
      </c>
      <c r="BV25" s="105">
        <v>44.388722669539639</v>
      </c>
      <c r="BW25" s="105">
        <v>14435.21261213429</v>
      </c>
      <c r="BX25" s="105">
        <v>33.149065222608762</v>
      </c>
      <c r="BY25" s="105">
        <v>10780.076010392369</v>
      </c>
      <c r="BZ25" s="105">
        <v>56.176454672384843</v>
      </c>
      <c r="CA25" s="105">
        <v>18268.58305945955</v>
      </c>
      <c r="CB25" s="105">
        <v>33.648731797140059</v>
      </c>
      <c r="CC25" s="105">
        <v>10942.567580429946</v>
      </c>
      <c r="CD25" s="105">
        <v>41.150705530182286</v>
      </c>
      <c r="CE25" s="105">
        <v>13382.209438415279</v>
      </c>
      <c r="CF25" s="105">
        <v>43.051221448817344</v>
      </c>
      <c r="CG25" s="105">
        <v>14000.2572151554</v>
      </c>
      <c r="CH25" s="105">
        <v>34.649573170517904</v>
      </c>
      <c r="CI25" s="105">
        <v>11268.041195052421</v>
      </c>
      <c r="CJ25" s="105">
        <v>36.174478876256167</v>
      </c>
      <c r="CK25" s="105">
        <v>11763.940530558504</v>
      </c>
      <c r="CL25" s="105">
        <v>36.799724960118034</v>
      </c>
      <c r="CM25" s="105">
        <v>11967.270557030384</v>
      </c>
      <c r="CN25" s="105">
        <v>50.108139053958872</v>
      </c>
      <c r="CO25" s="105">
        <v>16295.166820347426</v>
      </c>
      <c r="CP25" s="105">
        <v>39.54704332020566</v>
      </c>
      <c r="CQ25" s="105">
        <v>12860.698487730881</v>
      </c>
      <c r="CR25" s="105">
        <v>33.267336487745808</v>
      </c>
      <c r="CS25" s="105">
        <v>10818.537825814936</v>
      </c>
      <c r="CT25" s="105">
        <v>39.963123499435696</v>
      </c>
      <c r="CU25" s="105">
        <v>12996.007762016488</v>
      </c>
    </row>
    <row r="26" spans="2:99" x14ac:dyDescent="0.2">
      <c r="C26" s="104" t="s">
        <v>192</v>
      </c>
      <c r="D26" s="105">
        <v>4.4892762512124476</v>
      </c>
      <c r="E26" s="105">
        <v>1287.52442884773</v>
      </c>
      <c r="F26" s="105">
        <v>6.8918533385995575</v>
      </c>
      <c r="G26" s="105">
        <v>1976.5835375103532</v>
      </c>
      <c r="H26" s="105">
        <v>0</v>
      </c>
      <c r="I26" s="105">
        <v>0</v>
      </c>
      <c r="J26" s="105">
        <v>0</v>
      </c>
      <c r="K26" s="105">
        <v>0</v>
      </c>
      <c r="L26" s="105">
        <v>48.614889091001601</v>
      </c>
      <c r="M26" s="105">
        <v>13942.750191299259</v>
      </c>
      <c r="N26" s="105">
        <v>35.320449957364701</v>
      </c>
      <c r="O26" s="105">
        <v>10129.905047772198</v>
      </c>
      <c r="P26" s="105">
        <v>49.554176406784926</v>
      </c>
      <c r="Q26" s="105">
        <v>14212.137793465918</v>
      </c>
      <c r="R26" s="105">
        <v>35.341714933615648</v>
      </c>
      <c r="S26" s="105">
        <v>10136.003842960969</v>
      </c>
      <c r="T26" s="105">
        <v>42.673879776226613</v>
      </c>
      <c r="U26" s="105">
        <v>12238.868719821794</v>
      </c>
      <c r="V26" s="105">
        <v>38.633231701004171</v>
      </c>
      <c r="W26" s="105">
        <v>11080.010851847997</v>
      </c>
      <c r="X26" s="105">
        <v>43.805473668256354</v>
      </c>
      <c r="Y26" s="105">
        <v>12563.409848055922</v>
      </c>
      <c r="Z26" s="105">
        <v>48.641144069035377</v>
      </c>
      <c r="AA26" s="105">
        <v>13950.280118999346</v>
      </c>
      <c r="AB26" s="105">
        <v>38.929133567204957</v>
      </c>
      <c r="AC26" s="105">
        <v>11164.875507074383</v>
      </c>
      <c r="AD26" s="105">
        <v>33.852884673462398</v>
      </c>
      <c r="AE26" s="105">
        <v>9709.0073243490169</v>
      </c>
      <c r="AF26" s="105">
        <v>43.340462838972059</v>
      </c>
      <c r="AG26" s="105">
        <v>12430.044742217187</v>
      </c>
      <c r="AH26" s="105">
        <v>36.108942231979647</v>
      </c>
      <c r="AI26" s="105">
        <v>10356.044632131763</v>
      </c>
      <c r="AJ26" s="105">
        <v>46.317704553252192</v>
      </c>
      <c r="AK26" s="105">
        <v>13283.917665872728</v>
      </c>
      <c r="AL26" s="105">
        <v>52.366117629288823</v>
      </c>
      <c r="AM26" s="105">
        <v>15018.602536080036</v>
      </c>
      <c r="AN26" s="105">
        <v>42.796229260438942</v>
      </c>
      <c r="AO26" s="105">
        <v>12273.958551893889</v>
      </c>
      <c r="AP26" s="105">
        <v>37.35308771566465</v>
      </c>
      <c r="AQ26" s="105">
        <v>10712.865556852623</v>
      </c>
      <c r="AR26" s="105">
        <v>34.471547655058146</v>
      </c>
      <c r="AS26" s="105">
        <v>9886.4398674706772</v>
      </c>
      <c r="AT26" s="105">
        <v>32.648881315377778</v>
      </c>
      <c r="AU26" s="105">
        <v>9363.699161250348</v>
      </c>
      <c r="AV26" s="105">
        <v>31.593116026916686</v>
      </c>
      <c r="AW26" s="105">
        <v>9060.9056765197056</v>
      </c>
      <c r="AX26" s="105">
        <v>36.04055469492846</v>
      </c>
      <c r="AY26" s="105">
        <v>10336.431086505483</v>
      </c>
      <c r="AZ26" s="105">
        <v>41.497616869853317</v>
      </c>
      <c r="BA26" s="105">
        <v>11901.516518273931</v>
      </c>
      <c r="BB26" s="105">
        <v>33.810205047298751</v>
      </c>
      <c r="BC26" s="105">
        <v>9696.7668075652819</v>
      </c>
      <c r="BD26" s="105">
        <v>34.649381052467874</v>
      </c>
      <c r="BE26" s="105">
        <v>9937.4424858477869</v>
      </c>
      <c r="BF26" s="105">
        <v>47.974988829301985</v>
      </c>
      <c r="BG26" s="105">
        <v>13759.226796243809</v>
      </c>
      <c r="BH26" s="105">
        <v>35.232640046330047</v>
      </c>
      <c r="BI26" s="105">
        <v>10104.721165287458</v>
      </c>
      <c r="BJ26" s="105">
        <v>48.556578669680462</v>
      </c>
      <c r="BK26" s="105">
        <v>13926.026762464357</v>
      </c>
      <c r="BL26" s="105">
        <v>42.036525174645263</v>
      </c>
      <c r="BM26" s="105">
        <v>12056.075420088262</v>
      </c>
      <c r="BN26" s="105">
        <v>44.590150408390159</v>
      </c>
      <c r="BO26" s="105">
        <v>12788.455137126299</v>
      </c>
      <c r="BP26" s="105">
        <v>41.664996534530339</v>
      </c>
      <c r="BQ26" s="105">
        <v>11949.521006103301</v>
      </c>
      <c r="BR26" s="105">
        <v>31.599995558978279</v>
      </c>
      <c r="BS26" s="105">
        <v>9062.8787263149716</v>
      </c>
      <c r="BT26" s="105">
        <v>40.974783669989371</v>
      </c>
      <c r="BU26" s="105">
        <v>11751.567956552952</v>
      </c>
      <c r="BV26" s="105">
        <v>38.340132335847187</v>
      </c>
      <c r="BW26" s="105">
        <v>10995.949953920974</v>
      </c>
      <c r="BX26" s="105">
        <v>29.86499922559393</v>
      </c>
      <c r="BY26" s="105">
        <v>8565.2817779003399</v>
      </c>
      <c r="BZ26" s="105">
        <v>48.304452391969782</v>
      </c>
      <c r="CA26" s="105">
        <v>13853.716946016933</v>
      </c>
      <c r="CB26" s="105">
        <v>37.255251518902618</v>
      </c>
      <c r="CC26" s="105">
        <v>10684.806135621271</v>
      </c>
      <c r="CD26" s="105">
        <v>44.609193423870309</v>
      </c>
      <c r="CE26" s="105">
        <v>12793.916673966005</v>
      </c>
      <c r="CF26" s="105">
        <v>41.400927220690996</v>
      </c>
      <c r="CG26" s="105">
        <v>11873.785926894177</v>
      </c>
      <c r="CH26" s="105">
        <v>36.549638836592074</v>
      </c>
      <c r="CI26" s="105">
        <v>10482.436418334608</v>
      </c>
      <c r="CJ26" s="105">
        <v>37.782233492978662</v>
      </c>
      <c r="CK26" s="105">
        <v>10835.944565786282</v>
      </c>
      <c r="CL26" s="105">
        <v>38.899690580132784</v>
      </c>
      <c r="CM26" s="105">
        <v>11156.431258382083</v>
      </c>
      <c r="CN26" s="105">
        <v>49.152766782739384</v>
      </c>
      <c r="CO26" s="105">
        <v>14097.013513289656</v>
      </c>
      <c r="CP26" s="105">
        <v>41.104957560120475</v>
      </c>
      <c r="CQ26" s="105">
        <v>11788.901828242553</v>
      </c>
      <c r="CR26" s="105">
        <v>30.170652971481839</v>
      </c>
      <c r="CS26" s="105">
        <v>8652.9432722209913</v>
      </c>
      <c r="CT26" s="105">
        <v>38.274833357487815</v>
      </c>
      <c r="CU26" s="105">
        <v>10977.222206927505</v>
      </c>
    </row>
    <row r="27" spans="2:99" x14ac:dyDescent="0.2">
      <c r="C27" s="104" t="s">
        <v>193</v>
      </c>
      <c r="D27" s="105">
        <v>4.4892762512124476</v>
      </c>
      <c r="E27" s="105">
        <v>1416.8155848826482</v>
      </c>
      <c r="F27" s="105">
        <v>5.5134826708796458</v>
      </c>
      <c r="G27" s="105">
        <v>1740.0551309296161</v>
      </c>
      <c r="H27" s="105">
        <v>0</v>
      </c>
      <c r="I27" s="105">
        <v>0</v>
      </c>
      <c r="J27" s="105">
        <v>0</v>
      </c>
      <c r="K27" s="105">
        <v>0</v>
      </c>
      <c r="L27" s="105">
        <v>49.607029684695519</v>
      </c>
      <c r="M27" s="105">
        <v>15655.978568489903</v>
      </c>
      <c r="N27" s="105">
        <v>32.37707912758431</v>
      </c>
      <c r="O27" s="105">
        <v>10218.206172665607</v>
      </c>
      <c r="P27" s="105">
        <v>43.640902124738382</v>
      </c>
      <c r="Q27" s="105">
        <v>13773.068710567431</v>
      </c>
      <c r="R27" s="105">
        <v>31.586906314247663</v>
      </c>
      <c r="S27" s="105">
        <v>9968.8276327765616</v>
      </c>
      <c r="T27" s="105">
        <v>38.078230466691188</v>
      </c>
      <c r="U27" s="105">
        <v>12017.489535287737</v>
      </c>
      <c r="V27" s="105">
        <v>44.26724465740061</v>
      </c>
      <c r="W27" s="105">
        <v>13970.742413875631</v>
      </c>
      <c r="X27" s="105">
        <v>43.662155424957078</v>
      </c>
      <c r="Y27" s="105">
        <v>13779.776252116451</v>
      </c>
      <c r="Z27" s="105">
        <v>43.703302606634573</v>
      </c>
      <c r="AA27" s="105">
        <v>13792.762302653869</v>
      </c>
      <c r="AB27" s="105">
        <v>42.625641969856581</v>
      </c>
      <c r="AC27" s="105">
        <v>13452.652605686735</v>
      </c>
      <c r="AD27" s="105">
        <v>36.710475143326214</v>
      </c>
      <c r="AE27" s="105">
        <v>11585.825955233751</v>
      </c>
      <c r="AF27" s="105">
        <v>45.984099081194501</v>
      </c>
      <c r="AG27" s="105">
        <v>14512.581670024983</v>
      </c>
      <c r="AH27" s="105">
        <v>34.601288912970119</v>
      </c>
      <c r="AI27" s="105">
        <v>10920.166780933368</v>
      </c>
      <c r="AJ27" s="105">
        <v>47.357417622408711</v>
      </c>
      <c r="AK27" s="105">
        <v>14946.001001632188</v>
      </c>
      <c r="AL27" s="105">
        <v>50.366117629288823</v>
      </c>
      <c r="AM27" s="105">
        <v>15895.546723803551</v>
      </c>
      <c r="AN27" s="105">
        <v>46.27785098743761</v>
      </c>
      <c r="AO27" s="105">
        <v>14605.289771635307</v>
      </c>
      <c r="AP27" s="105">
        <v>34.559872458812045</v>
      </c>
      <c r="AQ27" s="105">
        <v>10907.09574800108</v>
      </c>
      <c r="AR27" s="105">
        <v>31.556192777884871</v>
      </c>
      <c r="AS27" s="105">
        <v>9959.1344407004635</v>
      </c>
      <c r="AT27" s="105">
        <v>34.698795262714533</v>
      </c>
      <c r="AU27" s="105">
        <v>10950.939784912705</v>
      </c>
      <c r="AV27" s="105">
        <v>35.593116026916682</v>
      </c>
      <c r="AW27" s="105">
        <v>11233.187418094903</v>
      </c>
      <c r="AX27" s="105">
        <v>36.979174121443847</v>
      </c>
      <c r="AY27" s="105">
        <v>11670.627352727677</v>
      </c>
      <c r="AZ27" s="105">
        <v>39.497616869853317</v>
      </c>
      <c r="BA27" s="105">
        <v>12465.447884125706</v>
      </c>
      <c r="BB27" s="105">
        <v>37.974615524612474</v>
      </c>
      <c r="BC27" s="105">
        <v>11984.788659567696</v>
      </c>
      <c r="BD27" s="105">
        <v>37.599428663816497</v>
      </c>
      <c r="BE27" s="105">
        <v>11866.379686300485</v>
      </c>
      <c r="BF27" s="105">
        <v>43.874554210726657</v>
      </c>
      <c r="BG27" s="105">
        <v>13846.809308905331</v>
      </c>
      <c r="BH27" s="105">
        <v>38.755904050963046</v>
      </c>
      <c r="BI27" s="105">
        <v>12231.363318483936</v>
      </c>
      <c r="BJ27" s="105">
        <v>48.412603942065765</v>
      </c>
      <c r="BK27" s="105">
        <v>15279.017804115954</v>
      </c>
      <c r="BL27" s="105">
        <v>46.604960812188544</v>
      </c>
      <c r="BM27" s="105">
        <v>14708.525632326702</v>
      </c>
      <c r="BN27" s="105">
        <v>48.560689167405769</v>
      </c>
      <c r="BO27" s="105">
        <v>15325.753501233259</v>
      </c>
      <c r="BP27" s="105">
        <v>45.555430665566377</v>
      </c>
      <c r="BQ27" s="105">
        <v>14377.293918052746</v>
      </c>
      <c r="BR27" s="105">
        <v>35.599995558978279</v>
      </c>
      <c r="BS27" s="105">
        <v>11235.358598413544</v>
      </c>
      <c r="BT27" s="105">
        <v>41.714182509751708</v>
      </c>
      <c r="BU27" s="105">
        <v>13164.996000077637</v>
      </c>
      <c r="BV27" s="105">
        <v>41.388722669539639</v>
      </c>
      <c r="BW27" s="105">
        <v>13062.280874506709</v>
      </c>
      <c r="BX27" s="105">
        <v>29.024168309643478</v>
      </c>
      <c r="BY27" s="105">
        <v>9160.0275185234805</v>
      </c>
      <c r="BZ27" s="105">
        <v>51.285932721934621</v>
      </c>
      <c r="CA27" s="105">
        <v>16185.840367042565</v>
      </c>
      <c r="CB27" s="105">
        <v>40.104409576549244</v>
      </c>
      <c r="CC27" s="105">
        <v>12656.951662358941</v>
      </c>
      <c r="CD27" s="105">
        <v>41.193494928461284</v>
      </c>
      <c r="CE27" s="105">
        <v>13000.666999422379</v>
      </c>
      <c r="CF27" s="105">
        <v>36.974649191062781</v>
      </c>
      <c r="CG27" s="105">
        <v>11669.199284699413</v>
      </c>
      <c r="CH27" s="105">
        <v>36.549638836592074</v>
      </c>
      <c r="CI27" s="105">
        <v>11535.066016828458</v>
      </c>
      <c r="CJ27" s="105">
        <v>37.782233492978662</v>
      </c>
      <c r="CK27" s="105">
        <v>11924.072890384065</v>
      </c>
      <c r="CL27" s="105">
        <v>39.899690580132784</v>
      </c>
      <c r="CM27" s="105">
        <v>12592.342347089905</v>
      </c>
      <c r="CN27" s="105">
        <v>46.23900764124253</v>
      </c>
      <c r="CO27" s="105">
        <v>14593.030811576142</v>
      </c>
      <c r="CP27" s="105">
        <v>42.742764231472542</v>
      </c>
      <c r="CQ27" s="105">
        <v>13489.616391452733</v>
      </c>
      <c r="CR27" s="105">
        <v>29.348266735558536</v>
      </c>
      <c r="CS27" s="105">
        <v>9262.3129817422723</v>
      </c>
      <c r="CT27" s="105">
        <v>41.491415358150732</v>
      </c>
      <c r="CU27" s="105">
        <v>13094.690687032369</v>
      </c>
    </row>
    <row r="28" spans="2:99" x14ac:dyDescent="0.2">
      <c r="C28" s="104" t="s">
        <v>194</v>
      </c>
      <c r="D28" s="105">
        <v>7</v>
      </c>
      <c r="E28" s="105">
        <v>4015.2000000000003</v>
      </c>
      <c r="F28" s="105">
        <v>10.413357689756484</v>
      </c>
      <c r="G28" s="105">
        <v>5973.10197084432</v>
      </c>
      <c r="H28" s="105">
        <v>1.2950672452442455</v>
      </c>
      <c r="I28" s="105">
        <v>742.85057187209929</v>
      </c>
      <c r="J28" s="105">
        <v>0</v>
      </c>
      <c r="K28" s="105">
        <v>0</v>
      </c>
      <c r="L28" s="105">
        <v>43</v>
      </c>
      <c r="M28" s="105">
        <v>24664.799999999999</v>
      </c>
      <c r="N28" s="105">
        <v>28.550870529168442</v>
      </c>
      <c r="O28" s="105">
        <v>16376.779335531019</v>
      </c>
      <c r="P28" s="105">
        <v>38.10398982329145</v>
      </c>
      <c r="Q28" s="105">
        <v>21856.448562639976</v>
      </c>
      <c r="R28" s="105">
        <v>37.59607567603485</v>
      </c>
      <c r="S28" s="105">
        <v>21565.10900777359</v>
      </c>
      <c r="T28" s="105">
        <v>41.530834393388147</v>
      </c>
      <c r="U28" s="105">
        <v>23822.086608047441</v>
      </c>
      <c r="V28" s="105">
        <v>51.499829033860067</v>
      </c>
      <c r="W28" s="105">
        <v>29540.301933822135</v>
      </c>
      <c r="X28" s="105">
        <v>50.684254020719621</v>
      </c>
      <c r="Y28" s="105">
        <v>29072.488106284774</v>
      </c>
      <c r="Z28" s="105">
        <v>54.544975494190759</v>
      </c>
      <c r="AA28" s="105">
        <v>31286.997943467821</v>
      </c>
      <c r="AB28" s="105">
        <v>43.48472266707153</v>
      </c>
      <c r="AC28" s="105">
        <v>24942.83692183223</v>
      </c>
      <c r="AD28" s="105">
        <v>27.845243595168455</v>
      </c>
      <c r="AE28" s="105">
        <v>15972.031726188627</v>
      </c>
      <c r="AF28" s="105">
        <v>40.564959738359242</v>
      </c>
      <c r="AG28" s="105">
        <v>23268.060905922863</v>
      </c>
      <c r="AH28" s="105">
        <v>33.682665065780284</v>
      </c>
      <c r="AI28" s="105">
        <v>19320.376681731574</v>
      </c>
      <c r="AJ28" s="105">
        <v>39.968064941832992</v>
      </c>
      <c r="AK28" s="105">
        <v>22925.682050635405</v>
      </c>
      <c r="AL28" s="105">
        <v>45.64804496107331</v>
      </c>
      <c r="AM28" s="105">
        <v>26183.718589671651</v>
      </c>
      <c r="AN28" s="105">
        <v>37.936842950555324</v>
      </c>
      <c r="AO28" s="105">
        <v>21760.573116438536</v>
      </c>
      <c r="AP28" s="105">
        <v>28.516503728696176</v>
      </c>
      <c r="AQ28" s="105">
        <v>16357.066538780127</v>
      </c>
      <c r="AR28" s="105">
        <v>32.273154712380688</v>
      </c>
      <c r="AS28" s="105">
        <v>18511.881543021562</v>
      </c>
      <c r="AT28" s="105">
        <v>34.699460939785141</v>
      </c>
      <c r="AU28" s="105">
        <v>19903.610795060758</v>
      </c>
      <c r="AV28" s="105">
        <v>34.538667740225634</v>
      </c>
      <c r="AW28" s="105">
        <v>19811.379815793425</v>
      </c>
      <c r="AX28" s="105">
        <v>38.44457256152733</v>
      </c>
      <c r="AY28" s="105">
        <v>22051.806821292077</v>
      </c>
      <c r="AZ28" s="105">
        <v>38.423573038816755</v>
      </c>
      <c r="BA28" s="105">
        <v>22039.761495065293</v>
      </c>
      <c r="BB28" s="105">
        <v>43.490615025846736</v>
      </c>
      <c r="BC28" s="105">
        <v>24946.216778825688</v>
      </c>
      <c r="BD28" s="105">
        <v>31.623296774986699</v>
      </c>
      <c r="BE28" s="105">
        <v>18139.12303013237</v>
      </c>
      <c r="BF28" s="105">
        <v>50.549373926984408</v>
      </c>
      <c r="BG28" s="105">
        <v>28995.120884518259</v>
      </c>
      <c r="BH28" s="105">
        <v>45.760967110976345</v>
      </c>
      <c r="BI28" s="105">
        <v>26248.490734856034</v>
      </c>
      <c r="BJ28" s="105">
        <v>45.644526212478816</v>
      </c>
      <c r="BK28" s="105">
        <v>26181.700235477849</v>
      </c>
      <c r="BL28" s="105">
        <v>38.245785410055468</v>
      </c>
      <c r="BM28" s="105">
        <v>21937.782511207817</v>
      </c>
      <c r="BN28" s="105">
        <v>53.709621551144579</v>
      </c>
      <c r="BO28" s="105">
        <v>30807.838921736533</v>
      </c>
      <c r="BP28" s="105">
        <v>45.624062345041125</v>
      </c>
      <c r="BQ28" s="105">
        <v>26169.962161115589</v>
      </c>
      <c r="BR28" s="105">
        <v>34.352044707399287</v>
      </c>
      <c r="BS28" s="105">
        <v>19704.332844164233</v>
      </c>
      <c r="BT28" s="105">
        <v>47.423764439168131</v>
      </c>
      <c r="BU28" s="105">
        <v>27202.27128230684</v>
      </c>
      <c r="BV28" s="105">
        <v>33.06269061296986</v>
      </c>
      <c r="BW28" s="105">
        <v>18964.759335599512</v>
      </c>
      <c r="BX28" s="105">
        <v>35.497310638201498</v>
      </c>
      <c r="BY28" s="105">
        <v>20361.257382072381</v>
      </c>
      <c r="BZ28" s="105">
        <v>42.162955095874381</v>
      </c>
      <c r="CA28" s="105">
        <v>24184.671042993545</v>
      </c>
      <c r="CB28" s="105">
        <v>36.762207835548992</v>
      </c>
      <c r="CC28" s="105">
        <v>21086.802414470902</v>
      </c>
      <c r="CD28" s="105">
        <v>53.599317011255721</v>
      </c>
      <c r="CE28" s="105">
        <v>30744.568237656284</v>
      </c>
      <c r="CF28" s="105">
        <v>43.688103471994822</v>
      </c>
      <c r="CG28" s="105">
        <v>25059.49615153623</v>
      </c>
      <c r="CH28" s="105">
        <v>30.520667949691951</v>
      </c>
      <c r="CI28" s="105">
        <v>17506.655135943303</v>
      </c>
      <c r="CJ28" s="105">
        <v>40.91306297391197</v>
      </c>
      <c r="CK28" s="105">
        <v>23467.732921835908</v>
      </c>
      <c r="CL28" s="105">
        <v>28.609581280056506</v>
      </c>
      <c r="CM28" s="105">
        <v>16410.455822240412</v>
      </c>
      <c r="CN28" s="105">
        <v>49.395175610246518</v>
      </c>
      <c r="CO28" s="105">
        <v>28333.072730037406</v>
      </c>
      <c r="CP28" s="105">
        <v>44.175082986520643</v>
      </c>
      <c r="CQ28" s="105">
        <v>25338.827601068242</v>
      </c>
      <c r="CR28" s="105">
        <v>31.402829056250102</v>
      </c>
      <c r="CS28" s="105">
        <v>18012.662746665061</v>
      </c>
      <c r="CT28" s="105">
        <v>35.306327886691854</v>
      </c>
      <c r="CU28" s="105">
        <v>20251.709675806447</v>
      </c>
    </row>
    <row r="29" spans="2:99" x14ac:dyDescent="0.2">
      <c r="C29" s="104" t="s">
        <v>195</v>
      </c>
      <c r="D29" s="105">
        <v>4.4892762512124476</v>
      </c>
      <c r="E29" s="105">
        <v>1055.8777742851676</v>
      </c>
      <c r="F29" s="105">
        <v>6.2026680047396017</v>
      </c>
      <c r="G29" s="105">
        <v>1458.8675147147542</v>
      </c>
      <c r="H29" s="105">
        <v>0</v>
      </c>
      <c r="I29" s="105">
        <v>0</v>
      </c>
      <c r="J29" s="105">
        <v>0</v>
      </c>
      <c r="K29" s="105">
        <v>0</v>
      </c>
      <c r="L29" s="105">
        <v>45.638467309919875</v>
      </c>
      <c r="M29" s="105">
        <v>10734.167511293153</v>
      </c>
      <c r="N29" s="105">
        <v>32.37707912758431</v>
      </c>
      <c r="O29" s="105">
        <v>7615.0890108078293</v>
      </c>
      <c r="P29" s="105">
        <v>43.640902124738382</v>
      </c>
      <c r="Q29" s="105">
        <v>10264.340179738467</v>
      </c>
      <c r="R29" s="105">
        <v>36.233514380422122</v>
      </c>
      <c r="S29" s="105">
        <v>8522.1225822752822</v>
      </c>
      <c r="T29" s="105">
        <v>39.907111362002446</v>
      </c>
      <c r="U29" s="105">
        <v>9386.1525923429745</v>
      </c>
      <c r="V29" s="105">
        <v>41.047808682316926</v>
      </c>
      <c r="W29" s="105">
        <v>9654.444602080941</v>
      </c>
      <c r="X29" s="105">
        <v>42.063847907336907</v>
      </c>
      <c r="Y29" s="105">
        <v>9893.4170278056408</v>
      </c>
      <c r="Z29" s="105">
        <v>47.008381995223942</v>
      </c>
      <c r="AA29" s="105">
        <v>11056.371445276671</v>
      </c>
      <c r="AB29" s="105">
        <v>39.818207102473735</v>
      </c>
      <c r="AC29" s="105">
        <v>9365.2423105018224</v>
      </c>
      <c r="AD29" s="105">
        <v>36.757232342573289</v>
      </c>
      <c r="AE29" s="105">
        <v>8645.301046973238</v>
      </c>
      <c r="AF29" s="105">
        <v>42.383522606886608</v>
      </c>
      <c r="AG29" s="105">
        <v>9968.6045171397291</v>
      </c>
      <c r="AH29" s="105">
        <v>36.108942231979647</v>
      </c>
      <c r="AI29" s="105">
        <v>8492.8232129616117</v>
      </c>
      <c r="AJ29" s="105">
        <v>48.317704553252192</v>
      </c>
      <c r="AK29" s="105">
        <v>11364.324110924916</v>
      </c>
      <c r="AL29" s="105">
        <v>43.366117629288823</v>
      </c>
      <c r="AM29" s="105">
        <v>10199.71086640873</v>
      </c>
      <c r="AN29" s="105">
        <v>44.558222801781085</v>
      </c>
      <c r="AO29" s="105">
        <v>10480.094002978911</v>
      </c>
      <c r="AP29" s="105">
        <v>38.347267915014356</v>
      </c>
      <c r="AQ29" s="105">
        <v>9019.2774136113767</v>
      </c>
      <c r="AR29" s="105">
        <v>36.103944102861455</v>
      </c>
      <c r="AS29" s="105">
        <v>8491.6476529930133</v>
      </c>
      <c r="AT29" s="105">
        <v>37.698795262714533</v>
      </c>
      <c r="AU29" s="105">
        <v>8866.7566457904577</v>
      </c>
      <c r="AV29" s="105">
        <v>35.543689691340298</v>
      </c>
      <c r="AW29" s="105">
        <v>8359.8758154032384</v>
      </c>
      <c r="AX29" s="105">
        <v>38.903040035392593</v>
      </c>
      <c r="AY29" s="105">
        <v>9149.9950163243375</v>
      </c>
      <c r="AZ29" s="105">
        <v>42.547378556838645</v>
      </c>
      <c r="BA29" s="105">
        <v>10007.143436568449</v>
      </c>
      <c r="BB29" s="105">
        <v>34.643087142761502</v>
      </c>
      <c r="BC29" s="105">
        <v>8148.0540959775044</v>
      </c>
      <c r="BD29" s="105">
        <v>32.649381052467874</v>
      </c>
      <c r="BE29" s="105">
        <v>7679.1344235404431</v>
      </c>
      <c r="BF29" s="105">
        <v>47.974988829301985</v>
      </c>
      <c r="BG29" s="105">
        <v>11283.717372651827</v>
      </c>
      <c r="BH29" s="105">
        <v>39.460556851889649</v>
      </c>
      <c r="BI29" s="105">
        <v>9281.1229715644458</v>
      </c>
      <c r="BJ29" s="105">
        <v>46.443403687017927</v>
      </c>
      <c r="BK29" s="105">
        <v>10923.488547186616</v>
      </c>
      <c r="BL29" s="105">
        <v>45.798803268033488</v>
      </c>
      <c r="BM29" s="105">
        <v>10771.878528641477</v>
      </c>
      <c r="BN29" s="105">
        <v>45.392207934621268</v>
      </c>
      <c r="BO29" s="105">
        <v>10676.247306222922</v>
      </c>
      <c r="BP29" s="105">
        <v>43.221170186944761</v>
      </c>
      <c r="BQ29" s="105">
        <v>10165.619227969408</v>
      </c>
      <c r="BR29" s="105">
        <v>31.699994818807994</v>
      </c>
      <c r="BS29" s="105">
        <v>7455.8387813836398</v>
      </c>
      <c r="BT29" s="105">
        <v>40.196522614806298</v>
      </c>
      <c r="BU29" s="105">
        <v>9454.2221190024411</v>
      </c>
      <c r="BV29" s="105">
        <v>42.388722669539639</v>
      </c>
      <c r="BW29" s="105">
        <v>9969.8275718757232</v>
      </c>
      <c r="BX29" s="105">
        <v>30.705830141544379</v>
      </c>
      <c r="BY29" s="105">
        <v>7222.0112492912376</v>
      </c>
      <c r="BZ29" s="105">
        <v>52.216869952329965</v>
      </c>
      <c r="CA29" s="105">
        <v>12281.407812788008</v>
      </c>
      <c r="CB29" s="105">
        <v>40.176525016076091</v>
      </c>
      <c r="CC29" s="105">
        <v>9449.5186837810961</v>
      </c>
      <c r="CD29" s="105">
        <v>46.381226768993322</v>
      </c>
      <c r="CE29" s="105">
        <v>10908.864536067229</v>
      </c>
      <c r="CF29" s="105">
        <v>43.962237836969763</v>
      </c>
      <c r="CG29" s="105">
        <v>10339.918339255288</v>
      </c>
      <c r="CH29" s="105">
        <v>33.599606003554989</v>
      </c>
      <c r="CI29" s="105">
        <v>7902.6273320361333</v>
      </c>
      <c r="CJ29" s="105">
        <v>43.409374651507399</v>
      </c>
      <c r="CK29" s="105">
        <v>10209.884918034541</v>
      </c>
      <c r="CL29" s="105">
        <v>39.899690580132784</v>
      </c>
      <c r="CM29" s="105">
        <v>9384.40722444723</v>
      </c>
      <c r="CN29" s="105">
        <v>47.194379912462011</v>
      </c>
      <c r="CO29" s="105">
        <v>11100.118155411064</v>
      </c>
      <c r="CP29" s="105">
        <v>45.898538927020802</v>
      </c>
      <c r="CQ29" s="105">
        <v>10795.336355635292</v>
      </c>
      <c r="CR29" s="105">
        <v>32.444950251822505</v>
      </c>
      <c r="CS29" s="105">
        <v>7631.0522992286524</v>
      </c>
      <c r="CT29" s="105">
        <v>38.314832928296028</v>
      </c>
      <c r="CU29" s="105">
        <v>9011.6487047352257</v>
      </c>
    </row>
    <row r="30" spans="2:99" x14ac:dyDescent="0.2">
      <c r="C30" s="104" t="s">
        <v>196</v>
      </c>
      <c r="D30" s="105">
        <v>4.4892762512124476</v>
      </c>
      <c r="E30" s="105">
        <v>1039.7163797808028</v>
      </c>
      <c r="F30" s="105">
        <v>6.8918533385995575</v>
      </c>
      <c r="G30" s="105">
        <v>1596.1532332196575</v>
      </c>
      <c r="H30" s="105">
        <v>0</v>
      </c>
      <c r="I30" s="105">
        <v>0</v>
      </c>
      <c r="J30" s="105">
        <v>0</v>
      </c>
      <c r="K30" s="105">
        <v>0</v>
      </c>
      <c r="L30" s="105">
        <v>41.669904935144231</v>
      </c>
      <c r="M30" s="105">
        <v>9650.7499829794033</v>
      </c>
      <c r="N30" s="105">
        <v>33.358202737511107</v>
      </c>
      <c r="O30" s="105">
        <v>7725.7597540075722</v>
      </c>
      <c r="P30" s="105">
        <v>42.761226393411832</v>
      </c>
      <c r="Q30" s="105">
        <v>9903.5000327141806</v>
      </c>
      <c r="R30" s="105">
        <v>36.233514380422122</v>
      </c>
      <c r="S30" s="105">
        <v>8391.6819305057634</v>
      </c>
      <c r="T30" s="105">
        <v>43.658661437654089</v>
      </c>
      <c r="U30" s="105">
        <v>10111.345988960687</v>
      </c>
      <c r="V30" s="105">
        <v>42.657526669858768</v>
      </c>
      <c r="W30" s="105">
        <v>9879.4831767392898</v>
      </c>
      <c r="X30" s="105">
        <v>43.805473668256354</v>
      </c>
      <c r="Y30" s="105">
        <v>10145.347701568171</v>
      </c>
      <c r="Z30" s="105">
        <v>45.415175162379036</v>
      </c>
      <c r="AA30" s="105">
        <v>10518.154567606984</v>
      </c>
      <c r="AB30" s="105">
        <v>45.386338750047258</v>
      </c>
      <c r="AC30" s="105">
        <v>10511.476054510946</v>
      </c>
      <c r="AD30" s="105">
        <v>38.66229265581584</v>
      </c>
      <c r="AE30" s="105">
        <v>8954.1869790869478</v>
      </c>
      <c r="AF30" s="105">
        <v>45.984099081194501</v>
      </c>
      <c r="AG30" s="105">
        <v>10649.917347204646</v>
      </c>
      <c r="AH30" s="105">
        <v>32.144564063539285</v>
      </c>
      <c r="AI30" s="105">
        <v>7444.681037115698</v>
      </c>
      <c r="AJ30" s="105">
        <v>43.357417622408711</v>
      </c>
      <c r="AK30" s="105">
        <v>10041.577921349857</v>
      </c>
      <c r="AL30" s="105">
        <v>47.366117629288823</v>
      </c>
      <c r="AM30" s="105">
        <v>10969.992842943291</v>
      </c>
      <c r="AN30" s="105">
        <v>49.801838070121903</v>
      </c>
      <c r="AO30" s="105">
        <v>11534.105697040233</v>
      </c>
      <c r="AP30" s="105">
        <v>32.618843395411766</v>
      </c>
      <c r="AQ30" s="105">
        <v>7554.5241303773646</v>
      </c>
      <c r="AR30" s="105">
        <v>32.496904350820138</v>
      </c>
      <c r="AS30" s="105">
        <v>7526.2830476499439</v>
      </c>
      <c r="AT30" s="105">
        <v>31.698795262714533</v>
      </c>
      <c r="AU30" s="105">
        <v>7341.440982844686</v>
      </c>
      <c r="AV30" s="105">
        <v>32.593116026916682</v>
      </c>
      <c r="AW30" s="105">
        <v>7548.5656718339033</v>
      </c>
      <c r="AX30" s="105">
        <v>40.780278888423368</v>
      </c>
      <c r="AY30" s="105">
        <v>9444.7125905588509</v>
      </c>
      <c r="AZ30" s="105">
        <v>42.497616869853317</v>
      </c>
      <c r="BA30" s="105">
        <v>9842.4480670580288</v>
      </c>
      <c r="BB30" s="105">
        <v>37.933372088880063</v>
      </c>
      <c r="BC30" s="105">
        <v>8785.3689757846223</v>
      </c>
      <c r="BD30" s="105">
        <v>38.649381052467874</v>
      </c>
      <c r="BE30" s="105">
        <v>8951.1966517515593</v>
      </c>
      <c r="BF30" s="105">
        <v>45.514728058156784</v>
      </c>
      <c r="BG30" s="105">
        <v>10541.21101826911</v>
      </c>
      <c r="BH30" s="105">
        <v>39.460556851889649</v>
      </c>
      <c r="BI30" s="105">
        <v>9139.0649668976421</v>
      </c>
      <c r="BJ30" s="105">
        <v>51.366404324637529</v>
      </c>
      <c r="BK30" s="105">
        <v>11896.459241586052</v>
      </c>
      <c r="BL30" s="105">
        <v>44.301563734317824</v>
      </c>
      <c r="BM30" s="105">
        <v>10260.242160868007</v>
      </c>
      <c r="BN30" s="105">
        <v>45.4319568067612</v>
      </c>
      <c r="BO30" s="105">
        <v>10522.041196445894</v>
      </c>
      <c r="BP30" s="105">
        <v>44.038020171838177</v>
      </c>
      <c r="BQ30" s="105">
        <v>10199.205471797721</v>
      </c>
      <c r="BR30" s="105">
        <v>37.599995558978279</v>
      </c>
      <c r="BS30" s="105">
        <v>8708.1589714593683</v>
      </c>
      <c r="BT30" s="105">
        <v>44.827226730484</v>
      </c>
      <c r="BU30" s="105">
        <v>10381.985710780094</v>
      </c>
      <c r="BV30" s="105">
        <v>40.437313003232092</v>
      </c>
      <c r="BW30" s="105">
        <v>9365.2816915485528</v>
      </c>
      <c r="BX30" s="105">
        <v>32.387491973445272</v>
      </c>
      <c r="BY30" s="105">
        <v>7500.9431410499246</v>
      </c>
      <c r="BZ30" s="105">
        <v>51.238765562239919</v>
      </c>
      <c r="CA30" s="105">
        <v>11866.898104214764</v>
      </c>
      <c r="CB30" s="105">
        <v>38.733917127371065</v>
      </c>
      <c r="CC30" s="105">
        <v>8970.7752066991379</v>
      </c>
      <c r="CD30" s="105">
        <v>42.015327503604297</v>
      </c>
      <c r="CE30" s="105">
        <v>9730.7498498347541</v>
      </c>
      <c r="CF30" s="105">
        <v>43.919303199925139</v>
      </c>
      <c r="CG30" s="105">
        <v>10171.710621102662</v>
      </c>
      <c r="CH30" s="105">
        <v>33.599606003554989</v>
      </c>
      <c r="CI30" s="105">
        <v>7781.668750423335</v>
      </c>
      <c r="CJ30" s="105">
        <v>43.409374651507399</v>
      </c>
      <c r="CK30" s="105">
        <v>10053.611169289114</v>
      </c>
      <c r="CL30" s="105">
        <v>35.899690580132784</v>
      </c>
      <c r="CM30" s="105">
        <v>8314.3683383587522</v>
      </c>
      <c r="CN30" s="105">
        <v>49.105124454900988</v>
      </c>
      <c r="CO30" s="105">
        <v>11372.746823755069</v>
      </c>
      <c r="CP30" s="105">
        <v>45.099608699204083</v>
      </c>
      <c r="CQ30" s="105">
        <v>10445.069374735665</v>
      </c>
      <c r="CR30" s="105">
        <v>34.051150438183264</v>
      </c>
      <c r="CS30" s="105">
        <v>7886.2464414832439</v>
      </c>
      <c r="CT30" s="105">
        <v>37.470687857322083</v>
      </c>
      <c r="CU30" s="105">
        <v>8678.2113077557951</v>
      </c>
    </row>
    <row r="31" spans="2:99" x14ac:dyDescent="0.2">
      <c r="C31" s="104" t="s">
        <v>197</v>
      </c>
      <c r="D31" s="105">
        <v>4.4892762512124476</v>
      </c>
      <c r="E31" s="105">
        <v>797.29546221533064</v>
      </c>
      <c r="F31" s="105">
        <v>6.8918533385995575</v>
      </c>
      <c r="G31" s="105">
        <v>1223.9931529352814</v>
      </c>
      <c r="H31" s="105">
        <v>0</v>
      </c>
      <c r="I31" s="105">
        <v>0</v>
      </c>
      <c r="J31" s="105">
        <v>0</v>
      </c>
      <c r="K31" s="105">
        <v>0</v>
      </c>
      <c r="L31" s="105">
        <v>46.630607903613786</v>
      </c>
      <c r="M31" s="105">
        <v>8281.5959636818079</v>
      </c>
      <c r="N31" s="105">
        <v>33.358202737511107</v>
      </c>
      <c r="O31" s="105">
        <v>5924.4168061819728</v>
      </c>
      <c r="P31" s="105">
        <v>46.670833868925563</v>
      </c>
      <c r="Q31" s="105">
        <v>8288.7400951211803</v>
      </c>
      <c r="R31" s="105">
        <v>33.464310623931652</v>
      </c>
      <c r="S31" s="105">
        <v>5943.2615668102617</v>
      </c>
      <c r="T31" s="105">
        <v>44.549654814052438</v>
      </c>
      <c r="U31" s="105">
        <v>7912.0186949757126</v>
      </c>
      <c r="V31" s="105">
        <v>41.047808682316926</v>
      </c>
      <c r="W31" s="105">
        <v>7290.0908219794856</v>
      </c>
      <c r="X31" s="105">
        <v>42.934660787796624</v>
      </c>
      <c r="Y31" s="105">
        <v>7625.1957559126804</v>
      </c>
      <c r="Z31" s="105">
        <v>50.273906142846805</v>
      </c>
      <c r="AA31" s="105">
        <v>8928.6457309695925</v>
      </c>
      <c r="AB31" s="105">
        <v>39.864945189665896</v>
      </c>
      <c r="AC31" s="105">
        <v>7080.0142656846629</v>
      </c>
      <c r="AD31" s="105">
        <v>33.852884673462398</v>
      </c>
      <c r="AE31" s="105">
        <v>6012.2723180069215</v>
      </c>
      <c r="AF31" s="105">
        <v>48.718609105030509</v>
      </c>
      <c r="AG31" s="105">
        <v>8652.4249770534188</v>
      </c>
      <c r="AH31" s="105">
        <v>34.56223993878681</v>
      </c>
      <c r="AI31" s="105">
        <v>6138.2538131285373</v>
      </c>
      <c r="AJ31" s="105">
        <v>43.357417622408711</v>
      </c>
      <c r="AK31" s="105">
        <v>7700.277369739787</v>
      </c>
      <c r="AL31" s="105">
        <v>46.366117629288823</v>
      </c>
      <c r="AM31" s="105">
        <v>8234.622490961694</v>
      </c>
      <c r="AN31" s="105">
        <v>49.886568781493139</v>
      </c>
      <c r="AO31" s="105">
        <v>8859.8546155931817</v>
      </c>
      <c r="AP31" s="105">
        <v>34.512541123512918</v>
      </c>
      <c r="AQ31" s="105">
        <v>6129.4273035358938</v>
      </c>
      <c r="AR31" s="105">
        <v>36.306360721744937</v>
      </c>
      <c r="AS31" s="105">
        <v>6448.0096641819009</v>
      </c>
      <c r="AT31" s="105">
        <v>32.748709210051288</v>
      </c>
      <c r="AU31" s="105">
        <v>5816.1707557051086</v>
      </c>
      <c r="AV31" s="105">
        <v>33.543689691340298</v>
      </c>
      <c r="AW31" s="105">
        <v>5957.3592891820363</v>
      </c>
      <c r="AX31" s="105">
        <v>37.917793547959228</v>
      </c>
      <c r="AY31" s="105">
        <v>6734.2001341175583</v>
      </c>
      <c r="AZ31" s="105">
        <v>38.547378556838645</v>
      </c>
      <c r="BA31" s="105">
        <v>6846.0144316945434</v>
      </c>
      <c r="BB31" s="105">
        <v>37.933372088880063</v>
      </c>
      <c r="BC31" s="105">
        <v>6736.9668829850989</v>
      </c>
      <c r="BD31" s="105">
        <v>35.599428663816497</v>
      </c>
      <c r="BE31" s="105">
        <v>6322.4585306938097</v>
      </c>
      <c r="BF31" s="105">
        <v>51.296331249545069</v>
      </c>
      <c r="BG31" s="105">
        <v>9110.2284299192033</v>
      </c>
      <c r="BH31" s="105">
        <v>38.755904050963046</v>
      </c>
      <c r="BI31" s="105">
        <v>6883.0485594510365</v>
      </c>
      <c r="BJ31" s="105">
        <v>48.412603942065765</v>
      </c>
      <c r="BK31" s="105">
        <v>8598.078460110879</v>
      </c>
      <c r="BL31" s="105">
        <v>42.765965682404008</v>
      </c>
      <c r="BM31" s="105">
        <v>7595.2355051949517</v>
      </c>
      <c r="BN31" s="105">
        <v>53.412783196932345</v>
      </c>
      <c r="BO31" s="105">
        <v>9486.1102957751846</v>
      </c>
      <c r="BP31" s="105">
        <v>48.6677779703952</v>
      </c>
      <c r="BQ31" s="105">
        <v>8643.3973675421876</v>
      </c>
      <c r="BR31" s="105">
        <v>36.649995188893136</v>
      </c>
      <c r="BS31" s="105">
        <v>6509.039145547421</v>
      </c>
      <c r="BT31" s="105">
        <v>40.157660399385563</v>
      </c>
      <c r="BU31" s="105">
        <v>7132.0004869308759</v>
      </c>
      <c r="BV31" s="105">
        <v>44.340132335847187</v>
      </c>
      <c r="BW31" s="105">
        <v>7874.80750284646</v>
      </c>
      <c r="BX31" s="105">
        <v>36.552017719804041</v>
      </c>
      <c r="BY31" s="105">
        <v>6491.6383470371975</v>
      </c>
      <c r="BZ31" s="105">
        <v>50.307828331844576</v>
      </c>
      <c r="CA31" s="105">
        <v>8934.6703117355955</v>
      </c>
      <c r="CB31" s="105">
        <v>36.497889854786685</v>
      </c>
      <c r="CC31" s="105">
        <v>6482.0252382101153</v>
      </c>
      <c r="CD31" s="105">
        <v>42.922738875305299</v>
      </c>
      <c r="CE31" s="105">
        <v>7623.0784242542213</v>
      </c>
      <c r="CF31" s="105">
        <v>41.400927220690996</v>
      </c>
      <c r="CG31" s="105">
        <v>7352.8046743947207</v>
      </c>
      <c r="CH31" s="105">
        <v>34.649573170517904</v>
      </c>
      <c r="CI31" s="105">
        <v>6153.7641950839798</v>
      </c>
      <c r="CJ31" s="105">
        <v>42.605497343146148</v>
      </c>
      <c r="CK31" s="105">
        <v>7566.7363281427552</v>
      </c>
      <c r="CL31" s="105">
        <v>37.999656200147541</v>
      </c>
      <c r="CM31" s="105">
        <v>6748.7389411462027</v>
      </c>
      <c r="CN31" s="105">
        <v>55.792730353437378</v>
      </c>
      <c r="CO31" s="105">
        <v>9908.7889107704777</v>
      </c>
      <c r="CP31" s="105">
        <v>48.335275826189601</v>
      </c>
      <c r="CQ31" s="105">
        <v>8584.3449867312738</v>
      </c>
      <c r="CR31" s="105">
        <v>30.132080685995987</v>
      </c>
      <c r="CS31" s="105">
        <v>5351.4575298328873</v>
      </c>
      <c r="CT31" s="105">
        <v>39.923123928627483</v>
      </c>
      <c r="CU31" s="105">
        <v>7090.3468097242403</v>
      </c>
    </row>
    <row r="32" spans="2:99" x14ac:dyDescent="0.2">
      <c r="C32" s="104" t="s">
        <v>198</v>
      </c>
      <c r="D32" s="105">
        <v>8</v>
      </c>
      <c r="E32" s="105">
        <v>5308.8</v>
      </c>
      <c r="F32" s="105">
        <v>9.4133576897564843</v>
      </c>
      <c r="G32" s="105">
        <v>6246.7041629224032</v>
      </c>
      <c r="H32" s="105">
        <v>1.5109117861182864</v>
      </c>
      <c r="I32" s="105">
        <v>1002.6410612680949</v>
      </c>
      <c r="J32" s="105">
        <v>0</v>
      </c>
      <c r="K32" s="105">
        <v>0</v>
      </c>
      <c r="L32" s="105">
        <v>40</v>
      </c>
      <c r="M32" s="105">
        <v>26544</v>
      </c>
      <c r="N32" s="105">
        <v>28.550870529168442</v>
      </c>
      <c r="O32" s="105">
        <v>18946.35768315618</v>
      </c>
      <c r="P32" s="105">
        <v>34.941908138742143</v>
      </c>
      <c r="Q32" s="105">
        <v>23187.450240869286</v>
      </c>
      <c r="R32" s="105">
        <v>34.546402703031951</v>
      </c>
      <c r="S32" s="105">
        <v>22924.992833732005</v>
      </c>
      <c r="T32" s="105">
        <v>41.48257672126195</v>
      </c>
      <c r="U32" s="105">
        <v>27527.837912229432</v>
      </c>
      <c r="V32" s="105">
        <v>49.549811937246069</v>
      </c>
      <c r="W32" s="105">
        <v>32881.255201556494</v>
      </c>
      <c r="X32" s="105">
        <v>44.635378733525357</v>
      </c>
      <c r="Y32" s="105">
        <v>29620.037327567428</v>
      </c>
      <c r="Z32" s="105">
        <v>55.594518720935376</v>
      </c>
      <c r="AA32" s="105">
        <v>36892.522623212717</v>
      </c>
      <c r="AB32" s="105">
        <v>42.533194933778681</v>
      </c>
      <c r="AC32" s="105">
        <v>28225.028158055535</v>
      </c>
      <c r="AD32" s="105">
        <v>29.610428771876649</v>
      </c>
      <c r="AE32" s="105">
        <v>19649.480533017344</v>
      </c>
      <c r="AF32" s="105">
        <v>39.736213237722048</v>
      </c>
      <c r="AG32" s="105">
        <v>26368.95110455235</v>
      </c>
      <c r="AH32" s="105">
        <v>31.855033163307887</v>
      </c>
      <c r="AI32" s="105">
        <v>21139.000007171115</v>
      </c>
      <c r="AJ32" s="105">
        <v>42.843126212803242</v>
      </c>
      <c r="AK32" s="105">
        <v>28430.698554816234</v>
      </c>
      <c r="AL32" s="105">
        <v>45.64804496107331</v>
      </c>
      <c r="AM32" s="105">
        <v>30292.042636168251</v>
      </c>
      <c r="AN32" s="105">
        <v>41.319376792203059</v>
      </c>
      <c r="AO32" s="105">
        <v>27419.53843930595</v>
      </c>
      <c r="AP32" s="105">
        <v>29.298060772256054</v>
      </c>
      <c r="AQ32" s="105">
        <v>19442.19312846912</v>
      </c>
      <c r="AR32" s="105">
        <v>30.413348826996327</v>
      </c>
      <c r="AS32" s="105">
        <v>20182.298281594762</v>
      </c>
      <c r="AT32" s="105">
        <v>34.699460939785141</v>
      </c>
      <c r="AU32" s="105">
        <v>23026.562279641421</v>
      </c>
      <c r="AV32" s="105">
        <v>30.538667740225637</v>
      </c>
      <c r="AW32" s="105">
        <v>20265.459912413735</v>
      </c>
      <c r="AX32" s="105">
        <v>40.395175610246518</v>
      </c>
      <c r="AY32" s="105">
        <v>26806.23853495959</v>
      </c>
      <c r="AZ32" s="105">
        <v>39.470636709796395</v>
      </c>
      <c r="BA32" s="105">
        <v>26192.714520620888</v>
      </c>
      <c r="BB32" s="105">
        <v>39.490615025846736</v>
      </c>
      <c r="BC32" s="105">
        <v>26205.972131151895</v>
      </c>
      <c r="BD32" s="105">
        <v>34.575350869218489</v>
      </c>
      <c r="BE32" s="105">
        <v>22944.202836813391</v>
      </c>
      <c r="BF32" s="105">
        <v>55.499430842713103</v>
      </c>
      <c r="BG32" s="105">
        <v>36829.422307224413</v>
      </c>
      <c r="BH32" s="105">
        <v>46.642578539364628</v>
      </c>
      <c r="BI32" s="105">
        <v>30952.015118722367</v>
      </c>
      <c r="BJ32" s="105">
        <v>44.465537783170433</v>
      </c>
      <c r="BK32" s="105">
        <v>29507.330872911902</v>
      </c>
      <c r="BL32" s="105">
        <v>40.635939081266784</v>
      </c>
      <c r="BM32" s="105">
        <v>26966.009174328639</v>
      </c>
      <c r="BN32" s="105">
        <v>55.544770637902062</v>
      </c>
      <c r="BO32" s="105">
        <v>36859.509795311809</v>
      </c>
      <c r="BP32" s="105">
        <v>46.455113337129994</v>
      </c>
      <c r="BQ32" s="105">
        <v>30827.613210519467</v>
      </c>
      <c r="BR32" s="105">
        <v>32.352044707399287</v>
      </c>
      <c r="BS32" s="105">
        <v>21468.816867830166</v>
      </c>
      <c r="BT32" s="105">
        <v>44.234318541272089</v>
      </c>
      <c r="BU32" s="105">
        <v>29353.893783988158</v>
      </c>
      <c r="BV32" s="105">
        <v>27.571587713581458</v>
      </c>
      <c r="BW32" s="105">
        <v>18296.505606732655</v>
      </c>
      <c r="BX32" s="105">
        <v>35.497310638201498</v>
      </c>
      <c r="BY32" s="105">
        <v>23556.015339510515</v>
      </c>
      <c r="BZ32" s="105">
        <v>45.531110156410321</v>
      </c>
      <c r="CA32" s="105">
        <v>30214.44469979389</v>
      </c>
      <c r="CB32" s="105">
        <v>39.986965839665388</v>
      </c>
      <c r="CC32" s="105">
        <v>26535.350531201952</v>
      </c>
      <c r="CD32" s="105">
        <v>45.649260095527033</v>
      </c>
      <c r="CE32" s="105">
        <v>30292.848999391739</v>
      </c>
      <c r="CF32" s="105">
        <v>42.589802975995561</v>
      </c>
      <c r="CG32" s="105">
        <v>28262.593254870655</v>
      </c>
      <c r="CH32" s="105">
        <v>34.520667949691955</v>
      </c>
      <c r="CI32" s="105">
        <v>22907.915251415583</v>
      </c>
      <c r="CJ32" s="105">
        <v>46.403744317805547</v>
      </c>
      <c r="CK32" s="105">
        <v>30793.524729295761</v>
      </c>
      <c r="CL32" s="105">
        <v>27.107576399095151</v>
      </c>
      <c r="CM32" s="105">
        <v>17988.587698439544</v>
      </c>
      <c r="CN32" s="105">
        <v>48.395175610246518</v>
      </c>
      <c r="CO32" s="105">
        <v>32115.038534959589</v>
      </c>
      <c r="CP32" s="105">
        <v>40.806151321371509</v>
      </c>
      <c r="CQ32" s="105">
        <v>27078.962016862133</v>
      </c>
      <c r="CR32" s="105">
        <v>28.978069570056071</v>
      </c>
      <c r="CS32" s="105">
        <v>19229.846966689209</v>
      </c>
      <c r="CT32" s="105">
        <v>34.552554646039646</v>
      </c>
      <c r="CU32" s="105">
        <v>22929.07526311191</v>
      </c>
    </row>
    <row r="33" spans="2:99" x14ac:dyDescent="0.2">
      <c r="C33" s="104" t="s">
        <v>199</v>
      </c>
      <c r="D33" s="105">
        <v>5.1306014299570828</v>
      </c>
      <c r="E33" s="105">
        <v>1717.7253587496314</v>
      </c>
      <c r="F33" s="105">
        <v>5.5134826708796458</v>
      </c>
      <c r="G33" s="105">
        <v>1845.9139982105055</v>
      </c>
      <c r="H33" s="105">
        <v>0</v>
      </c>
      <c r="I33" s="105">
        <v>0</v>
      </c>
      <c r="J33" s="105">
        <v>0</v>
      </c>
      <c r="K33" s="105">
        <v>0</v>
      </c>
      <c r="L33" s="105">
        <v>44.646326716225964</v>
      </c>
      <c r="M33" s="105">
        <v>14947.590184592453</v>
      </c>
      <c r="N33" s="105">
        <v>32.37707912758431</v>
      </c>
      <c r="O33" s="105">
        <v>10839.846091915228</v>
      </c>
      <c r="P33" s="105">
        <v>44.618303993616813</v>
      </c>
      <c r="Q33" s="105">
        <v>14938.20817706291</v>
      </c>
      <c r="R33" s="105">
        <v>32.478705761054137</v>
      </c>
      <c r="S33" s="105">
        <v>10873.870688800926</v>
      </c>
      <c r="T33" s="105">
        <v>43.705555580168649</v>
      </c>
      <c r="U33" s="105">
        <v>14632.620008240465</v>
      </c>
      <c r="V33" s="105">
        <v>41.047808682316926</v>
      </c>
      <c r="W33" s="105">
        <v>13742.806346839707</v>
      </c>
      <c r="X33" s="105">
        <v>41.777211420738375</v>
      </c>
      <c r="Y33" s="105">
        <v>13987.010383663208</v>
      </c>
      <c r="Z33" s="105">
        <v>41.293714736883942</v>
      </c>
      <c r="AA33" s="105">
        <v>13825.135693908744</v>
      </c>
      <c r="AB33" s="105">
        <v>44.497265214778487</v>
      </c>
      <c r="AC33" s="105">
        <v>14897.684393907837</v>
      </c>
      <c r="AD33" s="105">
        <v>32.900354516841126</v>
      </c>
      <c r="AE33" s="105">
        <v>11015.03869223841</v>
      </c>
      <c r="AF33" s="105">
        <v>43.249589057358492</v>
      </c>
      <c r="AG33" s="105">
        <v>14479.962416403623</v>
      </c>
      <c r="AH33" s="105">
        <v>29.012110502970291</v>
      </c>
      <c r="AI33" s="105">
        <v>9713.254596394454</v>
      </c>
      <c r="AJ33" s="105">
        <v>48.317704553252192</v>
      </c>
      <c r="AK33" s="105">
        <v>16176.767484428834</v>
      </c>
      <c r="AL33" s="105">
        <v>44.366117629288823</v>
      </c>
      <c r="AM33" s="105">
        <v>14853.776182285899</v>
      </c>
      <c r="AN33" s="105">
        <v>42.796229260438942</v>
      </c>
      <c r="AO33" s="105">
        <v>14328.177556394958</v>
      </c>
      <c r="AP33" s="105">
        <v>33.565692259462345</v>
      </c>
      <c r="AQ33" s="105">
        <v>11237.793768467993</v>
      </c>
      <c r="AR33" s="105">
        <v>34.378327496690673</v>
      </c>
      <c r="AS33" s="105">
        <v>11509.864045892038</v>
      </c>
      <c r="AT33" s="105">
        <v>36.748709210051288</v>
      </c>
      <c r="AU33" s="105">
        <v>12303.467843525172</v>
      </c>
      <c r="AV33" s="105">
        <v>29.593116026916686</v>
      </c>
      <c r="AW33" s="105">
        <v>9907.7752458117066</v>
      </c>
      <c r="AX33" s="105">
        <v>40.733651827505383</v>
      </c>
      <c r="AY33" s="105">
        <v>13637.626631848803</v>
      </c>
      <c r="AZ33" s="105">
        <v>40.547378556838645</v>
      </c>
      <c r="BA33" s="105">
        <v>13575.262340829579</v>
      </c>
      <c r="BB33" s="105">
        <v>33.768961611566333</v>
      </c>
      <c r="BC33" s="105">
        <v>11305.848347552408</v>
      </c>
      <c r="BD33" s="105">
        <v>35.649381052467874</v>
      </c>
      <c r="BE33" s="105">
        <v>11935.412776366244</v>
      </c>
      <c r="BF33" s="105">
        <v>43.095462012394407</v>
      </c>
      <c r="BG33" s="105">
        <v>14428.360681749647</v>
      </c>
      <c r="BH33" s="105">
        <v>38.755904050963046</v>
      </c>
      <c r="BI33" s="105">
        <v>12975.476676262428</v>
      </c>
      <c r="BJ33" s="105">
        <v>42.648977904536942</v>
      </c>
      <c r="BK33" s="105">
        <v>14278.877802438969</v>
      </c>
      <c r="BL33" s="105">
        <v>45.837161786231633</v>
      </c>
      <c r="BM33" s="105">
        <v>15346.281766030352</v>
      </c>
      <c r="BN33" s="105">
        <v>49.40249556577681</v>
      </c>
      <c r="BO33" s="105">
        <v>16539.955515422076</v>
      </c>
      <c r="BP33" s="105">
        <v>40.186349199488369</v>
      </c>
      <c r="BQ33" s="105">
        <v>13454.389711988706</v>
      </c>
      <c r="BR33" s="105">
        <v>34.599995558978279</v>
      </c>
      <c r="BS33" s="105">
        <v>11584.078513145929</v>
      </c>
      <c r="BT33" s="105">
        <v>38.60113828901941</v>
      </c>
      <c r="BU33" s="105">
        <v>12923.661099163699</v>
      </c>
      <c r="BV33" s="105">
        <v>39.388722669539639</v>
      </c>
      <c r="BW33" s="105">
        <v>13187.344349761872</v>
      </c>
      <c r="BX33" s="105">
        <v>34.029524971952696</v>
      </c>
      <c r="BY33" s="105">
        <v>11393.084960609764</v>
      </c>
      <c r="BZ33" s="105">
        <v>46.348243611789698</v>
      </c>
      <c r="CA33" s="105">
        <v>15517.391961227191</v>
      </c>
      <c r="CB33" s="105">
        <v>37.291309238666045</v>
      </c>
      <c r="CC33" s="105">
        <v>12485.130333105393</v>
      </c>
      <c r="CD33" s="105">
        <v>44.609193423870309</v>
      </c>
      <c r="CE33" s="105">
        <v>14935.15795831178</v>
      </c>
      <c r="CF33" s="105">
        <v>36.192436714044227</v>
      </c>
      <c r="CG33" s="105">
        <v>12117.227811862007</v>
      </c>
      <c r="CH33" s="105">
        <v>33.599606003554989</v>
      </c>
      <c r="CI33" s="105">
        <v>11249.148089990211</v>
      </c>
      <c r="CJ33" s="105">
        <v>41.801620034784897</v>
      </c>
      <c r="CK33" s="105">
        <v>13995.182387645984</v>
      </c>
      <c r="CL33" s="105">
        <v>36.799724960118034</v>
      </c>
      <c r="CM33" s="105">
        <v>12320.547916647518</v>
      </c>
      <c r="CN33" s="105">
        <v>51.01586899733995</v>
      </c>
      <c r="CO33" s="105">
        <v>17080.112940309416</v>
      </c>
      <c r="CP33" s="105">
        <v>39.50709710448703</v>
      </c>
      <c r="CQ33" s="105">
        <v>13226.976110582258</v>
      </c>
      <c r="CR33" s="105">
        <v>31.661136301385042</v>
      </c>
      <c r="CS33" s="105">
        <v>10600.148433703713</v>
      </c>
      <c r="CT33" s="105">
        <v>38.314832928296028</v>
      </c>
      <c r="CU33" s="105">
        <v>12827.80606439351</v>
      </c>
    </row>
    <row r="34" spans="2:99" x14ac:dyDescent="0.2">
      <c r="C34" s="104" t="s">
        <v>200</v>
      </c>
      <c r="D34" s="105">
        <v>4.4892762512124476</v>
      </c>
      <c r="E34" s="105">
        <v>1707.7206859612149</v>
      </c>
      <c r="F34" s="105">
        <v>5.5134826708796458</v>
      </c>
      <c r="G34" s="105">
        <v>2097.3288080026173</v>
      </c>
      <c r="H34" s="105">
        <v>0</v>
      </c>
      <c r="I34" s="105">
        <v>0</v>
      </c>
      <c r="J34" s="105">
        <v>0</v>
      </c>
      <c r="K34" s="105">
        <v>0</v>
      </c>
      <c r="L34" s="105">
        <v>46.630607903613786</v>
      </c>
      <c r="M34" s="105">
        <v>17738.283246534684</v>
      </c>
      <c r="N34" s="105">
        <v>34.339326347437904</v>
      </c>
      <c r="O34" s="105">
        <v>13062.679742565379</v>
      </c>
      <c r="P34" s="105">
        <v>42.712363324635881</v>
      </c>
      <c r="Q34" s="105">
        <v>16247.783008691487</v>
      </c>
      <c r="R34" s="105">
        <v>31.540003606212142</v>
      </c>
      <c r="S34" s="105">
        <v>11997.817371803098</v>
      </c>
      <c r="T34" s="105">
        <v>38.922329700574977</v>
      </c>
      <c r="U34" s="105">
        <v>14806.05421809872</v>
      </c>
      <c r="V34" s="105">
        <v>37.828372707233243</v>
      </c>
      <c r="W34" s="105">
        <v>14389.912977831525</v>
      </c>
      <c r="X34" s="105">
        <v>47.288725190095235</v>
      </c>
      <c r="Y34" s="105">
        <v>17988.631062312226</v>
      </c>
      <c r="Z34" s="105">
        <v>41.333269977850463</v>
      </c>
      <c r="AA34" s="105">
        <v>15723.175899574315</v>
      </c>
      <c r="AB34" s="105">
        <v>46.322150372508212</v>
      </c>
      <c r="AC34" s="105">
        <v>17620.946001702123</v>
      </c>
      <c r="AD34" s="105">
        <v>34.852172029330745</v>
      </c>
      <c r="AE34" s="105">
        <v>13257.766239957415</v>
      </c>
      <c r="AF34" s="105">
        <v>44.206529289443942</v>
      </c>
      <c r="AG34" s="105">
        <v>16816.163741704473</v>
      </c>
      <c r="AH34" s="105">
        <v>29.765937162475065</v>
      </c>
      <c r="AI34" s="105">
        <v>11322.962496605514</v>
      </c>
      <c r="AJ34" s="105">
        <v>39.317704553252192</v>
      </c>
      <c r="AK34" s="105">
        <v>14956.454812057133</v>
      </c>
      <c r="AL34" s="105">
        <v>46.320352925627716</v>
      </c>
      <c r="AM34" s="105">
        <v>17620.262252908782</v>
      </c>
      <c r="AN34" s="105">
        <v>48.124575240150996</v>
      </c>
      <c r="AO34" s="105">
        <v>18306.588421353437</v>
      </c>
      <c r="AP34" s="105">
        <v>31.719325866660316</v>
      </c>
      <c r="AQ34" s="105">
        <v>12066.031559677584</v>
      </c>
      <c r="AR34" s="105">
        <v>33.484226002939138</v>
      </c>
      <c r="AS34" s="105">
        <v>12737.399571518048</v>
      </c>
      <c r="AT34" s="105">
        <v>35.698795262714533</v>
      </c>
      <c r="AU34" s="105">
        <v>13579.821717936607</v>
      </c>
      <c r="AV34" s="105">
        <v>35.543689691340298</v>
      </c>
      <c r="AW34" s="105">
        <v>13520.819558585848</v>
      </c>
      <c r="AX34" s="105">
        <v>38.903040035392593</v>
      </c>
      <c r="AY34" s="105">
        <v>14798.716429463342</v>
      </c>
      <c r="AZ34" s="105">
        <v>38.547378556838645</v>
      </c>
      <c r="BA34" s="105">
        <v>14663.42280302142</v>
      </c>
      <c r="BB34" s="105">
        <v>36.308851333686981</v>
      </c>
      <c r="BC34" s="105">
        <v>13811.887047334527</v>
      </c>
      <c r="BD34" s="105">
        <v>36.599428663816497</v>
      </c>
      <c r="BE34" s="105">
        <v>13922.422663715794</v>
      </c>
      <c r="BF34" s="105">
        <v>44.694641134441724</v>
      </c>
      <c r="BG34" s="105">
        <v>17001.841487541631</v>
      </c>
      <c r="BH34" s="105">
        <v>36.641945648183246</v>
      </c>
      <c r="BI34" s="105">
        <v>13938.596124568905</v>
      </c>
      <c r="BJ34" s="105">
        <v>43.489603304446156</v>
      </c>
      <c r="BK34" s="105">
        <v>16543.445097011318</v>
      </c>
      <c r="BL34" s="105">
        <v>45.069362760274736</v>
      </c>
      <c r="BM34" s="105">
        <v>17144.385594008509</v>
      </c>
      <c r="BN34" s="105">
        <v>49.442244437916742</v>
      </c>
      <c r="BO34" s="105">
        <v>18807.829784183526</v>
      </c>
      <c r="BP34" s="105">
        <v>44.8548701567316</v>
      </c>
      <c r="BQ34" s="105">
        <v>17062.7926076207</v>
      </c>
      <c r="BR34" s="105">
        <v>33.599995558978279</v>
      </c>
      <c r="BS34" s="105">
        <v>12781.438310635336</v>
      </c>
      <c r="BT34" s="105">
        <v>45.644350001087808</v>
      </c>
      <c r="BU34" s="105">
        <v>17363.110740413802</v>
      </c>
      <c r="BV34" s="105">
        <v>43.437313003232092</v>
      </c>
      <c r="BW34" s="105">
        <v>16523.553866429487</v>
      </c>
      <c r="BX34" s="105">
        <v>33.188694056002241</v>
      </c>
      <c r="BY34" s="105">
        <v>12624.979218903252</v>
      </c>
      <c r="BZ34" s="105">
        <v>47.373515161574439</v>
      </c>
      <c r="CA34" s="105">
        <v>18020.885167462915</v>
      </c>
      <c r="CB34" s="105">
        <v>32.963485572550972</v>
      </c>
      <c r="CC34" s="105">
        <v>12539.309911798389</v>
      </c>
      <c r="CD34" s="105">
        <v>48.153260114116335</v>
      </c>
      <c r="CE34" s="105">
        <v>18317.500147409854</v>
      </c>
      <c r="CF34" s="105">
        <v>37.885665579215193</v>
      </c>
      <c r="CG34" s="105">
        <v>14411.707186333459</v>
      </c>
      <c r="CH34" s="105">
        <v>33.599606003554989</v>
      </c>
      <c r="CI34" s="105">
        <v>12781.290123752317</v>
      </c>
      <c r="CJ34" s="105">
        <v>40.193865418062408</v>
      </c>
      <c r="CK34" s="105">
        <v>15289.746405030939</v>
      </c>
      <c r="CL34" s="105">
        <v>33.899690580132784</v>
      </c>
      <c r="CM34" s="105">
        <v>12895.44229668251</v>
      </c>
      <c r="CN34" s="105">
        <v>50.060496726120469</v>
      </c>
      <c r="CO34" s="105">
        <v>19043.012954616224</v>
      </c>
      <c r="CP34" s="105">
        <v>45.898538927020802</v>
      </c>
      <c r="CQ34" s="105">
        <v>17459.804207838712</v>
      </c>
      <c r="CR34" s="105">
        <v>28.603025070606925</v>
      </c>
      <c r="CS34" s="105">
        <v>10880.590736858874</v>
      </c>
      <c r="CT34" s="105">
        <v>36.746541498772778</v>
      </c>
      <c r="CU34" s="105">
        <v>13978.384386133164</v>
      </c>
    </row>
    <row r="35" spans="2:99" x14ac:dyDescent="0.2">
      <c r="C35" s="104" t="s">
        <v>201</v>
      </c>
      <c r="D35" s="105">
        <v>4.4892762512124476</v>
      </c>
      <c r="E35" s="105">
        <v>1842.3989734975885</v>
      </c>
      <c r="F35" s="105">
        <v>6.8918533385995575</v>
      </c>
      <c r="G35" s="105">
        <v>2828.4166101612582</v>
      </c>
      <c r="H35" s="105">
        <v>0</v>
      </c>
      <c r="I35" s="105">
        <v>0</v>
      </c>
      <c r="J35" s="105">
        <v>0</v>
      </c>
      <c r="K35" s="105">
        <v>0</v>
      </c>
      <c r="L35" s="105">
        <v>41.669904935144231</v>
      </c>
      <c r="M35" s="105">
        <v>17101.328985383192</v>
      </c>
      <c r="N35" s="105">
        <v>36.301573567291499</v>
      </c>
      <c r="O35" s="105">
        <v>14898.165792016431</v>
      </c>
      <c r="P35" s="105">
        <v>40.708696518103075</v>
      </c>
      <c r="Q35" s="105">
        <v>16706.849051029501</v>
      </c>
      <c r="R35" s="105">
        <v>32.525608469089661</v>
      </c>
      <c r="S35" s="105">
        <v>13348.509715714395</v>
      </c>
      <c r="T35" s="105">
        <v>40.891893023429922</v>
      </c>
      <c r="U35" s="105">
        <v>16782.032896815639</v>
      </c>
      <c r="V35" s="105">
        <v>39.438090694775092</v>
      </c>
      <c r="W35" s="105">
        <v>16185.392421135697</v>
      </c>
      <c r="X35" s="105">
        <v>42.063847907336907</v>
      </c>
      <c r="Y35" s="105">
        <v>17263.003181171065</v>
      </c>
      <c r="Z35" s="105">
        <v>41.293714736883942</v>
      </c>
      <c r="AA35" s="105">
        <v>16946.94052801717</v>
      </c>
      <c r="AB35" s="105">
        <v>37.899845770359669</v>
      </c>
      <c r="AC35" s="105">
        <v>15554.096704155607</v>
      </c>
      <c r="AD35" s="105">
        <v>34.852172029330745</v>
      </c>
      <c r="AE35" s="105">
        <v>14303.331400837336</v>
      </c>
      <c r="AF35" s="105">
        <v>45.072595739915833</v>
      </c>
      <c r="AG35" s="105">
        <v>18497.793291661455</v>
      </c>
      <c r="AH35" s="105">
        <v>33.769364305098733</v>
      </c>
      <c r="AI35" s="105">
        <v>13858.94711081252</v>
      </c>
      <c r="AJ35" s="105">
        <v>39.357417622408711</v>
      </c>
      <c r="AK35" s="105">
        <v>16152.284192236533</v>
      </c>
      <c r="AL35" s="105">
        <v>46.366117629288823</v>
      </c>
      <c r="AM35" s="105">
        <v>19028.65467506013</v>
      </c>
      <c r="AN35" s="105">
        <v>48.124575240150996</v>
      </c>
      <c r="AO35" s="105">
        <v>19750.325678557969</v>
      </c>
      <c r="AP35" s="105">
        <v>35.459389987563497</v>
      </c>
      <c r="AQ35" s="105">
        <v>14552.533650896059</v>
      </c>
      <c r="AR35" s="105">
        <v>34.378327496690673</v>
      </c>
      <c r="AS35" s="105">
        <v>14108.865604641851</v>
      </c>
      <c r="AT35" s="105">
        <v>35.698795262714533</v>
      </c>
      <c r="AU35" s="105">
        <v>14650.785575818043</v>
      </c>
      <c r="AV35" s="105">
        <v>31.543689691340294</v>
      </c>
      <c r="AW35" s="105">
        <v>12945.530249326055</v>
      </c>
      <c r="AX35" s="105">
        <v>36.087181755846437</v>
      </c>
      <c r="AY35" s="105">
        <v>14810.179392599377</v>
      </c>
      <c r="AZ35" s="105">
        <v>40.497616869853317</v>
      </c>
      <c r="BA35" s="105">
        <v>16620.221963387801</v>
      </c>
      <c r="BB35" s="105">
        <v>33.810205047298751</v>
      </c>
      <c r="BC35" s="105">
        <v>13875.708151411407</v>
      </c>
      <c r="BD35" s="105">
        <v>31.599428663816497</v>
      </c>
      <c r="BE35" s="105">
        <v>12968.40552363029</v>
      </c>
      <c r="BF35" s="105">
        <v>45.514728058156784</v>
      </c>
      <c r="BG35" s="105">
        <v>18679.244395067544</v>
      </c>
      <c r="BH35" s="105">
        <v>40.869862453742854</v>
      </c>
      <c r="BI35" s="105">
        <v>16772.991551016068</v>
      </c>
      <c r="BJ35" s="105">
        <v>48.556578669680462</v>
      </c>
      <c r="BK35" s="105">
        <v>19927.61988603686</v>
      </c>
      <c r="BL35" s="105">
        <v>42.727607164205864</v>
      </c>
      <c r="BM35" s="105">
        <v>17535.409980190085</v>
      </c>
      <c r="BN35" s="105">
        <v>42.986035355927946</v>
      </c>
      <c r="BO35" s="105">
        <v>17641.468910072828</v>
      </c>
      <c r="BP35" s="105">
        <v>42.443083360737546</v>
      </c>
      <c r="BQ35" s="105">
        <v>17418.641411246688</v>
      </c>
      <c r="BR35" s="105">
        <v>32.699994818807994</v>
      </c>
      <c r="BS35" s="105">
        <v>13420.0778736388</v>
      </c>
      <c r="BT35" s="105">
        <v>44.788364515063272</v>
      </c>
      <c r="BU35" s="105">
        <v>18381.144796981967</v>
      </c>
      <c r="BV35" s="105">
        <v>37.388722669539639</v>
      </c>
      <c r="BW35" s="105">
        <v>15344.331783579068</v>
      </c>
      <c r="BX35" s="105">
        <v>32.3478631400518</v>
      </c>
      <c r="BY35" s="105">
        <v>13275.563032677257</v>
      </c>
      <c r="BZ35" s="105">
        <v>47.326348001879737</v>
      </c>
      <c r="CA35" s="105">
        <v>19422.733219971444</v>
      </c>
      <c r="CB35" s="105">
        <v>32.891370133024125</v>
      </c>
      <c r="CC35" s="105">
        <v>13498.6183025931</v>
      </c>
      <c r="CD35" s="105">
        <v>48.932303290980343</v>
      </c>
      <c r="CE35" s="105">
        <v>20081.817270618332</v>
      </c>
      <c r="CF35" s="105">
        <v>41.400927220690996</v>
      </c>
      <c r="CG35" s="105">
        <v>16990.940531371583</v>
      </c>
      <c r="CH35" s="105">
        <v>31.649573170517908</v>
      </c>
      <c r="CI35" s="105">
        <v>12988.984829180548</v>
      </c>
      <c r="CJ35" s="105">
        <v>43.409374651507399</v>
      </c>
      <c r="CK35" s="105">
        <v>17815.207356978637</v>
      </c>
      <c r="CL35" s="105">
        <v>32.799724960118034</v>
      </c>
      <c r="CM35" s="105">
        <v>13461.00712363244</v>
      </c>
      <c r="CN35" s="105">
        <v>48.197394511519903</v>
      </c>
      <c r="CO35" s="105">
        <v>19780.210707527767</v>
      </c>
      <c r="CP35" s="105">
        <v>39.54704332020566</v>
      </c>
      <c r="CQ35" s="105">
        <v>16230.106578612402</v>
      </c>
      <c r="CR35" s="105">
        <v>31.699708586870898</v>
      </c>
      <c r="CS35" s="105">
        <v>13009.560404051816</v>
      </c>
      <c r="CT35" s="105">
        <v>40.727269428793214</v>
      </c>
      <c r="CU35" s="105">
        <v>16714.471373576733</v>
      </c>
    </row>
    <row r="36" spans="2:99" x14ac:dyDescent="0.2">
      <c r="C36" s="104" t="s">
        <v>202</v>
      </c>
      <c r="D36" s="105">
        <v>7</v>
      </c>
      <c r="E36" s="105">
        <v>3208.7999999999997</v>
      </c>
      <c r="F36" s="105">
        <v>8.4650274009760462</v>
      </c>
      <c r="G36" s="105">
        <v>3880.3685606074196</v>
      </c>
      <c r="H36" s="105">
        <v>1.5109117861182864</v>
      </c>
      <c r="I36" s="105">
        <v>692.60196275662247</v>
      </c>
      <c r="J36" s="105">
        <v>0</v>
      </c>
      <c r="K36" s="105">
        <v>0</v>
      </c>
      <c r="L36" s="105">
        <v>45</v>
      </c>
      <c r="M36" s="105">
        <v>20628</v>
      </c>
      <c r="N36" s="105">
        <v>32.357653266390898</v>
      </c>
      <c r="O36" s="105">
        <v>14832.748257313588</v>
      </c>
      <c r="P36" s="105">
        <v>38.143970035074069</v>
      </c>
      <c r="Q36" s="105">
        <v>17485.195864077952</v>
      </c>
      <c r="R36" s="105">
        <v>38.59607567603485</v>
      </c>
      <c r="S36" s="105">
        <v>17692.441089894375</v>
      </c>
      <c r="T36" s="105">
        <v>42.530834393388147</v>
      </c>
      <c r="U36" s="105">
        <v>19496.134485929128</v>
      </c>
      <c r="V36" s="105">
        <v>54.499829033860067</v>
      </c>
      <c r="W36" s="105">
        <v>24982.721629121454</v>
      </c>
      <c r="X36" s="105">
        <v>49.733129307913877</v>
      </c>
      <c r="Y36" s="105">
        <v>22797.666474747719</v>
      </c>
      <c r="Z36" s="105">
        <v>49.594518720935376</v>
      </c>
      <c r="AA36" s="105">
        <v>22734.127381676775</v>
      </c>
      <c r="AB36" s="105">
        <v>40.533194933778681</v>
      </c>
      <c r="AC36" s="105">
        <v>18580.416557644145</v>
      </c>
      <c r="AD36" s="105">
        <v>34.950063698018639</v>
      </c>
      <c r="AE36" s="105">
        <v>16021.109199171744</v>
      </c>
      <c r="AF36" s="105">
        <v>43.138435694165409</v>
      </c>
      <c r="AG36" s="105">
        <v>19774.658922205421</v>
      </c>
      <c r="AH36" s="105">
        <v>37.959889319226612</v>
      </c>
      <c r="AI36" s="105">
        <v>17400.813263933476</v>
      </c>
      <c r="AJ36" s="105">
        <v>43.785769255807182</v>
      </c>
      <c r="AK36" s="105">
        <v>20071.39662686201</v>
      </c>
      <c r="AL36" s="105">
        <v>45.64804496107331</v>
      </c>
      <c r="AM36" s="105">
        <v>20925.063810156003</v>
      </c>
      <c r="AN36" s="105">
        <v>37.972086575391408</v>
      </c>
      <c r="AO36" s="105">
        <v>17406.404486159419</v>
      </c>
      <c r="AP36" s="105">
        <v>30.823129843321745</v>
      </c>
      <c r="AQ36" s="105">
        <v>14129.322720178687</v>
      </c>
      <c r="AR36" s="105">
        <v>34.134944021327406</v>
      </c>
      <c r="AS36" s="105">
        <v>15647.458339376482</v>
      </c>
      <c r="AT36" s="105">
        <v>31.699460939785141</v>
      </c>
      <c r="AU36" s="105">
        <v>14531.032894797509</v>
      </c>
      <c r="AV36" s="105">
        <v>31.63660732935757</v>
      </c>
      <c r="AW36" s="105">
        <v>14502.220799777509</v>
      </c>
      <c r="AX36" s="105">
        <v>42.395175610246518</v>
      </c>
      <c r="AY36" s="105">
        <v>19433.948499737002</v>
      </c>
      <c r="AZ36" s="105">
        <v>36.470636709796395</v>
      </c>
      <c r="BA36" s="105">
        <v>16718.139867770667</v>
      </c>
      <c r="BB36" s="105">
        <v>38.539676528431407</v>
      </c>
      <c r="BC36" s="105">
        <v>17666.587720632957</v>
      </c>
      <c r="BD36" s="105">
        <v>31.575350869218489</v>
      </c>
      <c r="BE36" s="105">
        <v>14474.140838449755</v>
      </c>
      <c r="BF36" s="105">
        <v>52.549373926984408</v>
      </c>
      <c r="BG36" s="105">
        <v>24088.633008129651</v>
      </c>
      <c r="BH36" s="105">
        <v>41.520732698306837</v>
      </c>
      <c r="BI36" s="105">
        <v>19033.103868903854</v>
      </c>
      <c r="BJ36" s="105">
        <v>50.636118625302977</v>
      </c>
      <c r="BK36" s="105">
        <v>23211.596777838884</v>
      </c>
      <c r="BL36" s="105">
        <v>42.872533161562735</v>
      </c>
      <c r="BM36" s="105">
        <v>19652.769201260358</v>
      </c>
      <c r="BN36" s="105">
        <v>49.21089393155588</v>
      </c>
      <c r="BO36" s="105">
        <v>22558.273778225215</v>
      </c>
      <c r="BP36" s="105">
        <v>43.247298982376144</v>
      </c>
      <c r="BQ36" s="105">
        <v>19824.561853521223</v>
      </c>
      <c r="BR36" s="105">
        <v>34.547707878707676</v>
      </c>
      <c r="BS36" s="105">
        <v>15836.669291599597</v>
      </c>
      <c r="BT36" s="105">
        <v>49.383768844055282</v>
      </c>
      <c r="BU36" s="105">
        <v>22637.51963811494</v>
      </c>
      <c r="BV36" s="105">
        <v>32.206392493232826</v>
      </c>
      <c r="BW36" s="105">
        <v>14763.410318897926</v>
      </c>
      <c r="BX36" s="105">
        <v>34.497310638201498</v>
      </c>
      <c r="BY36" s="105">
        <v>15813.567196551565</v>
      </c>
      <c r="BZ36" s="105">
        <v>40.415132464125769</v>
      </c>
      <c r="CA36" s="105">
        <v>18526.296721555253</v>
      </c>
      <c r="CB36" s="105">
        <v>41.679958223263519</v>
      </c>
      <c r="CC36" s="105">
        <v>19106.092849543995</v>
      </c>
      <c r="CD36" s="105">
        <v>49.599317011255721</v>
      </c>
      <c r="CE36" s="105">
        <v>22736.326917959621</v>
      </c>
      <c r="CF36" s="105">
        <v>44.638953223995195</v>
      </c>
      <c r="CG36" s="105">
        <v>20462.496157879395</v>
      </c>
      <c r="CH36" s="105">
        <v>30.568001399663949</v>
      </c>
      <c r="CI36" s="105">
        <v>14012.371841605953</v>
      </c>
      <c r="CJ36" s="105">
        <v>42.700085658408113</v>
      </c>
      <c r="CK36" s="105">
        <v>19573.719265814278</v>
      </c>
      <c r="CL36" s="105">
        <v>29.708843896887529</v>
      </c>
      <c r="CM36" s="105">
        <v>13618.534042333244</v>
      </c>
      <c r="CN36" s="105">
        <v>49.44457256152733</v>
      </c>
      <c r="CO36" s="105">
        <v>22665.392062204126</v>
      </c>
      <c r="CP36" s="105">
        <v>41.690492164279007</v>
      </c>
      <c r="CQ36" s="105">
        <v>19110.921608105495</v>
      </c>
      <c r="CR36" s="105">
        <v>34.543251721185904</v>
      </c>
      <c r="CS36" s="105">
        <v>15834.626588991618</v>
      </c>
      <c r="CT36" s="105">
        <v>38.47429979915745</v>
      </c>
      <c r="CU36" s="105">
        <v>17636.619027933775</v>
      </c>
    </row>
    <row r="37" spans="2:99" x14ac:dyDescent="0.2">
      <c r="B37" s="104" t="s">
        <v>128</v>
      </c>
      <c r="C37" s="104" t="s">
        <v>203</v>
      </c>
      <c r="D37" s="105">
        <v>10.902528038658801</v>
      </c>
      <c r="E37" s="105">
        <v>7104.0872699900747</v>
      </c>
      <c r="F37" s="105">
        <v>11.026965341759292</v>
      </c>
      <c r="G37" s="105">
        <v>7185.170616690355</v>
      </c>
      <c r="H37" s="105">
        <v>0</v>
      </c>
      <c r="I37" s="105">
        <v>0</v>
      </c>
      <c r="J37" s="105">
        <v>0</v>
      </c>
      <c r="K37" s="105">
        <v>0</v>
      </c>
      <c r="L37" s="105">
        <v>32.74063959189904</v>
      </c>
      <c r="M37" s="105">
        <v>21333.800758081416</v>
      </c>
      <c r="N37" s="105">
        <v>39.24494439707189</v>
      </c>
      <c r="O37" s="105">
        <v>25572.005769132043</v>
      </c>
      <c r="P37" s="105">
        <v>41.441783043101793</v>
      </c>
      <c r="Q37" s="105">
        <v>27003.465830885129</v>
      </c>
      <c r="R37" s="105">
        <v>50.483787403922243</v>
      </c>
      <c r="S37" s="105">
        <v>32895.235872395737</v>
      </c>
      <c r="T37" s="105">
        <v>41.735992257313704</v>
      </c>
      <c r="U37" s="105">
        <v>27195.17255486561</v>
      </c>
      <c r="V37" s="105">
        <v>37.023513713462329</v>
      </c>
      <c r="W37" s="105">
        <v>24124.521535692053</v>
      </c>
      <c r="X37" s="105">
        <v>42.228972991964419</v>
      </c>
      <c r="Y37" s="105">
        <v>27516.398801564017</v>
      </c>
      <c r="Z37" s="105">
        <v>32.076191885121972</v>
      </c>
      <c r="AA37" s="105">
        <v>20900.846632345478</v>
      </c>
      <c r="AB37" s="105">
        <v>38.847877554282633</v>
      </c>
      <c r="AC37" s="105">
        <v>25313.277014370564</v>
      </c>
      <c r="AD37" s="105">
        <v>49.81211133978865</v>
      </c>
      <c r="AE37" s="105">
        <v>32457.571749006285</v>
      </c>
      <c r="AF37" s="105">
        <v>45.638677304884936</v>
      </c>
      <c r="AG37" s="105">
        <v>29738.162131863024</v>
      </c>
      <c r="AH37" s="105">
        <v>51.355640853799628</v>
      </c>
      <c r="AI37" s="105">
        <v>33463.335580335835</v>
      </c>
      <c r="AJ37" s="105">
        <v>42.051751604576225</v>
      </c>
      <c r="AK37" s="105">
        <v>27400.921345541869</v>
      </c>
      <c r="AL37" s="105">
        <v>39.931540195618304</v>
      </c>
      <c r="AM37" s="105">
        <v>26019.391591464886</v>
      </c>
      <c r="AN37" s="105">
        <v>25.84546383926045</v>
      </c>
      <c r="AO37" s="105">
        <v>16840.904237662111</v>
      </c>
      <c r="AP37" s="105">
        <v>39.707734000677981</v>
      </c>
      <c r="AQ37" s="105">
        <v>25873.559474841772</v>
      </c>
      <c r="AR37" s="105">
        <v>47.455069359416932</v>
      </c>
      <c r="AS37" s="105">
        <v>30921.723194596074</v>
      </c>
      <c r="AT37" s="105">
        <v>47.399311578694018</v>
      </c>
      <c r="AU37" s="105">
        <v>30885.391424677022</v>
      </c>
      <c r="AV37" s="105">
        <v>36.34598434903473</v>
      </c>
      <c r="AW37" s="105">
        <v>23683.04340183103</v>
      </c>
      <c r="AX37" s="105">
        <v>48.734910547024668</v>
      </c>
      <c r="AY37" s="105">
        <v>31755.667712441274</v>
      </c>
      <c r="AZ37" s="105">
        <v>37.163400748491675</v>
      </c>
      <c r="BA37" s="105">
        <v>24215.671927717176</v>
      </c>
      <c r="BB37" s="105">
        <v>55.382652657865293</v>
      </c>
      <c r="BC37" s="105">
        <v>36087.336471865026</v>
      </c>
      <c r="BD37" s="105">
        <v>36.299714331908248</v>
      </c>
      <c r="BE37" s="105">
        <v>23652.893858671414</v>
      </c>
      <c r="BF37" s="105">
        <v>51.99343399711168</v>
      </c>
      <c r="BG37" s="105">
        <v>33878.921592517974</v>
      </c>
      <c r="BH37" s="105">
        <v>31.709376041697041</v>
      </c>
      <c r="BI37" s="105">
        <v>20661.829428769794</v>
      </c>
      <c r="BJ37" s="105">
        <v>50.934480141793436</v>
      </c>
      <c r="BK37" s="105">
        <v>33188.907260392603</v>
      </c>
      <c r="BL37" s="105">
        <v>28.75379062418893</v>
      </c>
      <c r="BM37" s="105">
        <v>18735.969970721508</v>
      </c>
      <c r="BN37" s="105">
        <v>33.846463338702662</v>
      </c>
      <c r="BO37" s="105">
        <v>22054.355511498656</v>
      </c>
      <c r="BP37" s="105">
        <v>43.921730695779523</v>
      </c>
      <c r="BQ37" s="105">
        <v>28619.399721369937</v>
      </c>
      <c r="BR37" s="105">
        <v>47.80519461475167</v>
      </c>
      <c r="BS37" s="105">
        <v>31149.864810972191</v>
      </c>
      <c r="BT37" s="105">
        <v>43.496213540020221</v>
      </c>
      <c r="BU37" s="105">
        <v>28342.132742677179</v>
      </c>
      <c r="BV37" s="105">
        <v>33.736492578754365</v>
      </c>
      <c r="BW37" s="105">
        <v>21982.698564316346</v>
      </c>
      <c r="BX37" s="105">
        <v>52.888754236954945</v>
      </c>
      <c r="BY37" s="105">
        <v>34462.312260799845</v>
      </c>
      <c r="BZ37" s="105">
        <v>30.448245326569324</v>
      </c>
      <c r="CA37" s="105">
        <v>19840.076654792574</v>
      </c>
      <c r="CB37" s="105">
        <v>42.350412638071859</v>
      </c>
      <c r="CC37" s="105">
        <v>27595.528874967626</v>
      </c>
      <c r="CD37" s="105">
        <v>42.708791883910308</v>
      </c>
      <c r="CE37" s="105">
        <v>27829.048791555957</v>
      </c>
      <c r="CF37" s="105">
        <v>56.582563945681912</v>
      </c>
      <c r="CG37" s="105">
        <v>36869.198667006334</v>
      </c>
      <c r="CH37" s="105">
        <v>38.732841553285859</v>
      </c>
      <c r="CI37" s="105">
        <v>25238.319556121067</v>
      </c>
      <c r="CJ37" s="105">
        <v>40.997742726423652</v>
      </c>
      <c r="CK37" s="105">
        <v>26714.129160537654</v>
      </c>
      <c r="CL37" s="105">
        <v>36.699759340103277</v>
      </c>
      <c r="CM37" s="105">
        <v>23913.563186011295</v>
      </c>
      <c r="CN37" s="105">
        <v>40.251605525094412</v>
      </c>
      <c r="CO37" s="105">
        <v>26227.946160151521</v>
      </c>
      <c r="CP37" s="105">
        <v>27.5231436872362</v>
      </c>
      <c r="CQ37" s="105">
        <v>17934.080426603108</v>
      </c>
      <c r="CR37" s="105">
        <v>34.595646484769873</v>
      </c>
      <c r="CS37" s="105">
        <v>22542.523249476049</v>
      </c>
      <c r="CT37" s="105">
        <v>49.372872076575199</v>
      </c>
      <c r="CU37" s="105">
        <v>32171.363445096402</v>
      </c>
    </row>
    <row r="38" spans="2:99" x14ac:dyDescent="0.2">
      <c r="C38" s="104" t="s">
        <v>204</v>
      </c>
      <c r="D38" s="105">
        <v>11.543853217403436</v>
      </c>
      <c r="E38" s="105">
        <v>11913.256520360346</v>
      </c>
      <c r="F38" s="105">
        <v>10.337780007899335</v>
      </c>
      <c r="G38" s="105">
        <v>10668.588968152113</v>
      </c>
      <c r="H38" s="105">
        <v>0</v>
      </c>
      <c r="I38" s="105">
        <v>0</v>
      </c>
      <c r="J38" s="105">
        <v>0</v>
      </c>
      <c r="K38" s="105">
        <v>0</v>
      </c>
      <c r="L38" s="105">
        <v>32.74063959189904</v>
      </c>
      <c r="M38" s="105">
        <v>33788.340058839807</v>
      </c>
      <c r="N38" s="105">
        <v>37.282697177218296</v>
      </c>
      <c r="O38" s="105">
        <v>38475.743486889281</v>
      </c>
      <c r="P38" s="105">
        <v>44.70444052553448</v>
      </c>
      <c r="Q38" s="105">
        <v>46134.982622351585</v>
      </c>
      <c r="R38" s="105">
        <v>53.291667816736165</v>
      </c>
      <c r="S38" s="105">
        <v>54997.001186871719</v>
      </c>
      <c r="T38" s="105">
        <v>38.259641362522615</v>
      </c>
      <c r="U38" s="105">
        <v>39483.949886123337</v>
      </c>
      <c r="V38" s="105">
        <v>41.047808682316926</v>
      </c>
      <c r="W38" s="105">
        <v>42361.338560151067</v>
      </c>
      <c r="X38" s="105">
        <v>38.018226832965077</v>
      </c>
      <c r="Y38" s="105">
        <v>39234.810091619962</v>
      </c>
      <c r="Z38" s="105">
        <v>30.443429811310548</v>
      </c>
      <c r="AA38" s="105">
        <v>31417.619565272485</v>
      </c>
      <c r="AB38" s="105">
        <v>35.104631064438834</v>
      </c>
      <c r="AC38" s="105">
        <v>36227.979258500876</v>
      </c>
      <c r="AD38" s="105">
        <v>46.954520869924828</v>
      </c>
      <c r="AE38" s="105">
        <v>48457.065537762421</v>
      </c>
      <c r="AF38" s="105">
        <v>45.63125514400943</v>
      </c>
      <c r="AG38" s="105">
        <v>47091.455308617733</v>
      </c>
      <c r="AH38" s="105">
        <v>42.501674040098393</v>
      </c>
      <c r="AI38" s="105">
        <v>43861.727609381545</v>
      </c>
      <c r="AJ38" s="105">
        <v>35.277991484095665</v>
      </c>
      <c r="AK38" s="105">
        <v>36406.887211586727</v>
      </c>
      <c r="AL38" s="105">
        <v>35.931540195618304</v>
      </c>
      <c r="AM38" s="105">
        <v>37081.349481878089</v>
      </c>
      <c r="AN38" s="105">
        <v>24.964467068589379</v>
      </c>
      <c r="AO38" s="105">
        <v>25763.330014784238</v>
      </c>
      <c r="AP38" s="105">
        <v>34.810746972633282</v>
      </c>
      <c r="AQ38" s="105">
        <v>35924.690875757544</v>
      </c>
      <c r="AR38" s="105">
        <v>43.645612988492132</v>
      </c>
      <c r="AS38" s="105">
        <v>45042.272604123878</v>
      </c>
      <c r="AT38" s="105">
        <v>44.34939763135727</v>
      </c>
      <c r="AU38" s="105">
        <v>45768.578355560705</v>
      </c>
      <c r="AV38" s="105">
        <v>34.296558013458345</v>
      </c>
      <c r="AW38" s="105">
        <v>35394.047869889015</v>
      </c>
      <c r="AX38" s="105">
        <v>50.625281979995513</v>
      </c>
      <c r="AY38" s="105">
        <v>52245.291003355371</v>
      </c>
      <c r="AZ38" s="105">
        <v>35.343832956644057</v>
      </c>
      <c r="BA38" s="105">
        <v>36474.835611256669</v>
      </c>
      <c r="BB38" s="105">
        <v>52.051124276014306</v>
      </c>
      <c r="BC38" s="105">
        <v>53716.760252846761</v>
      </c>
      <c r="BD38" s="105">
        <v>33.299714331908248</v>
      </c>
      <c r="BE38" s="105">
        <v>34365.30519052931</v>
      </c>
      <c r="BF38" s="105">
        <v>48.713086302251412</v>
      </c>
      <c r="BG38" s="105">
        <v>50271.905063923456</v>
      </c>
      <c r="BH38" s="105">
        <v>31.004723240770439</v>
      </c>
      <c r="BI38" s="105">
        <v>31996.874384475093</v>
      </c>
      <c r="BJ38" s="105">
        <v>48.965279886745599</v>
      </c>
      <c r="BK38" s="105">
        <v>50532.168843121457</v>
      </c>
      <c r="BL38" s="105">
        <v>26.412035028120052</v>
      </c>
      <c r="BM38" s="105">
        <v>27257.220149019893</v>
      </c>
      <c r="BN38" s="105">
        <v>31.447575639786105</v>
      </c>
      <c r="BO38" s="105">
        <v>32453.89806025926</v>
      </c>
      <c r="BP38" s="105">
        <v>36.704699749741728</v>
      </c>
      <c r="BQ38" s="105">
        <v>37879.250141733464</v>
      </c>
      <c r="BR38" s="105">
        <v>45.399997039318855</v>
      </c>
      <c r="BS38" s="105">
        <v>46852.796944577058</v>
      </c>
      <c r="BT38" s="105">
        <v>44.147514935764214</v>
      </c>
      <c r="BU38" s="105">
        <v>45560.235413708666</v>
      </c>
      <c r="BV38" s="105">
        <v>30.736492578754369</v>
      </c>
      <c r="BW38" s="105">
        <v>31720.060341274508</v>
      </c>
      <c r="BX38" s="105">
        <v>47.009633810780585</v>
      </c>
      <c r="BY38" s="105">
        <v>48513.942092725563</v>
      </c>
      <c r="BZ38" s="105">
        <v>30.456528178557988</v>
      </c>
      <c r="CA38" s="105">
        <v>31431.137080271845</v>
      </c>
      <c r="CB38" s="105">
        <v>38.028437685998391</v>
      </c>
      <c r="CC38" s="105">
        <v>39245.347691950337</v>
      </c>
      <c r="CD38" s="105">
        <v>37.027792575861504</v>
      </c>
      <c r="CE38" s="105">
        <v>38212.681938289075</v>
      </c>
      <c r="CF38" s="105">
        <v>51.216198724187542</v>
      </c>
      <c r="CG38" s="105">
        <v>52855.117083361547</v>
      </c>
      <c r="CH38" s="105">
        <v>36.732841553285859</v>
      </c>
      <c r="CI38" s="105">
        <v>37908.292482991004</v>
      </c>
      <c r="CJ38" s="105">
        <v>39.389988109701157</v>
      </c>
      <c r="CK38" s="105">
        <v>40650.467729211596</v>
      </c>
      <c r="CL38" s="105">
        <v>36.699759340103277</v>
      </c>
      <c r="CM38" s="105">
        <v>37874.151638986579</v>
      </c>
      <c r="CN38" s="105">
        <v>33.555827331674323</v>
      </c>
      <c r="CO38" s="105">
        <v>34629.613806287904</v>
      </c>
      <c r="CP38" s="105">
        <v>24.02366005572312</v>
      </c>
      <c r="CQ38" s="105">
        <v>24792.41717750626</v>
      </c>
      <c r="CR38" s="105">
        <v>36.953951173297384</v>
      </c>
      <c r="CS38" s="105">
        <v>38136.4776108429</v>
      </c>
      <c r="CT38" s="105">
        <v>50.772555564133633</v>
      </c>
      <c r="CU38" s="105">
        <v>52397.277342185909</v>
      </c>
    </row>
    <row r="39" spans="2:99" x14ac:dyDescent="0.2">
      <c r="C39" s="104" t="s">
        <v>205</v>
      </c>
      <c r="D39" s="105">
        <v>10.902528038658801</v>
      </c>
      <c r="E39" s="105">
        <v>13213.863982854467</v>
      </c>
      <c r="F39" s="105">
        <v>10.337780007899335</v>
      </c>
      <c r="G39" s="105">
        <v>12529.389369573993</v>
      </c>
      <c r="H39" s="105">
        <v>0</v>
      </c>
      <c r="I39" s="105">
        <v>0</v>
      </c>
      <c r="J39" s="105">
        <v>0</v>
      </c>
      <c r="K39" s="105">
        <v>0</v>
      </c>
      <c r="L39" s="105">
        <v>34.724920779286862</v>
      </c>
      <c r="M39" s="105">
        <v>42086.603984495676</v>
      </c>
      <c r="N39" s="105">
        <v>33.358202737511107</v>
      </c>
      <c r="O39" s="105">
        <v>40430.141717863458</v>
      </c>
      <c r="P39" s="105">
        <v>40.786636889088037</v>
      </c>
      <c r="Q39" s="105">
        <v>49433.403909574699</v>
      </c>
      <c r="R39" s="105">
        <v>52.352965661894167</v>
      </c>
      <c r="S39" s="105">
        <v>63451.794382215732</v>
      </c>
      <c r="T39" s="105">
        <v>38.922329700574977</v>
      </c>
      <c r="U39" s="105">
        <v>47173.863597096875</v>
      </c>
      <c r="V39" s="105">
        <v>33.804077738378645</v>
      </c>
      <c r="W39" s="105">
        <v>40970.542218914918</v>
      </c>
      <c r="X39" s="105">
        <v>32.793349550206756</v>
      </c>
      <c r="Y39" s="105">
        <v>39745.539654850589</v>
      </c>
      <c r="Z39" s="105">
        <v>30.443429811310548</v>
      </c>
      <c r="AA39" s="105">
        <v>36897.436931308381</v>
      </c>
      <c r="AB39" s="105">
        <v>39.789072517518896</v>
      </c>
      <c r="AC39" s="105">
        <v>48224.355891232903</v>
      </c>
      <c r="AD39" s="105">
        <v>45.049460556682284</v>
      </c>
      <c r="AE39" s="105">
        <v>54599.946194698925</v>
      </c>
      <c r="AF39" s="105">
        <v>39.176510146303734</v>
      </c>
      <c r="AG39" s="105">
        <v>47481.930297320127</v>
      </c>
      <c r="AH39" s="105">
        <v>40.915922772722247</v>
      </c>
      <c r="AI39" s="105">
        <v>49590.098400539362</v>
      </c>
      <c r="AJ39" s="105">
        <v>41.045140297596618</v>
      </c>
      <c r="AK39" s="105">
        <v>49746.710040687103</v>
      </c>
      <c r="AL39" s="105">
        <v>33.931540195618304</v>
      </c>
      <c r="AM39" s="105">
        <v>41125.026717089386</v>
      </c>
      <c r="AN39" s="105">
        <v>27.607457380602597</v>
      </c>
      <c r="AO39" s="105">
        <v>33460.238345290345</v>
      </c>
      <c r="AP39" s="105">
        <v>34.810746972633282</v>
      </c>
      <c r="AQ39" s="105">
        <v>42190.625330831535</v>
      </c>
      <c r="AR39" s="105">
        <v>49.243272346919994</v>
      </c>
      <c r="AS39" s="105">
        <v>59682.846084467034</v>
      </c>
      <c r="AT39" s="105">
        <v>44.299483684020515</v>
      </c>
      <c r="AU39" s="105">
        <v>53690.974225032864</v>
      </c>
      <c r="AV39" s="105">
        <v>37.296558013458345</v>
      </c>
      <c r="AW39" s="105">
        <v>45203.428312311516</v>
      </c>
      <c r="AX39" s="105">
        <v>45.925618557448558</v>
      </c>
      <c r="AY39" s="105">
        <v>55661.849691627656</v>
      </c>
      <c r="AZ39" s="105">
        <v>36.154422137427524</v>
      </c>
      <c r="BA39" s="105">
        <v>43819.159630562157</v>
      </c>
      <c r="BB39" s="105">
        <v>46.63640904396231</v>
      </c>
      <c r="BC39" s="105">
        <v>56523.327761282322</v>
      </c>
      <c r="BD39" s="105">
        <v>38.299714331908248</v>
      </c>
      <c r="BE39" s="105">
        <v>46419.2537702728</v>
      </c>
      <c r="BF39" s="105">
        <v>43.792564759961017</v>
      </c>
      <c r="BG39" s="105">
        <v>53076.588489072754</v>
      </c>
      <c r="BH39" s="105">
        <v>35.232640046330047</v>
      </c>
      <c r="BI39" s="105">
        <v>42701.959736152021</v>
      </c>
      <c r="BJ39" s="105">
        <v>44.042279249125997</v>
      </c>
      <c r="BK39" s="105">
        <v>53379.242449940706</v>
      </c>
      <c r="BL39" s="105">
        <v>27.179834054076959</v>
      </c>
      <c r="BM39" s="105">
        <v>32941.958873541276</v>
      </c>
      <c r="BN39" s="105">
        <v>30.638233233778227</v>
      </c>
      <c r="BO39" s="105">
        <v>37133.53867933921</v>
      </c>
      <c r="BP39" s="105">
        <v>40.588136592367647</v>
      </c>
      <c r="BQ39" s="105">
        <v>49192.821549949585</v>
      </c>
      <c r="BR39" s="105">
        <v>42.80519461475167</v>
      </c>
      <c r="BS39" s="105">
        <v>51879.895873079025</v>
      </c>
      <c r="BT39" s="105">
        <v>38.826647208921777</v>
      </c>
      <c r="BU39" s="105">
        <v>47057.896417213196</v>
      </c>
      <c r="BV39" s="105">
        <v>32.291542002154728</v>
      </c>
      <c r="BW39" s="105">
        <v>39137.348906611529</v>
      </c>
      <c r="BX39" s="105">
        <v>46.020033799416211</v>
      </c>
      <c r="BY39" s="105">
        <v>55776.280964892445</v>
      </c>
      <c r="BZ39" s="105">
        <v>30.284766852562989</v>
      </c>
      <c r="CA39" s="105">
        <v>36705.13742530634</v>
      </c>
      <c r="CB39" s="105">
        <v>35.85867713889926</v>
      </c>
      <c r="CC39" s="105">
        <v>43460.716692345901</v>
      </c>
      <c r="CD39" s="105">
        <v>35.298548629017496</v>
      </c>
      <c r="CE39" s="105">
        <v>42781.840938369205</v>
      </c>
      <c r="CF39" s="105">
        <v>52.428382162824619</v>
      </c>
      <c r="CG39" s="105">
        <v>63543.199181343436</v>
      </c>
      <c r="CH39" s="105">
        <v>34.895707114840548</v>
      </c>
      <c r="CI39" s="105">
        <v>42293.597023186747</v>
      </c>
      <c r="CJ39" s="105">
        <v>36.174478876256167</v>
      </c>
      <c r="CK39" s="105">
        <v>43843.468398022473</v>
      </c>
      <c r="CL39" s="105">
        <v>32.699759340103277</v>
      </c>
      <c r="CM39" s="105">
        <v>39632.108320205174</v>
      </c>
      <c r="CN39" s="105">
        <v>34.511199602893811</v>
      </c>
      <c r="CO39" s="105">
        <v>41827.573918707298</v>
      </c>
      <c r="CP39" s="105">
        <v>23.224729827906394</v>
      </c>
      <c r="CQ39" s="105">
        <v>28148.372551422548</v>
      </c>
      <c r="CR39" s="105">
        <v>33.672375214626058</v>
      </c>
      <c r="CS39" s="105">
        <v>40810.918760126784</v>
      </c>
      <c r="CT39" s="105">
        <v>49.332872505766986</v>
      </c>
      <c r="CU39" s="105">
        <v>59791.441476989588</v>
      </c>
    </row>
    <row r="40" spans="2:99" x14ac:dyDescent="0.2">
      <c r="C40" s="104" t="s">
        <v>206</v>
      </c>
      <c r="D40" s="105">
        <v>11.543853217403436</v>
      </c>
      <c r="E40" s="105">
        <v>5970.480884041056</v>
      </c>
      <c r="F40" s="105">
        <v>11.026965341759292</v>
      </c>
      <c r="G40" s="105">
        <v>5703.1464747579048</v>
      </c>
      <c r="H40" s="105">
        <v>0</v>
      </c>
      <c r="I40" s="105">
        <v>0</v>
      </c>
      <c r="J40" s="105">
        <v>0</v>
      </c>
      <c r="K40" s="105">
        <v>0</v>
      </c>
      <c r="L40" s="105">
        <v>34.724920779286862</v>
      </c>
      <c r="M40" s="105">
        <v>17959.729027047164</v>
      </c>
      <c r="N40" s="105">
        <v>40.226068006998688</v>
      </c>
      <c r="O40" s="105">
        <v>20804.922373219717</v>
      </c>
      <c r="P40" s="105">
        <v>40.794833050020742</v>
      </c>
      <c r="Q40" s="105">
        <v>21099.087653470724</v>
      </c>
      <c r="R40" s="105">
        <v>53.29989386844823</v>
      </c>
      <c r="S40" s="105">
        <v>27566.70510876142</v>
      </c>
      <c r="T40" s="105">
        <v>37.328580790469047</v>
      </c>
      <c r="U40" s="105">
        <v>19306.341984830589</v>
      </c>
      <c r="V40" s="105">
        <v>41.047808682316926</v>
      </c>
      <c r="W40" s="105">
        <v>21229.926650494312</v>
      </c>
      <c r="X40" s="105">
        <v>38.018226832965077</v>
      </c>
      <c r="Y40" s="105">
        <v>19663.026918009535</v>
      </c>
      <c r="Z40" s="105">
        <v>38.60724018036769</v>
      </c>
      <c r="AA40" s="105">
        <v>19967.664621286167</v>
      </c>
      <c r="AB40" s="105">
        <v>44.473513970598972</v>
      </c>
      <c r="AC40" s="105">
        <v>23001.701425593787</v>
      </c>
      <c r="AD40" s="105">
        <v>55.574049478763364</v>
      </c>
      <c r="AE40" s="105">
        <v>28742.898390416409</v>
      </c>
      <c r="AF40" s="105">
        <v>44.79442516274235</v>
      </c>
      <c r="AG40" s="105">
        <v>23167.676694170339</v>
      </c>
      <c r="AH40" s="105">
        <v>51.362495930902391</v>
      </c>
      <c r="AI40" s="105">
        <v>26564.682895462713</v>
      </c>
      <c r="AJ40" s="105">
        <v>42.045140297596618</v>
      </c>
      <c r="AK40" s="105">
        <v>21745.746561916967</v>
      </c>
      <c r="AL40" s="105">
        <v>36.931540195618304</v>
      </c>
      <c r="AM40" s="105">
        <v>19100.992589173784</v>
      </c>
      <c r="AN40" s="105">
        <v>25.84546383926045</v>
      </c>
      <c r="AO40" s="105">
        <v>13367.273897665504</v>
      </c>
      <c r="AP40" s="105">
        <v>33.872033334765497</v>
      </c>
      <c r="AQ40" s="105">
        <v>17518.615640740714</v>
      </c>
      <c r="AR40" s="105">
        <v>53.052728717844793</v>
      </c>
      <c r="AS40" s="105">
        <v>27438.871292869324</v>
      </c>
      <c r="AT40" s="105">
        <v>45.34939763135727</v>
      </c>
      <c r="AU40" s="105">
        <v>23454.708454937976</v>
      </c>
      <c r="AV40" s="105">
        <v>37.34598434903473</v>
      </c>
      <c r="AW40" s="105">
        <v>19315.343105320761</v>
      </c>
      <c r="AX40" s="105">
        <v>57.195617965603205</v>
      </c>
      <c r="AY40" s="105">
        <v>29581.573611809974</v>
      </c>
      <c r="AZ40" s="105">
        <v>36.343832956644057</v>
      </c>
      <c r="BA40" s="105">
        <v>18797.030405176305</v>
      </c>
      <c r="BB40" s="105">
        <v>51.218242180551563</v>
      </c>
      <c r="BC40" s="105">
        <v>26490.074855781266</v>
      </c>
      <c r="BD40" s="105">
        <v>41.299714331908248</v>
      </c>
      <c r="BE40" s="105">
        <v>21360.212252462945</v>
      </c>
      <c r="BF40" s="105">
        <v>51.777320369863325</v>
      </c>
      <c r="BG40" s="105">
        <v>26779.230095293307</v>
      </c>
      <c r="BH40" s="105">
        <v>38.755904050963046</v>
      </c>
      <c r="BI40" s="105">
        <v>20044.553575158086</v>
      </c>
      <c r="BJ40" s="105">
        <v>48.965279886745599</v>
      </c>
      <c r="BK40" s="105">
        <v>25324.84275742482</v>
      </c>
      <c r="BL40" s="105">
        <v>34.423022427567716</v>
      </c>
      <c r="BM40" s="105">
        <v>17803.587199538022</v>
      </c>
      <c r="BN40" s="105">
        <v>34.81008580543444</v>
      </c>
      <c r="BO40" s="105">
        <v>18003.776378570688</v>
      </c>
      <c r="BP40" s="105">
        <v>42.151307533192174</v>
      </c>
      <c r="BQ40" s="105">
        <v>21800.656256166989</v>
      </c>
      <c r="BR40" s="105">
        <v>54.399997039318855</v>
      </c>
      <c r="BS40" s="105">
        <v>28135.678468735707</v>
      </c>
      <c r="BT40" s="105">
        <v>41.047150094533187</v>
      </c>
      <c r="BU40" s="105">
        <v>21229.586028892561</v>
      </c>
      <c r="BV40" s="105">
        <v>36.906186155300716</v>
      </c>
      <c r="BW40" s="105">
        <v>19087.879479521529</v>
      </c>
      <c r="BX40" s="105">
        <v>53.594208028449017</v>
      </c>
      <c r="BY40" s="105">
        <v>27718.924392313827</v>
      </c>
      <c r="BZ40" s="105">
        <v>32.240975632743087</v>
      </c>
      <c r="CA40" s="105">
        <v>16675.032597254722</v>
      </c>
      <c r="CB40" s="105">
        <v>40.907804749366839</v>
      </c>
      <c r="CC40" s="105">
        <v>21157.516616372526</v>
      </c>
      <c r="CD40" s="105">
        <v>42.215524416393549</v>
      </c>
      <c r="CE40" s="105">
        <v>21833.869228158739</v>
      </c>
      <c r="CF40" s="105">
        <v>59.028934484157702</v>
      </c>
      <c r="CG40" s="105">
        <v>30529.76491520636</v>
      </c>
      <c r="CH40" s="105">
        <v>38.732841553285859</v>
      </c>
      <c r="CI40" s="105">
        <v>20032.625651359442</v>
      </c>
      <c r="CJ40" s="105">
        <v>44.21325195986865</v>
      </c>
      <c r="CK40" s="105">
        <v>22867.093913644061</v>
      </c>
      <c r="CL40" s="105">
        <v>34.699759340103277</v>
      </c>
      <c r="CM40" s="105">
        <v>17946.715530701411</v>
      </c>
      <c r="CN40" s="105">
        <v>35.48291646388067</v>
      </c>
      <c r="CO40" s="105">
        <v>18351.76439511908</v>
      </c>
      <c r="CP40" s="105">
        <v>24.822590283539839</v>
      </c>
      <c r="CQ40" s="105">
        <v>12838.243694646802</v>
      </c>
      <c r="CR40" s="105">
        <v>37.737765123734832</v>
      </c>
      <c r="CS40" s="105">
        <v>19517.972121995652</v>
      </c>
      <c r="CT40" s="105">
        <v>48.360119063636446</v>
      </c>
      <c r="CU40" s="105">
        <v>25011.853579712766</v>
      </c>
    </row>
    <row r="41" spans="2:99" x14ac:dyDescent="0.2">
      <c r="C41" s="104" t="s">
        <v>207</v>
      </c>
      <c r="D41" s="105">
        <v>11.543853217403436</v>
      </c>
      <c r="E41" s="105">
        <v>5250.1444432750832</v>
      </c>
      <c r="F41" s="105">
        <v>11.026965341759292</v>
      </c>
      <c r="G41" s="105">
        <v>5015.0638374321261</v>
      </c>
      <c r="H41" s="105">
        <v>0</v>
      </c>
      <c r="I41" s="105">
        <v>0</v>
      </c>
      <c r="J41" s="105">
        <v>0</v>
      </c>
      <c r="K41" s="105">
        <v>0</v>
      </c>
      <c r="L41" s="105">
        <v>38.693483154062498</v>
      </c>
      <c r="M41" s="105">
        <v>17597.796138467624</v>
      </c>
      <c r="N41" s="105">
        <v>36.301573567291499</v>
      </c>
      <c r="O41" s="105">
        <v>16509.955658404175</v>
      </c>
      <c r="P41" s="105">
        <v>45.681842394412918</v>
      </c>
      <c r="Q41" s="105">
        <v>20776.101920978996</v>
      </c>
      <c r="R41" s="105">
        <v>57.04647643610415</v>
      </c>
      <c r="S41" s="105">
        <v>25944.737483140168</v>
      </c>
      <c r="T41" s="105">
        <v>40.798104738400795</v>
      </c>
      <c r="U41" s="105">
        <v>18554.978035024684</v>
      </c>
      <c r="V41" s="105">
        <v>44.26724465740061</v>
      </c>
      <c r="W41" s="105">
        <v>20132.742870185797</v>
      </c>
      <c r="X41" s="105">
        <v>38.018226832965077</v>
      </c>
      <c r="Y41" s="105">
        <v>17290.689563632517</v>
      </c>
      <c r="Z41" s="105">
        <v>37.764320150557126</v>
      </c>
      <c r="AA41" s="105">
        <v>17175.21280447338</v>
      </c>
      <c r="AB41" s="105">
        <v>36.976254309360726</v>
      </c>
      <c r="AC41" s="105">
        <v>16816.800459897258</v>
      </c>
      <c r="AD41" s="105">
        <v>49.81211133978865</v>
      </c>
      <c r="AE41" s="105">
        <v>22654.548237335879</v>
      </c>
      <c r="AF41" s="105">
        <v>44.727173963606269</v>
      </c>
      <c r="AG41" s="105">
        <v>20341.918718648132</v>
      </c>
      <c r="AH41" s="105">
        <v>52.955102275381307</v>
      </c>
      <c r="AI41" s="105">
        <v>24083.980514843421</v>
      </c>
      <c r="AJ41" s="105">
        <v>44.238278414939138</v>
      </c>
      <c r="AK41" s="105">
        <v>20119.56902311432</v>
      </c>
      <c r="AL41" s="105">
        <v>38.931540195618304</v>
      </c>
      <c r="AM41" s="105">
        <v>17706.064480967205</v>
      </c>
      <c r="AN41" s="105">
        <v>27.607457380602597</v>
      </c>
      <c r="AO41" s="105">
        <v>12555.871616698061</v>
      </c>
      <c r="AP41" s="105">
        <v>40.499975383119541</v>
      </c>
      <c r="AQ41" s="105">
        <v>18419.388804242768</v>
      </c>
      <c r="AR41" s="105">
        <v>55.534483158437901</v>
      </c>
      <c r="AS41" s="105">
        <v>25257.08294045756</v>
      </c>
      <c r="AT41" s="105">
        <v>45.34939763135727</v>
      </c>
      <c r="AU41" s="105">
        <v>20624.906042741288</v>
      </c>
      <c r="AV41" s="105">
        <v>44.34598434903473</v>
      </c>
      <c r="AW41" s="105">
        <v>20168.553681940997</v>
      </c>
      <c r="AX41" s="105">
        <v>49.81884432099173</v>
      </c>
      <c r="AY41" s="105">
        <v>22657.61039718704</v>
      </c>
      <c r="AZ41" s="105">
        <v>37.163400748491675</v>
      </c>
      <c r="BA41" s="105">
        <v>16901.914660414015</v>
      </c>
      <c r="BB41" s="105">
        <v>47.845470362968172</v>
      </c>
      <c r="BC41" s="105">
        <v>21760.119921077923</v>
      </c>
      <c r="BD41" s="105">
        <v>36.299714331908248</v>
      </c>
      <c r="BE41" s="105">
        <v>16509.110078151873</v>
      </c>
      <c r="BF41" s="105">
        <v>51.214341798779429</v>
      </c>
      <c r="BG41" s="105">
        <v>23292.282650084886</v>
      </c>
      <c r="BH41" s="105">
        <v>36.641945648183246</v>
      </c>
      <c r="BI41" s="105">
        <v>16664.756880793739</v>
      </c>
      <c r="BJ41" s="105">
        <v>44.186253976740694</v>
      </c>
      <c r="BK41" s="105">
        <v>20095.908308621667</v>
      </c>
      <c r="BL41" s="105">
        <v>31.057187702059647</v>
      </c>
      <c r="BM41" s="105">
        <v>14124.808966896728</v>
      </c>
      <c r="BN41" s="105">
        <v>32.403913226741111</v>
      </c>
      <c r="BO41" s="105">
        <v>14737.299735521858</v>
      </c>
      <c r="BP41" s="105">
        <v>39.964499819665519</v>
      </c>
      <c r="BQ41" s="105">
        <v>18175.85451798388</v>
      </c>
      <c r="BR41" s="105">
        <v>47.80519461475167</v>
      </c>
      <c r="BS41" s="105">
        <v>21741.802510789061</v>
      </c>
      <c r="BT41" s="105">
        <v>48.178459250619937</v>
      </c>
      <c r="BU41" s="105">
        <v>21911.563267181948</v>
      </c>
      <c r="BV41" s="105">
        <v>39.736492578754365</v>
      </c>
      <c r="BW41" s="105">
        <v>18072.156824817484</v>
      </c>
      <c r="BX41" s="105">
        <v>57.099604802185958</v>
      </c>
      <c r="BY41" s="105">
        <v>25968.900264034175</v>
      </c>
      <c r="BZ41" s="105">
        <v>35.338767277019542</v>
      </c>
      <c r="CA41" s="105">
        <v>16072.071357588487</v>
      </c>
      <c r="CB41" s="105">
        <v>37.307133741645885</v>
      </c>
      <c r="CC41" s="105">
        <v>16967.284425700549</v>
      </c>
      <c r="CD41" s="105">
        <v>44.395246432475318</v>
      </c>
      <c r="CE41" s="105">
        <v>20190.958077489777</v>
      </c>
      <c r="CF41" s="105">
        <v>59.186809199005289</v>
      </c>
      <c r="CG41" s="105">
        <v>26918.160823707607</v>
      </c>
      <c r="CH41" s="105">
        <v>39.903845045547257</v>
      </c>
      <c r="CI41" s="105">
        <v>18148.268726714894</v>
      </c>
      <c r="CJ41" s="105">
        <v>43.409374651507399</v>
      </c>
      <c r="CK41" s="105">
        <v>19742.583591505565</v>
      </c>
      <c r="CL41" s="105">
        <v>35.599793720088527</v>
      </c>
      <c r="CM41" s="105">
        <v>16190.786183896264</v>
      </c>
      <c r="CN41" s="105">
        <v>36.438288735100159</v>
      </c>
      <c r="CO41" s="105">
        <v>16572.133716723554</v>
      </c>
      <c r="CP41" s="105">
        <v>27.563089902954829</v>
      </c>
      <c r="CQ41" s="105">
        <v>12535.693287863856</v>
      </c>
      <c r="CR41" s="105">
        <v>36.960814010512522</v>
      </c>
      <c r="CS41" s="105">
        <v>16809.778211981095</v>
      </c>
      <c r="CT41" s="105">
        <v>48.568726576409468</v>
      </c>
      <c r="CU41" s="105">
        <v>22089.056846951025</v>
      </c>
    </row>
    <row r="42" spans="2:99" x14ac:dyDescent="0.2">
      <c r="C42" s="104" t="s">
        <v>208</v>
      </c>
      <c r="D42" s="105">
        <v>12.185178396148071</v>
      </c>
      <c r="E42" s="105">
        <v>8480.8841637190581</v>
      </c>
      <c r="F42" s="105">
        <v>11.026965341759292</v>
      </c>
      <c r="G42" s="105">
        <v>7674.7678778644668</v>
      </c>
      <c r="H42" s="105">
        <v>0</v>
      </c>
      <c r="I42" s="105">
        <v>0</v>
      </c>
      <c r="J42" s="105">
        <v>0</v>
      </c>
      <c r="K42" s="105">
        <v>0</v>
      </c>
      <c r="L42" s="105">
        <v>38.693483154062498</v>
      </c>
      <c r="M42" s="105">
        <v>26930.6642752275</v>
      </c>
      <c r="N42" s="105">
        <v>40.226068006998688</v>
      </c>
      <c r="O42" s="105">
        <v>27997.343332871085</v>
      </c>
      <c r="P42" s="105">
        <v>42.749636787777611</v>
      </c>
      <c r="Q42" s="105">
        <v>29753.747204293217</v>
      </c>
      <c r="R42" s="105">
        <v>54.238596023290221</v>
      </c>
      <c r="S42" s="105">
        <v>37750.062832209995</v>
      </c>
      <c r="T42" s="105">
        <v>37.937548039147501</v>
      </c>
      <c r="U42" s="105">
        <v>26404.53343524666</v>
      </c>
      <c r="V42" s="105">
        <v>41.047808682316926</v>
      </c>
      <c r="W42" s="105">
        <v>28569.274842892581</v>
      </c>
      <c r="X42" s="105">
        <v>39.759852593884524</v>
      </c>
      <c r="Y42" s="105">
        <v>27672.857405343628</v>
      </c>
      <c r="Z42" s="105">
        <v>35.381271273711356</v>
      </c>
      <c r="AA42" s="105">
        <v>24625.364806503105</v>
      </c>
      <c r="AB42" s="105">
        <v>36.04044268689978</v>
      </c>
      <c r="AC42" s="105">
        <v>25084.148110082246</v>
      </c>
      <c r="AD42" s="105">
        <v>52.716459008899541</v>
      </c>
      <c r="AE42" s="105">
        <v>36690.655470194084</v>
      </c>
      <c r="AF42" s="105">
        <v>44.727173963606269</v>
      </c>
      <c r="AG42" s="105">
        <v>31130.113078669965</v>
      </c>
      <c r="AH42" s="105">
        <v>52.15537156459046</v>
      </c>
      <c r="AI42" s="105">
        <v>36300.138608954963</v>
      </c>
      <c r="AJ42" s="105">
        <v>42.045140297596618</v>
      </c>
      <c r="AK42" s="105">
        <v>29263.417647127244</v>
      </c>
      <c r="AL42" s="105">
        <v>36.923527257078923</v>
      </c>
      <c r="AM42" s="105">
        <v>25698.77497092693</v>
      </c>
      <c r="AN42" s="105">
        <v>25.84546383926045</v>
      </c>
      <c r="AO42" s="105">
        <v>17988.442832125274</v>
      </c>
      <c r="AP42" s="105">
        <v>33.079791952323944</v>
      </c>
      <c r="AQ42" s="105">
        <v>23023.535198817466</v>
      </c>
      <c r="AR42" s="105">
        <v>50.830925293761567</v>
      </c>
      <c r="AS42" s="105">
        <v>35378.324004458053</v>
      </c>
      <c r="AT42" s="105">
        <v>41.34939763135727</v>
      </c>
      <c r="AU42" s="105">
        <v>28779.180751424661</v>
      </c>
      <c r="AV42" s="105">
        <v>39.34598434903473</v>
      </c>
      <c r="AW42" s="105">
        <v>27384.805106928172</v>
      </c>
      <c r="AX42" s="105">
        <v>52.49595454305625</v>
      </c>
      <c r="AY42" s="105">
        <v>36537.184361967149</v>
      </c>
      <c r="AZ42" s="105">
        <v>35.343832956644057</v>
      </c>
      <c r="BA42" s="105">
        <v>24599.307737824263</v>
      </c>
      <c r="BB42" s="105">
        <v>52.600358135823456</v>
      </c>
      <c r="BC42" s="105">
        <v>36609.849262533127</v>
      </c>
      <c r="BD42" s="105">
        <v>41.349666720559625</v>
      </c>
      <c r="BE42" s="105">
        <v>28779.368037509499</v>
      </c>
      <c r="BF42" s="105">
        <v>53.417494217293466</v>
      </c>
      <c r="BG42" s="105">
        <v>37178.57597523625</v>
      </c>
      <c r="BH42" s="105">
        <v>32.414028842623644</v>
      </c>
      <c r="BI42" s="105">
        <v>22560.164074466054</v>
      </c>
      <c r="BJ42" s="105">
        <v>49.949880014269517</v>
      </c>
      <c r="BK42" s="105">
        <v>34765.116489931585</v>
      </c>
      <c r="BL42" s="105">
        <v>29.816228271826279</v>
      </c>
      <c r="BM42" s="105">
        <v>20752.094877191092</v>
      </c>
      <c r="BN42" s="105">
        <v>32.256918045793995</v>
      </c>
      <c r="BO42" s="105">
        <v>22450.81495987262</v>
      </c>
      <c r="BP42" s="105">
        <v>39.817047054570558</v>
      </c>
      <c r="BQ42" s="105">
        <v>27712.664749981108</v>
      </c>
      <c r="BR42" s="105">
        <v>49.399997039318855</v>
      </c>
      <c r="BS42" s="105">
        <v>34382.397939365925</v>
      </c>
      <c r="BT42" s="105">
        <v>48.04515990143021</v>
      </c>
      <c r="BU42" s="105">
        <v>33439.431291395427</v>
      </c>
      <c r="BV42" s="105">
        <v>35.906186155300716</v>
      </c>
      <c r="BW42" s="105">
        <v>24990.705564089298</v>
      </c>
      <c r="BX42" s="105">
        <v>47.850464726731026</v>
      </c>
      <c r="BY42" s="105">
        <v>33303.923449804795</v>
      </c>
      <c r="BZ42" s="105">
        <v>34.360662886929504</v>
      </c>
      <c r="CA42" s="105">
        <v>23915.021369302936</v>
      </c>
      <c r="CB42" s="105">
        <v>37.307133741645885</v>
      </c>
      <c r="CC42" s="105">
        <v>25965.765084185536</v>
      </c>
      <c r="CD42" s="105">
        <v>42.215524416393549</v>
      </c>
      <c r="CE42" s="105">
        <v>29382.004993809911</v>
      </c>
      <c r="CF42" s="105">
        <v>57.679807306516011</v>
      </c>
      <c r="CG42" s="105">
        <v>40145.145885335143</v>
      </c>
      <c r="CH42" s="105">
        <v>34.740979483992575</v>
      </c>
      <c r="CI42" s="105">
        <v>24179.721720858834</v>
      </c>
      <c r="CJ42" s="105">
        <v>39.389988109701157</v>
      </c>
      <c r="CK42" s="105">
        <v>27415.431724352005</v>
      </c>
      <c r="CL42" s="105">
        <v>38.699759340103277</v>
      </c>
      <c r="CM42" s="105">
        <v>26935.032500711881</v>
      </c>
      <c r="CN42" s="105">
        <v>36.42194414533278</v>
      </c>
      <c r="CO42" s="105">
        <v>25349.673125151614</v>
      </c>
      <c r="CP42" s="105">
        <v>24.32742277596931</v>
      </c>
      <c r="CQ42" s="105">
        <v>16931.886252074641</v>
      </c>
      <c r="CR42" s="105">
        <v>40.87302092548466</v>
      </c>
      <c r="CS42" s="105">
        <v>28447.622564137324</v>
      </c>
      <c r="CT42" s="105">
        <v>47.555973563470715</v>
      </c>
      <c r="CU42" s="105">
        <v>33098.957600175621</v>
      </c>
    </row>
    <row r="43" spans="2:99" x14ac:dyDescent="0.2">
      <c r="C43" s="104" t="s">
        <v>209</v>
      </c>
      <c r="D43" s="105">
        <v>12.826503574892707</v>
      </c>
      <c r="E43" s="105">
        <v>10451.035112822578</v>
      </c>
      <c r="F43" s="105">
        <v>10.337780007899335</v>
      </c>
      <c r="G43" s="105">
        <v>8423.2231504363772</v>
      </c>
      <c r="H43" s="105">
        <v>0</v>
      </c>
      <c r="I43" s="105">
        <v>0</v>
      </c>
      <c r="J43" s="105">
        <v>0</v>
      </c>
      <c r="K43" s="105">
        <v>0</v>
      </c>
      <c r="L43" s="105">
        <v>34.724920779286862</v>
      </c>
      <c r="M43" s="105">
        <v>28293.865450962934</v>
      </c>
      <c r="N43" s="105">
        <v>34.339326347437904</v>
      </c>
      <c r="O43" s="105">
        <v>27979.683107892404</v>
      </c>
      <c r="P43" s="105">
        <v>40.794833050020742</v>
      </c>
      <c r="Q43" s="105">
        <v>33239.6299691569</v>
      </c>
      <c r="R43" s="105">
        <v>50.483787403922243</v>
      </c>
      <c r="S43" s="105">
        <v>41134.189976715839</v>
      </c>
      <c r="T43" s="105">
        <v>35.445978805783888</v>
      </c>
      <c r="U43" s="105">
        <v>28881.383530952709</v>
      </c>
      <c r="V43" s="105">
        <v>39.438090694775092</v>
      </c>
      <c r="W43" s="105">
        <v>32134.156298102742</v>
      </c>
      <c r="X43" s="105">
        <v>37.874908589665814</v>
      </c>
      <c r="Y43" s="105">
        <v>30860.475518859705</v>
      </c>
      <c r="Z43" s="105">
        <v>37.014033347522783</v>
      </c>
      <c r="AA43" s="105">
        <v>30159.034371561564</v>
      </c>
      <c r="AB43" s="105">
        <v>36.04044268689978</v>
      </c>
      <c r="AC43" s="105">
        <v>29365.752701285939</v>
      </c>
      <c r="AD43" s="105">
        <v>53.668989165520813</v>
      </c>
      <c r="AE43" s="105">
        <v>43729.492372066357</v>
      </c>
      <c r="AF43" s="105">
        <v>49.43358563876621</v>
      </c>
      <c r="AG43" s="105">
        <v>40278.485578466709</v>
      </c>
      <c r="AH43" s="105">
        <v>52.009326567252508</v>
      </c>
      <c r="AI43" s="105">
        <v>42377.19928699734</v>
      </c>
      <c r="AJ43" s="105">
        <v>40.238278414939138</v>
      </c>
      <c r="AK43" s="105">
        <v>32786.149252492411</v>
      </c>
      <c r="AL43" s="105">
        <v>37.923527257078923</v>
      </c>
      <c r="AM43" s="105">
        <v>30900.090009067906</v>
      </c>
      <c r="AN43" s="105">
        <v>24.964467068589379</v>
      </c>
      <c r="AO43" s="105">
        <v>20341.047767486623</v>
      </c>
      <c r="AP43" s="105">
        <v>32.925184470714925</v>
      </c>
      <c r="AQ43" s="105">
        <v>26827.440306738517</v>
      </c>
      <c r="AR43" s="105">
        <v>44.539714482243653</v>
      </c>
      <c r="AS43" s="105">
        <v>36290.959360132125</v>
      </c>
      <c r="AT43" s="105">
        <v>45.34939763135727</v>
      </c>
      <c r="AU43" s="105">
        <v>36950.689190029902</v>
      </c>
      <c r="AV43" s="105">
        <v>39.34598434903473</v>
      </c>
      <c r="AW43" s="105">
        <v>32059.108047593494</v>
      </c>
      <c r="AX43" s="105">
        <v>47.796291120509288</v>
      </c>
      <c r="AY43" s="105">
        <v>38944.418004990963</v>
      </c>
      <c r="AZ43" s="105">
        <v>38.163400748491675</v>
      </c>
      <c r="BA43" s="105">
        <v>31095.538929871014</v>
      </c>
      <c r="BB43" s="105">
        <v>49.141367143295469</v>
      </c>
      <c r="BC43" s="105">
        <v>40040.385948357143</v>
      </c>
      <c r="BD43" s="105">
        <v>34.299714331908248</v>
      </c>
      <c r="BE43" s="105">
        <v>27947.407237638839</v>
      </c>
      <c r="BF43" s="105">
        <v>43.833559485343841</v>
      </c>
      <c r="BG43" s="105">
        <v>35715.58426865816</v>
      </c>
      <c r="BH43" s="105">
        <v>31.709376041697041</v>
      </c>
      <c r="BI43" s="105">
        <v>25836.799598774749</v>
      </c>
      <c r="BJ43" s="105">
        <v>46.011479504173835</v>
      </c>
      <c r="BK43" s="105">
        <v>37490.153500000837</v>
      </c>
      <c r="BL43" s="105">
        <v>32.554427235775307</v>
      </c>
      <c r="BM43" s="105">
        <v>26525.34731170972</v>
      </c>
      <c r="BN43" s="105">
        <v>29.850745467100669</v>
      </c>
      <c r="BO43" s="105">
        <v>24322.387406593625</v>
      </c>
      <c r="BP43" s="105">
        <v>36.697702461331616</v>
      </c>
      <c r="BQ43" s="105">
        <v>29901.287965493</v>
      </c>
      <c r="BR43" s="105">
        <v>44.399997039318855</v>
      </c>
      <c r="BS43" s="105">
        <v>36177.117587637003</v>
      </c>
      <c r="BT43" s="105">
        <v>41.161430374470996</v>
      </c>
      <c r="BU43" s="105">
        <v>33538.333469118967</v>
      </c>
      <c r="BV43" s="105">
        <v>34.906186155300716</v>
      </c>
      <c r="BW43" s="105">
        <v>28441.560479339023</v>
      </c>
      <c r="BX43" s="105">
        <v>46.86086471536666</v>
      </c>
      <c r="BY43" s="105">
        <v>38182.232570080749</v>
      </c>
      <c r="BZ43" s="105">
        <v>33.382558496839458</v>
      </c>
      <c r="CA43" s="105">
        <v>27200.10866322479</v>
      </c>
      <c r="CB43" s="105">
        <v>35.85867713889926</v>
      </c>
      <c r="CC43" s="105">
        <v>29217.650132775114</v>
      </c>
      <c r="CD43" s="105">
        <v>38.757036522705526</v>
      </c>
      <c r="CE43" s="105">
        <v>31579.233358700461</v>
      </c>
      <c r="CF43" s="105">
        <v>53.110236941250733</v>
      </c>
      <c r="CG43" s="105">
        <v>43274.221059731091</v>
      </c>
      <c r="CH43" s="105">
        <v>38.749117414699285</v>
      </c>
      <c r="CI43" s="105">
        <v>31572.780869496975</v>
      </c>
      <c r="CJ43" s="105">
        <v>36.174478876256167</v>
      </c>
      <c r="CK43" s="105">
        <v>29474.965388373523</v>
      </c>
      <c r="CL43" s="105">
        <v>33.599793720088527</v>
      </c>
      <c r="CM43" s="105">
        <v>27377.11192312813</v>
      </c>
      <c r="CN43" s="105">
        <v>39.288060958991238</v>
      </c>
      <c r="CO43" s="105">
        <v>32011.91206938606</v>
      </c>
      <c r="CP43" s="105">
        <v>25.885337015884126</v>
      </c>
      <c r="CQ43" s="105">
        <v>21091.372600542385</v>
      </c>
      <c r="CR43" s="105">
        <v>36.953951173297384</v>
      </c>
      <c r="CS43" s="105">
        <v>30110.079416002707</v>
      </c>
      <c r="CT43" s="105">
        <v>53.393599577403847</v>
      </c>
      <c r="CU43" s="105">
        <v>43505.104935668649</v>
      </c>
    </row>
    <row r="44" spans="2:99" x14ac:dyDescent="0.2">
      <c r="C44" s="104" t="s">
        <v>210</v>
      </c>
      <c r="D44" s="105">
        <v>11.543853217403436</v>
      </c>
      <c r="E44" s="105">
        <v>9738.3945742015385</v>
      </c>
      <c r="F44" s="105">
        <v>9.64859467403938</v>
      </c>
      <c r="G44" s="105">
        <v>8139.5544670196214</v>
      </c>
      <c r="H44" s="105">
        <v>0</v>
      </c>
      <c r="I44" s="105">
        <v>0</v>
      </c>
      <c r="J44" s="105">
        <v>0</v>
      </c>
      <c r="K44" s="105">
        <v>0</v>
      </c>
      <c r="L44" s="105">
        <v>35.717061372980773</v>
      </c>
      <c r="M44" s="105">
        <v>30130.912974246581</v>
      </c>
      <c r="N44" s="105">
        <v>37.282697177218296</v>
      </c>
      <c r="O44" s="105">
        <v>31451.683338701354</v>
      </c>
      <c r="P44" s="105">
        <v>46.659244263291349</v>
      </c>
      <c r="Q44" s="105">
        <v>39361.738460512584</v>
      </c>
      <c r="R44" s="105">
        <v>53.29989386844823</v>
      </c>
      <c r="S44" s="105">
        <v>44963.790467422928</v>
      </c>
      <c r="T44" s="105">
        <v>41.08013086612069</v>
      </c>
      <c r="U44" s="105">
        <v>34655.198398659413</v>
      </c>
      <c r="V44" s="105">
        <v>41.852667676087847</v>
      </c>
      <c r="W44" s="105">
        <v>35306.910451547708</v>
      </c>
      <c r="X44" s="105">
        <v>38.018226832965077</v>
      </c>
      <c r="Y44" s="105">
        <v>32072.176156289341</v>
      </c>
      <c r="Z44" s="105">
        <v>32.076191885121972</v>
      </c>
      <c r="AA44" s="105">
        <v>27059.475474288894</v>
      </c>
      <c r="AB44" s="105">
        <v>41.660695762440803</v>
      </c>
      <c r="AC44" s="105">
        <v>35144.96294519506</v>
      </c>
      <c r="AD44" s="105">
        <v>46.954520869924828</v>
      </c>
      <c r="AE44" s="105">
        <v>39610.833805868584</v>
      </c>
      <c r="AF44" s="105">
        <v>46.699075614930209</v>
      </c>
      <c r="AG44" s="105">
        <v>39395.340188755123</v>
      </c>
      <c r="AH44" s="105">
        <v>44.226615227709729</v>
      </c>
      <c r="AI44" s="105">
        <v>37309.572606095928</v>
      </c>
      <c r="AJ44" s="105">
        <v>40.238278414939138</v>
      </c>
      <c r="AK44" s="105">
        <v>33945.011670842658</v>
      </c>
      <c r="AL44" s="105">
        <v>40.106630120786832</v>
      </c>
      <c r="AM44" s="105">
        <v>33833.953169895773</v>
      </c>
      <c r="AN44" s="105">
        <v>29.369450921944747</v>
      </c>
      <c r="AO44" s="105">
        <v>24776.068797752589</v>
      </c>
      <c r="AP44" s="105">
        <v>34.973489680425097</v>
      </c>
      <c r="AQ44" s="105">
        <v>29503.635894406612</v>
      </c>
      <c r="AR44" s="105">
        <v>43.599002909308396</v>
      </c>
      <c r="AS44" s="105">
        <v>36780.118854292567</v>
      </c>
      <c r="AT44" s="105">
        <v>41.399311578694018</v>
      </c>
      <c r="AU44" s="105">
        <v>34924.459247786275</v>
      </c>
      <c r="AV44" s="105">
        <v>40.34598434903473</v>
      </c>
      <c r="AW44" s="105">
        <v>34035.872396845698</v>
      </c>
      <c r="AX44" s="105">
        <v>48.741476836994714</v>
      </c>
      <c r="AY44" s="105">
        <v>41118.309859688743</v>
      </c>
      <c r="AZ44" s="105">
        <v>37.172379359555826</v>
      </c>
      <c r="BA44" s="105">
        <v>31358.619227721298</v>
      </c>
      <c r="BB44" s="105">
        <v>50.344116649356408</v>
      </c>
      <c r="BC44" s="105">
        <v>42470.296805397069</v>
      </c>
      <c r="BD44" s="105">
        <v>35.349666720559625</v>
      </c>
      <c r="BE44" s="105">
        <v>29820.978845464102</v>
      </c>
      <c r="BF44" s="105">
        <v>45.432738607391158</v>
      </c>
      <c r="BG44" s="105">
        <v>38327.058289195185</v>
      </c>
      <c r="BH44" s="105">
        <v>31.004723240770439</v>
      </c>
      <c r="BI44" s="105">
        <v>26155.584525913942</v>
      </c>
      <c r="BJ44" s="105">
        <v>50.093854741884222</v>
      </c>
      <c r="BK44" s="105">
        <v>42259.175860253534</v>
      </c>
      <c r="BL44" s="105">
        <v>27.985991598232022</v>
      </c>
      <c r="BM44" s="105">
        <v>23608.982512268536</v>
      </c>
      <c r="BN44" s="105">
        <v>33.861033098256215</v>
      </c>
      <c r="BO44" s="105">
        <v>28565.167521688945</v>
      </c>
      <c r="BP44" s="105">
        <v>39.2919728972225</v>
      </c>
      <c r="BQ44" s="105">
        <v>33146.708336096905</v>
      </c>
      <c r="BR44" s="105">
        <v>47.399997039318855</v>
      </c>
      <c r="BS44" s="105">
        <v>39986.637502369384</v>
      </c>
      <c r="BT44" s="105">
        <v>46.609257760752513</v>
      </c>
      <c r="BU44" s="105">
        <v>39319.569846970822</v>
      </c>
      <c r="BV44" s="105">
        <v>35.728247111244514</v>
      </c>
      <c r="BW44" s="105">
        <v>30140.349263045871</v>
      </c>
      <c r="BX44" s="105">
        <v>50.3662614891036</v>
      </c>
      <c r="BY44" s="105">
        <v>42488.978192207796</v>
      </c>
      <c r="BZ44" s="105">
        <v>34.368945738918171</v>
      </c>
      <c r="CA44" s="105">
        <v>28993.642625351371</v>
      </c>
      <c r="CB44" s="105">
        <v>40.07535098073258</v>
      </c>
      <c r="CC44" s="105">
        <v>33807.566087346007</v>
      </c>
      <c r="CD44" s="105">
        <v>40.486280469549534</v>
      </c>
      <c r="CE44" s="105">
        <v>34154.22620411199</v>
      </c>
      <c r="CF44" s="105">
        <v>54.688525728618721</v>
      </c>
      <c r="CG44" s="105">
        <v>46135.240304662751</v>
      </c>
      <c r="CH44" s="105">
        <v>35.911982976253967</v>
      </c>
      <c r="CI44" s="105">
        <v>30295.348838767848</v>
      </c>
      <c r="CJ44" s="105">
        <v>36.978356184617418</v>
      </c>
      <c r="CK44" s="105">
        <v>31194.941277343256</v>
      </c>
      <c r="CL44" s="105">
        <v>36.699759340103277</v>
      </c>
      <c r="CM44" s="105">
        <v>30959.916979311125</v>
      </c>
      <c r="CN44" s="105">
        <v>39.288060958991238</v>
      </c>
      <c r="CO44" s="105">
        <v>33143.408225005012</v>
      </c>
      <c r="CP44" s="105">
        <v>26.724213459419477</v>
      </c>
      <c r="CQ44" s="105">
        <v>22544.546474366271</v>
      </c>
      <c r="CR44" s="105">
        <v>34.602509321985011</v>
      </c>
      <c r="CS44" s="105">
        <v>29190.676864026555</v>
      </c>
      <c r="CT44" s="105">
        <v>52.589454077238116</v>
      </c>
      <c r="CU44" s="105">
        <v>44364.463459558079</v>
      </c>
    </row>
    <row r="45" spans="2:99" x14ac:dyDescent="0.2">
      <c r="C45" s="104" t="s">
        <v>211</v>
      </c>
      <c r="D45" s="105">
        <v>11.543853217403436</v>
      </c>
      <c r="E45" s="105">
        <v>12010.224887386534</v>
      </c>
      <c r="F45" s="105">
        <v>9.64859467403938</v>
      </c>
      <c r="G45" s="105">
        <v>10038.397898870569</v>
      </c>
      <c r="H45" s="105">
        <v>0</v>
      </c>
      <c r="I45" s="105">
        <v>0</v>
      </c>
      <c r="J45" s="105">
        <v>0</v>
      </c>
      <c r="K45" s="105">
        <v>0</v>
      </c>
      <c r="L45" s="105">
        <v>34.724920779286862</v>
      </c>
      <c r="M45" s="105">
        <v>36127.807578770044</v>
      </c>
      <c r="N45" s="105">
        <v>34.339326347437904</v>
      </c>
      <c r="O45" s="105">
        <v>35726.635131874391</v>
      </c>
      <c r="P45" s="105">
        <v>42.749636787777611</v>
      </c>
      <c r="Q45" s="105">
        <v>44476.722114003824</v>
      </c>
      <c r="R45" s="105">
        <v>45.790276629712267</v>
      </c>
      <c r="S45" s="105">
        <v>47640.203805552635</v>
      </c>
      <c r="T45" s="105">
        <v>38.82854141554585</v>
      </c>
      <c r="U45" s="105">
        <v>40397.214488733895</v>
      </c>
      <c r="V45" s="105">
        <v>38.633231701004171</v>
      </c>
      <c r="W45" s="105">
        <v>40194.014261724733</v>
      </c>
      <c r="X45" s="105">
        <v>38.018226832965077</v>
      </c>
      <c r="Y45" s="105">
        <v>39554.16319701686</v>
      </c>
      <c r="Z45" s="105">
        <v>32.892572922027689</v>
      </c>
      <c r="AA45" s="105">
        <v>34221.432868077602</v>
      </c>
      <c r="AB45" s="105">
        <v>34.168819441977881</v>
      </c>
      <c r="AC45" s="105">
        <v>35549.239747433785</v>
      </c>
      <c r="AD45" s="105">
        <v>49.81211133978865</v>
      </c>
      <c r="AE45" s="105">
        <v>51824.520637916103</v>
      </c>
      <c r="AF45" s="105">
        <v>43.734026852697077</v>
      </c>
      <c r="AG45" s="105">
        <v>45500.881537546033</v>
      </c>
      <c r="AH45" s="105">
        <v>48.051803475914902</v>
      </c>
      <c r="AI45" s="105">
        <v>49993.096336341856</v>
      </c>
      <c r="AJ45" s="105">
        <v>40.238278414939138</v>
      </c>
      <c r="AK45" s="105">
        <v>41863.904862902673</v>
      </c>
      <c r="AL45" s="105">
        <v>36.931540195618304</v>
      </c>
      <c r="AM45" s="105">
        <v>38423.574419521276</v>
      </c>
      <c r="AN45" s="105">
        <v>28.488454151273672</v>
      </c>
      <c r="AO45" s="105">
        <v>29639.387698985123</v>
      </c>
      <c r="AP45" s="105">
        <v>32.124807862090563</v>
      </c>
      <c r="AQ45" s="105">
        <v>33422.650099719016</v>
      </c>
      <c r="AR45" s="105">
        <v>47.408459280233195</v>
      </c>
      <c r="AS45" s="105">
        <v>49323.76103515461</v>
      </c>
      <c r="AT45" s="105">
        <v>42.299483684020515</v>
      </c>
      <c r="AU45" s="105">
        <v>44008.38282485494</v>
      </c>
      <c r="AV45" s="105">
        <v>38.296558013458345</v>
      </c>
      <c r="AW45" s="105">
        <v>39843.738957202055</v>
      </c>
      <c r="AX45" s="105">
        <v>49.686662553480133</v>
      </c>
      <c r="AY45" s="105">
        <v>51694.003720640721</v>
      </c>
      <c r="AZ45" s="105">
        <v>36.163400748491675</v>
      </c>
      <c r="BA45" s="105">
        <v>37624.402138730737</v>
      </c>
      <c r="BB45" s="105">
        <v>47.469291139425053</v>
      </c>
      <c r="BC45" s="105">
        <v>49387.050501457816</v>
      </c>
      <c r="BD45" s="105">
        <v>33.349666720559625</v>
      </c>
      <c r="BE45" s="105">
        <v>34696.993256070229</v>
      </c>
      <c r="BF45" s="105">
        <v>45.432738607391158</v>
      </c>
      <c r="BG45" s="105">
        <v>47268.221247129753</v>
      </c>
      <c r="BH45" s="105">
        <v>35.937292847256643</v>
      </c>
      <c r="BI45" s="105">
        <v>37389.159478285808</v>
      </c>
      <c r="BJ45" s="105">
        <v>46.155454231788539</v>
      </c>
      <c r="BK45" s="105">
        <v>48020.134582752791</v>
      </c>
      <c r="BL45" s="105">
        <v>31.351826323740092</v>
      </c>
      <c r="BM45" s="105">
        <v>32618.440107219187</v>
      </c>
      <c r="BN45" s="105">
        <v>33.846463338702662</v>
      </c>
      <c r="BO45" s="105">
        <v>35213.860457586248</v>
      </c>
      <c r="BP45" s="105">
        <v>40.595133880777759</v>
      </c>
      <c r="BQ45" s="105">
        <v>42235.177289561172</v>
      </c>
      <c r="BR45" s="105">
        <v>44.399997039318855</v>
      </c>
      <c r="BS45" s="105">
        <v>46193.756919707332</v>
      </c>
      <c r="BT45" s="105">
        <v>45.70403704613036</v>
      </c>
      <c r="BU45" s="105">
        <v>47550.480142794018</v>
      </c>
      <c r="BV45" s="105">
        <v>34.736492578754365</v>
      </c>
      <c r="BW45" s="105">
        <v>36139.846878936034</v>
      </c>
      <c r="BX45" s="105">
        <v>45.185898868944541</v>
      </c>
      <c r="BY45" s="105">
        <v>47011.409183249896</v>
      </c>
      <c r="BZ45" s="105">
        <v>31.426349716659363</v>
      </c>
      <c r="CA45" s="105">
        <v>32695.974245212397</v>
      </c>
      <c r="CB45" s="105">
        <v>35.85867713889926</v>
      </c>
      <c r="CC45" s="105">
        <v>37307.367695310786</v>
      </c>
      <c r="CD45" s="105">
        <v>39.20751459194328</v>
      </c>
      <c r="CE45" s="105">
        <v>40791.498181457784</v>
      </c>
      <c r="CF45" s="105">
        <v>48.611953470864158</v>
      </c>
      <c r="CG45" s="105">
        <v>50575.876391087062</v>
      </c>
      <c r="CH45" s="105">
        <v>36.740979483992575</v>
      </c>
      <c r="CI45" s="105">
        <v>38225.315055145868</v>
      </c>
      <c r="CJ45" s="105">
        <v>37.782233492978662</v>
      </c>
      <c r="CK45" s="105">
        <v>39308.635726094995</v>
      </c>
      <c r="CL45" s="105">
        <v>35.599793720088527</v>
      </c>
      <c r="CM45" s="105">
        <v>37038.025386380097</v>
      </c>
      <c r="CN45" s="105">
        <v>37.39366100631964</v>
      </c>
      <c r="CO45" s="105">
        <v>38904.364910974946</v>
      </c>
      <c r="CP45" s="105">
        <v>23.528492548152588</v>
      </c>
      <c r="CQ45" s="105">
        <v>24479.043647097951</v>
      </c>
      <c r="CR45" s="105">
        <v>36.0375427403687</v>
      </c>
      <c r="CS45" s="105">
        <v>37493.459467079592</v>
      </c>
      <c r="CT45" s="105">
        <v>46.920436005269799</v>
      </c>
      <c r="CU45" s="105">
        <v>48816.021619882689</v>
      </c>
    </row>
    <row r="46" spans="2:99" x14ac:dyDescent="0.2">
      <c r="C46" s="104" t="s">
        <v>212</v>
      </c>
      <c r="D46" s="105">
        <v>11.543853217403436</v>
      </c>
      <c r="E46" s="105">
        <v>11747.025034029733</v>
      </c>
      <c r="F46" s="105">
        <v>9.64859467403938</v>
      </c>
      <c r="G46" s="105">
        <v>9818.4099403024702</v>
      </c>
      <c r="H46" s="105">
        <v>0</v>
      </c>
      <c r="I46" s="105">
        <v>0</v>
      </c>
      <c r="J46" s="105">
        <v>0</v>
      </c>
      <c r="K46" s="105">
        <v>0</v>
      </c>
      <c r="L46" s="105">
        <v>36.709201966674684</v>
      </c>
      <c r="M46" s="105">
        <v>37355.283921288152</v>
      </c>
      <c r="N46" s="105">
        <v>37.282697177218296</v>
      </c>
      <c r="O46" s="105">
        <v>37938.872647537333</v>
      </c>
      <c r="P46" s="105">
        <v>44.70444052553448</v>
      </c>
      <c r="Q46" s="105">
        <v>45491.238678783877</v>
      </c>
      <c r="R46" s="105">
        <v>51.414263507052176</v>
      </c>
      <c r="S46" s="105">
        <v>52319.154544776284</v>
      </c>
      <c r="T46" s="105">
        <v>40.13541640034844</v>
      </c>
      <c r="U46" s="105">
        <v>40841.799728994563</v>
      </c>
      <c r="V46" s="105">
        <v>37.828372707233243</v>
      </c>
      <c r="W46" s="105">
        <v>38494.152066880539</v>
      </c>
      <c r="X46" s="105">
        <v>40.630665474344241</v>
      </c>
      <c r="Y46" s="105">
        <v>41345.76518669269</v>
      </c>
      <c r="Z46" s="105">
        <v>35.381271273711356</v>
      </c>
      <c r="AA46" s="105">
        <v>36003.981648128669</v>
      </c>
      <c r="AB46" s="105">
        <v>35.110014405214152</v>
      </c>
      <c r="AC46" s="105">
        <v>35727.950658745911</v>
      </c>
      <c r="AD46" s="105">
        <v>45.049460556682284</v>
      </c>
      <c r="AE46" s="105">
        <v>45842.331062479883</v>
      </c>
      <c r="AF46" s="105">
        <v>45.638677304884936</v>
      </c>
      <c r="AG46" s="105">
        <v>46441.918025450905</v>
      </c>
      <c r="AH46" s="105">
        <v>43.2876945966837</v>
      </c>
      <c r="AI46" s="105">
        <v>44049.558021585326</v>
      </c>
      <c r="AJ46" s="105">
        <v>42.238278414939138</v>
      </c>
      <c r="AK46" s="105">
        <v>42981.672115042056</v>
      </c>
      <c r="AL46" s="105">
        <v>38.931540195618304</v>
      </c>
      <c r="AM46" s="105">
        <v>39616.735303061178</v>
      </c>
      <c r="AN46" s="105">
        <v>24.964467068589379</v>
      </c>
      <c r="AO46" s="105">
        <v>25403.841688996548</v>
      </c>
      <c r="AP46" s="105">
        <v>33.079791952323944</v>
      </c>
      <c r="AQ46" s="105">
        <v>33661.996290684838</v>
      </c>
      <c r="AR46" s="105">
        <v>47.408459280233195</v>
      </c>
      <c r="AS46" s="105">
        <v>48242.848163565293</v>
      </c>
      <c r="AT46" s="105">
        <v>42.399311578694018</v>
      </c>
      <c r="AU46" s="105">
        <v>43145.539462479021</v>
      </c>
      <c r="AV46" s="105">
        <v>34.296558013458345</v>
      </c>
      <c r="AW46" s="105">
        <v>34900.177434495206</v>
      </c>
      <c r="AX46" s="105">
        <v>51.198346701928557</v>
      </c>
      <c r="AY46" s="105">
        <v>52099.437603882492</v>
      </c>
      <c r="AZ46" s="105">
        <v>31.398093495882652</v>
      </c>
      <c r="BA46" s="105">
        <v>31950.699941410181</v>
      </c>
      <c r="BB46" s="105">
        <v>48.678352458430922</v>
      </c>
      <c r="BC46" s="105">
        <v>49535.091461699296</v>
      </c>
      <c r="BD46" s="105">
        <v>38.349666720559625</v>
      </c>
      <c r="BE46" s="105">
        <v>39024.620854841465</v>
      </c>
      <c r="BF46" s="105">
        <v>46.252825531106218</v>
      </c>
      <c r="BG46" s="105">
        <v>47066.875260453678</v>
      </c>
      <c r="BH46" s="105">
        <v>33.823334444476842</v>
      </c>
      <c r="BI46" s="105">
        <v>34418.625130699627</v>
      </c>
      <c r="BJ46" s="105">
        <v>48.124654486836377</v>
      </c>
      <c r="BK46" s="105">
        <v>48971.648405804684</v>
      </c>
      <c r="BL46" s="105">
        <v>31.018829183861495</v>
      </c>
      <c r="BM46" s="105">
        <v>31564.760577497451</v>
      </c>
      <c r="BN46" s="105">
        <v>29.850745467100669</v>
      </c>
      <c r="BO46" s="105">
        <v>30376.118587321635</v>
      </c>
      <c r="BP46" s="105">
        <v>39.810049766160446</v>
      </c>
      <c r="BQ46" s="105">
        <v>40510.706642044861</v>
      </c>
      <c r="BR46" s="105">
        <v>49.399997039318855</v>
      </c>
      <c r="BS46" s="105">
        <v>50269.436987210858</v>
      </c>
      <c r="BT46" s="105">
        <v>44.925775990947287</v>
      </c>
      <c r="BU46" s="105">
        <v>45716.469648387952</v>
      </c>
      <c r="BV46" s="105">
        <v>35.906186155300716</v>
      </c>
      <c r="BW46" s="105">
        <v>36538.135031634003</v>
      </c>
      <c r="BX46" s="105">
        <v>43.504237037043652</v>
      </c>
      <c r="BY46" s="105">
        <v>44269.911608895614</v>
      </c>
      <c r="BZ46" s="105">
        <v>32.404454106749412</v>
      </c>
      <c r="CA46" s="105">
        <v>32974.772499028193</v>
      </c>
      <c r="CB46" s="105">
        <v>38.022588971956793</v>
      </c>
      <c r="CC46" s="105">
        <v>38691.786537863227</v>
      </c>
      <c r="CD46" s="105">
        <v>41.350902442971538</v>
      </c>
      <c r="CE46" s="105">
        <v>42078.678325967827</v>
      </c>
      <c r="CF46" s="105">
        <v>47.736063361186616</v>
      </c>
      <c r="CG46" s="105">
        <v>48576.218076343488</v>
      </c>
      <c r="CH46" s="105">
        <v>37.903845045547257</v>
      </c>
      <c r="CI46" s="105">
        <v>38570.952718348883</v>
      </c>
      <c r="CJ46" s="105">
        <v>38.586110801339913</v>
      </c>
      <c r="CK46" s="105">
        <v>39265.226351443489</v>
      </c>
      <c r="CL46" s="105">
        <v>32.699759340103277</v>
      </c>
      <c r="CM46" s="105">
        <v>33275.27510448909</v>
      </c>
      <c r="CN46" s="105">
        <v>37.221609567020749</v>
      </c>
      <c r="CO46" s="105">
        <v>37876.709895400309</v>
      </c>
      <c r="CP46" s="105">
        <v>23.528492548152588</v>
      </c>
      <c r="CQ46" s="105">
        <v>23942.594017000069</v>
      </c>
      <c r="CR46" s="105">
        <v>33.818695371547555</v>
      </c>
      <c r="CS46" s="105">
        <v>34413.904410086783</v>
      </c>
      <c r="CT46" s="105">
        <v>44.339391562807798</v>
      </c>
      <c r="CU46" s="105">
        <v>45119.764854313209</v>
      </c>
    </row>
    <row r="47" spans="2:99" x14ac:dyDescent="0.2">
      <c r="C47" s="104" t="s">
        <v>213</v>
      </c>
      <c r="D47" s="105">
        <v>11.543853217403436</v>
      </c>
      <c r="E47" s="105">
        <v>15210.180999250766</v>
      </c>
      <c r="F47" s="105">
        <v>8.2702240063194683</v>
      </c>
      <c r="G47" s="105">
        <v>10896.847150726531</v>
      </c>
      <c r="H47" s="105">
        <v>0</v>
      </c>
      <c r="I47" s="105">
        <v>0</v>
      </c>
      <c r="J47" s="105">
        <v>0</v>
      </c>
      <c r="K47" s="105">
        <v>0</v>
      </c>
      <c r="L47" s="105">
        <v>31.748498998205129</v>
      </c>
      <c r="M47" s="105">
        <v>41831.822280035078</v>
      </c>
      <c r="N47" s="105">
        <v>34.339326347437904</v>
      </c>
      <c r="O47" s="105">
        <v>45245.49639538418</v>
      </c>
      <c r="P47" s="105">
        <v>38.840029312263873</v>
      </c>
      <c r="Q47" s="105">
        <v>51175.622621838877</v>
      </c>
      <c r="R47" s="105">
        <v>46.720752732842193</v>
      </c>
      <c r="S47" s="105">
        <v>61559.263800792869</v>
      </c>
      <c r="T47" s="105">
        <v>34.514918233730313</v>
      </c>
      <c r="U47" s="105">
        <v>45476.856264763061</v>
      </c>
      <c r="V47" s="105">
        <v>37.828372707233243</v>
      </c>
      <c r="W47" s="105">
        <v>49842.663879050517</v>
      </c>
      <c r="X47" s="105">
        <v>35.26246994828665</v>
      </c>
      <c r="Y47" s="105">
        <v>46461.830403862485</v>
      </c>
      <c r="Z47" s="105">
        <v>34.525334995839124</v>
      </c>
      <c r="AA47" s="105">
        <v>45490.581390517626</v>
      </c>
      <c r="AB47" s="105">
        <v>33.233007819516928</v>
      </c>
      <c r="AC47" s="105">
        <v>43787.811102995503</v>
      </c>
      <c r="AD47" s="105">
        <v>45.049460556682284</v>
      </c>
      <c r="AE47" s="105">
        <v>59357.169229484571</v>
      </c>
      <c r="AF47" s="105">
        <v>39.258153915934251</v>
      </c>
      <c r="AG47" s="105">
        <v>51726.543599634962</v>
      </c>
      <c r="AH47" s="105">
        <v>39.323316428243331</v>
      </c>
      <c r="AI47" s="105">
        <v>51812.401725853408</v>
      </c>
      <c r="AJ47" s="105">
        <v>39.238278414939138</v>
      </c>
      <c r="AK47" s="105">
        <v>51700.355639523805</v>
      </c>
      <c r="AL47" s="105">
        <v>34.923527257078923</v>
      </c>
      <c r="AM47" s="105">
        <v>46015.239513927183</v>
      </c>
      <c r="AN47" s="105">
        <v>24.083470297918304</v>
      </c>
      <c r="AO47" s="105">
        <v>31732.380464537153</v>
      </c>
      <c r="AP47" s="105">
        <v>34.973489680425097</v>
      </c>
      <c r="AQ47" s="105">
        <v>46081.070002928107</v>
      </c>
      <c r="AR47" s="105">
        <v>47.408459280233195</v>
      </c>
      <c r="AS47" s="105">
        <v>62465.385947635252</v>
      </c>
      <c r="AT47" s="105">
        <v>41.299483684020515</v>
      </c>
      <c r="AU47" s="105">
        <v>54416.199702065431</v>
      </c>
      <c r="AV47" s="105">
        <v>36.34598434903473</v>
      </c>
      <c r="AW47" s="105">
        <v>47889.468978288154</v>
      </c>
      <c r="AX47" s="105">
        <v>52.489388253086211</v>
      </c>
      <c r="AY47" s="105">
        <v>69160.017962266385</v>
      </c>
      <c r="AZ47" s="105">
        <v>34.154422137427524</v>
      </c>
      <c r="BA47" s="105">
        <v>45001.866608274504</v>
      </c>
      <c r="BB47" s="105">
        <v>47.469291139425053</v>
      </c>
      <c r="BC47" s="105">
        <v>62545.538005306444</v>
      </c>
      <c r="BD47" s="105">
        <v>36.299714331908248</v>
      </c>
      <c r="BE47" s="105">
        <v>47828.503603722304</v>
      </c>
      <c r="BF47" s="105">
        <v>45.216624980142804</v>
      </c>
      <c r="BG47" s="105">
        <v>59577.425073836152</v>
      </c>
      <c r="BH47" s="105">
        <v>31.709376041697041</v>
      </c>
      <c r="BI47" s="105">
        <v>41780.27387254002</v>
      </c>
      <c r="BJ47" s="105">
        <v>46.996079631697754</v>
      </c>
      <c r="BK47" s="105">
        <v>61922.034522724956</v>
      </c>
      <c r="BL47" s="105">
        <v>25.605877483964992</v>
      </c>
      <c r="BM47" s="105">
        <v>33738.304172872275</v>
      </c>
      <c r="BN47" s="105">
        <v>29.048687940869566</v>
      </c>
      <c r="BO47" s="105">
        <v>38274.551230889738</v>
      </c>
      <c r="BP47" s="105">
        <v>40.595133880777759</v>
      </c>
      <c r="BQ47" s="105">
        <v>53488.14840131277</v>
      </c>
      <c r="BR47" s="105">
        <v>44.349997409403997</v>
      </c>
      <c r="BS47" s="105">
        <v>58435.556586630701</v>
      </c>
      <c r="BT47" s="105">
        <v>38.706027239233329</v>
      </c>
      <c r="BU47" s="105">
        <v>50999.061490413827</v>
      </c>
      <c r="BV47" s="105">
        <v>29.291542002154728</v>
      </c>
      <c r="BW47" s="105">
        <v>38594.535742039065</v>
      </c>
      <c r="BX47" s="105">
        <v>43.504237037043652</v>
      </c>
      <c r="BY47" s="105">
        <v>57321.182720008714</v>
      </c>
      <c r="BZ47" s="105">
        <v>27.342170830304191</v>
      </c>
      <c r="CA47" s="105">
        <v>36026.044286008801</v>
      </c>
      <c r="CB47" s="105">
        <v>34.416069250194234</v>
      </c>
      <c r="CC47" s="105">
        <v>45346.612844055919</v>
      </c>
      <c r="CD47" s="105">
        <v>35.749026698255257</v>
      </c>
      <c r="CE47" s="105">
        <v>47102.917577621127</v>
      </c>
      <c r="CF47" s="105">
        <v>47.03366468349617</v>
      </c>
      <c r="CG47" s="105">
        <v>61971.556586974548</v>
      </c>
      <c r="CH47" s="105">
        <v>33.732841553285859</v>
      </c>
      <c r="CI47" s="105">
        <v>44446.392030609444</v>
      </c>
      <c r="CJ47" s="105">
        <v>35.370601567894923</v>
      </c>
      <c r="CK47" s="105">
        <v>46604.304625858349</v>
      </c>
      <c r="CL47" s="105">
        <v>33.699759340103277</v>
      </c>
      <c r="CM47" s="105">
        <v>44402.802906520075</v>
      </c>
      <c r="CN47" s="105">
        <v>37.213437272137057</v>
      </c>
      <c r="CO47" s="105">
        <v>49032.424949767781</v>
      </c>
      <c r="CP47" s="105">
        <v>25.126353003786033</v>
      </c>
      <c r="CQ47" s="105">
        <v>33106.482717788473</v>
      </c>
      <c r="CR47" s="105">
        <v>36.030679903153562</v>
      </c>
      <c r="CS47" s="105">
        <v>47474.02384039513</v>
      </c>
      <c r="CT47" s="105">
        <v>48.528727005601255</v>
      </c>
      <c r="CU47" s="105">
        <v>63941.450702580209</v>
      </c>
    </row>
    <row r="48" spans="2:99" x14ac:dyDescent="0.2">
      <c r="C48" s="104" t="s">
        <v>214</v>
      </c>
      <c r="D48" s="105">
        <v>10.902528038658801</v>
      </c>
      <c r="E48" s="105">
        <v>7169.5024382220281</v>
      </c>
      <c r="F48" s="105">
        <v>10.337780007899335</v>
      </c>
      <c r="G48" s="105">
        <v>6798.124133194603</v>
      </c>
      <c r="H48" s="105">
        <v>0</v>
      </c>
      <c r="I48" s="105">
        <v>0</v>
      </c>
      <c r="J48" s="105">
        <v>0</v>
      </c>
      <c r="K48" s="105">
        <v>0</v>
      </c>
      <c r="L48" s="105">
        <v>38.693483154062498</v>
      </c>
      <c r="M48" s="105">
        <v>25444.834522111501</v>
      </c>
      <c r="N48" s="105">
        <v>34.339326347437904</v>
      </c>
      <c r="O48" s="105">
        <v>22581.541006075167</v>
      </c>
      <c r="P48" s="105">
        <v>41.77223491889918</v>
      </c>
      <c r="Q48" s="105">
        <v>27469.4216826681</v>
      </c>
      <c r="R48" s="105">
        <v>52.361191713606239</v>
      </c>
      <c r="S48" s="105">
        <v>34432.719670867467</v>
      </c>
      <c r="T48" s="105">
        <v>42.673879776226613</v>
      </c>
      <c r="U48" s="105">
        <v>28062.343340846623</v>
      </c>
      <c r="V48" s="105">
        <v>39.438090694775092</v>
      </c>
      <c r="W48" s="105">
        <v>25934.488440884103</v>
      </c>
      <c r="X48" s="105">
        <v>41.501478354803972</v>
      </c>
      <c r="Y48" s="105">
        <v>27291.372166119094</v>
      </c>
      <c r="Z48" s="105">
        <v>37.830414384428494</v>
      </c>
      <c r="AA48" s="105">
        <v>24877.280499200177</v>
      </c>
      <c r="AB48" s="105">
        <v>36.045826027675098</v>
      </c>
      <c r="AC48" s="105">
        <v>23703.735195799145</v>
      </c>
      <c r="AD48" s="105">
        <v>48.859581183167379</v>
      </c>
      <c r="AE48" s="105">
        <v>32130.060586050869</v>
      </c>
      <c r="AF48" s="105">
        <v>42.141558908536858</v>
      </c>
      <c r="AG48" s="105">
        <v>27712.28913825384</v>
      </c>
      <c r="AH48" s="105">
        <v>49.630699666188285</v>
      </c>
      <c r="AI48" s="105">
        <v>32637.148100485418</v>
      </c>
      <c r="AJ48" s="105">
        <v>37.277991484095665</v>
      </c>
      <c r="AK48" s="105">
        <v>24514.007199941308</v>
      </c>
      <c r="AL48" s="105">
        <v>37.931540195618304</v>
      </c>
      <c r="AM48" s="105">
        <v>24943.780832638597</v>
      </c>
      <c r="AN48" s="105">
        <v>26.684095254245911</v>
      </c>
      <c r="AO48" s="105">
        <v>17547.461039192112</v>
      </c>
      <c r="AP48" s="105">
        <v>37.82217149875963</v>
      </c>
      <c r="AQ48" s="105">
        <v>24871.859977584332</v>
      </c>
      <c r="AR48" s="105">
        <v>48.949502147891039</v>
      </c>
      <c r="AS48" s="105">
        <v>32189.192612453149</v>
      </c>
      <c r="AT48" s="105">
        <v>45.34939763135727</v>
      </c>
      <c r="AU48" s="105">
        <v>29821.763882380543</v>
      </c>
      <c r="AV48" s="105">
        <v>41.34598434903473</v>
      </c>
      <c r="AW48" s="105">
        <v>27189.119307925241</v>
      </c>
      <c r="AX48" s="105">
        <v>53.434573969571638</v>
      </c>
      <c r="AY48" s="105">
        <v>35138.57584239031</v>
      </c>
      <c r="AZ48" s="105">
        <v>36.352811567708208</v>
      </c>
      <c r="BA48" s="105">
        <v>23905.608886924918</v>
      </c>
      <c r="BB48" s="105">
        <v>52.051124276014306</v>
      </c>
      <c r="BC48" s="105">
        <v>34228.81932390701</v>
      </c>
      <c r="BD48" s="105">
        <v>39.299714331908248</v>
      </c>
      <c r="BE48" s="105">
        <v>25843.492144662865</v>
      </c>
      <c r="BF48" s="105">
        <v>44.612651683676091</v>
      </c>
      <c r="BG48" s="105">
        <v>29337.279747185399</v>
      </c>
      <c r="BH48" s="105">
        <v>35.937292847256643</v>
      </c>
      <c r="BI48" s="105">
        <v>23632.363776355971</v>
      </c>
      <c r="BJ48" s="105">
        <v>45.026879376649916</v>
      </c>
      <c r="BK48" s="105">
        <v>29609.675878084985</v>
      </c>
      <c r="BL48" s="105">
        <v>31.786628209818396</v>
      </c>
      <c r="BM48" s="105">
        <v>20902.886710776576</v>
      </c>
      <c r="BN48" s="105">
        <v>32.249633166017219</v>
      </c>
      <c r="BO48" s="105">
        <v>21207.358769972925</v>
      </c>
      <c r="BP48" s="105">
        <v>38.253876113746024</v>
      </c>
      <c r="BQ48" s="105">
        <v>25155.748932399387</v>
      </c>
      <c r="BR48" s="105">
        <v>51.349997409403997</v>
      </c>
      <c r="BS48" s="105">
        <v>33767.758296424072</v>
      </c>
      <c r="BT48" s="105">
        <v>46.482298101313432</v>
      </c>
      <c r="BU48" s="105">
        <v>30566.759231423715</v>
      </c>
      <c r="BV48" s="105">
        <v>36.906186155300716</v>
      </c>
      <c r="BW48" s="105">
        <v>24269.508015725751</v>
      </c>
      <c r="BX48" s="105">
        <v>49.525430573153152</v>
      </c>
      <c r="BY48" s="105">
        <v>32567.923144905515</v>
      </c>
      <c r="BZ48" s="105">
        <v>30.284766852562989</v>
      </c>
      <c r="CA48" s="105">
        <v>19915.262682245422</v>
      </c>
      <c r="CB48" s="105">
        <v>41.629108693719353</v>
      </c>
      <c r="CC48" s="105">
        <v>27375.301876989848</v>
      </c>
      <c r="CD48" s="105">
        <v>38.385682016800274</v>
      </c>
      <c r="CE48" s="105">
        <v>25242.424494247862</v>
      </c>
      <c r="CF48" s="105">
        <v>51.216198724187542</v>
      </c>
      <c r="CG48" s="105">
        <v>33679.772281025726</v>
      </c>
      <c r="CH48" s="105">
        <v>39.903845045547257</v>
      </c>
      <c r="CI48" s="105">
        <v>26240.768501951876</v>
      </c>
      <c r="CJ48" s="105">
        <v>39.389988109701157</v>
      </c>
      <c r="CK48" s="105">
        <v>25902.856180939481</v>
      </c>
      <c r="CL48" s="105">
        <v>36.699759340103277</v>
      </c>
      <c r="CM48" s="105">
        <v>24133.761742051916</v>
      </c>
      <c r="CN48" s="105">
        <v>42.170522362417067</v>
      </c>
      <c r="CO48" s="105">
        <v>27731.335505525465</v>
      </c>
      <c r="CP48" s="105">
        <v>26.420450739173283</v>
      </c>
      <c r="CQ48" s="105">
        <v>17374.088406080351</v>
      </c>
      <c r="CR48" s="105">
        <v>36.170137222859921</v>
      </c>
      <c r="CS48" s="105">
        <v>23785.482237752683</v>
      </c>
      <c r="CT48" s="105">
        <v>55.597428565128013</v>
      </c>
      <c r="CU48" s="105">
        <v>36560.869024428182</v>
      </c>
    </row>
    <row r="49" spans="2:99" x14ac:dyDescent="0.2">
      <c r="B49" s="104" t="s">
        <v>129</v>
      </c>
      <c r="C49" s="104" t="s">
        <v>215</v>
      </c>
      <c r="D49" s="105">
        <v>1.003320332452444</v>
      </c>
      <c r="E49" s="105">
        <v>593.56430867886593</v>
      </c>
      <c r="F49" s="105">
        <v>1.3755889568627444</v>
      </c>
      <c r="G49" s="105">
        <v>813.79842687999962</v>
      </c>
      <c r="H49" s="105">
        <v>0</v>
      </c>
      <c r="I49" s="105">
        <v>0</v>
      </c>
      <c r="J49" s="105">
        <v>0</v>
      </c>
      <c r="K49" s="105">
        <v>0</v>
      </c>
      <c r="L49" s="105">
        <v>15.787267493470949</v>
      </c>
      <c r="M49" s="105">
        <v>9339.7474491374142</v>
      </c>
      <c r="N49" s="105">
        <v>23.172599067121187</v>
      </c>
      <c r="O49" s="105">
        <v>13708.909608108894</v>
      </c>
      <c r="P49" s="105">
        <v>37.292792830296072</v>
      </c>
      <c r="Q49" s="105">
        <v>22062.416238403159</v>
      </c>
      <c r="R49" s="105">
        <v>18.516014759906362</v>
      </c>
      <c r="S49" s="105">
        <v>10954.074331960604</v>
      </c>
      <c r="T49" s="105">
        <v>16.534452947239913</v>
      </c>
      <c r="U49" s="105">
        <v>9781.7823635871337</v>
      </c>
      <c r="V49" s="105">
        <v>16.799841433980571</v>
      </c>
      <c r="W49" s="105">
        <v>9938.7861923429064</v>
      </c>
      <c r="X49" s="105">
        <v>16.746162656410135</v>
      </c>
      <c r="Y49" s="105">
        <v>9907.0298275322366</v>
      </c>
      <c r="Z49" s="105">
        <v>25.756887865984584</v>
      </c>
      <c r="AA49" s="105">
        <v>15237.77486151648</v>
      </c>
      <c r="AB49" s="105">
        <v>22.028823472000894</v>
      </c>
      <c r="AC49" s="105">
        <v>13032.25196603573</v>
      </c>
      <c r="AD49" s="105">
        <v>32.838655800382682</v>
      </c>
      <c r="AE49" s="105">
        <v>19427.348771506397</v>
      </c>
      <c r="AF49" s="105">
        <v>20.901926203042898</v>
      </c>
      <c r="AG49" s="105">
        <v>12365.579541720179</v>
      </c>
      <c r="AH49" s="105">
        <v>23.312773811113018</v>
      </c>
      <c r="AI49" s="105">
        <v>13791.836986654462</v>
      </c>
      <c r="AJ49" s="105">
        <v>19.378806252214748</v>
      </c>
      <c r="AK49" s="105">
        <v>11464.501778810245</v>
      </c>
      <c r="AL49" s="105">
        <v>28.469097498837588</v>
      </c>
      <c r="AM49" s="105">
        <v>16842.318080312318</v>
      </c>
      <c r="AN49" s="105">
        <v>28.409814928267863</v>
      </c>
      <c r="AO49" s="105">
        <v>16807.246511563269</v>
      </c>
      <c r="AP49" s="105">
        <v>30.879278859522721</v>
      </c>
      <c r="AQ49" s="105">
        <v>18268.181373293643</v>
      </c>
      <c r="AR49" s="105">
        <v>19.657309611729417</v>
      </c>
      <c r="AS49" s="105">
        <v>11629.264366299123</v>
      </c>
      <c r="AT49" s="105">
        <v>16.392178930304617</v>
      </c>
      <c r="AU49" s="105">
        <v>9697.6130551682108</v>
      </c>
      <c r="AV49" s="105">
        <v>22.475867950255143</v>
      </c>
      <c r="AW49" s="105">
        <v>13296.723479370943</v>
      </c>
      <c r="AX49" s="105">
        <v>24.157002526805087</v>
      </c>
      <c r="AY49" s="105">
        <v>14291.28269485789</v>
      </c>
      <c r="AZ49" s="105">
        <v>22.148759796373355</v>
      </c>
      <c r="BA49" s="105">
        <v>13103.206295534477</v>
      </c>
      <c r="BB49" s="105">
        <v>28.61146243405226</v>
      </c>
      <c r="BC49" s="105">
        <v>16926.54117598532</v>
      </c>
      <c r="BD49" s="105">
        <v>31.883737782476352</v>
      </c>
      <c r="BE49" s="105">
        <v>18862.419272113009</v>
      </c>
      <c r="BF49" s="105">
        <v>22.498343307620843</v>
      </c>
      <c r="BG49" s="105">
        <v>13310.019900788491</v>
      </c>
      <c r="BH49" s="105">
        <v>28.442593562111249</v>
      </c>
      <c r="BI49" s="105">
        <v>16826.638351345016</v>
      </c>
      <c r="BJ49" s="105">
        <v>19.41101624881237</v>
      </c>
      <c r="BK49" s="105">
        <v>11483.557212797399</v>
      </c>
      <c r="BL49" s="105">
        <v>39.248299584102469</v>
      </c>
      <c r="BM49" s="105">
        <v>23219.294033955022</v>
      </c>
      <c r="BN49" s="105">
        <v>25.349736466516298</v>
      </c>
      <c r="BO49" s="105">
        <v>14996.904093591042</v>
      </c>
      <c r="BP49" s="105">
        <v>26.244443169182322</v>
      </c>
      <c r="BQ49" s="105">
        <v>15526.212578888262</v>
      </c>
      <c r="BR49" s="105">
        <v>18.506012506375296</v>
      </c>
      <c r="BS49" s="105">
        <v>10948.156998771625</v>
      </c>
      <c r="BT49" s="105">
        <v>25.986320981742374</v>
      </c>
      <c r="BU49" s="105">
        <v>15373.507492798788</v>
      </c>
      <c r="BV49" s="105">
        <v>35.142797312104342</v>
      </c>
      <c r="BW49" s="105">
        <v>20790.478889840928</v>
      </c>
      <c r="BX49" s="105">
        <v>17.228873315051338</v>
      </c>
      <c r="BY49" s="105">
        <v>10192.601453184372</v>
      </c>
      <c r="BZ49" s="105">
        <v>26.204823932470699</v>
      </c>
      <c r="CA49" s="105">
        <v>15502.773838449666</v>
      </c>
      <c r="CB49" s="105">
        <v>24.599541147300073</v>
      </c>
      <c r="CC49" s="105">
        <v>14553.088542742724</v>
      </c>
      <c r="CD49" s="105">
        <v>19.941659419555453</v>
      </c>
      <c r="CE49" s="105">
        <v>11797.485712609006</v>
      </c>
      <c r="CF49" s="105">
        <v>27.149443156522505</v>
      </c>
      <c r="CG49" s="105">
        <v>16061.610571398714</v>
      </c>
      <c r="CH49" s="105">
        <v>17.86814384278701</v>
      </c>
      <c r="CI49" s="105">
        <v>10570.793897392796</v>
      </c>
      <c r="CJ49" s="105">
        <v>28.479226365641249</v>
      </c>
      <c r="CK49" s="105">
        <v>16848.310317913365</v>
      </c>
      <c r="CL49" s="105">
        <v>31.778862785678257</v>
      </c>
      <c r="CM49" s="105">
        <v>18800.375224007257</v>
      </c>
      <c r="CN49" s="105">
        <v>21.298166146471768</v>
      </c>
      <c r="CO49" s="105">
        <v>12599.995092252699</v>
      </c>
      <c r="CP49" s="105">
        <v>40.246439660847983</v>
      </c>
      <c r="CQ49" s="105">
        <v>23809.793703357667</v>
      </c>
      <c r="CR49" s="105">
        <v>39.295442741601839</v>
      </c>
      <c r="CS49" s="105">
        <v>23247.183925931648</v>
      </c>
      <c r="CT49" s="105">
        <v>29.519356637314115</v>
      </c>
      <c r="CU49" s="105">
        <v>17463.651386635032</v>
      </c>
    </row>
    <row r="50" spans="2:99" x14ac:dyDescent="0.2">
      <c r="C50" s="104" t="s">
        <v>216</v>
      </c>
      <c r="D50" s="105">
        <v>3.2066258937231766</v>
      </c>
      <c r="E50" s="105">
        <v>1239.0402453346353</v>
      </c>
      <c r="F50" s="105">
        <v>2.7567413354398229</v>
      </c>
      <c r="G50" s="105">
        <v>1065.2048520139474</v>
      </c>
      <c r="H50" s="105">
        <v>0</v>
      </c>
      <c r="I50" s="105">
        <v>0</v>
      </c>
      <c r="J50" s="105">
        <v>0</v>
      </c>
      <c r="K50" s="105">
        <v>0</v>
      </c>
      <c r="L50" s="105">
        <v>22.819233654959937</v>
      </c>
      <c r="M50" s="105">
        <v>8817.3518842765188</v>
      </c>
      <c r="N50" s="105">
        <v>33.358202737511107</v>
      </c>
      <c r="O50" s="105">
        <v>12889.609537774291</v>
      </c>
      <c r="P50" s="105">
        <v>34.453380754624924</v>
      </c>
      <c r="Q50" s="105">
        <v>13312.78632358707</v>
      </c>
      <c r="R50" s="105">
        <v>19.055459345053055</v>
      </c>
      <c r="S50" s="105">
        <v>7363.0294909285003</v>
      </c>
      <c r="T50" s="105">
        <v>19.977002752258503</v>
      </c>
      <c r="U50" s="105">
        <v>7719.1138634726849</v>
      </c>
      <c r="V50" s="105">
        <v>19.316615850502085</v>
      </c>
      <c r="W50" s="105">
        <v>7463.9403646340052</v>
      </c>
      <c r="X50" s="105">
        <v>20.888605710369188</v>
      </c>
      <c r="Y50" s="105">
        <v>8071.3572464866538</v>
      </c>
      <c r="Z50" s="105">
        <v>32.892572922027689</v>
      </c>
      <c r="AA50" s="105">
        <v>12709.690177071498</v>
      </c>
      <c r="AB50" s="105">
        <v>24.658268794329864</v>
      </c>
      <c r="AC50" s="105">
        <v>9527.9550621290582</v>
      </c>
      <c r="AD50" s="105">
        <v>39.287522417707571</v>
      </c>
      <c r="AE50" s="105">
        <v>15180.698662202205</v>
      </c>
      <c r="AF50" s="105">
        <v>32.129801398787329</v>
      </c>
      <c r="AG50" s="105">
        <v>12414.955260491422</v>
      </c>
      <c r="AH50" s="105">
        <v>24.852487463613407</v>
      </c>
      <c r="AI50" s="105">
        <v>9603.0011559402192</v>
      </c>
      <c r="AJ50" s="105">
        <v>28.198565345782619</v>
      </c>
      <c r="AK50" s="105">
        <v>10895.925649610403</v>
      </c>
      <c r="AL50" s="105">
        <v>26.228823518305511</v>
      </c>
      <c r="AM50" s="105">
        <v>10134.817407473249</v>
      </c>
      <c r="AN50" s="105">
        <v>30.2080823369302</v>
      </c>
      <c r="AO50" s="105">
        <v>11672.403014989828</v>
      </c>
      <c r="AP50" s="105">
        <v>35.364727316965237</v>
      </c>
      <c r="AQ50" s="105">
        <v>13664.930635275367</v>
      </c>
      <c r="AR50" s="105">
        <v>30.382430809030936</v>
      </c>
      <c r="AS50" s="105">
        <v>11739.771264609553</v>
      </c>
      <c r="AT50" s="105">
        <v>21.199655789347009</v>
      </c>
      <c r="AU50" s="105">
        <v>8191.5469970036838</v>
      </c>
      <c r="AV50" s="105">
        <v>26.296558013458341</v>
      </c>
      <c r="AW50" s="105">
        <v>10160.990016400303</v>
      </c>
      <c r="AX50" s="105">
        <v>27.499725734454039</v>
      </c>
      <c r="AY50" s="105">
        <v>10625.89402379304</v>
      </c>
      <c r="AZ50" s="105">
        <v>24.199046747941328</v>
      </c>
      <c r="BA50" s="105">
        <v>9350.511663404528</v>
      </c>
      <c r="BB50" s="105">
        <v>24.401041382814078</v>
      </c>
      <c r="BC50" s="105">
        <v>9428.5623903193591</v>
      </c>
      <c r="BD50" s="105">
        <v>31.199809554605498</v>
      </c>
      <c r="BE50" s="105">
        <v>12055.606411899564</v>
      </c>
      <c r="BF50" s="105">
        <v>21.568228368888619</v>
      </c>
      <c r="BG50" s="105">
        <v>8333.9634417385623</v>
      </c>
      <c r="BH50" s="105">
        <v>25.367500833357632</v>
      </c>
      <c r="BI50" s="105">
        <v>9802.0023220093881</v>
      </c>
      <c r="BJ50" s="105">
        <v>28.553403698193705</v>
      </c>
      <c r="BK50" s="105">
        <v>11033.035188982047</v>
      </c>
      <c r="BL50" s="105">
        <v>27.832557525439405</v>
      </c>
      <c r="BM50" s="105">
        <v>10754.500227829785</v>
      </c>
      <c r="BN50" s="105">
        <v>21.894046441079528</v>
      </c>
      <c r="BO50" s="105">
        <v>8459.8595448331289</v>
      </c>
      <c r="BP50" s="105">
        <v>28.243704695576742</v>
      </c>
      <c r="BQ50" s="105">
        <v>10913.367494370852</v>
      </c>
      <c r="BR50" s="105">
        <v>26.199998519659427</v>
      </c>
      <c r="BS50" s="105">
        <v>10123.679427996402</v>
      </c>
      <c r="BT50" s="105">
        <v>31.324753284426617</v>
      </c>
      <c r="BU50" s="105">
        <v>12103.884669102445</v>
      </c>
      <c r="BV50" s="105">
        <v>38.340132335847187</v>
      </c>
      <c r="BW50" s="105">
        <v>14814.627134571352</v>
      </c>
      <c r="BX50" s="105">
        <v>19.53725523382769</v>
      </c>
      <c r="BY50" s="105">
        <v>7549.1954223510193</v>
      </c>
      <c r="BZ50" s="105">
        <v>37.403802621895196</v>
      </c>
      <c r="CA50" s="105">
        <v>14452.829333100302</v>
      </c>
      <c r="CB50" s="105">
        <v>23.262014818097501</v>
      </c>
      <c r="CC50" s="105">
        <v>8988.4425257128732</v>
      </c>
      <c r="CD50" s="105">
        <v>21.786706928666156</v>
      </c>
      <c r="CE50" s="105">
        <v>8418.3835572366024</v>
      </c>
      <c r="CF50" s="105">
        <v>26.300060355501543</v>
      </c>
      <c r="CG50" s="105">
        <v>10162.343321365795</v>
      </c>
      <c r="CH50" s="105">
        <v>30.708427761165723</v>
      </c>
      <c r="CI50" s="105">
        <v>11865.736486914435</v>
      </c>
      <c r="CJ50" s="105">
        <v>28.135705792643684</v>
      </c>
      <c r="CK50" s="105">
        <v>10871.636718277519</v>
      </c>
      <c r="CL50" s="105">
        <v>36.09474934729645</v>
      </c>
      <c r="CM50" s="105">
        <v>13947.011147795347</v>
      </c>
      <c r="CN50" s="105">
        <v>17.482554848981156</v>
      </c>
      <c r="CO50" s="105">
        <v>6755.2591936463186</v>
      </c>
      <c r="CP50" s="105">
        <v>29.760149507811853</v>
      </c>
      <c r="CQ50" s="105">
        <v>11499.3217698185</v>
      </c>
      <c r="CR50" s="105">
        <v>28.448735928663517</v>
      </c>
      <c r="CS50" s="105">
        <v>10992.591562835581</v>
      </c>
      <c r="CT50" s="105">
        <v>29.99338093098126</v>
      </c>
      <c r="CU50" s="105">
        <v>11589.442391731158</v>
      </c>
    </row>
    <row r="51" spans="2:99" x14ac:dyDescent="0.2">
      <c r="C51" s="104" t="s">
        <v>217</v>
      </c>
      <c r="D51" s="105">
        <v>4</v>
      </c>
      <c r="E51" s="105">
        <v>542.4</v>
      </c>
      <c r="F51" s="105">
        <v>3.1550091336586816</v>
      </c>
      <c r="G51" s="105">
        <v>427.81923852411722</v>
      </c>
      <c r="H51" s="105">
        <v>0.86337816349616359</v>
      </c>
      <c r="I51" s="105">
        <v>117.07407897007978</v>
      </c>
      <c r="J51" s="105">
        <v>0</v>
      </c>
      <c r="K51" s="105">
        <v>0</v>
      </c>
      <c r="L51" s="105">
        <v>24</v>
      </c>
      <c r="M51" s="105">
        <v>3254.3999999999996</v>
      </c>
      <c r="N51" s="105">
        <v>32.357653266390898</v>
      </c>
      <c r="O51" s="105">
        <v>4387.6977829226053</v>
      </c>
      <c r="P51" s="105">
        <v>32.220520022232286</v>
      </c>
      <c r="Q51" s="105">
        <v>4369.1025150146979</v>
      </c>
      <c r="R51" s="105">
        <v>21.298037838017425</v>
      </c>
      <c r="S51" s="105">
        <v>2888.0139308351627</v>
      </c>
      <c r="T51" s="105">
        <v>19.337803704883367</v>
      </c>
      <c r="U51" s="105">
        <v>2622.2061823821846</v>
      </c>
      <c r="V51" s="105">
        <v>25.249914516930033</v>
      </c>
      <c r="W51" s="105">
        <v>3423.8884084957126</v>
      </c>
      <c r="X51" s="105">
        <v>22.244376435971294</v>
      </c>
      <c r="Y51" s="105">
        <v>3016.3374447177075</v>
      </c>
      <c r="Z51" s="105">
        <v>40.247716133723074</v>
      </c>
      <c r="AA51" s="105">
        <v>5457.5903077328485</v>
      </c>
      <c r="AB51" s="105">
        <v>32.33930586695007</v>
      </c>
      <c r="AC51" s="105">
        <v>4385.2098755584293</v>
      </c>
      <c r="AD51" s="105">
        <v>38.171878279313212</v>
      </c>
      <c r="AE51" s="105">
        <v>5176.1066946748715</v>
      </c>
      <c r="AF51" s="105">
        <v>31.623221327777934</v>
      </c>
      <c r="AG51" s="105">
        <v>4288.1088120466875</v>
      </c>
      <c r="AH51" s="105">
        <v>32.560380898305041</v>
      </c>
      <c r="AI51" s="105">
        <v>4415.1876498101637</v>
      </c>
      <c r="AJ51" s="105">
        <v>30.447370227876711</v>
      </c>
      <c r="AK51" s="105">
        <v>4128.6634029000816</v>
      </c>
      <c r="AL51" s="105">
        <v>25.677025290603734</v>
      </c>
      <c r="AM51" s="105">
        <v>3481.8046294058663</v>
      </c>
      <c r="AN51" s="105">
        <v>29.307810821721535</v>
      </c>
      <c r="AO51" s="105">
        <v>3974.1391474254401</v>
      </c>
      <c r="AP51" s="105">
        <v>33.873267985453118</v>
      </c>
      <c r="AQ51" s="105">
        <v>4593.2151388274424</v>
      </c>
      <c r="AR51" s="105">
        <v>31.101672472294364</v>
      </c>
      <c r="AS51" s="105">
        <v>4217.3867872431156</v>
      </c>
      <c r="AT51" s="105">
        <v>22.199845982795754</v>
      </c>
      <c r="AU51" s="105">
        <v>3010.2991152671043</v>
      </c>
      <c r="AV51" s="105">
        <v>28.293818767395802</v>
      </c>
      <c r="AW51" s="105">
        <v>3836.6418248588707</v>
      </c>
      <c r="AX51" s="105">
        <v>34.296381707684887</v>
      </c>
      <c r="AY51" s="105">
        <v>4650.5893595620701</v>
      </c>
      <c r="AZ51" s="105">
        <v>24.188254683918558</v>
      </c>
      <c r="BA51" s="105">
        <v>3279.9273351393563</v>
      </c>
      <c r="BB51" s="105">
        <v>34.343430518092717</v>
      </c>
      <c r="BC51" s="105">
        <v>4656.9691782533719</v>
      </c>
      <c r="BD51" s="105">
        <v>36.19178362307283</v>
      </c>
      <c r="BE51" s="105">
        <v>4907.6058592886757</v>
      </c>
      <c r="BF51" s="105">
        <v>32.249715421356548</v>
      </c>
      <c r="BG51" s="105">
        <v>4373.0614111359473</v>
      </c>
      <c r="BH51" s="105">
        <v>32.116696762261547</v>
      </c>
      <c r="BI51" s="105">
        <v>4355.0240809626657</v>
      </c>
      <c r="BJ51" s="105">
        <v>26.197151967846558</v>
      </c>
      <c r="BK51" s="105">
        <v>3552.333806839993</v>
      </c>
      <c r="BL51" s="105">
        <v>31.808059123943874</v>
      </c>
      <c r="BM51" s="105">
        <v>4313.1728172067887</v>
      </c>
      <c r="BN51" s="105">
        <v>29.629820680034765</v>
      </c>
      <c r="BO51" s="105">
        <v>4017.803684212714</v>
      </c>
      <c r="BP51" s="105">
        <v>27.961685124961356</v>
      </c>
      <c r="BQ51" s="105">
        <v>3791.6045029447596</v>
      </c>
      <c r="BR51" s="105">
        <v>25.197651695756448</v>
      </c>
      <c r="BS51" s="105">
        <v>3416.8015699445741</v>
      </c>
      <c r="BT51" s="105">
        <v>33.640150956314379</v>
      </c>
      <c r="BU51" s="105">
        <v>4561.6044696762292</v>
      </c>
      <c r="BV51" s="105">
        <v>32.167701421019686</v>
      </c>
      <c r="BW51" s="105">
        <v>4361.9403126902689</v>
      </c>
      <c r="BX51" s="105">
        <v>23.298386382920899</v>
      </c>
      <c r="BY51" s="105">
        <v>3159.2611935240739</v>
      </c>
      <c r="BZ51" s="105">
        <v>33.466338671451737</v>
      </c>
      <c r="CA51" s="105">
        <v>4538.0355238488555</v>
      </c>
      <c r="CB51" s="105">
        <v>27.611976488839161</v>
      </c>
      <c r="CC51" s="105">
        <v>3744.1840118865903</v>
      </c>
      <c r="CD51" s="105">
        <v>24.249715421356552</v>
      </c>
      <c r="CE51" s="105">
        <v>3288.261411135948</v>
      </c>
      <c r="CF51" s="105">
        <v>30.29490148799778</v>
      </c>
      <c r="CG51" s="105">
        <v>4107.9886417724992</v>
      </c>
      <c r="CH51" s="105">
        <v>27.331334149803968</v>
      </c>
      <c r="CI51" s="105">
        <v>3706.128910713418</v>
      </c>
      <c r="CJ51" s="105">
        <v>29.586064845044422</v>
      </c>
      <c r="CK51" s="105">
        <v>4011.8703929880235</v>
      </c>
      <c r="CL51" s="105">
        <v>30.196367236812257</v>
      </c>
      <c r="CM51" s="105">
        <v>4094.6273973117418</v>
      </c>
      <c r="CN51" s="105">
        <v>20.345778658965703</v>
      </c>
      <c r="CO51" s="105">
        <v>2758.887586155749</v>
      </c>
      <c r="CP51" s="105">
        <v>34.742089200879676</v>
      </c>
      <c r="CQ51" s="105">
        <v>4711.0272956392837</v>
      </c>
      <c r="CR51" s="105">
        <v>30.449077348963709</v>
      </c>
      <c r="CS51" s="105">
        <v>4128.8948885194786</v>
      </c>
      <c r="CT51" s="105">
        <v>31.947257286905302</v>
      </c>
      <c r="CU51" s="105">
        <v>4332.0480881043586</v>
      </c>
    </row>
    <row r="52" spans="2:99" x14ac:dyDescent="0.2">
      <c r="C52" s="104" t="s">
        <v>218</v>
      </c>
      <c r="D52" s="105">
        <v>5</v>
      </c>
      <c r="E52" s="105">
        <v>1332</v>
      </c>
      <c r="F52" s="105">
        <v>4.1550091336586821</v>
      </c>
      <c r="G52" s="105">
        <v>1106.8944332066728</v>
      </c>
      <c r="H52" s="105">
        <v>0.86337816349616359</v>
      </c>
      <c r="I52" s="105">
        <v>230.00394275537795</v>
      </c>
      <c r="J52" s="105">
        <v>0</v>
      </c>
      <c r="K52" s="105">
        <v>0</v>
      </c>
      <c r="L52" s="105">
        <v>22</v>
      </c>
      <c r="M52" s="105">
        <v>5860.7999999999993</v>
      </c>
      <c r="N52" s="105">
        <v>33.309348950696517</v>
      </c>
      <c r="O52" s="105">
        <v>8873.6105604655513</v>
      </c>
      <c r="P52" s="105">
        <v>31.420004548149308</v>
      </c>
      <c r="Q52" s="105">
        <v>8370.2892116269741</v>
      </c>
      <c r="R52" s="105">
        <v>22.248364865014523</v>
      </c>
      <c r="S52" s="105">
        <v>5926.9644000398685</v>
      </c>
      <c r="T52" s="105">
        <v>21.337803704883367</v>
      </c>
      <c r="U52" s="105">
        <v>5684.3909069809288</v>
      </c>
      <c r="V52" s="105">
        <v>22.249914516930033</v>
      </c>
      <c r="W52" s="105">
        <v>5927.3772273101604</v>
      </c>
      <c r="X52" s="105">
        <v>22.29325172316555</v>
      </c>
      <c r="Y52" s="105">
        <v>5938.9222590513018</v>
      </c>
      <c r="Z52" s="105">
        <v>38.247716133723074</v>
      </c>
      <c r="AA52" s="105">
        <v>10189.191578023827</v>
      </c>
      <c r="AB52" s="105">
        <v>27.33930586695007</v>
      </c>
      <c r="AC52" s="105">
        <v>7283.1910829554981</v>
      </c>
      <c r="AD52" s="105">
        <v>34.641507925896818</v>
      </c>
      <c r="AE52" s="105">
        <v>9228.497711458911</v>
      </c>
      <c r="AF52" s="105">
        <v>28.133762417439993</v>
      </c>
      <c r="AG52" s="105">
        <v>7494.8343080060131</v>
      </c>
      <c r="AH52" s="105">
        <v>29.944013974339875</v>
      </c>
      <c r="AI52" s="105">
        <v>7977.0853227641419</v>
      </c>
      <c r="AJ52" s="105">
        <v>27.572308956906461</v>
      </c>
      <c r="AK52" s="105">
        <v>7345.2631061198808</v>
      </c>
      <c r="AL52" s="105">
        <v>27.579027163981788</v>
      </c>
      <c r="AM52" s="105">
        <v>7347.0528364847478</v>
      </c>
      <c r="AN52" s="105">
        <v>30.982924414495528</v>
      </c>
      <c r="AO52" s="105">
        <v>8253.8510640216082</v>
      </c>
      <c r="AP52" s="105">
        <v>33.053665925839177</v>
      </c>
      <c r="AQ52" s="105">
        <v>8805.4966026435559</v>
      </c>
      <c r="AR52" s="105">
        <v>30.121388956862525</v>
      </c>
      <c r="AS52" s="105">
        <v>8024.3380181081757</v>
      </c>
      <c r="AT52" s="105">
        <v>23.199845982795754</v>
      </c>
      <c r="AU52" s="105">
        <v>6180.4389698167879</v>
      </c>
      <c r="AV52" s="105">
        <v>27.293818767395802</v>
      </c>
      <c r="AW52" s="105">
        <v>7271.0733196342408</v>
      </c>
      <c r="AX52" s="105">
        <v>33.296381707684887</v>
      </c>
      <c r="AY52" s="105">
        <v>8870.1560869272525</v>
      </c>
      <c r="AZ52" s="105">
        <v>25.188254683918558</v>
      </c>
      <c r="BA52" s="105">
        <v>6710.1510477959037</v>
      </c>
      <c r="BB52" s="105">
        <v>32.294369015508039</v>
      </c>
      <c r="BC52" s="105">
        <v>8603.219905731341</v>
      </c>
      <c r="BD52" s="105">
        <v>33.143837717304621</v>
      </c>
      <c r="BE52" s="105">
        <v>8829.5183678899502</v>
      </c>
      <c r="BF52" s="105">
        <v>27.249715421356552</v>
      </c>
      <c r="BG52" s="105">
        <v>7259.3241882493849</v>
      </c>
      <c r="BH52" s="105">
        <v>28.758073777980318</v>
      </c>
      <c r="BI52" s="105">
        <v>7661.1508544539556</v>
      </c>
      <c r="BJ52" s="105">
        <v>28.197151967846558</v>
      </c>
      <c r="BK52" s="105">
        <v>7511.7212842343224</v>
      </c>
      <c r="BL52" s="105">
        <v>31.846449021672715</v>
      </c>
      <c r="BM52" s="105">
        <v>8483.8940193736107</v>
      </c>
      <c r="BN52" s="105">
        <v>25.041947963141055</v>
      </c>
      <c r="BO52" s="105">
        <v>6671.174937380777</v>
      </c>
      <c r="BP52" s="105">
        <v>27.16943067073969</v>
      </c>
      <c r="BQ52" s="105">
        <v>7237.9363306850528</v>
      </c>
      <c r="BR52" s="105">
        <v>25.197651695756448</v>
      </c>
      <c r="BS52" s="105">
        <v>6712.6544117495177</v>
      </c>
      <c r="BT52" s="105">
        <v>34.498392673444911</v>
      </c>
      <c r="BU52" s="105">
        <v>9190.3718082057239</v>
      </c>
      <c r="BV52" s="105">
        <v>33.725533371641191</v>
      </c>
      <c r="BW52" s="105">
        <v>8984.4820902052124</v>
      </c>
      <c r="BX52" s="105">
        <v>26.248655319100749</v>
      </c>
      <c r="BY52" s="105">
        <v>6992.641777008439</v>
      </c>
      <c r="BZ52" s="105">
        <v>34.319001620165828</v>
      </c>
      <c r="CA52" s="105">
        <v>9142.5820316121753</v>
      </c>
      <c r="CB52" s="105">
        <v>27.611976488839161</v>
      </c>
      <c r="CC52" s="105">
        <v>7355.8305366267523</v>
      </c>
      <c r="CD52" s="105">
        <v>26.249715421356552</v>
      </c>
      <c r="CE52" s="105">
        <v>6992.9241882493843</v>
      </c>
      <c r="CF52" s="105">
        <v>29.29490148799778</v>
      </c>
      <c r="CG52" s="105">
        <v>7804.1617564026083</v>
      </c>
      <c r="CH52" s="105">
        <v>32.331334149803972</v>
      </c>
      <c r="CI52" s="105">
        <v>8613.0674175077766</v>
      </c>
      <c r="CJ52" s="105">
        <v>27.712633300278188</v>
      </c>
      <c r="CK52" s="105">
        <v>7382.6455111941086</v>
      </c>
      <c r="CL52" s="105">
        <v>28.432991533719434</v>
      </c>
      <c r="CM52" s="105">
        <v>7574.5489445828571</v>
      </c>
      <c r="CN52" s="105">
        <v>19.296381707684887</v>
      </c>
      <c r="CO52" s="105">
        <v>5140.5560869272531</v>
      </c>
      <c r="CP52" s="105">
        <v>33.057623368305102</v>
      </c>
      <c r="CQ52" s="105">
        <v>8806.5508653164779</v>
      </c>
      <c r="CR52" s="105">
        <v>28.06399928419378</v>
      </c>
      <c r="CS52" s="105">
        <v>7476.2494093092228</v>
      </c>
      <c r="CT52" s="105">
        <v>28.74106563697552</v>
      </c>
      <c r="CU52" s="105">
        <v>7656.6198856902784</v>
      </c>
    </row>
    <row r="53" spans="2:99" x14ac:dyDescent="0.2">
      <c r="C53" s="104" t="s">
        <v>219</v>
      </c>
      <c r="D53" s="105">
        <v>5</v>
      </c>
      <c r="E53" s="105">
        <v>1962</v>
      </c>
      <c r="F53" s="105">
        <v>4.1550091336586821</v>
      </c>
      <c r="G53" s="105">
        <v>1630.4255840476667</v>
      </c>
      <c r="H53" s="105">
        <v>0.86337816349616359</v>
      </c>
      <c r="I53" s="105">
        <v>338.78959135589457</v>
      </c>
      <c r="J53" s="105">
        <v>0</v>
      </c>
      <c r="K53" s="105">
        <v>0</v>
      </c>
      <c r="L53" s="105">
        <v>20</v>
      </c>
      <c r="M53" s="105">
        <v>7848</v>
      </c>
      <c r="N53" s="105">
        <v>29.502566213474058</v>
      </c>
      <c r="O53" s="105">
        <v>11576.80698216722</v>
      </c>
      <c r="P53" s="105">
        <v>30.579508862283713</v>
      </c>
      <c r="Q53" s="105">
        <v>11999.399277560129</v>
      </c>
      <c r="R53" s="105">
        <v>23.248364865014523</v>
      </c>
      <c r="S53" s="105">
        <v>9122.6583730316979</v>
      </c>
      <c r="T53" s="105">
        <v>22.289546032757173</v>
      </c>
      <c r="U53" s="105">
        <v>8746.4178632539133</v>
      </c>
      <c r="V53" s="105">
        <v>25.249914516930033</v>
      </c>
      <c r="W53" s="105">
        <v>9908.0664564433446</v>
      </c>
      <c r="X53" s="105">
        <v>25.244376435971294</v>
      </c>
      <c r="Y53" s="105">
        <v>9905.8933134751351</v>
      </c>
      <c r="Z53" s="105">
        <v>35.297259360467685</v>
      </c>
      <c r="AA53" s="105">
        <v>13850.644573047519</v>
      </c>
      <c r="AB53" s="105">
        <v>30.290833600242919</v>
      </c>
      <c r="AC53" s="105">
        <v>11886.123104735321</v>
      </c>
      <c r="AD53" s="105">
        <v>35.524100514250918</v>
      </c>
      <c r="AE53" s="105">
        <v>13939.657041792059</v>
      </c>
      <c r="AF53" s="105">
        <v>26.38903296227102</v>
      </c>
      <c r="AG53" s="105">
        <v>10355.056534395148</v>
      </c>
      <c r="AH53" s="105">
        <v>31.688258590316654</v>
      </c>
      <c r="AI53" s="105">
        <v>12434.472670840254</v>
      </c>
      <c r="AJ53" s="105">
        <v>29.457595042914349</v>
      </c>
      <c r="AK53" s="105">
        <v>11559.16029483959</v>
      </c>
      <c r="AL53" s="105">
        <v>24.726024353914706</v>
      </c>
      <c r="AM53" s="105">
        <v>9702.4919564761294</v>
      </c>
      <c r="AN53" s="105">
        <v>33.360051814965587</v>
      </c>
      <c r="AO53" s="105">
        <v>13090.484332192496</v>
      </c>
      <c r="AP53" s="105">
        <v>30.708994795159551</v>
      </c>
      <c r="AQ53" s="105">
        <v>12050.209557620607</v>
      </c>
      <c r="AR53" s="105">
        <v>32.969818500420537</v>
      </c>
      <c r="AS53" s="105">
        <v>12937.356779565018</v>
      </c>
      <c r="AT53" s="105">
        <v>22.199845982795754</v>
      </c>
      <c r="AU53" s="105">
        <v>8711.2195636490542</v>
      </c>
      <c r="AV53" s="105">
        <v>26.293818767395802</v>
      </c>
      <c r="AW53" s="105">
        <v>10317.694484326112</v>
      </c>
      <c r="AX53" s="105">
        <v>30.345778658965703</v>
      </c>
      <c r="AY53" s="105">
        <v>11907.683545778142</v>
      </c>
      <c r="AZ53" s="105">
        <v>24.188254683918558</v>
      </c>
      <c r="BA53" s="105">
        <v>9491.4711379696419</v>
      </c>
      <c r="BB53" s="105">
        <v>29.294369015508039</v>
      </c>
      <c r="BC53" s="105">
        <v>11495.110401685353</v>
      </c>
      <c r="BD53" s="105">
        <v>35.143837717304621</v>
      </c>
      <c r="BE53" s="105">
        <v>13790.441920270332</v>
      </c>
      <c r="BF53" s="105">
        <v>29.249715421356552</v>
      </c>
      <c r="BG53" s="105">
        <v>11477.58833134031</v>
      </c>
      <c r="BH53" s="105">
        <v>29.597729524050624</v>
      </c>
      <c r="BI53" s="105">
        <v>11614.149065237465</v>
      </c>
      <c r="BJ53" s="105">
        <v>25.197151967846558</v>
      </c>
      <c r="BK53" s="105">
        <v>9887.3624321829884</v>
      </c>
      <c r="BL53" s="105">
        <v>28.723560622939029</v>
      </c>
      <c r="BM53" s="105">
        <v>11271.125188441274</v>
      </c>
      <c r="BN53" s="105">
        <v>24.124373419762314</v>
      </c>
      <c r="BO53" s="105">
        <v>9466.404129914732</v>
      </c>
      <c r="BP53" s="105">
        <v>29.546194033404674</v>
      </c>
      <c r="BQ53" s="105">
        <v>11593.926538707994</v>
      </c>
      <c r="BR53" s="105">
        <v>23.197651695756448</v>
      </c>
      <c r="BS53" s="105">
        <v>9102.7585254148307</v>
      </c>
      <c r="BT53" s="105">
        <v>31.923667522053318</v>
      </c>
      <c r="BU53" s="105">
        <v>12526.847135653721</v>
      </c>
      <c r="BV53" s="105">
        <v>30.648560542611328</v>
      </c>
      <c r="BW53" s="105">
        <v>12026.495156920684</v>
      </c>
      <c r="BX53" s="105">
        <v>26.298386382920899</v>
      </c>
      <c r="BY53" s="105">
        <v>10319.48681665816</v>
      </c>
      <c r="BZ53" s="105">
        <v>31.761012774023555</v>
      </c>
      <c r="CA53" s="105">
        <v>12463.021412526843</v>
      </c>
      <c r="CB53" s="105">
        <v>30.836734492955557</v>
      </c>
      <c r="CC53" s="105">
        <v>12100.334615035759</v>
      </c>
      <c r="CD53" s="105">
        <v>26.249715421356552</v>
      </c>
      <c r="CE53" s="105">
        <v>10300.388331340309</v>
      </c>
      <c r="CF53" s="105">
        <v>32.294901487997784</v>
      </c>
      <c r="CG53" s="105">
        <v>12672.51934389033</v>
      </c>
      <c r="CH53" s="105">
        <v>28.331334149803968</v>
      </c>
      <c r="CI53" s="105">
        <v>11117.215520383077</v>
      </c>
      <c r="CJ53" s="105">
        <v>28.627746857593785</v>
      </c>
      <c r="CK53" s="105">
        <v>11233.5278669198</v>
      </c>
      <c r="CL53" s="105">
        <v>29.314679385265848</v>
      </c>
      <c r="CM53" s="105">
        <v>11503.080190778317</v>
      </c>
      <c r="CN53" s="105">
        <v>21.296381707684887</v>
      </c>
      <c r="CO53" s="105">
        <v>8356.7001820955484</v>
      </c>
      <c r="CP53" s="105">
        <v>34.742089200879676</v>
      </c>
      <c r="CQ53" s="105">
        <v>13632.795802425184</v>
      </c>
      <c r="CR53" s="105">
        <v>31.244103370553685</v>
      </c>
      <c r="CS53" s="105">
        <v>12260.186162605265</v>
      </c>
      <c r="CT53" s="105">
        <v>27.949072658859119</v>
      </c>
      <c r="CU53" s="105">
        <v>10967.216111336318</v>
      </c>
    </row>
    <row r="54" spans="2:99" x14ac:dyDescent="0.2">
      <c r="C54" s="104" t="s">
        <v>220</v>
      </c>
      <c r="D54" s="105">
        <v>2.5653007149785414</v>
      </c>
      <c r="E54" s="105">
        <v>1046.6426917112449</v>
      </c>
      <c r="F54" s="105">
        <v>2.7567413354398229</v>
      </c>
      <c r="G54" s="105">
        <v>1124.7504648594477</v>
      </c>
      <c r="H54" s="105">
        <v>0</v>
      </c>
      <c r="I54" s="105">
        <v>0</v>
      </c>
      <c r="J54" s="105">
        <v>0</v>
      </c>
      <c r="K54" s="105">
        <v>0</v>
      </c>
      <c r="L54" s="105">
        <v>19.842811873878208</v>
      </c>
      <c r="M54" s="105">
        <v>8095.867244542309</v>
      </c>
      <c r="N54" s="105">
        <v>36.301573567291499</v>
      </c>
      <c r="O54" s="105">
        <v>14811.042015454932</v>
      </c>
      <c r="P54" s="105">
        <v>34.453380754624924</v>
      </c>
      <c r="Q54" s="105">
        <v>14056.979347886969</v>
      </c>
      <c r="R54" s="105">
        <v>19.99416149989505</v>
      </c>
      <c r="S54" s="105">
        <v>8157.6178919571803</v>
      </c>
      <c r="T54" s="105">
        <v>19.039115233345594</v>
      </c>
      <c r="U54" s="105">
        <v>7767.9590152050023</v>
      </c>
      <c r="V54" s="105">
        <v>16.902038869189322</v>
      </c>
      <c r="W54" s="105">
        <v>6896.0318586292433</v>
      </c>
      <c r="X54" s="105">
        <v>19.146979949449747</v>
      </c>
      <c r="Y54" s="105">
        <v>7811.9678193754971</v>
      </c>
      <c r="Z54" s="105">
        <v>29.627048774404834</v>
      </c>
      <c r="AA54" s="105">
        <v>12087.835899957172</v>
      </c>
      <c r="AB54" s="105">
        <v>24.658268794329864</v>
      </c>
      <c r="AC54" s="105">
        <v>10060.573668086585</v>
      </c>
      <c r="AD54" s="105">
        <v>33.619098677227008</v>
      </c>
      <c r="AE54" s="105">
        <v>13716.59226030862</v>
      </c>
      <c r="AF54" s="105">
        <v>30.306794716229998</v>
      </c>
      <c r="AG54" s="105">
        <v>12365.17224422184</v>
      </c>
      <c r="AH54" s="105">
        <v>26.438238730989553</v>
      </c>
      <c r="AI54" s="105">
        <v>10786.801402243738</v>
      </c>
      <c r="AJ54" s="105">
        <v>29.198565345782619</v>
      </c>
      <c r="AK54" s="105">
        <v>11913.014661079309</v>
      </c>
      <c r="AL54" s="105">
        <v>26.274588221966614</v>
      </c>
      <c r="AM54" s="105">
        <v>10720.031994562378</v>
      </c>
      <c r="AN54" s="105">
        <v>32.851072648943422</v>
      </c>
      <c r="AO54" s="105">
        <v>13403.237640768915</v>
      </c>
      <c r="AP54" s="105">
        <v>34.417878452914664</v>
      </c>
      <c r="AQ54" s="105">
        <v>14042.494408789184</v>
      </c>
      <c r="AR54" s="105">
        <v>27.513686011041393</v>
      </c>
      <c r="AS54" s="105">
        <v>11225.583892504888</v>
      </c>
      <c r="AT54" s="105">
        <v>22.24956973668376</v>
      </c>
      <c r="AU54" s="105">
        <v>9077.8244525669743</v>
      </c>
      <c r="AV54" s="105">
        <v>22.296558013458341</v>
      </c>
      <c r="AW54" s="105">
        <v>9096.9956694910034</v>
      </c>
      <c r="AX54" s="105">
        <v>25.622486881423271</v>
      </c>
      <c r="AY54" s="105">
        <v>10453.974647620695</v>
      </c>
      <c r="AZ54" s="105">
        <v>22.149285060955997</v>
      </c>
      <c r="BA54" s="105">
        <v>9036.9083048700468</v>
      </c>
      <c r="BB54" s="105">
        <v>26.066805573739568</v>
      </c>
      <c r="BC54" s="105">
        <v>10635.256674085744</v>
      </c>
      <c r="BD54" s="105">
        <v>34.149857165954124</v>
      </c>
      <c r="BE54" s="105">
        <v>13933.141723709283</v>
      </c>
      <c r="BF54" s="105">
        <v>24.807581338366056</v>
      </c>
      <c r="BG54" s="105">
        <v>10121.493186053351</v>
      </c>
      <c r="BH54" s="105">
        <v>28.186112037064035</v>
      </c>
      <c r="BI54" s="105">
        <v>11499.933711122127</v>
      </c>
      <c r="BJ54" s="105">
        <v>26.595381948251944</v>
      </c>
      <c r="BK54" s="105">
        <v>10850.915834886793</v>
      </c>
      <c r="BL54" s="105">
        <v>28.600356551396313</v>
      </c>
      <c r="BM54" s="105">
        <v>11668.945472969695</v>
      </c>
      <c r="BN54" s="105">
        <v>22.735852839450569</v>
      </c>
      <c r="BO54" s="105">
        <v>9276.2279584958324</v>
      </c>
      <c r="BP54" s="105">
        <v>25.909444216955126</v>
      </c>
      <c r="BQ54" s="105">
        <v>10571.053240517691</v>
      </c>
      <c r="BR54" s="105">
        <v>23.199998519659427</v>
      </c>
      <c r="BS54" s="105">
        <v>9465.5993960210471</v>
      </c>
      <c r="BT54" s="105">
        <v>28.211709063694322</v>
      </c>
      <c r="BU54" s="105">
        <v>11510.377297987283</v>
      </c>
      <c r="BV54" s="105">
        <v>36.340132335847187</v>
      </c>
      <c r="BW54" s="105">
        <v>14826.773993025652</v>
      </c>
      <c r="BX54" s="105">
        <v>20.417714983171614</v>
      </c>
      <c r="BY54" s="105">
        <v>8330.4277131340186</v>
      </c>
      <c r="BZ54" s="105">
        <v>38.381907011985241</v>
      </c>
      <c r="CA54" s="105">
        <v>15659.818060889978</v>
      </c>
      <c r="CB54" s="105">
        <v>24.704622706802525</v>
      </c>
      <c r="CC54" s="105">
        <v>10079.486064375429</v>
      </c>
      <c r="CD54" s="105">
        <v>22.65132890208816</v>
      </c>
      <c r="CE54" s="105">
        <v>9241.7421920519701</v>
      </c>
      <c r="CF54" s="105">
        <v>26.300060355501543</v>
      </c>
      <c r="CG54" s="105">
        <v>10730.42462504463</v>
      </c>
      <c r="CH54" s="105">
        <v>29.349770168740413</v>
      </c>
      <c r="CI54" s="105">
        <v>11974.706228846089</v>
      </c>
      <c r="CJ54" s="105">
        <v>26.527951175921189</v>
      </c>
      <c r="CK54" s="105">
        <v>10823.404079775844</v>
      </c>
      <c r="CL54" s="105">
        <v>34</v>
      </c>
      <c r="CM54" s="105">
        <v>13872</v>
      </c>
      <c r="CN54" s="105">
        <v>18.437927120200641</v>
      </c>
      <c r="CO54" s="105">
        <v>7522.6742650418619</v>
      </c>
      <c r="CP54" s="105">
        <v>29.760149507811853</v>
      </c>
      <c r="CQ54" s="105">
        <v>12142.140999187237</v>
      </c>
      <c r="CR54" s="105">
        <v>28.410163643177665</v>
      </c>
      <c r="CS54" s="105">
        <v>11591.346766416487</v>
      </c>
      <c r="CT54" s="105">
        <v>32.405817431478454</v>
      </c>
      <c r="CU54" s="105">
        <v>13221.573512043209</v>
      </c>
    </row>
    <row r="55" spans="2:99" x14ac:dyDescent="0.2">
      <c r="C55" s="104" t="s">
        <v>221</v>
      </c>
      <c r="D55" s="105">
        <v>5</v>
      </c>
      <c r="E55" s="105">
        <v>1271.9999999999998</v>
      </c>
      <c r="F55" s="105">
        <v>4.1550091336586821</v>
      </c>
      <c r="G55" s="105">
        <v>1057.0343236027686</v>
      </c>
      <c r="H55" s="105">
        <v>0.86337816349616359</v>
      </c>
      <c r="I55" s="105">
        <v>219.64340479342397</v>
      </c>
      <c r="J55" s="105">
        <v>0</v>
      </c>
      <c r="K55" s="105">
        <v>0</v>
      </c>
      <c r="L55" s="105">
        <v>22</v>
      </c>
      <c r="M55" s="105">
        <v>5596.7999999999993</v>
      </c>
      <c r="N55" s="105">
        <v>30.45426189777967</v>
      </c>
      <c r="O55" s="105">
        <v>7747.5642267951462</v>
      </c>
      <c r="P55" s="105">
        <v>29.018458125900363</v>
      </c>
      <c r="Q55" s="105">
        <v>7382.2957472290509</v>
      </c>
      <c r="R55" s="105">
        <v>20.298037838017425</v>
      </c>
      <c r="S55" s="105">
        <v>5163.8208259916319</v>
      </c>
      <c r="T55" s="105">
        <v>21.337803704883367</v>
      </c>
      <c r="U55" s="105">
        <v>5428.3372625223274</v>
      </c>
      <c r="V55" s="105">
        <v>24.249914516930033</v>
      </c>
      <c r="W55" s="105">
        <v>6169.1782531069994</v>
      </c>
      <c r="X55" s="105">
        <v>25.29325172316555</v>
      </c>
      <c r="Y55" s="105">
        <v>6434.6032383733145</v>
      </c>
      <c r="Z55" s="105">
        <v>41.297259360467685</v>
      </c>
      <c r="AA55" s="105">
        <v>10506.022781302976</v>
      </c>
      <c r="AB55" s="105">
        <v>27.33930586695007</v>
      </c>
      <c r="AC55" s="105">
        <v>6955.1194125520969</v>
      </c>
      <c r="AD55" s="105">
        <v>32.920402145206033</v>
      </c>
      <c r="AE55" s="105">
        <v>8374.9503057404127</v>
      </c>
      <c r="AF55" s="105">
        <v>28.133762417439993</v>
      </c>
      <c r="AG55" s="105">
        <v>7157.2291589967326</v>
      </c>
      <c r="AH55" s="105">
        <v>34.262931871034013</v>
      </c>
      <c r="AI55" s="105">
        <v>8716.4898679910511</v>
      </c>
      <c r="AJ55" s="105">
        <v>31.34288112892224</v>
      </c>
      <c r="AK55" s="105">
        <v>7973.6289591978166</v>
      </c>
      <c r="AL55" s="105">
        <v>27.579027163981788</v>
      </c>
      <c r="AM55" s="105">
        <v>7016.1045105169651</v>
      </c>
      <c r="AN55" s="105">
        <v>30.847381425804599</v>
      </c>
      <c r="AO55" s="105">
        <v>7847.5738347246888</v>
      </c>
      <c r="AP55" s="105">
        <v>29.965482767653736</v>
      </c>
      <c r="AQ55" s="105">
        <v>7623.2188160911091</v>
      </c>
      <c r="AR55" s="105">
        <v>32.035745486357449</v>
      </c>
      <c r="AS55" s="105">
        <v>8149.8936517293332</v>
      </c>
      <c r="AT55" s="105">
        <v>22.249807478494692</v>
      </c>
      <c r="AU55" s="105">
        <v>5660.3510225290484</v>
      </c>
      <c r="AV55" s="105">
        <v>26.293818767395802</v>
      </c>
      <c r="AW55" s="105">
        <v>6689.1474944254905</v>
      </c>
      <c r="AX55" s="105">
        <v>33.296381707684887</v>
      </c>
      <c r="AY55" s="105">
        <v>8470.5995064350336</v>
      </c>
      <c r="AZ55" s="105">
        <v>23.188254683918558</v>
      </c>
      <c r="BA55" s="105">
        <v>5899.0919915888799</v>
      </c>
      <c r="BB55" s="105">
        <v>30.294369015508039</v>
      </c>
      <c r="BC55" s="105">
        <v>7706.8874775452432</v>
      </c>
      <c r="BD55" s="105">
        <v>35.143837717304621</v>
      </c>
      <c r="BE55" s="105">
        <v>8940.5923152822943</v>
      </c>
      <c r="BF55" s="105">
        <v>30.29965850562786</v>
      </c>
      <c r="BG55" s="105">
        <v>7708.2331238317265</v>
      </c>
      <c r="BH55" s="105">
        <v>30.479340952438911</v>
      </c>
      <c r="BI55" s="105">
        <v>7753.9443383004573</v>
      </c>
      <c r="BJ55" s="105">
        <v>28.197151967846558</v>
      </c>
      <c r="BK55" s="105">
        <v>7173.3554606201633</v>
      </c>
      <c r="BL55" s="105">
        <v>31.036934498692663</v>
      </c>
      <c r="BM55" s="105">
        <v>7895.796136467412</v>
      </c>
      <c r="BN55" s="105">
        <v>28.712246136656024</v>
      </c>
      <c r="BO55" s="105">
        <v>7304.3954171652913</v>
      </c>
      <c r="BP55" s="105">
        <v>27.961685124961356</v>
      </c>
      <c r="BQ55" s="105">
        <v>7113.4526957901671</v>
      </c>
      <c r="BR55" s="105">
        <v>27.197651695756448</v>
      </c>
      <c r="BS55" s="105">
        <v>6919.082591400439</v>
      </c>
      <c r="BT55" s="105">
        <v>31.065425804922782</v>
      </c>
      <c r="BU55" s="105">
        <v>7903.0443247723542</v>
      </c>
      <c r="BV55" s="105">
        <v>32.167701421019686</v>
      </c>
      <c r="BW55" s="105">
        <v>8183.4632415074066</v>
      </c>
      <c r="BX55" s="105">
        <v>25.298386382920899</v>
      </c>
      <c r="BY55" s="105">
        <v>6435.9094958150754</v>
      </c>
      <c r="BZ55" s="105">
        <v>30.908349825309465</v>
      </c>
      <c r="CA55" s="105">
        <v>7863.0841955587266</v>
      </c>
      <c r="CB55" s="105">
        <v>29.224355490897359</v>
      </c>
      <c r="CC55" s="105">
        <v>7434.676036884287</v>
      </c>
      <c r="CD55" s="105">
        <v>28.249715421356552</v>
      </c>
      <c r="CE55" s="105">
        <v>7186.7276031931051</v>
      </c>
      <c r="CF55" s="105">
        <v>33.294901487997784</v>
      </c>
      <c r="CG55" s="105">
        <v>8470.2229385466344</v>
      </c>
      <c r="CH55" s="105">
        <v>32.331334149803972</v>
      </c>
      <c r="CI55" s="105">
        <v>8225.0914077101279</v>
      </c>
      <c r="CJ55" s="105">
        <v>27.755837730413234</v>
      </c>
      <c r="CK55" s="105">
        <v>7061.0851186171249</v>
      </c>
      <c r="CL55" s="105">
        <v>34.60480649454432</v>
      </c>
      <c r="CM55" s="105">
        <v>8803.4627722120731</v>
      </c>
      <c r="CN55" s="105">
        <v>22.296381707684887</v>
      </c>
      <c r="CO55" s="105">
        <v>5672.199506435034</v>
      </c>
      <c r="CP55" s="105">
        <v>33.09973129492532</v>
      </c>
      <c r="CQ55" s="105">
        <v>8420.571641429</v>
      </c>
      <c r="CR55" s="105">
        <v>31.999447970719558</v>
      </c>
      <c r="CS55" s="105">
        <v>8140.6595637510536</v>
      </c>
      <c r="CT55" s="105">
        <v>29.533058615091917</v>
      </c>
      <c r="CU55" s="105">
        <v>7513.210111679382</v>
      </c>
    </row>
    <row r="56" spans="2:99" x14ac:dyDescent="0.2">
      <c r="C56" s="104" t="s">
        <v>222</v>
      </c>
      <c r="D56" s="105">
        <v>1.003320332452444</v>
      </c>
      <c r="E56" s="105">
        <v>760.91814013193357</v>
      </c>
      <c r="F56" s="105">
        <v>1.3755889568627444</v>
      </c>
      <c r="G56" s="105">
        <v>1043.2466648847053</v>
      </c>
      <c r="H56" s="105">
        <v>0</v>
      </c>
      <c r="I56" s="105">
        <v>0</v>
      </c>
      <c r="J56" s="105">
        <v>0</v>
      </c>
      <c r="K56" s="105">
        <v>0</v>
      </c>
      <c r="L56" s="105">
        <v>15.787267493470949</v>
      </c>
      <c r="M56" s="105">
        <v>11973.063667048367</v>
      </c>
      <c r="N56" s="105">
        <v>23.172599067121187</v>
      </c>
      <c r="O56" s="105">
        <v>17574.099132504707</v>
      </c>
      <c r="P56" s="105">
        <v>37.292792830296072</v>
      </c>
      <c r="Q56" s="105">
        <v>28282.854082496542</v>
      </c>
      <c r="R56" s="105">
        <v>20.193097600754726</v>
      </c>
      <c r="S56" s="105">
        <v>15314.445220412383</v>
      </c>
      <c r="T56" s="105">
        <v>15.780919129694595</v>
      </c>
      <c r="U56" s="105">
        <v>11968.249067960382</v>
      </c>
      <c r="V56" s="105">
        <v>17.532484753273295</v>
      </c>
      <c r="W56" s="105">
        <v>13296.636436882467</v>
      </c>
      <c r="X56" s="105">
        <v>19.221099454144827</v>
      </c>
      <c r="Y56" s="105">
        <v>14577.281826023436</v>
      </c>
      <c r="Z56" s="105">
        <v>23.738772481859453</v>
      </c>
      <c r="AA56" s="105">
        <v>18003.485050242209</v>
      </c>
      <c r="AB56" s="105">
        <v>24.684440086668015</v>
      </c>
      <c r="AC56" s="105">
        <v>18720.679361729024</v>
      </c>
      <c r="AD56" s="105">
        <v>31.206702583036964</v>
      </c>
      <c r="AE56" s="105">
        <v>23667.163238975234</v>
      </c>
      <c r="AF56" s="105">
        <v>23.045924808743308</v>
      </c>
      <c r="AG56" s="105">
        <v>17478.029374950926</v>
      </c>
      <c r="AH56" s="105">
        <v>23.183643716582118</v>
      </c>
      <c r="AI56" s="105">
        <v>17582.475394655878</v>
      </c>
      <c r="AJ56" s="105">
        <v>19.378806252214748</v>
      </c>
      <c r="AK56" s="105">
        <v>14696.886661679664</v>
      </c>
      <c r="AL56" s="105">
        <v>28.469097498837588</v>
      </c>
      <c r="AM56" s="105">
        <v>21590.963543118425</v>
      </c>
      <c r="AN56" s="105">
        <v>26.870439677030394</v>
      </c>
      <c r="AO56" s="105">
        <v>20378.541451059849</v>
      </c>
      <c r="AP56" s="105">
        <v>34.57086313913473</v>
      </c>
      <c r="AQ56" s="105">
        <v>26218.54260471978</v>
      </c>
      <c r="AR56" s="105">
        <v>19.624032958414151</v>
      </c>
      <c r="AS56" s="105">
        <v>14882.866595661291</v>
      </c>
      <c r="AT56" s="105">
        <v>17.180526452338373</v>
      </c>
      <c r="AU56" s="105">
        <v>13029.711261453422</v>
      </c>
      <c r="AV56" s="105">
        <v>21.494385391437582</v>
      </c>
      <c r="AW56" s="105">
        <v>16301.341880866263</v>
      </c>
      <c r="AX56" s="105">
        <v>21.841111063795065</v>
      </c>
      <c r="AY56" s="105">
        <v>16564.298630782177</v>
      </c>
      <c r="AZ56" s="105">
        <v>23.198346395164471</v>
      </c>
      <c r="BA56" s="105">
        <v>17593.625906092733</v>
      </c>
      <c r="BB56" s="105">
        <v>29.660027270014922</v>
      </c>
      <c r="BC56" s="105">
        <v>22494.164681579317</v>
      </c>
      <c r="BD56" s="105">
        <v>33.818632842851819</v>
      </c>
      <c r="BE56" s="105">
        <v>25648.051148018818</v>
      </c>
      <c r="BF56" s="105">
        <v>22.458635945641106</v>
      </c>
      <c r="BG56" s="105">
        <v>17032.629501174215</v>
      </c>
      <c r="BH56" s="105">
        <v>31.088768112653057</v>
      </c>
      <c r="BI56" s="105">
        <v>23577.721736636078</v>
      </c>
      <c r="BJ56" s="105">
        <v>18.668620363694693</v>
      </c>
      <c r="BK56" s="105">
        <v>14158.281683826055</v>
      </c>
      <c r="BL56" s="105">
        <v>35.248299584102469</v>
      </c>
      <c r="BM56" s="105">
        <v>26732.310404583313</v>
      </c>
      <c r="BN56" s="105">
        <v>26.349736466516298</v>
      </c>
      <c r="BO56" s="105">
        <v>19983.640136205959</v>
      </c>
      <c r="BP56" s="105">
        <v>26.244443169182322</v>
      </c>
      <c r="BQ56" s="105">
        <v>19903.785699507873</v>
      </c>
      <c r="BR56" s="105">
        <v>18.506012506375296</v>
      </c>
      <c r="BS56" s="105">
        <v>14034.959884835023</v>
      </c>
      <c r="BT56" s="105">
        <v>27.506031788364595</v>
      </c>
      <c r="BU56" s="105">
        <v>20860.574508295707</v>
      </c>
      <c r="BV56" s="105">
        <v>33.307227903000367</v>
      </c>
      <c r="BW56" s="105">
        <v>25260.201641635478</v>
      </c>
      <c r="BX56" s="105">
        <v>18.563343652973838</v>
      </c>
      <c r="BY56" s="105">
        <v>14078.439826415359</v>
      </c>
      <c r="BZ56" s="105">
        <v>28.37350104061187</v>
      </c>
      <c r="CA56" s="105">
        <v>21518.463189200043</v>
      </c>
      <c r="CB56" s="105">
        <v>25.4270963128359</v>
      </c>
      <c r="CC56" s="105">
        <v>19283.909843654747</v>
      </c>
      <c r="CD56" s="105">
        <v>17.014051134183237</v>
      </c>
      <c r="CE56" s="105">
        <v>12903.456380164567</v>
      </c>
      <c r="CF56" s="105">
        <v>24.438135268799112</v>
      </c>
      <c r="CG56" s="105">
        <v>18533.881787857244</v>
      </c>
      <c r="CH56" s="105">
        <v>17.744820741009541</v>
      </c>
      <c r="CI56" s="105">
        <v>13457.672049981635</v>
      </c>
      <c r="CJ56" s="105">
        <v>30.181078575603518</v>
      </c>
      <c r="CK56" s="105">
        <v>22889.329991737708</v>
      </c>
      <c r="CL56" s="105">
        <v>31.778862785678257</v>
      </c>
      <c r="CM56" s="105">
        <v>24101.08953665839</v>
      </c>
      <c r="CN56" s="105">
        <v>20.188233158987071</v>
      </c>
      <c r="CO56" s="105">
        <v>15310.756027775795</v>
      </c>
      <c r="CP56" s="105">
        <v>35.246439660847983</v>
      </c>
      <c r="CQ56" s="105">
        <v>26730.899838787111</v>
      </c>
      <c r="CR56" s="105">
        <v>34.295442741601839</v>
      </c>
      <c r="CS56" s="105">
        <v>26009.663775230834</v>
      </c>
      <c r="CT56" s="105">
        <v>29.513336762033767</v>
      </c>
      <c r="CU56" s="105">
        <v>22382.914600326407</v>
      </c>
    </row>
    <row r="57" spans="2:99" x14ac:dyDescent="0.2">
      <c r="C57" s="104" t="s">
        <v>223</v>
      </c>
      <c r="D57" s="105">
        <v>5</v>
      </c>
      <c r="E57" s="105">
        <v>3498</v>
      </c>
      <c r="F57" s="105">
        <v>4.1550091336586821</v>
      </c>
      <c r="G57" s="105">
        <v>2906.8443899076142</v>
      </c>
      <c r="H57" s="105">
        <v>0.86337816349616359</v>
      </c>
      <c r="I57" s="105">
        <v>604.01936318191611</v>
      </c>
      <c r="J57" s="105">
        <v>0</v>
      </c>
      <c r="K57" s="105">
        <v>0</v>
      </c>
      <c r="L57" s="105">
        <v>22</v>
      </c>
      <c r="M57" s="105">
        <v>15391.2</v>
      </c>
      <c r="N57" s="105">
        <v>28.550870529168442</v>
      </c>
      <c r="O57" s="105">
        <v>19974.189022206243</v>
      </c>
      <c r="P57" s="105">
        <v>26.616911703651422</v>
      </c>
      <c r="Q57" s="105">
        <v>18621.191427874535</v>
      </c>
      <c r="R57" s="105">
        <v>19.248364865014523</v>
      </c>
      <c r="S57" s="105">
        <v>13466.15605956416</v>
      </c>
      <c r="T57" s="105">
        <v>18.337803704883367</v>
      </c>
      <c r="U57" s="105">
        <v>12829.127471936405</v>
      </c>
      <c r="V57" s="105">
        <v>22.249914516930033</v>
      </c>
      <c r="W57" s="105">
        <v>15566.040196044252</v>
      </c>
      <c r="X57" s="105">
        <v>21.29325172316555</v>
      </c>
      <c r="Y57" s="105">
        <v>14896.75890552662</v>
      </c>
      <c r="Z57" s="105">
        <v>34.297259360467685</v>
      </c>
      <c r="AA57" s="105">
        <v>23994.362648583192</v>
      </c>
      <c r="AB57" s="105">
        <v>26.33930586695007</v>
      </c>
      <c r="AC57" s="105">
        <v>18426.978384518268</v>
      </c>
      <c r="AD57" s="105">
        <v>29.345952395772233</v>
      </c>
      <c r="AE57" s="105">
        <v>20530.428296082257</v>
      </c>
      <c r="AF57" s="105">
        <v>29.006127145024479</v>
      </c>
      <c r="AG57" s="105">
        <v>20292.686550659128</v>
      </c>
      <c r="AH57" s="105">
        <v>29.071891666351483</v>
      </c>
      <c r="AI57" s="105">
        <v>20338.695409779499</v>
      </c>
      <c r="AJ57" s="105">
        <v>29.50472718487277</v>
      </c>
      <c r="AK57" s="105">
        <v>20641.507138536992</v>
      </c>
      <c r="AL57" s="105">
        <v>25.677025290603734</v>
      </c>
      <c r="AM57" s="105">
        <v>17963.646893306373</v>
      </c>
      <c r="AN57" s="105">
        <v>30.84444445706826</v>
      </c>
      <c r="AO57" s="105">
        <v>21578.773342164954</v>
      </c>
      <c r="AP57" s="105">
        <v>28.364323664479926</v>
      </c>
      <c r="AQ57" s="105">
        <v>19843.680835670159</v>
      </c>
      <c r="AR57" s="105">
        <v>27.319169914673267</v>
      </c>
      <c r="AS57" s="105">
        <v>19112.491272305419</v>
      </c>
      <c r="AT57" s="105">
        <v>22.199845982795754</v>
      </c>
      <c r="AU57" s="105">
        <v>15531.01224956391</v>
      </c>
      <c r="AV57" s="105">
        <v>25.293818767395802</v>
      </c>
      <c r="AW57" s="105">
        <v>17695.555609670104</v>
      </c>
      <c r="AX57" s="105">
        <v>28.345778658965703</v>
      </c>
      <c r="AY57" s="105">
        <v>19830.706749812405</v>
      </c>
      <c r="AZ57" s="105">
        <v>23.188254683918558</v>
      </c>
      <c r="BA57" s="105">
        <v>16222.502976869424</v>
      </c>
      <c r="BB57" s="105">
        <v>28.294369015508039</v>
      </c>
      <c r="BC57" s="105">
        <v>19794.740563249426</v>
      </c>
      <c r="BD57" s="105">
        <v>32.19178362307283</v>
      </c>
      <c r="BE57" s="105">
        <v>22521.371822701753</v>
      </c>
      <c r="BF57" s="105">
        <v>26.249715421356552</v>
      </c>
      <c r="BG57" s="105">
        <v>18364.300908781042</v>
      </c>
      <c r="BH57" s="105">
        <v>29.639685206368604</v>
      </c>
      <c r="BI57" s="105">
        <v>20735.923770375477</v>
      </c>
      <c r="BJ57" s="105">
        <v>26.197151967846558</v>
      </c>
      <c r="BK57" s="105">
        <v>18327.527516705453</v>
      </c>
      <c r="BL57" s="105">
        <v>29.49468524819024</v>
      </c>
      <c r="BM57" s="105">
        <v>20634.481799633893</v>
      </c>
      <c r="BN57" s="105">
        <v>26.877097049898541</v>
      </c>
      <c r="BO57" s="105">
        <v>18803.21709610902</v>
      </c>
      <c r="BP57" s="105">
        <v>28.753939579183015</v>
      </c>
      <c r="BQ57" s="105">
        <v>20116.256129596437</v>
      </c>
      <c r="BR57" s="105">
        <v>22.197651695756448</v>
      </c>
      <c r="BS57" s="105">
        <v>15529.477126351212</v>
      </c>
      <c r="BT57" s="105">
        <v>29.348942370661721</v>
      </c>
      <c r="BU57" s="105">
        <v>20532.52008251494</v>
      </c>
      <c r="BV57" s="105">
        <v>27.494205569155177</v>
      </c>
      <c r="BW57" s="105">
        <v>19234.946216180964</v>
      </c>
      <c r="BX57" s="105">
        <v>22.298386382920899</v>
      </c>
      <c r="BY57" s="105">
        <v>15599.951113491461</v>
      </c>
      <c r="BZ57" s="105">
        <v>31.761012774023555</v>
      </c>
      <c r="CA57" s="105">
        <v>22220.004536706881</v>
      </c>
      <c r="CB57" s="105">
        <v>29.224355490897359</v>
      </c>
      <c r="CC57" s="105">
        <v>20445.359101431794</v>
      </c>
      <c r="CD57" s="105">
        <v>26.249715421356552</v>
      </c>
      <c r="CE57" s="105">
        <v>18364.300908781042</v>
      </c>
      <c r="CF57" s="105">
        <v>28.29490148799778</v>
      </c>
      <c r="CG57" s="105">
        <v>19795.113081003248</v>
      </c>
      <c r="CH57" s="105">
        <v>28.331334149803968</v>
      </c>
      <c r="CI57" s="105">
        <v>19820.601371202858</v>
      </c>
      <c r="CJ57" s="105">
        <v>29.542860414909381</v>
      </c>
      <c r="CK57" s="105">
        <v>20668.185146270604</v>
      </c>
      <c r="CL57" s="105">
        <v>30.196367236812257</v>
      </c>
      <c r="CM57" s="105">
        <v>21125.378518873855</v>
      </c>
      <c r="CN57" s="105">
        <v>20.345778658965703</v>
      </c>
      <c r="CO57" s="105">
        <v>14233.906749812406</v>
      </c>
      <c r="CP57" s="105">
        <v>34.742089200879676</v>
      </c>
      <c r="CQ57" s="105">
        <v>24305.565604935422</v>
      </c>
      <c r="CR57" s="105">
        <v>29.61436990594963</v>
      </c>
      <c r="CS57" s="105">
        <v>20718.213186202363</v>
      </c>
      <c r="CT57" s="105">
        <v>30.325051593208318</v>
      </c>
      <c r="CU57" s="105">
        <v>21215.406094608541</v>
      </c>
    </row>
    <row r="58" spans="2:99" x14ac:dyDescent="0.2">
      <c r="C58" s="104" t="s">
        <v>224</v>
      </c>
      <c r="D58" s="105">
        <v>1.221936642315204</v>
      </c>
      <c r="E58" s="105">
        <v>923.78410159029431</v>
      </c>
      <c r="F58" s="105">
        <v>1.3755889568627444</v>
      </c>
      <c r="G58" s="105">
        <v>1039.9452513882347</v>
      </c>
      <c r="H58" s="105">
        <v>0</v>
      </c>
      <c r="I58" s="105">
        <v>0</v>
      </c>
      <c r="J58" s="105">
        <v>0</v>
      </c>
      <c r="K58" s="105">
        <v>0</v>
      </c>
      <c r="L58" s="105">
        <v>15.787267493470949</v>
      </c>
      <c r="M58" s="105">
        <v>11935.174225064038</v>
      </c>
      <c r="N58" s="105">
        <v>25.415108654261946</v>
      </c>
      <c r="O58" s="105">
        <v>19213.82214262203</v>
      </c>
      <c r="P58" s="105">
        <v>31.440867819031151</v>
      </c>
      <c r="Q58" s="105">
        <v>23769.296071187549</v>
      </c>
      <c r="R58" s="105">
        <v>16.878451812244485</v>
      </c>
      <c r="S58" s="105">
        <v>12760.109570056831</v>
      </c>
      <c r="T58" s="105">
        <v>14.273851494603957</v>
      </c>
      <c r="U58" s="105">
        <v>10791.031729920591</v>
      </c>
      <c r="V58" s="105">
        <v>17.401676604894092</v>
      </c>
      <c r="W58" s="105">
        <v>13155.667513299933</v>
      </c>
      <c r="X58" s="105">
        <v>16.705065322269217</v>
      </c>
      <c r="Y58" s="105">
        <v>12629.029383635529</v>
      </c>
      <c r="Z58" s="105">
        <v>25.756887865984584</v>
      </c>
      <c r="AA58" s="105">
        <v>19472.207226684346</v>
      </c>
      <c r="AB58" s="105">
        <v>23.770287410286087</v>
      </c>
      <c r="AC58" s="105">
        <v>17970.337282176282</v>
      </c>
      <c r="AD58" s="105">
        <v>29.574749365691247</v>
      </c>
      <c r="AE58" s="105">
        <v>22358.510520462583</v>
      </c>
      <c r="AF58" s="105">
        <v>20.187260001142757</v>
      </c>
      <c r="AG58" s="105">
        <v>15261.568560863925</v>
      </c>
      <c r="AH58" s="105">
        <v>22.461007513296053</v>
      </c>
      <c r="AI58" s="105">
        <v>16980.521680051817</v>
      </c>
      <c r="AJ58" s="105">
        <v>18.732846043807591</v>
      </c>
      <c r="AK58" s="105">
        <v>14162.031609118538</v>
      </c>
      <c r="AL58" s="105">
        <v>28.305864443411188</v>
      </c>
      <c r="AM58" s="105">
        <v>21399.233519218858</v>
      </c>
      <c r="AN58" s="105">
        <v>26.870439677030394</v>
      </c>
      <c r="AO58" s="105">
        <v>20314.052395834977</v>
      </c>
      <c r="AP58" s="105">
        <v>35.445982744200109</v>
      </c>
      <c r="AQ58" s="105">
        <v>26797.162954615284</v>
      </c>
      <c r="AR58" s="105">
        <v>19.657309611729417</v>
      </c>
      <c r="AS58" s="105">
        <v>14860.926066467438</v>
      </c>
      <c r="AT58" s="105">
        <v>16.253628498999376</v>
      </c>
      <c r="AU58" s="105">
        <v>12287.743145243528</v>
      </c>
      <c r="AV58" s="105">
        <v>21.494385391437582</v>
      </c>
      <c r="AW58" s="105">
        <v>16249.755355926813</v>
      </c>
      <c r="AX58" s="105">
        <v>21.069147242791722</v>
      </c>
      <c r="AY58" s="105">
        <v>15928.275315550542</v>
      </c>
      <c r="AZ58" s="105">
        <v>21.148759796373355</v>
      </c>
      <c r="BA58" s="105">
        <v>15988.462406058256</v>
      </c>
      <c r="BB58" s="105">
        <v>28.439678816337342</v>
      </c>
      <c r="BC58" s="105">
        <v>21500.397185151029</v>
      </c>
      <c r="BD58" s="105">
        <v>30.893154831876895</v>
      </c>
      <c r="BE58" s="105">
        <v>23355.225052898932</v>
      </c>
      <c r="BF58" s="105">
        <v>23.253639486203333</v>
      </c>
      <c r="BG58" s="105">
        <v>17579.751451569718</v>
      </c>
      <c r="BH58" s="105">
        <v>29.324651745625182</v>
      </c>
      <c r="BI58" s="105">
        <v>22169.43671969264</v>
      </c>
      <c r="BJ58" s="105">
        <v>20.153412133930054</v>
      </c>
      <c r="BK58" s="105">
        <v>15235.979573251121</v>
      </c>
      <c r="BL58" s="105">
        <v>35.248299584102469</v>
      </c>
      <c r="BM58" s="105">
        <v>26647.714485581466</v>
      </c>
      <c r="BN58" s="105">
        <v>28.299774114156829</v>
      </c>
      <c r="BO58" s="105">
        <v>21394.629230302562</v>
      </c>
      <c r="BP58" s="105">
        <v>26.244443169182322</v>
      </c>
      <c r="BQ58" s="105">
        <v>19840.799035901837</v>
      </c>
      <c r="BR58" s="105">
        <v>20.101418897587468</v>
      </c>
      <c r="BS58" s="105">
        <v>15196.672686576127</v>
      </c>
      <c r="BT58" s="105">
        <v>25.226465578431263</v>
      </c>
      <c r="BU58" s="105">
        <v>19071.207977294034</v>
      </c>
      <c r="BV58" s="105">
        <v>33.22463971856623</v>
      </c>
      <c r="BW58" s="105">
        <v>25117.827627236071</v>
      </c>
      <c r="BX58" s="105">
        <v>18.00356289197585</v>
      </c>
      <c r="BY58" s="105">
        <v>13610.693546333743</v>
      </c>
      <c r="BZ58" s="105">
        <v>27.650608671231481</v>
      </c>
      <c r="CA58" s="105">
        <v>20903.860155450999</v>
      </c>
      <c r="CB58" s="105">
        <v>26.215589664138001</v>
      </c>
      <c r="CC58" s="105">
        <v>19818.985786088328</v>
      </c>
      <c r="CD58" s="105">
        <v>16.282149062840183</v>
      </c>
      <c r="CE58" s="105">
        <v>12309.304691507179</v>
      </c>
      <c r="CF58" s="105">
        <v>25.344637330699964</v>
      </c>
      <c r="CG58" s="105">
        <v>19160.545822009171</v>
      </c>
      <c r="CH58" s="105">
        <v>19.185842197883911</v>
      </c>
      <c r="CI58" s="105">
        <v>14504.496701600237</v>
      </c>
      <c r="CJ58" s="105">
        <v>30.172378660313825</v>
      </c>
      <c r="CK58" s="105">
        <v>22810.318267197254</v>
      </c>
      <c r="CL58" s="105">
        <v>28.271912506109992</v>
      </c>
      <c r="CM58" s="105">
        <v>21373.565854619155</v>
      </c>
      <c r="CN58" s="105">
        <v>18.34786050421706</v>
      </c>
      <c r="CO58" s="105">
        <v>13870.982541188097</v>
      </c>
      <c r="CP58" s="105">
        <v>34.246439660847983</v>
      </c>
      <c r="CQ58" s="105">
        <v>25890.308383601074</v>
      </c>
      <c r="CR58" s="105">
        <v>36.295442741601839</v>
      </c>
      <c r="CS58" s="105">
        <v>27439.354712650991</v>
      </c>
      <c r="CT58" s="105">
        <v>29.513336762033767</v>
      </c>
      <c r="CU58" s="105">
        <v>22312.082592097526</v>
      </c>
    </row>
    <row r="59" spans="2:99" x14ac:dyDescent="0.2">
      <c r="C59" s="104" t="s">
        <v>225</v>
      </c>
      <c r="D59" s="105">
        <v>2.5653007149785414</v>
      </c>
      <c r="E59" s="105">
        <v>1126.6800740185754</v>
      </c>
      <c r="F59" s="105">
        <v>2.7567413354398229</v>
      </c>
      <c r="G59" s="105">
        <v>1210.7607945251702</v>
      </c>
      <c r="H59" s="105">
        <v>0</v>
      </c>
      <c r="I59" s="105">
        <v>0</v>
      </c>
      <c r="J59" s="105">
        <v>0</v>
      </c>
      <c r="K59" s="105">
        <v>0</v>
      </c>
      <c r="L59" s="105">
        <v>21.827093061266027</v>
      </c>
      <c r="M59" s="105">
        <v>9586.4592725080383</v>
      </c>
      <c r="N59" s="105">
        <v>32.37707912758431</v>
      </c>
      <c r="O59" s="105">
        <v>14220.013152835028</v>
      </c>
      <c r="P59" s="105">
        <v>32.498577016868055</v>
      </c>
      <c r="Q59" s="105">
        <v>14273.375025808449</v>
      </c>
      <c r="R59" s="105">
        <v>20.885960946701523</v>
      </c>
      <c r="S59" s="105">
        <v>9173.1140477913086</v>
      </c>
      <c r="T59" s="105">
        <v>18.101227714432682</v>
      </c>
      <c r="U59" s="105">
        <v>7950.0592121788331</v>
      </c>
      <c r="V59" s="105">
        <v>17.706897862960243</v>
      </c>
      <c r="W59" s="105">
        <v>7776.8695414121385</v>
      </c>
      <c r="X59" s="105">
        <v>21.759418590828911</v>
      </c>
      <c r="Y59" s="105">
        <v>9556.7366450920581</v>
      </c>
      <c r="Z59" s="105">
        <v>27.994286700593403</v>
      </c>
      <c r="AA59" s="105">
        <v>12295.090718900623</v>
      </c>
      <c r="AB59" s="105">
        <v>26.529892039251767</v>
      </c>
      <c r="AC59" s="105">
        <v>11651.928583639376</v>
      </c>
      <c r="AD59" s="105">
        <v>34.571628833848287</v>
      </c>
      <c r="AE59" s="105">
        <v>15183.859383826168</v>
      </c>
      <c r="AF59" s="105">
        <v>27.617721583200773</v>
      </c>
      <c r="AG59" s="105">
        <v>12129.703319341779</v>
      </c>
      <c r="AH59" s="105">
        <v>29.570692291558544</v>
      </c>
      <c r="AI59" s="105">
        <v>12987.448054452512</v>
      </c>
      <c r="AJ59" s="105">
        <v>31.198565345782619</v>
      </c>
      <c r="AK59" s="105">
        <v>13702.409899867725</v>
      </c>
      <c r="AL59" s="105">
        <v>28.228823518305511</v>
      </c>
      <c r="AM59" s="105">
        <v>12398.099289239781</v>
      </c>
      <c r="AN59" s="105">
        <v>33.732069419614497</v>
      </c>
      <c r="AO59" s="105">
        <v>14815.124889094686</v>
      </c>
      <c r="AP59" s="105">
        <v>39.104791437868421</v>
      </c>
      <c r="AQ59" s="105">
        <v>17174.82439951181</v>
      </c>
      <c r="AR59" s="105">
        <v>31.3231423819662</v>
      </c>
      <c r="AS59" s="105">
        <v>13757.124134159554</v>
      </c>
      <c r="AT59" s="105">
        <v>22.199655789347009</v>
      </c>
      <c r="AU59" s="105">
        <v>9750.0888226812058</v>
      </c>
      <c r="AV59" s="105">
        <v>24.296558013458341</v>
      </c>
      <c r="AW59" s="105">
        <v>10671.048279510904</v>
      </c>
      <c r="AX59" s="105">
        <v>30.315584014000194</v>
      </c>
      <c r="AY59" s="105">
        <v>13314.604498948886</v>
      </c>
      <c r="AZ59" s="105">
        <v>22.149285060955997</v>
      </c>
      <c r="BA59" s="105">
        <v>9727.9659987718733</v>
      </c>
      <c r="BB59" s="105">
        <v>27.77381320039747</v>
      </c>
      <c r="BC59" s="105">
        <v>12198.258757614569</v>
      </c>
      <c r="BD59" s="105">
        <v>33.149857165954124</v>
      </c>
      <c r="BE59" s="105">
        <v>14559.417267287052</v>
      </c>
      <c r="BF59" s="105">
        <v>21.568228368888619</v>
      </c>
      <c r="BG59" s="105">
        <v>9472.7658996158807</v>
      </c>
      <c r="BH59" s="105">
        <v>27.481459236137436</v>
      </c>
      <c r="BI59" s="105">
        <v>12069.856896511561</v>
      </c>
      <c r="BJ59" s="105">
        <v>29.538003825717627</v>
      </c>
      <c r="BK59" s="105">
        <v>12973.091280255181</v>
      </c>
      <c r="BL59" s="105">
        <v>27.832557525439405</v>
      </c>
      <c r="BM59" s="105">
        <v>12224.059265172986</v>
      </c>
      <c r="BN59" s="105">
        <v>24.30021901977285</v>
      </c>
      <c r="BO59" s="105">
        <v>10672.656193484236</v>
      </c>
      <c r="BP59" s="105">
        <v>25.909444216955126</v>
      </c>
      <c r="BQ59" s="105">
        <v>11379.427900086692</v>
      </c>
      <c r="BR59" s="105">
        <v>22.199998519659427</v>
      </c>
      <c r="BS59" s="105">
        <v>9750.2393498344209</v>
      </c>
      <c r="BT59" s="105">
        <v>30.507630013822808</v>
      </c>
      <c r="BU59" s="105">
        <v>13398.951102070978</v>
      </c>
      <c r="BV59" s="105">
        <v>41.291542002154728</v>
      </c>
      <c r="BW59" s="105">
        <v>18135.245247346356</v>
      </c>
      <c r="BX59" s="105">
        <v>19.576884067221169</v>
      </c>
      <c r="BY59" s="105">
        <v>8598.1674823235371</v>
      </c>
      <c r="BZ59" s="105">
        <v>34.51665661131976</v>
      </c>
      <c r="CA59" s="105">
        <v>15159.715583691639</v>
      </c>
      <c r="CB59" s="105">
        <v>26.868534539860061</v>
      </c>
      <c r="CC59" s="105">
        <v>11800.660369906538</v>
      </c>
      <c r="CD59" s="105">
        <v>20.964874353523147</v>
      </c>
      <c r="CE59" s="105">
        <v>9207.7728160673651</v>
      </c>
      <c r="CF59" s="105">
        <v>23.695815102178159</v>
      </c>
      <c r="CG59" s="105">
        <v>10407.201992876648</v>
      </c>
      <c r="CH59" s="105">
        <v>27.708427761165723</v>
      </c>
      <c r="CI59" s="105">
        <v>12169.541472703984</v>
      </c>
      <c r="CJ59" s="105">
        <v>24.92019655919869</v>
      </c>
      <c r="CK59" s="105">
        <v>10944.950328800065</v>
      </c>
      <c r="CL59" s="105">
        <v>33</v>
      </c>
      <c r="CM59" s="105">
        <v>14493.6</v>
      </c>
      <c r="CN59" s="105">
        <v>19.440941719258529</v>
      </c>
      <c r="CO59" s="105">
        <v>8538.4616030983452</v>
      </c>
      <c r="CP59" s="105">
        <v>30.559079735628568</v>
      </c>
      <c r="CQ59" s="105">
        <v>13421.547819888066</v>
      </c>
      <c r="CR59" s="105">
        <v>31.545419444927489</v>
      </c>
      <c r="CS59" s="105">
        <v>13854.748220212154</v>
      </c>
      <c r="CT59" s="105">
        <v>29.99338093098126</v>
      </c>
      <c r="CU59" s="105">
        <v>13173.092904886969</v>
      </c>
    </row>
    <row r="60" spans="2:99" x14ac:dyDescent="0.2">
      <c r="C60" s="104" t="s">
        <v>226</v>
      </c>
      <c r="D60" s="105">
        <v>5</v>
      </c>
      <c r="E60" s="105">
        <v>1050</v>
      </c>
      <c r="F60" s="105">
        <v>4.1550091336586821</v>
      </c>
      <c r="G60" s="105">
        <v>872.55191806832329</v>
      </c>
      <c r="H60" s="105">
        <v>0.86337816349616359</v>
      </c>
      <c r="I60" s="105">
        <v>181.30941433419434</v>
      </c>
      <c r="J60" s="105">
        <v>0</v>
      </c>
      <c r="K60" s="105">
        <v>0</v>
      </c>
      <c r="L60" s="105">
        <v>21</v>
      </c>
      <c r="M60" s="105">
        <v>4410</v>
      </c>
      <c r="N60" s="105">
        <v>30.45426189777967</v>
      </c>
      <c r="O60" s="105">
        <v>6395.3949985337304</v>
      </c>
      <c r="P60" s="105">
        <v>30.619489074066323</v>
      </c>
      <c r="Q60" s="105">
        <v>6430.0927055539278</v>
      </c>
      <c r="R60" s="105">
        <v>24.248364865014523</v>
      </c>
      <c r="S60" s="105">
        <v>5092.15662165305</v>
      </c>
      <c r="T60" s="105">
        <v>19.337803704883367</v>
      </c>
      <c r="U60" s="105">
        <v>4060.938778025507</v>
      </c>
      <c r="V60" s="105">
        <v>25.249914516930033</v>
      </c>
      <c r="W60" s="105">
        <v>5302.4820485553073</v>
      </c>
      <c r="X60" s="105">
        <v>21.29325172316555</v>
      </c>
      <c r="Y60" s="105">
        <v>4471.5828618647656</v>
      </c>
      <c r="Z60" s="105">
        <v>41.297259360467685</v>
      </c>
      <c r="AA60" s="105">
        <v>8672.4244656982137</v>
      </c>
      <c r="AB60" s="105">
        <v>31.290833600242919</v>
      </c>
      <c r="AC60" s="105">
        <v>6571.0750560510132</v>
      </c>
      <c r="AD60" s="105">
        <v>33.758915337542724</v>
      </c>
      <c r="AE60" s="105">
        <v>7089.3722208839717</v>
      </c>
      <c r="AF60" s="105">
        <v>29.006127145024479</v>
      </c>
      <c r="AG60" s="105">
        <v>6091.2867004551408</v>
      </c>
      <c r="AH60" s="105">
        <v>29.944013974339875</v>
      </c>
      <c r="AI60" s="105">
        <v>6288.242934611374</v>
      </c>
      <c r="AJ60" s="105">
        <v>26.629665913902517</v>
      </c>
      <c r="AK60" s="105">
        <v>5592.2298419195286</v>
      </c>
      <c r="AL60" s="105">
        <v>27.579027163981788</v>
      </c>
      <c r="AM60" s="105">
        <v>5791.5957044361758</v>
      </c>
      <c r="AN60" s="105">
        <v>32.658038007269525</v>
      </c>
      <c r="AO60" s="105">
        <v>6858.1879815266002</v>
      </c>
      <c r="AP60" s="105">
        <v>33.09171094189324</v>
      </c>
      <c r="AQ60" s="105">
        <v>6949.2592977975801</v>
      </c>
      <c r="AR60" s="105">
        <v>29.233526444168195</v>
      </c>
      <c r="AS60" s="105">
        <v>6139.0405532753211</v>
      </c>
      <c r="AT60" s="105">
        <v>22.199845982795754</v>
      </c>
      <c r="AU60" s="105">
        <v>4661.967656387108</v>
      </c>
      <c r="AV60" s="105">
        <v>26.293818767395802</v>
      </c>
      <c r="AW60" s="105">
        <v>5521.7019411531182</v>
      </c>
      <c r="AX60" s="105">
        <v>31.296381707684887</v>
      </c>
      <c r="AY60" s="105">
        <v>6572.2401586138267</v>
      </c>
      <c r="AZ60" s="105">
        <v>23.188254683918558</v>
      </c>
      <c r="BA60" s="105">
        <v>4869.5334836228976</v>
      </c>
      <c r="BB60" s="105">
        <v>32.294369015508039</v>
      </c>
      <c r="BC60" s="105">
        <v>6781.8174932566881</v>
      </c>
      <c r="BD60" s="105">
        <v>33.19178362307283</v>
      </c>
      <c r="BE60" s="105">
        <v>6970.2745608452942</v>
      </c>
      <c r="BF60" s="105">
        <v>29.249715421356552</v>
      </c>
      <c r="BG60" s="105">
        <v>6142.4402384848754</v>
      </c>
      <c r="BH60" s="105">
        <v>33.837963936720136</v>
      </c>
      <c r="BI60" s="105">
        <v>7105.9724267112288</v>
      </c>
      <c r="BJ60" s="105">
        <v>28.197151967846558</v>
      </c>
      <c r="BK60" s="105">
        <v>5921.401913247777</v>
      </c>
      <c r="BL60" s="105">
        <v>27.181311372436607</v>
      </c>
      <c r="BM60" s="105">
        <v>5708.0753882116878</v>
      </c>
      <c r="BN60" s="105">
        <v>26.877097049898541</v>
      </c>
      <c r="BO60" s="105">
        <v>5644.1903804786934</v>
      </c>
      <c r="BP60" s="105">
        <v>27.16943067073969</v>
      </c>
      <c r="BQ60" s="105">
        <v>5705.5804408553349</v>
      </c>
      <c r="BR60" s="105">
        <v>27.197651695756448</v>
      </c>
      <c r="BS60" s="105">
        <v>5711.5068561088538</v>
      </c>
      <c r="BT60" s="105">
        <v>35.356634390575444</v>
      </c>
      <c r="BU60" s="105">
        <v>7424.8932220208435</v>
      </c>
      <c r="BV60" s="105">
        <v>30.609869470398181</v>
      </c>
      <c r="BW60" s="105">
        <v>6428.0725887836179</v>
      </c>
      <c r="BX60" s="105">
        <v>24.298386382920899</v>
      </c>
      <c r="BY60" s="105">
        <v>5102.6611404133891</v>
      </c>
      <c r="BZ60" s="105">
        <v>33.508835405772167</v>
      </c>
      <c r="CA60" s="105">
        <v>7036.8554352121555</v>
      </c>
      <c r="CB60" s="105">
        <v>29.224355490897359</v>
      </c>
      <c r="CC60" s="105">
        <v>6137.1146530884453</v>
      </c>
      <c r="CD60" s="105">
        <v>27.249715421356552</v>
      </c>
      <c r="CE60" s="105">
        <v>5722.4402384848754</v>
      </c>
      <c r="CF60" s="105">
        <v>28.24575123999815</v>
      </c>
      <c r="CG60" s="105">
        <v>5931.6077603996118</v>
      </c>
      <c r="CH60" s="105">
        <v>30.331334149803968</v>
      </c>
      <c r="CI60" s="105">
        <v>6369.5801714588333</v>
      </c>
      <c r="CJ60" s="105">
        <v>27.755837730413234</v>
      </c>
      <c r="CK60" s="105">
        <v>5828.725923386779</v>
      </c>
      <c r="CL60" s="105">
        <v>31.078055088358671</v>
      </c>
      <c r="CM60" s="105">
        <v>6526.3915685553211</v>
      </c>
      <c r="CN60" s="105">
        <v>22.296381707684887</v>
      </c>
      <c r="CO60" s="105">
        <v>4682.2401586138267</v>
      </c>
      <c r="CP60" s="105">
        <v>33.899856284592389</v>
      </c>
      <c r="CQ60" s="105">
        <v>7118.969819764402</v>
      </c>
      <c r="CR60" s="105">
        <v>28.859025305783756</v>
      </c>
      <c r="CS60" s="105">
        <v>6060.3953142145892</v>
      </c>
      <c r="CT60" s="105">
        <v>31.947257286905302</v>
      </c>
      <c r="CU60" s="105">
        <v>6708.924030250113</v>
      </c>
    </row>
    <row r="61" spans="2:99" x14ac:dyDescent="0.2">
      <c r="C61" s="104" t="s">
        <v>227</v>
      </c>
      <c r="D61" s="105">
        <v>4</v>
      </c>
      <c r="E61" s="105">
        <v>792</v>
      </c>
      <c r="F61" s="105">
        <v>4.1550091336586821</v>
      </c>
      <c r="G61" s="105">
        <v>822.69180846441907</v>
      </c>
      <c r="H61" s="105">
        <v>0.86337816349616359</v>
      </c>
      <c r="I61" s="105">
        <v>170.94887637224039</v>
      </c>
      <c r="J61" s="105">
        <v>0</v>
      </c>
      <c r="K61" s="105">
        <v>0</v>
      </c>
      <c r="L61" s="105">
        <v>22</v>
      </c>
      <c r="M61" s="105">
        <v>4356</v>
      </c>
      <c r="N61" s="105">
        <v>32.357653266390898</v>
      </c>
      <c r="O61" s="105">
        <v>6406.8153467453976</v>
      </c>
      <c r="P61" s="105">
        <v>31.420004548149308</v>
      </c>
      <c r="Q61" s="105">
        <v>6221.1609005335631</v>
      </c>
      <c r="R61" s="105">
        <v>24.298037838017425</v>
      </c>
      <c r="S61" s="105">
        <v>4811.0114919274502</v>
      </c>
      <c r="T61" s="105">
        <v>21.337803704883367</v>
      </c>
      <c r="U61" s="105">
        <v>4224.8851335669069</v>
      </c>
      <c r="V61" s="105">
        <v>23.249914516930033</v>
      </c>
      <c r="W61" s="105">
        <v>4603.483074352147</v>
      </c>
      <c r="X61" s="105">
        <v>23.29325172316555</v>
      </c>
      <c r="Y61" s="105">
        <v>4612.0638411867785</v>
      </c>
      <c r="Z61" s="105">
        <v>35.297259360467685</v>
      </c>
      <c r="AA61" s="105">
        <v>6988.8573533726012</v>
      </c>
      <c r="AB61" s="105">
        <v>32.290833600242919</v>
      </c>
      <c r="AC61" s="105">
        <v>6393.5850528480978</v>
      </c>
      <c r="AD61" s="105">
        <v>33.802994733560126</v>
      </c>
      <c r="AE61" s="105">
        <v>6692.9929572449055</v>
      </c>
      <c r="AF61" s="105">
        <v>29.922110099556249</v>
      </c>
      <c r="AG61" s="105">
        <v>5924.5777997121377</v>
      </c>
      <c r="AH61" s="105">
        <v>32.560380898305041</v>
      </c>
      <c r="AI61" s="105">
        <v>6446.9554178643984</v>
      </c>
      <c r="AJ61" s="105">
        <v>27.572308956906461</v>
      </c>
      <c r="AK61" s="105">
        <v>5459.3171734674797</v>
      </c>
      <c r="AL61" s="105">
        <v>26.628026227292761</v>
      </c>
      <c r="AM61" s="105">
        <v>5272.3491930039663</v>
      </c>
      <c r="AN61" s="105">
        <v>31.820481210882527</v>
      </c>
      <c r="AO61" s="105">
        <v>6300.4552797547403</v>
      </c>
      <c r="AP61" s="105">
        <v>33.09171094189324</v>
      </c>
      <c r="AQ61" s="105">
        <v>6552.1587664948611</v>
      </c>
      <c r="AR61" s="105">
        <v>33.903891514483625</v>
      </c>
      <c r="AS61" s="105">
        <v>6712.9705198677575</v>
      </c>
      <c r="AT61" s="105">
        <v>20.199845982795754</v>
      </c>
      <c r="AU61" s="105">
        <v>3999.5695045935595</v>
      </c>
      <c r="AV61" s="105">
        <v>26.293818767395802</v>
      </c>
      <c r="AW61" s="105">
        <v>5206.1761159443686</v>
      </c>
      <c r="AX61" s="105">
        <v>29.345778658965703</v>
      </c>
      <c r="AY61" s="105">
        <v>5810.4641744752089</v>
      </c>
      <c r="AZ61" s="105">
        <v>26.188254683918558</v>
      </c>
      <c r="BA61" s="105">
        <v>5185.274427415874</v>
      </c>
      <c r="BB61" s="105">
        <v>30.343430518092713</v>
      </c>
      <c r="BC61" s="105">
        <v>6007.9992425823575</v>
      </c>
      <c r="BD61" s="105">
        <v>30.143837717304624</v>
      </c>
      <c r="BE61" s="105">
        <v>5968.4798680263157</v>
      </c>
      <c r="BF61" s="105">
        <v>30.249715421356552</v>
      </c>
      <c r="BG61" s="105">
        <v>5989.4436534285969</v>
      </c>
      <c r="BH61" s="105">
        <v>30.437385270120931</v>
      </c>
      <c r="BI61" s="105">
        <v>6026.6022834839441</v>
      </c>
      <c r="BJ61" s="105">
        <v>29.197151967846558</v>
      </c>
      <c r="BK61" s="105">
        <v>5781.0360896336188</v>
      </c>
      <c r="BL61" s="105">
        <v>29.49468524819024</v>
      </c>
      <c r="BM61" s="105">
        <v>5839.9476791416673</v>
      </c>
      <c r="BN61" s="105">
        <v>26.004095055172307</v>
      </c>
      <c r="BO61" s="105">
        <v>5148.8108209241173</v>
      </c>
      <c r="BP61" s="105">
        <v>27.961685124961356</v>
      </c>
      <c r="BQ61" s="105">
        <v>5536.4136547423486</v>
      </c>
      <c r="BR61" s="105">
        <v>24.197651695756448</v>
      </c>
      <c r="BS61" s="105">
        <v>4791.1350357597767</v>
      </c>
      <c r="BT61" s="105">
        <v>32.824090236239755</v>
      </c>
      <c r="BU61" s="105">
        <v>6499.1698667754717</v>
      </c>
      <c r="BV61" s="105">
        <v>33.725533371641191</v>
      </c>
      <c r="BW61" s="105">
        <v>6677.6556075849558</v>
      </c>
      <c r="BX61" s="105">
        <v>27.298386382920899</v>
      </c>
      <c r="BY61" s="105">
        <v>5405.080503818338</v>
      </c>
      <c r="BZ61" s="105">
        <v>36.024327517594017</v>
      </c>
      <c r="CA61" s="105">
        <v>7132.8168484836151</v>
      </c>
      <c r="CB61" s="105">
        <v>30.030544991926455</v>
      </c>
      <c r="CC61" s="105">
        <v>5946.0479084014378</v>
      </c>
      <c r="CD61" s="105">
        <v>26.249715421356552</v>
      </c>
      <c r="CE61" s="105">
        <v>5197.4436534285969</v>
      </c>
      <c r="CF61" s="105">
        <v>31.24575123999815</v>
      </c>
      <c r="CG61" s="105">
        <v>6186.6587455196341</v>
      </c>
      <c r="CH61" s="105">
        <v>29.331334149803968</v>
      </c>
      <c r="CI61" s="105">
        <v>5807.6041616611856</v>
      </c>
      <c r="CJ61" s="105">
        <v>29.586064845044422</v>
      </c>
      <c r="CK61" s="105">
        <v>5858.0408393187954</v>
      </c>
      <c r="CL61" s="105">
        <v>30.196367236812257</v>
      </c>
      <c r="CM61" s="105">
        <v>5978.8807128888266</v>
      </c>
      <c r="CN61" s="105">
        <v>22.345778658965703</v>
      </c>
      <c r="CO61" s="105">
        <v>4424.4641744752089</v>
      </c>
      <c r="CP61" s="105">
        <v>34.784197127499887</v>
      </c>
      <c r="CQ61" s="105">
        <v>6887.2710312449772</v>
      </c>
      <c r="CR61" s="105">
        <v>33.629181435323616</v>
      </c>
      <c r="CS61" s="105">
        <v>6658.5779241940763</v>
      </c>
      <c r="CT61" s="105">
        <v>31.155264308788901</v>
      </c>
      <c r="CU61" s="105">
        <v>6168.7423331402024</v>
      </c>
    </row>
    <row r="62" spans="2:99" x14ac:dyDescent="0.2">
      <c r="C62" s="104" t="s">
        <v>228</v>
      </c>
      <c r="D62" s="105">
        <v>4</v>
      </c>
      <c r="E62" s="105">
        <v>3825.6</v>
      </c>
      <c r="F62" s="105">
        <v>3.1550091336586816</v>
      </c>
      <c r="G62" s="105">
        <v>3017.4507354311631</v>
      </c>
      <c r="H62" s="105">
        <v>0.86337816349616359</v>
      </c>
      <c r="I62" s="105">
        <v>825.7348755677308</v>
      </c>
      <c r="J62" s="105">
        <v>0</v>
      </c>
      <c r="K62" s="105">
        <v>0</v>
      </c>
      <c r="L62" s="105">
        <v>19</v>
      </c>
      <c r="M62" s="105">
        <v>18171.599999999999</v>
      </c>
      <c r="N62" s="105">
        <v>27.599174844862823</v>
      </c>
      <c r="O62" s="105">
        <v>26395.850821626802</v>
      </c>
      <c r="P62" s="105">
        <v>29.818973599983345</v>
      </c>
      <c r="Q62" s="105">
        <v>28518.866351024069</v>
      </c>
      <c r="R62" s="105">
        <v>21.248364865014523</v>
      </c>
      <c r="S62" s="105">
        <v>20321.93615689989</v>
      </c>
      <c r="T62" s="105">
        <v>18.289546032757173</v>
      </c>
      <c r="U62" s="105">
        <v>17492.121825728958</v>
      </c>
      <c r="V62" s="105">
        <v>20.249914516930033</v>
      </c>
      <c r="W62" s="105">
        <v>19367.018243991883</v>
      </c>
      <c r="X62" s="105">
        <v>21.244376435971294</v>
      </c>
      <c r="Y62" s="105">
        <v>20318.121623362946</v>
      </c>
      <c r="Z62" s="105">
        <v>35.297259360467685</v>
      </c>
      <c r="AA62" s="105">
        <v>33758.29885235129</v>
      </c>
      <c r="AB62" s="105">
        <v>27.290833600242919</v>
      </c>
      <c r="AC62" s="105">
        <v>26100.953255272329</v>
      </c>
      <c r="AD62" s="105">
        <v>31.993730160834524</v>
      </c>
      <c r="AE62" s="105">
        <v>30598.803525822139</v>
      </c>
      <c r="AF62" s="105">
        <v>26.38903296227102</v>
      </c>
      <c r="AG62" s="105">
        <v>25238.471125116004</v>
      </c>
      <c r="AH62" s="105">
        <v>25.541708791150121</v>
      </c>
      <c r="AI62" s="105">
        <v>24428.090287855975</v>
      </c>
      <c r="AJ62" s="105">
        <v>25.734155012856995</v>
      </c>
      <c r="AK62" s="105">
        <v>24612.145854296428</v>
      </c>
      <c r="AL62" s="105">
        <v>24.726024353914706</v>
      </c>
      <c r="AM62" s="105">
        <v>23647.969692084025</v>
      </c>
      <c r="AN62" s="105">
        <v>30.982924414495528</v>
      </c>
      <c r="AO62" s="105">
        <v>29632.068910023521</v>
      </c>
      <c r="AP62" s="105">
        <v>29.927437751599676</v>
      </c>
      <c r="AQ62" s="105">
        <v>28622.60146562993</v>
      </c>
      <c r="AR62" s="105">
        <v>26.385096900610183</v>
      </c>
      <c r="AS62" s="105">
        <v>25234.706675743579</v>
      </c>
      <c r="AT62" s="105">
        <v>19.199845982795754</v>
      </c>
      <c r="AU62" s="105">
        <v>18362.732697945859</v>
      </c>
      <c r="AV62" s="105">
        <v>24.293818767395802</v>
      </c>
      <c r="AW62" s="105">
        <v>23234.608269137345</v>
      </c>
      <c r="AX62" s="105">
        <v>27.296381707684887</v>
      </c>
      <c r="AY62" s="105">
        <v>26106.259465229825</v>
      </c>
      <c r="AZ62" s="105">
        <v>20.141191012938918</v>
      </c>
      <c r="BA62" s="105">
        <v>19263.03508477478</v>
      </c>
      <c r="BB62" s="105">
        <v>25.294369015508039</v>
      </c>
      <c r="BC62" s="105">
        <v>24191.534526431889</v>
      </c>
      <c r="BD62" s="105">
        <v>32.143837717304621</v>
      </c>
      <c r="BE62" s="105">
        <v>30742.366392830139</v>
      </c>
      <c r="BF62" s="105">
        <v>28.249715421356552</v>
      </c>
      <c r="BG62" s="105">
        <v>27018.027828985407</v>
      </c>
      <c r="BH62" s="105">
        <v>30.437385270120931</v>
      </c>
      <c r="BI62" s="105">
        <v>29110.315272343658</v>
      </c>
      <c r="BJ62" s="105">
        <v>25.197151967846558</v>
      </c>
      <c r="BK62" s="105">
        <v>24098.556142048448</v>
      </c>
      <c r="BL62" s="105">
        <v>27.181311372436607</v>
      </c>
      <c r="BM62" s="105">
        <v>25996.20619659837</v>
      </c>
      <c r="BN62" s="105">
        <v>24.168945968414825</v>
      </c>
      <c r="BO62" s="105">
        <v>23115.179924191936</v>
      </c>
      <c r="BP62" s="105">
        <v>24.000412853853053</v>
      </c>
      <c r="BQ62" s="105">
        <v>22953.994853425058</v>
      </c>
      <c r="BR62" s="105">
        <v>23.197651695756448</v>
      </c>
      <c r="BS62" s="105">
        <v>22186.234081821465</v>
      </c>
      <c r="BT62" s="105">
        <v>28.490700653531185</v>
      </c>
      <c r="BU62" s="105">
        <v>27248.506105037224</v>
      </c>
      <c r="BV62" s="105">
        <v>28.273121544465926</v>
      </c>
      <c r="BW62" s="105">
        <v>27040.413445127211</v>
      </c>
      <c r="BX62" s="105">
        <v>23.298386382920899</v>
      </c>
      <c r="BY62" s="105">
        <v>22282.576736625546</v>
      </c>
      <c r="BZ62" s="105">
        <v>31.761012774023555</v>
      </c>
      <c r="CA62" s="105">
        <v>30376.232617076126</v>
      </c>
      <c r="CB62" s="105">
        <v>29.224355490897359</v>
      </c>
      <c r="CC62" s="105">
        <v>27950.173591494233</v>
      </c>
      <c r="CD62" s="105">
        <v>25.249715421356552</v>
      </c>
      <c r="CE62" s="105">
        <v>24148.827828985406</v>
      </c>
      <c r="CF62" s="105">
        <v>25.24575123999815</v>
      </c>
      <c r="CG62" s="105">
        <v>24145.03648593423</v>
      </c>
      <c r="CH62" s="105">
        <v>26.331334149803968</v>
      </c>
      <c r="CI62" s="105">
        <v>25183.287980872516</v>
      </c>
      <c r="CJ62" s="105">
        <v>26.797519742962589</v>
      </c>
      <c r="CK62" s="105">
        <v>25629.147882169418</v>
      </c>
      <c r="CL62" s="105">
        <v>29.314679385265848</v>
      </c>
      <c r="CM62" s="105">
        <v>28036.559364068256</v>
      </c>
      <c r="CN62" s="105">
        <v>20.345778658965703</v>
      </c>
      <c r="CO62" s="105">
        <v>19458.702709434798</v>
      </c>
      <c r="CP62" s="105">
        <v>29.688691703155971</v>
      </c>
      <c r="CQ62" s="105">
        <v>28394.26474489837</v>
      </c>
      <c r="CR62" s="105">
        <v>28.819343884359654</v>
      </c>
      <c r="CS62" s="105">
        <v>27562.820491001574</v>
      </c>
      <c r="CT62" s="105">
        <v>25.573093724509921</v>
      </c>
      <c r="CU62" s="105">
        <v>24458.106838121286</v>
      </c>
    </row>
    <row r="63" spans="2:99" x14ac:dyDescent="0.2">
      <c r="C63" s="104" t="s">
        <v>229</v>
      </c>
      <c r="D63" s="105">
        <v>5</v>
      </c>
      <c r="E63" s="105">
        <v>150</v>
      </c>
      <c r="F63" s="105">
        <v>4.1550091336586821</v>
      </c>
      <c r="G63" s="105">
        <v>124.65027400976047</v>
      </c>
      <c r="H63" s="105">
        <v>0.86337816349616359</v>
      </c>
      <c r="I63" s="105">
        <v>25.901344904884908</v>
      </c>
      <c r="J63" s="105">
        <v>0</v>
      </c>
      <c r="K63" s="105">
        <v>0</v>
      </c>
      <c r="L63" s="105">
        <v>23</v>
      </c>
      <c r="M63" s="105">
        <v>690</v>
      </c>
      <c r="N63" s="105">
        <v>30.45426189777967</v>
      </c>
      <c r="O63" s="105">
        <v>913.62785693339015</v>
      </c>
      <c r="P63" s="105">
        <v>29.018458125900363</v>
      </c>
      <c r="Q63" s="105">
        <v>870.55374377701094</v>
      </c>
      <c r="R63" s="105">
        <v>25.298037838017425</v>
      </c>
      <c r="S63" s="105">
        <v>758.94113514052276</v>
      </c>
      <c r="T63" s="105">
        <v>21.337803704883367</v>
      </c>
      <c r="U63" s="105">
        <v>640.13411114650103</v>
      </c>
      <c r="V63" s="105">
        <v>23.249914516930033</v>
      </c>
      <c r="W63" s="105">
        <v>697.49743550790095</v>
      </c>
      <c r="X63" s="105">
        <v>25.29325172316555</v>
      </c>
      <c r="Y63" s="105">
        <v>758.7975516949665</v>
      </c>
      <c r="Z63" s="105">
        <v>43.297259360467685</v>
      </c>
      <c r="AA63" s="105">
        <v>1298.9177808140305</v>
      </c>
      <c r="AB63" s="105">
        <v>32.33930586695007</v>
      </c>
      <c r="AC63" s="105">
        <v>970.17917600850205</v>
      </c>
      <c r="AD63" s="105">
        <v>33.802994733560126</v>
      </c>
      <c r="AE63" s="105">
        <v>1014.0898420068038</v>
      </c>
      <c r="AF63" s="105">
        <v>31.666839554725225</v>
      </c>
      <c r="AG63" s="105">
        <v>950.00518664175672</v>
      </c>
      <c r="AH63" s="105">
        <v>29.944013974339875</v>
      </c>
      <c r="AI63" s="105">
        <v>898.32041923019619</v>
      </c>
      <c r="AJ63" s="105">
        <v>31.34288112892224</v>
      </c>
      <c r="AK63" s="105">
        <v>940.28643386766726</v>
      </c>
      <c r="AL63" s="105">
        <v>24.726024353914706</v>
      </c>
      <c r="AM63" s="105">
        <v>741.78073061744124</v>
      </c>
      <c r="AN63" s="105">
        <v>33.495594803656523</v>
      </c>
      <c r="AO63" s="105">
        <v>1004.8678441096957</v>
      </c>
      <c r="AP63" s="105">
        <v>29.965482767653736</v>
      </c>
      <c r="AQ63" s="105">
        <v>898.9644830296121</v>
      </c>
      <c r="AR63" s="105">
        <v>29.233526444168195</v>
      </c>
      <c r="AS63" s="105">
        <v>877.00579332504583</v>
      </c>
      <c r="AT63" s="105">
        <v>23.249807478494692</v>
      </c>
      <c r="AU63" s="105">
        <v>697.49422435484075</v>
      </c>
      <c r="AV63" s="105">
        <v>26.342788561961768</v>
      </c>
      <c r="AW63" s="105">
        <v>790.28365685885308</v>
      </c>
      <c r="AX63" s="105">
        <v>32.345778658965706</v>
      </c>
      <c r="AY63" s="105">
        <v>970.37335976897123</v>
      </c>
      <c r="AZ63" s="105">
        <v>23.188254683918558</v>
      </c>
      <c r="BA63" s="105">
        <v>695.64764051755674</v>
      </c>
      <c r="BB63" s="105">
        <v>33.343430518092717</v>
      </c>
      <c r="BC63" s="105">
        <v>1000.3029155427815</v>
      </c>
      <c r="BD63" s="105">
        <v>35.19178362307283</v>
      </c>
      <c r="BE63" s="105">
        <v>1055.7535086921848</v>
      </c>
      <c r="BF63" s="105">
        <v>28.249715421356552</v>
      </c>
      <c r="BG63" s="105">
        <v>847.49146264069657</v>
      </c>
      <c r="BH63" s="105">
        <v>32.99830819064983</v>
      </c>
      <c r="BI63" s="105">
        <v>989.94924571949491</v>
      </c>
      <c r="BJ63" s="105">
        <v>31.197151967846558</v>
      </c>
      <c r="BK63" s="105">
        <v>935.91455903539679</v>
      </c>
      <c r="BL63" s="105">
        <v>31.808059123943874</v>
      </c>
      <c r="BM63" s="105">
        <v>954.24177371831627</v>
      </c>
      <c r="BN63" s="105">
        <v>26.877097049898541</v>
      </c>
      <c r="BO63" s="105">
        <v>806.31291149695619</v>
      </c>
      <c r="BP63" s="105">
        <v>31.130702941847996</v>
      </c>
      <c r="BQ63" s="105">
        <v>933.92108825543994</v>
      </c>
      <c r="BR63" s="105">
        <v>24.197651695756448</v>
      </c>
      <c r="BS63" s="105">
        <v>725.92955087269343</v>
      </c>
      <c r="BT63" s="105">
        <v>31.065425804922782</v>
      </c>
      <c r="BU63" s="105">
        <v>931.96277414768349</v>
      </c>
      <c r="BV63" s="105">
        <v>32.167701421019686</v>
      </c>
      <c r="BW63" s="105">
        <v>965.0310426305906</v>
      </c>
      <c r="BX63" s="105">
        <v>27.298386382920899</v>
      </c>
      <c r="BY63" s="105">
        <v>818.95159148762696</v>
      </c>
      <c r="BZ63" s="105">
        <v>30.908349825309465</v>
      </c>
      <c r="CA63" s="105">
        <v>927.25049475928392</v>
      </c>
      <c r="CB63" s="105">
        <v>30.796427802185594</v>
      </c>
      <c r="CC63" s="105">
        <v>923.89283406556785</v>
      </c>
      <c r="CD63" s="105">
        <v>26.249715421356552</v>
      </c>
      <c r="CE63" s="105">
        <v>787.49146264069657</v>
      </c>
      <c r="CF63" s="105">
        <v>31.29490148799778</v>
      </c>
      <c r="CG63" s="105">
        <v>938.84704463993342</v>
      </c>
      <c r="CH63" s="105">
        <v>33.331334149803972</v>
      </c>
      <c r="CI63" s="105">
        <v>999.94002449411914</v>
      </c>
      <c r="CJ63" s="105">
        <v>33.246519074306811</v>
      </c>
      <c r="CK63" s="105">
        <v>997.39557222920428</v>
      </c>
      <c r="CL63" s="105">
        <v>31.959742939905084</v>
      </c>
      <c r="CM63" s="105">
        <v>958.79228819715252</v>
      </c>
      <c r="CN63" s="105">
        <v>19.296381707684887</v>
      </c>
      <c r="CO63" s="105">
        <v>578.89145123054664</v>
      </c>
      <c r="CP63" s="105">
        <v>38.953253782316082</v>
      </c>
      <c r="CQ63" s="105">
        <v>1168.5976134694824</v>
      </c>
      <c r="CR63" s="105">
        <v>29.61436990594963</v>
      </c>
      <c r="CS63" s="105">
        <v>888.43109717848893</v>
      </c>
      <c r="CT63" s="105">
        <v>31.155264308788901</v>
      </c>
      <c r="CU63" s="105">
        <v>934.65792926366703</v>
      </c>
    </row>
    <row r="64" spans="2:99" x14ac:dyDescent="0.2">
      <c r="C64" s="104" t="s">
        <v>230</v>
      </c>
      <c r="D64" s="105">
        <v>5</v>
      </c>
      <c r="E64" s="105">
        <v>1122</v>
      </c>
      <c r="F64" s="105">
        <v>4.1550091336586821</v>
      </c>
      <c r="G64" s="105">
        <v>932.38404959300829</v>
      </c>
      <c r="H64" s="105">
        <v>0.86337816349616359</v>
      </c>
      <c r="I64" s="105">
        <v>193.7420598885391</v>
      </c>
      <c r="J64" s="105">
        <v>0</v>
      </c>
      <c r="K64" s="105">
        <v>0</v>
      </c>
      <c r="L64" s="105">
        <v>23</v>
      </c>
      <c r="M64" s="105">
        <v>5161.2</v>
      </c>
      <c r="N64" s="105">
        <v>36.164436003613361</v>
      </c>
      <c r="O64" s="105">
        <v>8115.2994392108385</v>
      </c>
      <c r="P64" s="105">
        <v>29.018458125900363</v>
      </c>
      <c r="Q64" s="105">
        <v>6511.7420034520419</v>
      </c>
      <c r="R64" s="105">
        <v>22.248364865014523</v>
      </c>
      <c r="S64" s="105">
        <v>4992.5330757092588</v>
      </c>
      <c r="T64" s="105">
        <v>20.289546032757173</v>
      </c>
      <c r="U64" s="105">
        <v>4552.9741297507098</v>
      </c>
      <c r="V64" s="105">
        <v>24.249914516930033</v>
      </c>
      <c r="W64" s="105">
        <v>5441.6808175991</v>
      </c>
      <c r="X64" s="105">
        <v>25.244376435971294</v>
      </c>
      <c r="Y64" s="105">
        <v>5664.838072231958</v>
      </c>
      <c r="Z64" s="105">
        <v>39.297259360467685</v>
      </c>
      <c r="AA64" s="105">
        <v>8818.3050004889483</v>
      </c>
      <c r="AB64" s="105">
        <v>30.33930586695007</v>
      </c>
      <c r="AC64" s="105">
        <v>6808.1402365435961</v>
      </c>
      <c r="AD64" s="105">
        <v>31.993730160834524</v>
      </c>
      <c r="AE64" s="105">
        <v>7179.3930480912677</v>
      </c>
      <c r="AF64" s="105">
        <v>29.922110099556249</v>
      </c>
      <c r="AG64" s="105">
        <v>6714.5215063404221</v>
      </c>
      <c r="AH64" s="105">
        <v>29.944013974339875</v>
      </c>
      <c r="AI64" s="105">
        <v>6719.4367358418676</v>
      </c>
      <c r="AJ64" s="105">
        <v>26.629665913902517</v>
      </c>
      <c r="AK64" s="105">
        <v>5975.6970310797251</v>
      </c>
      <c r="AL64" s="105">
        <v>24.726024353914706</v>
      </c>
      <c r="AM64" s="105">
        <v>5548.5198650184602</v>
      </c>
      <c r="AN64" s="105">
        <v>33.495594803656523</v>
      </c>
      <c r="AO64" s="105">
        <v>7516.411473940524</v>
      </c>
      <c r="AP64" s="105">
        <v>30.747039811213615</v>
      </c>
      <c r="AQ64" s="105">
        <v>6899.6357336363353</v>
      </c>
      <c r="AR64" s="105">
        <v>30.121388956862525</v>
      </c>
      <c r="AS64" s="105">
        <v>6759.2396819199512</v>
      </c>
      <c r="AT64" s="105">
        <v>23.199845982795754</v>
      </c>
      <c r="AU64" s="105">
        <v>5206.0454385393678</v>
      </c>
      <c r="AV64" s="105">
        <v>24.293818767395802</v>
      </c>
      <c r="AW64" s="105">
        <v>5451.532931403618</v>
      </c>
      <c r="AX64" s="105">
        <v>30.296381707684887</v>
      </c>
      <c r="AY64" s="105">
        <v>6798.5080552044892</v>
      </c>
      <c r="AZ64" s="105">
        <v>26.188254683918558</v>
      </c>
      <c r="BA64" s="105">
        <v>5876.6443510713243</v>
      </c>
      <c r="BB64" s="105">
        <v>30.294369015508039</v>
      </c>
      <c r="BC64" s="105">
        <v>6798.0564070800037</v>
      </c>
      <c r="BD64" s="105">
        <v>31.19178362307283</v>
      </c>
      <c r="BE64" s="105">
        <v>6999.4362450175431</v>
      </c>
      <c r="BF64" s="105">
        <v>31.29965850562786</v>
      </c>
      <c r="BG64" s="105">
        <v>7023.6433686628925</v>
      </c>
      <c r="BH64" s="105">
        <v>31.318996698509221</v>
      </c>
      <c r="BI64" s="105">
        <v>7027.9828591454689</v>
      </c>
      <c r="BJ64" s="105">
        <v>27.197151967846558</v>
      </c>
      <c r="BK64" s="105">
        <v>6103.0409015847681</v>
      </c>
      <c r="BL64" s="105">
        <v>29.533075145919078</v>
      </c>
      <c r="BM64" s="105">
        <v>6627.2220627442412</v>
      </c>
      <c r="BN64" s="105">
        <v>25.086520511793566</v>
      </c>
      <c r="BO64" s="105">
        <v>5629.4152028464759</v>
      </c>
      <c r="BP64" s="105">
        <v>27.961685124961356</v>
      </c>
      <c r="BQ64" s="105">
        <v>6274.6021420413281</v>
      </c>
      <c r="BR64" s="105">
        <v>26.197651695756448</v>
      </c>
      <c r="BS64" s="105">
        <v>5878.7530405277475</v>
      </c>
      <c r="BT64" s="105">
        <v>30.207184087792253</v>
      </c>
      <c r="BU64" s="105">
        <v>6778.4921093005814</v>
      </c>
      <c r="BV64" s="105">
        <v>32.167701421019686</v>
      </c>
      <c r="BW64" s="105">
        <v>7218.4321988768179</v>
      </c>
      <c r="BX64" s="105">
        <v>26.248655319100749</v>
      </c>
      <c r="BY64" s="105">
        <v>5890.1982536062078</v>
      </c>
      <c r="BZ64" s="105">
        <v>33.508835405772167</v>
      </c>
      <c r="CA64" s="105">
        <v>7519.3826650552746</v>
      </c>
      <c r="CB64" s="105">
        <v>27.571669798069202</v>
      </c>
      <c r="CC64" s="105">
        <v>6187.0827026867291</v>
      </c>
      <c r="CD64" s="105">
        <v>24.249715421356552</v>
      </c>
      <c r="CE64" s="105">
        <v>5441.6361405524103</v>
      </c>
      <c r="CF64" s="105">
        <v>28.29490148799778</v>
      </c>
      <c r="CG64" s="105">
        <v>6349.375893906702</v>
      </c>
      <c r="CH64" s="105">
        <v>29.378667599775966</v>
      </c>
      <c r="CI64" s="105">
        <v>6592.5730093897273</v>
      </c>
      <c r="CJ64" s="105">
        <v>33.246519074306811</v>
      </c>
      <c r="CK64" s="105">
        <v>7460.5188802744487</v>
      </c>
      <c r="CL64" s="105">
        <v>31.078055088358671</v>
      </c>
      <c r="CM64" s="105">
        <v>6973.9155618276855</v>
      </c>
      <c r="CN64" s="105">
        <v>23.345778658965703</v>
      </c>
      <c r="CO64" s="105">
        <v>5238.7927310719042</v>
      </c>
      <c r="CP64" s="105">
        <v>31.373157535730538</v>
      </c>
      <c r="CQ64" s="105">
        <v>7040.136551017933</v>
      </c>
      <c r="CR64" s="105">
        <v>31.244103370553685</v>
      </c>
      <c r="CS64" s="105">
        <v>7011.176796352247</v>
      </c>
      <c r="CT64" s="105">
        <v>28.779285374439706</v>
      </c>
      <c r="CU64" s="105">
        <v>6458.0716380242702</v>
      </c>
    </row>
    <row r="65" spans="2:99" x14ac:dyDescent="0.2">
      <c r="C65" s="104" t="s">
        <v>231</v>
      </c>
      <c r="D65" s="105">
        <v>5</v>
      </c>
      <c r="E65" s="105">
        <v>2472</v>
      </c>
      <c r="F65" s="105">
        <v>4.1550091336586821</v>
      </c>
      <c r="G65" s="105">
        <v>2054.2365156808523</v>
      </c>
      <c r="H65" s="105">
        <v>0.86337816349616359</v>
      </c>
      <c r="I65" s="105">
        <v>426.85416403250326</v>
      </c>
      <c r="J65" s="105">
        <v>0</v>
      </c>
      <c r="K65" s="105">
        <v>0</v>
      </c>
      <c r="L65" s="105">
        <v>19</v>
      </c>
      <c r="M65" s="105">
        <v>9393.6</v>
      </c>
      <c r="N65" s="105">
        <v>33.309348950696517</v>
      </c>
      <c r="O65" s="105">
        <v>16468.142121224359</v>
      </c>
      <c r="P65" s="105">
        <v>27.417427177734403</v>
      </c>
      <c r="Q65" s="105">
        <v>13555.175996671889</v>
      </c>
      <c r="R65" s="105">
        <v>20.298037838017425</v>
      </c>
      <c r="S65" s="105">
        <v>10035.349907115815</v>
      </c>
      <c r="T65" s="105">
        <v>18.289546032757173</v>
      </c>
      <c r="U65" s="105">
        <v>9042.3515585951463</v>
      </c>
      <c r="V65" s="105">
        <v>21.249914516930033</v>
      </c>
      <c r="W65" s="105">
        <v>10505.957737170209</v>
      </c>
      <c r="X65" s="105">
        <v>24.29325172316555</v>
      </c>
      <c r="Y65" s="105">
        <v>12010.583651933048</v>
      </c>
      <c r="Z65" s="105">
        <v>37.247716133723074</v>
      </c>
      <c r="AA65" s="105">
        <v>18415.270856512689</v>
      </c>
      <c r="AB65" s="105">
        <v>27.290833600242919</v>
      </c>
      <c r="AC65" s="105">
        <v>13492.588131960099</v>
      </c>
      <c r="AD65" s="105">
        <v>32.876322749188624</v>
      </c>
      <c r="AE65" s="105">
        <v>16254.053967198855</v>
      </c>
      <c r="AF65" s="105">
        <v>29.006127145024479</v>
      </c>
      <c r="AG65" s="105">
        <v>14340.629260500102</v>
      </c>
      <c r="AH65" s="105">
        <v>27.2859534071269</v>
      </c>
      <c r="AI65" s="105">
        <v>13490.175364483539</v>
      </c>
      <c r="AJ65" s="105">
        <v>28.562084141868826</v>
      </c>
      <c r="AK65" s="105">
        <v>14121.094399739946</v>
      </c>
      <c r="AL65" s="105">
        <v>22.824022480536655</v>
      </c>
      <c r="AM65" s="105">
        <v>11284.196714377322</v>
      </c>
      <c r="AN65" s="105">
        <v>30.982924414495528</v>
      </c>
      <c r="AO65" s="105">
        <v>15317.957830526588</v>
      </c>
      <c r="AP65" s="105">
        <v>29.965482767653736</v>
      </c>
      <c r="AQ65" s="105">
        <v>14814.934680328006</v>
      </c>
      <c r="AR65" s="105">
        <v>29.233526444168195</v>
      </c>
      <c r="AS65" s="105">
        <v>14453.055473996756</v>
      </c>
      <c r="AT65" s="105">
        <v>21.249807478494692</v>
      </c>
      <c r="AU65" s="105">
        <v>10505.904817367775</v>
      </c>
      <c r="AV65" s="105">
        <v>24.293818767395802</v>
      </c>
      <c r="AW65" s="105">
        <v>12010.863998600484</v>
      </c>
      <c r="AX65" s="105">
        <v>29.296381707684887</v>
      </c>
      <c r="AY65" s="105">
        <v>14484.131116279408</v>
      </c>
      <c r="AZ65" s="105">
        <v>24.188254683918558</v>
      </c>
      <c r="BA65" s="105">
        <v>11958.673115729334</v>
      </c>
      <c r="BB65" s="105">
        <v>29.294369015508039</v>
      </c>
      <c r="BC65" s="105">
        <v>14483.136041267173</v>
      </c>
      <c r="BD65" s="105">
        <v>35.19178362307283</v>
      </c>
      <c r="BE65" s="105">
        <v>17398.817823247206</v>
      </c>
      <c r="BF65" s="105">
        <v>30.29965850562786</v>
      </c>
      <c r="BG65" s="105">
        <v>14980.151165182413</v>
      </c>
      <c r="BH65" s="105">
        <v>31.277041016191237</v>
      </c>
      <c r="BI65" s="105">
        <v>15463.369078404947</v>
      </c>
      <c r="BJ65" s="105">
        <v>27.197151967846558</v>
      </c>
      <c r="BK65" s="105">
        <v>13446.271932903337</v>
      </c>
      <c r="BL65" s="105">
        <v>26.410186747185399</v>
      </c>
      <c r="BM65" s="105">
        <v>13057.19632780846</v>
      </c>
      <c r="BN65" s="105">
        <v>24.124373419762314</v>
      </c>
      <c r="BO65" s="105">
        <v>11927.090218730487</v>
      </c>
      <c r="BP65" s="105">
        <v>24.792667308074712</v>
      </c>
      <c r="BQ65" s="105">
        <v>12257.494717112137</v>
      </c>
      <c r="BR65" s="105">
        <v>26.197651695756448</v>
      </c>
      <c r="BS65" s="105">
        <v>12952.118998381988</v>
      </c>
      <c r="BT65" s="105">
        <v>30.207184087792253</v>
      </c>
      <c r="BU65" s="105">
        <v>14934.431813004489</v>
      </c>
      <c r="BV65" s="105">
        <v>30.609869470398181</v>
      </c>
      <c r="BW65" s="105">
        <v>15133.51946616486</v>
      </c>
      <c r="BX65" s="105">
        <v>22.248655319100749</v>
      </c>
      <c r="BY65" s="105">
        <v>10999.735189763409</v>
      </c>
      <c r="BZ65" s="105">
        <v>32.613675722737646</v>
      </c>
      <c r="CA65" s="105">
        <v>16124.201277321492</v>
      </c>
      <c r="CB65" s="105">
        <v>29.224355490897359</v>
      </c>
      <c r="CC65" s="105">
        <v>14448.521354699653</v>
      </c>
      <c r="CD65" s="105">
        <v>25.249715421356552</v>
      </c>
      <c r="CE65" s="105">
        <v>12483.459304318678</v>
      </c>
      <c r="CF65" s="105">
        <v>29.29490148799778</v>
      </c>
      <c r="CG65" s="105">
        <v>14483.399295666102</v>
      </c>
      <c r="CH65" s="105">
        <v>28.331334149803968</v>
      </c>
      <c r="CI65" s="105">
        <v>14007.011603663081</v>
      </c>
      <c r="CJ65" s="105">
        <v>28.627746857593785</v>
      </c>
      <c r="CK65" s="105">
        <v>14153.558046394366</v>
      </c>
      <c r="CL65" s="105">
        <v>32.841430791451494</v>
      </c>
      <c r="CM65" s="105">
        <v>16236.803383293618</v>
      </c>
      <c r="CN65" s="105">
        <v>18.296381707684887</v>
      </c>
      <c r="CO65" s="105">
        <v>9045.7311162794085</v>
      </c>
      <c r="CP65" s="105">
        <v>33.09973129492532</v>
      </c>
      <c r="CQ65" s="105">
        <v>16364.507152211077</v>
      </c>
      <c r="CR65" s="105">
        <v>31.244103370553685</v>
      </c>
      <c r="CS65" s="105">
        <v>15447.084706401742</v>
      </c>
      <c r="CT65" s="105">
        <v>27.949072658859119</v>
      </c>
      <c r="CU65" s="105">
        <v>13818.021522539948</v>
      </c>
    </row>
    <row r="66" spans="2:99" x14ac:dyDescent="0.2">
      <c r="C66" s="104" t="s">
        <v>232</v>
      </c>
      <c r="D66" s="105">
        <v>5</v>
      </c>
      <c r="E66" s="105">
        <v>1992</v>
      </c>
      <c r="F66" s="105">
        <v>4.1550091336586821</v>
      </c>
      <c r="G66" s="105">
        <v>1655.3556388496188</v>
      </c>
      <c r="H66" s="105">
        <v>0.86337816349616359</v>
      </c>
      <c r="I66" s="105">
        <v>343.96986033687153</v>
      </c>
      <c r="J66" s="105">
        <v>0</v>
      </c>
      <c r="K66" s="105">
        <v>0</v>
      </c>
      <c r="L66" s="105">
        <v>23</v>
      </c>
      <c r="M66" s="105">
        <v>9163.1999999999989</v>
      </c>
      <c r="N66" s="105">
        <v>35.212740319307741</v>
      </c>
      <c r="O66" s="105">
        <v>14028.755743212203</v>
      </c>
      <c r="P66" s="105">
        <v>28.217942651817385</v>
      </c>
      <c r="Q66" s="105">
        <v>11242.028352484045</v>
      </c>
      <c r="R66" s="105">
        <v>23.298037838017425</v>
      </c>
      <c r="S66" s="105">
        <v>9281.9382746661413</v>
      </c>
      <c r="T66" s="105">
        <v>20.337803704883367</v>
      </c>
      <c r="U66" s="105">
        <v>8102.5809960255328</v>
      </c>
      <c r="V66" s="105">
        <v>23.249914516930033</v>
      </c>
      <c r="W66" s="105">
        <v>9262.7659435449241</v>
      </c>
      <c r="X66" s="105">
        <v>24.29325172316555</v>
      </c>
      <c r="Y66" s="105">
        <v>9678.4314865091546</v>
      </c>
      <c r="Z66" s="105">
        <v>41.297259360467685</v>
      </c>
      <c r="AA66" s="105">
        <v>16452.828129210324</v>
      </c>
      <c r="AB66" s="105">
        <v>29.33930586695007</v>
      </c>
      <c r="AC66" s="105">
        <v>11688.779457392908</v>
      </c>
      <c r="AD66" s="105">
        <v>35.524100514250918</v>
      </c>
      <c r="AE66" s="105">
        <v>14152.801644877565</v>
      </c>
      <c r="AF66" s="105">
        <v>29.006127145024479</v>
      </c>
      <c r="AG66" s="105">
        <v>11556.041054577752</v>
      </c>
      <c r="AH66" s="105">
        <v>28.199769358363099</v>
      </c>
      <c r="AI66" s="105">
        <v>11234.788112371858</v>
      </c>
      <c r="AJ66" s="105">
        <v>31.34288112892224</v>
      </c>
      <c r="AK66" s="105">
        <v>12487.00384176262</v>
      </c>
      <c r="AL66" s="105">
        <v>25.677025290603734</v>
      </c>
      <c r="AM66" s="105">
        <v>10229.726875776527</v>
      </c>
      <c r="AN66" s="105">
        <v>31.820481210882527</v>
      </c>
      <c r="AO66" s="105">
        <v>12677.279714415597</v>
      </c>
      <c r="AP66" s="105">
        <v>32.310153898333361</v>
      </c>
      <c r="AQ66" s="105">
        <v>12872.36531309601</v>
      </c>
      <c r="AR66" s="105">
        <v>29.18731594279944</v>
      </c>
      <c r="AS66" s="105">
        <v>11628.226671611297</v>
      </c>
      <c r="AT66" s="105">
        <v>20.199845982795754</v>
      </c>
      <c r="AU66" s="105">
        <v>8047.618639545828</v>
      </c>
      <c r="AV66" s="105">
        <v>27.293818767395802</v>
      </c>
      <c r="AW66" s="105">
        <v>10873.857396930487</v>
      </c>
      <c r="AX66" s="105">
        <v>28.296381707684887</v>
      </c>
      <c r="AY66" s="105">
        <v>11273.278472341659</v>
      </c>
      <c r="AZ66" s="105">
        <v>24.188254683918558</v>
      </c>
      <c r="BA66" s="105">
        <v>9636.6006660731528</v>
      </c>
      <c r="BB66" s="105">
        <v>30.343430518092713</v>
      </c>
      <c r="BC66" s="105">
        <v>12088.822718408137</v>
      </c>
      <c r="BD66" s="105">
        <v>35.19178362307283</v>
      </c>
      <c r="BE66" s="105">
        <v>14020.406595432214</v>
      </c>
      <c r="BF66" s="105">
        <v>27.249715421356552</v>
      </c>
      <c r="BG66" s="105">
        <v>10856.286623868449</v>
      </c>
      <c r="BH66" s="105">
        <v>31.318996698509221</v>
      </c>
      <c r="BI66" s="105">
        <v>12477.488284686073</v>
      </c>
      <c r="BJ66" s="105">
        <v>28.197151967846558</v>
      </c>
      <c r="BK66" s="105">
        <v>11233.745343990067</v>
      </c>
      <c r="BL66" s="105">
        <v>30.265809873441452</v>
      </c>
      <c r="BM66" s="105">
        <v>12057.898653579074</v>
      </c>
      <c r="BN66" s="105">
        <v>27.794671593277283</v>
      </c>
      <c r="BO66" s="105">
        <v>11073.397162761668</v>
      </c>
      <c r="BP66" s="105">
        <v>28.753939579183015</v>
      </c>
      <c r="BQ66" s="105">
        <v>11455.569528346512</v>
      </c>
      <c r="BR66" s="105">
        <v>24.197651695756448</v>
      </c>
      <c r="BS66" s="105">
        <v>9640.344435589368</v>
      </c>
      <c r="BT66" s="105">
        <v>31.923667522053318</v>
      </c>
      <c r="BU66" s="105">
        <v>12718.389140786041</v>
      </c>
      <c r="BV66" s="105">
        <v>27.494205569155177</v>
      </c>
      <c r="BW66" s="105">
        <v>10953.691498751423</v>
      </c>
      <c r="BX66" s="105">
        <v>23.298386382920899</v>
      </c>
      <c r="BY66" s="105">
        <v>9282.0771349556853</v>
      </c>
      <c r="BZ66" s="105">
        <v>31.761012774023555</v>
      </c>
      <c r="CA66" s="105">
        <v>12653.587489170985</v>
      </c>
      <c r="CB66" s="105">
        <v>29.224355490897359</v>
      </c>
      <c r="CC66" s="105">
        <v>11642.983227573508</v>
      </c>
      <c r="CD66" s="105">
        <v>22.249715421356552</v>
      </c>
      <c r="CE66" s="105">
        <v>8864.2866238684492</v>
      </c>
      <c r="CF66" s="105">
        <v>28.29490148799778</v>
      </c>
      <c r="CG66" s="105">
        <v>11272.688752818314</v>
      </c>
      <c r="CH66" s="105">
        <v>29.331334149803968</v>
      </c>
      <c r="CI66" s="105">
        <v>11685.6035252819</v>
      </c>
      <c r="CJ66" s="105">
        <v>32.288201086856169</v>
      </c>
      <c r="CK66" s="105">
        <v>12863.619313003497</v>
      </c>
      <c r="CL66" s="105">
        <v>28.432991533719434</v>
      </c>
      <c r="CM66" s="105">
        <v>11327.703827033822</v>
      </c>
      <c r="CN66" s="105">
        <v>20.345778658965703</v>
      </c>
      <c r="CO66" s="105">
        <v>8105.7582177319355</v>
      </c>
      <c r="CP66" s="105">
        <v>32.215390452017822</v>
      </c>
      <c r="CQ66" s="105">
        <v>12834.611556083899</v>
      </c>
      <c r="CR66" s="105">
        <v>32.794473992309534</v>
      </c>
      <c r="CS66" s="105">
        <v>13065.318438536118</v>
      </c>
      <c r="CT66" s="105">
        <v>31.909037549441113</v>
      </c>
      <c r="CU66" s="105">
        <v>12712.560559697338</v>
      </c>
    </row>
    <row r="67" spans="2:99" x14ac:dyDescent="0.2">
      <c r="C67" s="104" t="s">
        <v>233</v>
      </c>
      <c r="D67" s="105">
        <v>5</v>
      </c>
      <c r="E67" s="105">
        <v>2370</v>
      </c>
      <c r="F67" s="105">
        <v>4.1550091336586821</v>
      </c>
      <c r="G67" s="105">
        <v>1969.4743293542153</v>
      </c>
      <c r="H67" s="105">
        <v>0.86337816349616359</v>
      </c>
      <c r="I67" s="105">
        <v>409.24124949718151</v>
      </c>
      <c r="J67" s="105">
        <v>0</v>
      </c>
      <c r="K67" s="105">
        <v>0</v>
      </c>
      <c r="L67" s="105">
        <v>20</v>
      </c>
      <c r="M67" s="105">
        <v>9480</v>
      </c>
      <c r="N67" s="105">
        <v>31.405957582085286</v>
      </c>
      <c r="O67" s="105">
        <v>14886.423893908426</v>
      </c>
      <c r="P67" s="105">
        <v>28.217942651817385</v>
      </c>
      <c r="Q67" s="105">
        <v>13375.304816961441</v>
      </c>
      <c r="R67" s="105">
        <v>24.298037838017425</v>
      </c>
      <c r="S67" s="105">
        <v>11517.26993522026</v>
      </c>
      <c r="T67" s="105">
        <v>21.337803704883367</v>
      </c>
      <c r="U67" s="105">
        <v>10114.118956114717</v>
      </c>
      <c r="V67" s="105">
        <v>21.249914516930033</v>
      </c>
      <c r="W67" s="105">
        <v>10072.459481024836</v>
      </c>
      <c r="X67" s="105">
        <v>23.29325172316555</v>
      </c>
      <c r="Y67" s="105">
        <v>11041.00131678047</v>
      </c>
      <c r="Z67" s="105">
        <v>38.297259360467685</v>
      </c>
      <c r="AA67" s="105">
        <v>18152.900936861683</v>
      </c>
      <c r="AB67" s="105">
        <v>27.290833600242919</v>
      </c>
      <c r="AC67" s="105">
        <v>12935.855126515144</v>
      </c>
      <c r="AD67" s="105">
        <v>34.641507925896818</v>
      </c>
      <c r="AE67" s="105">
        <v>16420.074756875092</v>
      </c>
      <c r="AF67" s="105">
        <v>29.006127145024479</v>
      </c>
      <c r="AG67" s="105">
        <v>13748.904266741603</v>
      </c>
      <c r="AH67" s="105">
        <v>27.2859534071269</v>
      </c>
      <c r="AI67" s="105">
        <v>12933.54191497815</v>
      </c>
      <c r="AJ67" s="105">
        <v>25.687022870898577</v>
      </c>
      <c r="AK67" s="105">
        <v>12175.648840805925</v>
      </c>
      <c r="AL67" s="105">
        <v>22.824022480536655</v>
      </c>
      <c r="AM67" s="105">
        <v>10818.586655774374</v>
      </c>
      <c r="AN67" s="105">
        <v>32.755456680981858</v>
      </c>
      <c r="AO67" s="105">
        <v>15526.0864667854</v>
      </c>
      <c r="AP67" s="105">
        <v>27.582766620920044</v>
      </c>
      <c r="AQ67" s="105">
        <v>13074.231378316101</v>
      </c>
      <c r="AR67" s="105">
        <v>32.035745486357449</v>
      </c>
      <c r="AS67" s="105">
        <v>15184.943360533431</v>
      </c>
      <c r="AT67" s="105">
        <v>23.199845982795754</v>
      </c>
      <c r="AU67" s="105">
        <v>10996.726995845187</v>
      </c>
      <c r="AV67" s="105">
        <v>22.293818767395802</v>
      </c>
      <c r="AW67" s="105">
        <v>10567.270095745611</v>
      </c>
      <c r="AX67" s="105">
        <v>32.296381707684887</v>
      </c>
      <c r="AY67" s="105">
        <v>15308.484929442637</v>
      </c>
      <c r="AZ67" s="105">
        <v>25.141191012938918</v>
      </c>
      <c r="BA67" s="105">
        <v>11916.924540133048</v>
      </c>
      <c r="BB67" s="105">
        <v>29.294369015508039</v>
      </c>
      <c r="BC67" s="105">
        <v>13885.530913350811</v>
      </c>
      <c r="BD67" s="105">
        <v>29.143837717304624</v>
      </c>
      <c r="BE67" s="105">
        <v>13814.179078002391</v>
      </c>
      <c r="BF67" s="105">
        <v>31.249715421356552</v>
      </c>
      <c r="BG67" s="105">
        <v>14812.365109723005</v>
      </c>
      <c r="BH67" s="105">
        <v>31.277041016191237</v>
      </c>
      <c r="BI67" s="105">
        <v>14825.317441674646</v>
      </c>
      <c r="BJ67" s="105">
        <v>26.197151967846558</v>
      </c>
      <c r="BK67" s="105">
        <v>12417.450032759269</v>
      </c>
      <c r="BL67" s="105">
        <v>29.533075145919078</v>
      </c>
      <c r="BM67" s="105">
        <v>13998.677619165643</v>
      </c>
      <c r="BN67" s="105">
        <v>27.794671593277283</v>
      </c>
      <c r="BO67" s="105">
        <v>13174.674335213433</v>
      </c>
      <c r="BP67" s="105">
        <v>30.338448487626334</v>
      </c>
      <c r="BQ67" s="105">
        <v>14380.424583134882</v>
      </c>
      <c r="BR67" s="105">
        <v>23.197651695756448</v>
      </c>
      <c r="BS67" s="105">
        <v>10995.686903788557</v>
      </c>
      <c r="BT67" s="105">
        <v>33.640150956314379</v>
      </c>
      <c r="BU67" s="105">
        <v>15945.431553293016</v>
      </c>
      <c r="BV67" s="105">
        <v>28.31181261667907</v>
      </c>
      <c r="BW67" s="105">
        <v>13419.799180305879</v>
      </c>
      <c r="BX67" s="105">
        <v>26.298386382920899</v>
      </c>
      <c r="BY67" s="105">
        <v>12465.435145504507</v>
      </c>
      <c r="BZ67" s="105">
        <v>30.908349825309465</v>
      </c>
      <c r="CA67" s="105">
        <v>14650.557817196686</v>
      </c>
      <c r="CB67" s="105">
        <v>25.999597486780964</v>
      </c>
      <c r="CC67" s="105">
        <v>12323.809208734177</v>
      </c>
      <c r="CD67" s="105">
        <v>22.249715421356552</v>
      </c>
      <c r="CE67" s="105">
        <v>10546.365109723005</v>
      </c>
      <c r="CF67" s="105">
        <v>29.24575123999815</v>
      </c>
      <c r="CG67" s="105">
        <v>13862.486087759124</v>
      </c>
      <c r="CH67" s="105">
        <v>28.331334149803968</v>
      </c>
      <c r="CI67" s="105">
        <v>13429.052387007081</v>
      </c>
      <c r="CJ67" s="105">
        <v>30.501178402360022</v>
      </c>
      <c r="CK67" s="105">
        <v>14457.55856271865</v>
      </c>
      <c r="CL67" s="105">
        <v>33.723118642997903</v>
      </c>
      <c r="CM67" s="105">
        <v>15984.758236781006</v>
      </c>
      <c r="CN67" s="105">
        <v>20.296381707684887</v>
      </c>
      <c r="CO67" s="105">
        <v>9620.4849294426367</v>
      </c>
      <c r="CP67" s="105">
        <v>36.426555033454235</v>
      </c>
      <c r="CQ67" s="105">
        <v>17266.187085857309</v>
      </c>
      <c r="CR67" s="105">
        <v>30.449077348963709</v>
      </c>
      <c r="CS67" s="105">
        <v>14432.862663408798</v>
      </c>
      <c r="CT67" s="105">
        <v>27.949072658859119</v>
      </c>
      <c r="CU67" s="105">
        <v>13247.860440299222</v>
      </c>
    </row>
    <row r="68" spans="2:99" x14ac:dyDescent="0.2">
      <c r="C68" s="104" t="s">
        <v>234</v>
      </c>
      <c r="D68" s="105">
        <v>5</v>
      </c>
      <c r="E68" s="105">
        <v>1350</v>
      </c>
      <c r="F68" s="105">
        <v>4.1550091336586821</v>
      </c>
      <c r="G68" s="105">
        <v>1121.852466087844</v>
      </c>
      <c r="H68" s="105">
        <v>0.86337816349616359</v>
      </c>
      <c r="I68" s="105">
        <v>233.11210414396416</v>
      </c>
      <c r="J68" s="105">
        <v>0</v>
      </c>
      <c r="K68" s="105">
        <v>0</v>
      </c>
      <c r="L68" s="105">
        <v>23</v>
      </c>
      <c r="M68" s="105">
        <v>6210</v>
      </c>
      <c r="N68" s="105">
        <v>35.212740319307741</v>
      </c>
      <c r="O68" s="105">
        <v>9507.4398862130893</v>
      </c>
      <c r="P68" s="105">
        <v>27.417427177734403</v>
      </c>
      <c r="Q68" s="105">
        <v>7402.7053379882891</v>
      </c>
      <c r="R68" s="105">
        <v>24.298037838017425</v>
      </c>
      <c r="S68" s="105">
        <v>6560.4702162647045</v>
      </c>
      <c r="T68" s="105">
        <v>21.337803704883367</v>
      </c>
      <c r="U68" s="105">
        <v>5761.207000318509</v>
      </c>
      <c r="V68" s="105">
        <v>21.249914516930033</v>
      </c>
      <c r="W68" s="105">
        <v>5737.4769195711087</v>
      </c>
      <c r="X68" s="105">
        <v>22.29325172316555</v>
      </c>
      <c r="Y68" s="105">
        <v>6019.1779652546984</v>
      </c>
      <c r="Z68" s="105">
        <v>38.247716133723074</v>
      </c>
      <c r="AA68" s="105">
        <v>10326.883356105231</v>
      </c>
      <c r="AB68" s="105">
        <v>29.33930586695007</v>
      </c>
      <c r="AC68" s="105">
        <v>7921.6125840765189</v>
      </c>
      <c r="AD68" s="105">
        <v>31.11113757248043</v>
      </c>
      <c r="AE68" s="105">
        <v>8400.0071445697158</v>
      </c>
      <c r="AF68" s="105">
        <v>26.38903296227102</v>
      </c>
      <c r="AG68" s="105">
        <v>7125.0388998131757</v>
      </c>
      <c r="AH68" s="105">
        <v>33.432503206293433</v>
      </c>
      <c r="AI68" s="105">
        <v>9026.7758656992264</v>
      </c>
      <c r="AJ68" s="105">
        <v>27.619441098864879</v>
      </c>
      <c r="AK68" s="105">
        <v>7457.2490966935175</v>
      </c>
      <c r="AL68" s="105">
        <v>27.579027163981788</v>
      </c>
      <c r="AM68" s="105">
        <v>7446.3373342750829</v>
      </c>
      <c r="AN68" s="105">
        <v>30.14536761810853</v>
      </c>
      <c r="AO68" s="105">
        <v>8139.2492568893031</v>
      </c>
      <c r="AP68" s="105">
        <v>30.747039811213615</v>
      </c>
      <c r="AQ68" s="105">
        <v>8301.7007490276756</v>
      </c>
      <c r="AR68" s="105">
        <v>30.16759945823128</v>
      </c>
      <c r="AS68" s="105">
        <v>8145.251853722446</v>
      </c>
      <c r="AT68" s="105">
        <v>21.199845982795754</v>
      </c>
      <c r="AU68" s="105">
        <v>5723.958415354854</v>
      </c>
      <c r="AV68" s="105">
        <v>23.293818767395802</v>
      </c>
      <c r="AW68" s="105">
        <v>6289.3310671968666</v>
      </c>
      <c r="AX68" s="105">
        <v>28.296381707684887</v>
      </c>
      <c r="AY68" s="105">
        <v>7640.0230610749195</v>
      </c>
      <c r="AZ68" s="105">
        <v>23.188254683918558</v>
      </c>
      <c r="BA68" s="105">
        <v>6260.8287646580102</v>
      </c>
      <c r="BB68" s="105">
        <v>31.294369015508039</v>
      </c>
      <c r="BC68" s="105">
        <v>8449.4796341871697</v>
      </c>
      <c r="BD68" s="105">
        <v>31.19178362307283</v>
      </c>
      <c r="BE68" s="105">
        <v>8421.7815782296639</v>
      </c>
      <c r="BF68" s="105">
        <v>31.29965850562786</v>
      </c>
      <c r="BG68" s="105">
        <v>8450.9077965195229</v>
      </c>
      <c r="BH68" s="105">
        <v>28.758073777980318</v>
      </c>
      <c r="BI68" s="105">
        <v>7764.6799200546857</v>
      </c>
      <c r="BJ68" s="105">
        <v>26.197151967846558</v>
      </c>
      <c r="BK68" s="105">
        <v>7073.2310313185708</v>
      </c>
      <c r="BL68" s="105">
        <v>31.036934498692663</v>
      </c>
      <c r="BM68" s="105">
        <v>8379.9723146470187</v>
      </c>
      <c r="BN68" s="105">
        <v>26.921669598551048</v>
      </c>
      <c r="BO68" s="105">
        <v>7268.8507916087829</v>
      </c>
      <c r="BP68" s="105">
        <v>29.507397495537468</v>
      </c>
      <c r="BQ68" s="105">
        <v>7966.9973237951162</v>
      </c>
      <c r="BR68" s="105">
        <v>26.197651695756448</v>
      </c>
      <c r="BS68" s="105">
        <v>7073.3659578542411</v>
      </c>
      <c r="BT68" s="105">
        <v>35.356634390575444</v>
      </c>
      <c r="BU68" s="105">
        <v>9546.2912854553706</v>
      </c>
      <c r="BV68" s="105">
        <v>32.167701421019686</v>
      </c>
      <c r="BW68" s="105">
        <v>8685.2793836753153</v>
      </c>
      <c r="BX68" s="105">
        <v>25.298386382920899</v>
      </c>
      <c r="BY68" s="105">
        <v>6830.5643233886431</v>
      </c>
      <c r="BZ68" s="105">
        <v>32.613675722737646</v>
      </c>
      <c r="CA68" s="105">
        <v>8805.6924451391642</v>
      </c>
      <c r="CB68" s="105">
        <v>31.642923993984652</v>
      </c>
      <c r="CC68" s="105">
        <v>8543.5894783758558</v>
      </c>
      <c r="CD68" s="105">
        <v>27.249715421356552</v>
      </c>
      <c r="CE68" s="105">
        <v>7357.4231637662688</v>
      </c>
      <c r="CF68" s="105">
        <v>27.29490148799778</v>
      </c>
      <c r="CG68" s="105">
        <v>7369.6234017594006</v>
      </c>
      <c r="CH68" s="105">
        <v>32.331334149803972</v>
      </c>
      <c r="CI68" s="105">
        <v>8729.4602204470721</v>
      </c>
      <c r="CJ68" s="105">
        <v>29.542860414909381</v>
      </c>
      <c r="CK68" s="105">
        <v>7976.5723120255325</v>
      </c>
      <c r="CL68" s="105">
        <v>32.841430791451494</v>
      </c>
      <c r="CM68" s="105">
        <v>8867.1863136919037</v>
      </c>
      <c r="CN68" s="105">
        <v>22.296381707684887</v>
      </c>
      <c r="CO68" s="105">
        <v>6020.0230610749195</v>
      </c>
      <c r="CP68" s="105">
        <v>36.468662960074454</v>
      </c>
      <c r="CQ68" s="105">
        <v>9846.5389992201017</v>
      </c>
      <c r="CR68" s="105">
        <v>28.859025305783756</v>
      </c>
      <c r="CS68" s="105">
        <v>7791.9368325616142</v>
      </c>
      <c r="CT68" s="105">
        <v>30.325051593208318</v>
      </c>
      <c r="CU68" s="105">
        <v>8187.7639301662457</v>
      </c>
    </row>
    <row r="69" spans="2:99" x14ac:dyDescent="0.2">
      <c r="C69" s="104" t="s">
        <v>235</v>
      </c>
      <c r="D69" s="105">
        <v>5</v>
      </c>
      <c r="E69" s="105">
        <v>863.99999999999989</v>
      </c>
      <c r="F69" s="105">
        <v>4.1550091336586821</v>
      </c>
      <c r="G69" s="105">
        <v>717.98557829622018</v>
      </c>
      <c r="H69" s="105">
        <v>0.86337816349616359</v>
      </c>
      <c r="I69" s="105">
        <v>149.19174665213706</v>
      </c>
      <c r="J69" s="105">
        <v>0</v>
      </c>
      <c r="K69" s="105">
        <v>0</v>
      </c>
      <c r="L69" s="105">
        <v>21</v>
      </c>
      <c r="M69" s="105">
        <v>3628.7999999999997</v>
      </c>
      <c r="N69" s="105">
        <v>35.212740319307741</v>
      </c>
      <c r="O69" s="105">
        <v>6084.7615271763771</v>
      </c>
      <c r="P69" s="105">
        <v>32.220520022232286</v>
      </c>
      <c r="Q69" s="105">
        <v>5567.7058598417389</v>
      </c>
      <c r="R69" s="105">
        <v>21.248364865014523</v>
      </c>
      <c r="S69" s="105">
        <v>3671.7174486745093</v>
      </c>
      <c r="T69" s="105">
        <v>21.289546032757173</v>
      </c>
      <c r="U69" s="105">
        <v>3678.8335544604392</v>
      </c>
      <c r="V69" s="105">
        <v>25.249914516930033</v>
      </c>
      <c r="W69" s="105">
        <v>4363.185228525509</v>
      </c>
      <c r="X69" s="105">
        <v>23.29325172316555</v>
      </c>
      <c r="Y69" s="105">
        <v>4025.0738977630067</v>
      </c>
      <c r="Z69" s="105">
        <v>36.247716133723074</v>
      </c>
      <c r="AA69" s="105">
        <v>6263.6053479073462</v>
      </c>
      <c r="AB69" s="105">
        <v>29.290833600242919</v>
      </c>
      <c r="AC69" s="105">
        <v>5061.4560461219762</v>
      </c>
      <c r="AD69" s="105">
        <v>34.641507925896818</v>
      </c>
      <c r="AE69" s="105">
        <v>5986.0525695949691</v>
      </c>
      <c r="AF69" s="105">
        <v>31.623221327777934</v>
      </c>
      <c r="AG69" s="105">
        <v>5464.4926454400265</v>
      </c>
      <c r="AH69" s="105">
        <v>29.944013974339875</v>
      </c>
      <c r="AI69" s="105">
        <v>5174.3256147659295</v>
      </c>
      <c r="AJ69" s="105">
        <v>28.562084141868826</v>
      </c>
      <c r="AK69" s="105">
        <v>4935.5281397149329</v>
      </c>
      <c r="AL69" s="105">
        <v>24.726024353914706</v>
      </c>
      <c r="AM69" s="105">
        <v>4272.6570083564611</v>
      </c>
      <c r="AN69" s="105">
        <v>32.522495018578596</v>
      </c>
      <c r="AO69" s="105">
        <v>5619.8871392103811</v>
      </c>
      <c r="AP69" s="105">
        <v>33.09171094189324</v>
      </c>
      <c r="AQ69" s="105">
        <v>5718.2476507591509</v>
      </c>
      <c r="AR69" s="105">
        <v>31.989534984988698</v>
      </c>
      <c r="AS69" s="105">
        <v>5527.791645406046</v>
      </c>
      <c r="AT69" s="105">
        <v>22.199845982795754</v>
      </c>
      <c r="AU69" s="105">
        <v>3836.1333858271059</v>
      </c>
      <c r="AV69" s="105">
        <v>24.293818767395802</v>
      </c>
      <c r="AW69" s="105">
        <v>4197.9718830059937</v>
      </c>
      <c r="AX69" s="105">
        <v>29.345778658965703</v>
      </c>
      <c r="AY69" s="105">
        <v>5070.9505522692725</v>
      </c>
      <c r="AZ69" s="105">
        <v>24.188254683918558</v>
      </c>
      <c r="BA69" s="105">
        <v>4179.7304093811263</v>
      </c>
      <c r="BB69" s="105">
        <v>29.294369015508039</v>
      </c>
      <c r="BC69" s="105">
        <v>5062.0669658797888</v>
      </c>
      <c r="BD69" s="105">
        <v>35.19178362307283</v>
      </c>
      <c r="BE69" s="105">
        <v>6081.1402100669848</v>
      </c>
      <c r="BF69" s="105">
        <v>31.29965850562786</v>
      </c>
      <c r="BG69" s="105">
        <v>5408.5809897724939</v>
      </c>
      <c r="BH69" s="105">
        <v>30.437385270120931</v>
      </c>
      <c r="BI69" s="105">
        <v>5259.5801746768966</v>
      </c>
      <c r="BJ69" s="105">
        <v>26.197151967846558</v>
      </c>
      <c r="BK69" s="105">
        <v>4526.8678600438852</v>
      </c>
      <c r="BL69" s="105">
        <v>27.952435997687818</v>
      </c>
      <c r="BM69" s="105">
        <v>4830.1809404004543</v>
      </c>
      <c r="BN69" s="105">
        <v>29.674393228687276</v>
      </c>
      <c r="BO69" s="105">
        <v>5127.7351499171609</v>
      </c>
      <c r="BP69" s="105">
        <v>30.338448487626334</v>
      </c>
      <c r="BQ69" s="105">
        <v>5242.4838986618297</v>
      </c>
      <c r="BR69" s="105">
        <v>25.197651695756448</v>
      </c>
      <c r="BS69" s="105">
        <v>4354.1542130267135</v>
      </c>
      <c r="BT69" s="105">
        <v>35.356634390575444</v>
      </c>
      <c r="BU69" s="105">
        <v>6109.6264226914363</v>
      </c>
      <c r="BV69" s="105">
        <v>32.167701421019686</v>
      </c>
      <c r="BW69" s="105">
        <v>5558.5788055522007</v>
      </c>
      <c r="BX69" s="105">
        <v>26.248655319100749</v>
      </c>
      <c r="BY69" s="105">
        <v>4535.7676391406094</v>
      </c>
      <c r="BZ69" s="105">
        <v>36.024327517594017</v>
      </c>
      <c r="CA69" s="105">
        <v>6225.0037950402457</v>
      </c>
      <c r="CB69" s="105">
        <v>32.408806804243788</v>
      </c>
      <c r="CC69" s="105">
        <v>5600.2418157733264</v>
      </c>
      <c r="CD69" s="105">
        <v>25.249715421356552</v>
      </c>
      <c r="CE69" s="105">
        <v>4363.1508248104119</v>
      </c>
      <c r="CF69" s="105">
        <v>31.29490148799778</v>
      </c>
      <c r="CG69" s="105">
        <v>5407.7589771260155</v>
      </c>
      <c r="CH69" s="105">
        <v>29.331334149803968</v>
      </c>
      <c r="CI69" s="105">
        <v>5068.4545410861256</v>
      </c>
      <c r="CJ69" s="105">
        <v>27.712633300278188</v>
      </c>
      <c r="CK69" s="105">
        <v>4788.7430342880707</v>
      </c>
      <c r="CL69" s="105">
        <v>33.723118642997903</v>
      </c>
      <c r="CM69" s="105">
        <v>5827.3549015100371</v>
      </c>
      <c r="CN69" s="105">
        <v>23.296381707684887</v>
      </c>
      <c r="CO69" s="105">
        <v>4025.6147590879482</v>
      </c>
      <c r="CP69" s="105">
        <v>37.268787949741515</v>
      </c>
      <c r="CQ69" s="105">
        <v>6440.0465577153336</v>
      </c>
      <c r="CR69" s="105">
        <v>31.204421949129578</v>
      </c>
      <c r="CS69" s="105">
        <v>5392.1241128095908</v>
      </c>
      <c r="CT69" s="105">
        <v>30.3632713306725</v>
      </c>
      <c r="CU69" s="105">
        <v>5246.7732859402076</v>
      </c>
    </row>
    <row r="70" spans="2:99" x14ac:dyDescent="0.2">
      <c r="C70" s="104" t="s">
        <v>236</v>
      </c>
      <c r="D70" s="105">
        <v>5</v>
      </c>
      <c r="E70" s="105">
        <v>2148</v>
      </c>
      <c r="F70" s="105">
        <v>4.1550091336586821</v>
      </c>
      <c r="G70" s="105">
        <v>1784.9919238197697</v>
      </c>
      <c r="H70" s="105">
        <v>0.86337816349616359</v>
      </c>
      <c r="I70" s="105">
        <v>370.90725903795186</v>
      </c>
      <c r="J70" s="105">
        <v>0</v>
      </c>
      <c r="K70" s="105">
        <v>0</v>
      </c>
      <c r="L70" s="105">
        <v>22</v>
      </c>
      <c r="M70" s="105">
        <v>9451.1999999999989</v>
      </c>
      <c r="N70" s="105">
        <v>34.261044635002129</v>
      </c>
      <c r="O70" s="105">
        <v>14718.544775196913</v>
      </c>
      <c r="P70" s="105">
        <v>30.619489074066323</v>
      </c>
      <c r="Q70" s="105">
        <v>13154.132506218892</v>
      </c>
      <c r="R70" s="105">
        <v>20.248364865014523</v>
      </c>
      <c r="S70" s="105">
        <v>8698.6975460102385</v>
      </c>
      <c r="T70" s="105">
        <v>18.337803704883367</v>
      </c>
      <c r="U70" s="105">
        <v>7877.9204716178938</v>
      </c>
      <c r="V70" s="105">
        <v>24.249914516930033</v>
      </c>
      <c r="W70" s="105">
        <v>10417.763276473141</v>
      </c>
      <c r="X70" s="105">
        <v>22.244376435971294</v>
      </c>
      <c r="Y70" s="105">
        <v>9556.1841168932679</v>
      </c>
      <c r="Z70" s="105">
        <v>39.247716133723074</v>
      </c>
      <c r="AA70" s="105">
        <v>16860.818851047432</v>
      </c>
      <c r="AB70" s="105">
        <v>31.33930586695007</v>
      </c>
      <c r="AC70" s="105">
        <v>13463.365800441748</v>
      </c>
      <c r="AD70" s="105">
        <v>33.758915337542724</v>
      </c>
      <c r="AE70" s="105">
        <v>14502.830029008353</v>
      </c>
      <c r="AF70" s="105">
        <v>26.38903296227102</v>
      </c>
      <c r="AG70" s="105">
        <v>11336.72856059163</v>
      </c>
      <c r="AH70" s="105">
        <v>29.944013974339875</v>
      </c>
      <c r="AI70" s="105">
        <v>12863.948403376409</v>
      </c>
      <c r="AJ70" s="105">
        <v>30.447370227876711</v>
      </c>
      <c r="AK70" s="105">
        <v>13080.190249895833</v>
      </c>
      <c r="AL70" s="105">
        <v>23.775023417225679</v>
      </c>
      <c r="AM70" s="105">
        <v>10213.750060040151</v>
      </c>
      <c r="AN70" s="105">
        <v>30.847381425804599</v>
      </c>
      <c r="AO70" s="105">
        <v>13252.035060525655</v>
      </c>
      <c r="AP70" s="105">
        <v>29.927437751599676</v>
      </c>
      <c r="AQ70" s="105">
        <v>12856.82725808722</v>
      </c>
      <c r="AR70" s="105">
        <v>32.035745486357449</v>
      </c>
      <c r="AS70" s="105">
        <v>13762.556260939158</v>
      </c>
      <c r="AT70" s="105">
        <v>21.249807478494692</v>
      </c>
      <c r="AU70" s="105">
        <v>9128.9172927613181</v>
      </c>
      <c r="AV70" s="105">
        <v>25.293818767395802</v>
      </c>
      <c r="AW70" s="105">
        <v>10866.224542473235</v>
      </c>
      <c r="AX70" s="105">
        <v>27.345778658965703</v>
      </c>
      <c r="AY70" s="105">
        <v>11747.746511891664</v>
      </c>
      <c r="AZ70" s="105">
        <v>22.188254683918558</v>
      </c>
      <c r="BA70" s="105">
        <v>9532.0742122114116</v>
      </c>
      <c r="BB70" s="105">
        <v>31.294369015508039</v>
      </c>
      <c r="BC70" s="105">
        <v>13444.060929062252</v>
      </c>
      <c r="BD70" s="105">
        <v>31.143837717304624</v>
      </c>
      <c r="BE70" s="105">
        <v>13379.392683354066</v>
      </c>
      <c r="BF70" s="105">
        <v>26.249715421356552</v>
      </c>
      <c r="BG70" s="105">
        <v>11276.877745014774</v>
      </c>
      <c r="BH70" s="105">
        <v>32.116696762261547</v>
      </c>
      <c r="BI70" s="105">
        <v>13797.332929067559</v>
      </c>
      <c r="BJ70" s="105">
        <v>26.197151967846558</v>
      </c>
      <c r="BK70" s="105">
        <v>11254.29648538688</v>
      </c>
      <c r="BL70" s="105">
        <v>26.410186747185399</v>
      </c>
      <c r="BM70" s="105">
        <v>11345.816226590847</v>
      </c>
      <c r="BN70" s="105">
        <v>26.877097049898541</v>
      </c>
      <c r="BO70" s="105">
        <v>11546.400892636413</v>
      </c>
      <c r="BP70" s="105">
        <v>26.377176216518031</v>
      </c>
      <c r="BQ70" s="105">
        <v>11331.634902616144</v>
      </c>
      <c r="BR70" s="105">
        <v>26.197651695756448</v>
      </c>
      <c r="BS70" s="105">
        <v>11254.511168496969</v>
      </c>
      <c r="BT70" s="105">
        <v>31.065425804922782</v>
      </c>
      <c r="BU70" s="105">
        <v>13345.706925794826</v>
      </c>
      <c r="BV70" s="105">
        <v>28.31181261667907</v>
      </c>
      <c r="BW70" s="105">
        <v>12162.754700125328</v>
      </c>
      <c r="BX70" s="105">
        <v>24.298386382920899</v>
      </c>
      <c r="BY70" s="105">
        <v>10438.586790102818</v>
      </c>
      <c r="BZ70" s="105">
        <v>35.171664568879919</v>
      </c>
      <c r="CA70" s="105">
        <v>15109.747098790813</v>
      </c>
      <c r="CB70" s="105">
        <v>26.765480297040099</v>
      </c>
      <c r="CC70" s="105">
        <v>11498.450335608426</v>
      </c>
      <c r="CD70" s="105">
        <v>26.249715421356552</v>
      </c>
      <c r="CE70" s="105">
        <v>11276.877745014774</v>
      </c>
      <c r="CF70" s="105">
        <v>33.24575123999815</v>
      </c>
      <c r="CG70" s="105">
        <v>14282.374732703203</v>
      </c>
      <c r="CH70" s="105">
        <v>28.331334149803968</v>
      </c>
      <c r="CI70" s="105">
        <v>12171.141150755784</v>
      </c>
      <c r="CJ70" s="105">
        <v>27.755837730413234</v>
      </c>
      <c r="CK70" s="105">
        <v>11923.907888985525</v>
      </c>
      <c r="CL70" s="105">
        <v>31.078055088358671</v>
      </c>
      <c r="CM70" s="105">
        <v>13351.132465958884</v>
      </c>
      <c r="CN70" s="105">
        <v>18.296381707684887</v>
      </c>
      <c r="CO70" s="105">
        <v>7860.125581621427</v>
      </c>
      <c r="CP70" s="105">
        <v>34.742089200879676</v>
      </c>
      <c r="CQ70" s="105">
        <v>14925.201520697907</v>
      </c>
      <c r="CR70" s="105">
        <v>32.039129392143664</v>
      </c>
      <c r="CS70" s="105">
        <v>13764.009986864918</v>
      </c>
      <c r="CT70" s="105">
        <v>31.117044571324715</v>
      </c>
      <c r="CU70" s="105">
        <v>13367.882347841096</v>
      </c>
    </row>
    <row r="71" spans="2:99" x14ac:dyDescent="0.2">
      <c r="B71" s="104" t="s">
        <v>130</v>
      </c>
      <c r="C71" s="104" t="s">
        <v>237</v>
      </c>
      <c r="D71" s="105">
        <v>2.5014207282414138</v>
      </c>
      <c r="E71" s="105">
        <v>459.26084570512359</v>
      </c>
      <c r="F71" s="105">
        <v>3.0950751529411744</v>
      </c>
      <c r="G71" s="105">
        <v>568.25579807999964</v>
      </c>
      <c r="H71" s="105">
        <v>0</v>
      </c>
      <c r="I71" s="105">
        <v>0</v>
      </c>
      <c r="J71" s="105">
        <v>0</v>
      </c>
      <c r="K71" s="105">
        <v>0</v>
      </c>
      <c r="L71" s="105">
        <v>19.941811570700146</v>
      </c>
      <c r="M71" s="105">
        <v>3661.3166043805468</v>
      </c>
      <c r="N71" s="105">
        <v>19.435083088553252</v>
      </c>
      <c r="O71" s="105">
        <v>3568.2812550583772</v>
      </c>
      <c r="P71" s="105">
        <v>21.819877599900444</v>
      </c>
      <c r="Q71" s="105">
        <v>4006.1295273417213</v>
      </c>
      <c r="R71" s="105">
        <v>23.082590096548085</v>
      </c>
      <c r="S71" s="105">
        <v>4237.963541726228</v>
      </c>
      <c r="T71" s="105">
        <v>23.005420163871459</v>
      </c>
      <c r="U71" s="105">
        <v>4223.7951420867994</v>
      </c>
      <c r="V71" s="105">
        <v>24.569653981797448</v>
      </c>
      <c r="W71" s="105">
        <v>4510.9884710580109</v>
      </c>
      <c r="X71" s="105">
        <v>26.196610706284385</v>
      </c>
      <c r="Y71" s="105">
        <v>4809.6977256738128</v>
      </c>
      <c r="Z71" s="105">
        <v>19.877124975534009</v>
      </c>
      <c r="AA71" s="105">
        <v>3649.4401455080442</v>
      </c>
      <c r="AB71" s="105">
        <v>21.505730908446875</v>
      </c>
      <c r="AC71" s="105">
        <v>3948.4521947908461</v>
      </c>
      <c r="AD71" s="105">
        <v>20.764124393758038</v>
      </c>
      <c r="AE71" s="105">
        <v>3812.2932386939756</v>
      </c>
      <c r="AF71" s="105">
        <v>23.125238980976881</v>
      </c>
      <c r="AG71" s="105">
        <v>4245.7938769073553</v>
      </c>
      <c r="AH71" s="105">
        <v>22.79117054769765</v>
      </c>
      <c r="AI71" s="105">
        <v>4184.4589125572884</v>
      </c>
      <c r="AJ71" s="105">
        <v>19.378806252214748</v>
      </c>
      <c r="AK71" s="105">
        <v>3557.9488279066277</v>
      </c>
      <c r="AL71" s="105">
        <v>20.652932221705594</v>
      </c>
      <c r="AM71" s="105">
        <v>3791.8783559051471</v>
      </c>
      <c r="AN71" s="105">
        <v>24.261124197331842</v>
      </c>
      <c r="AO71" s="105">
        <v>4454.3424026301263</v>
      </c>
      <c r="AP71" s="105">
        <v>19.884458107794018</v>
      </c>
      <c r="AQ71" s="105">
        <v>3650.7865085909816</v>
      </c>
      <c r="AR71" s="105">
        <v>21.231745731433541</v>
      </c>
      <c r="AS71" s="105">
        <v>3898.1485162911981</v>
      </c>
      <c r="AT71" s="105">
        <v>21.596679630895871</v>
      </c>
      <c r="AU71" s="105">
        <v>3965.1503802324819</v>
      </c>
      <c r="AV71" s="105">
        <v>22.174495575722631</v>
      </c>
      <c r="AW71" s="105">
        <v>4071.2373877026748</v>
      </c>
      <c r="AX71" s="105">
        <v>22.74082763325762</v>
      </c>
      <c r="AY71" s="105">
        <v>4175.2159534660987</v>
      </c>
      <c r="AZ71" s="105">
        <v>19.731610436927426</v>
      </c>
      <c r="BA71" s="105">
        <v>3622.7236762198754</v>
      </c>
      <c r="BB71" s="105">
        <v>24.487259474060224</v>
      </c>
      <c r="BC71" s="105">
        <v>4495.8608394374569</v>
      </c>
      <c r="BD71" s="105">
        <v>20.437663885386776</v>
      </c>
      <c r="BE71" s="105">
        <v>3752.3550893570118</v>
      </c>
      <c r="BF71" s="105">
        <v>21.16625118009771</v>
      </c>
      <c r="BG71" s="105">
        <v>3886.1237166659394</v>
      </c>
      <c r="BH71" s="105">
        <v>19.004671282031115</v>
      </c>
      <c r="BI71" s="105">
        <v>3489.2576473809127</v>
      </c>
      <c r="BJ71" s="105">
        <v>22.558819373730444</v>
      </c>
      <c r="BK71" s="105">
        <v>4141.7992370169095</v>
      </c>
      <c r="BL71" s="105">
        <v>18.545332272993914</v>
      </c>
      <c r="BM71" s="105">
        <v>3404.9230053216825</v>
      </c>
      <c r="BN71" s="105">
        <v>19.480495946400076</v>
      </c>
      <c r="BO71" s="105">
        <v>3576.6190557590539</v>
      </c>
      <c r="BP71" s="105">
        <v>19.975582410133033</v>
      </c>
      <c r="BQ71" s="105">
        <v>3667.5169305004247</v>
      </c>
      <c r="BR71" s="105">
        <v>24.447667673418607</v>
      </c>
      <c r="BS71" s="105">
        <v>4488.5917848396557</v>
      </c>
      <c r="BT71" s="105">
        <v>22.298254346992241</v>
      </c>
      <c r="BU71" s="105">
        <v>4093.9594981077753</v>
      </c>
      <c r="BV71" s="105">
        <v>18.026928484814512</v>
      </c>
      <c r="BW71" s="105">
        <v>3309.7440698119444</v>
      </c>
      <c r="BX71" s="105">
        <v>22.888954646691399</v>
      </c>
      <c r="BY71" s="105">
        <v>4202.4120731325411</v>
      </c>
      <c r="BZ71" s="105">
        <v>22.924557413271231</v>
      </c>
      <c r="CA71" s="105">
        <v>4208.9487410765978</v>
      </c>
      <c r="CB71" s="105">
        <v>22.713120697981989</v>
      </c>
      <c r="CC71" s="105">
        <v>4170.1289601494927</v>
      </c>
      <c r="CD71" s="105">
        <v>23.825352383054014</v>
      </c>
      <c r="CE71" s="105">
        <v>4374.3346975287168</v>
      </c>
      <c r="CF71" s="105">
        <v>20.508765166532363</v>
      </c>
      <c r="CG71" s="105">
        <v>3765.4092845753416</v>
      </c>
      <c r="CH71" s="105">
        <v>21.084610272866772</v>
      </c>
      <c r="CI71" s="105">
        <v>3871.1344460983391</v>
      </c>
      <c r="CJ71" s="105">
        <v>19.541827243135774</v>
      </c>
      <c r="CK71" s="105">
        <v>3587.8794818397282</v>
      </c>
      <c r="CL71" s="105">
        <v>19.771161210785415</v>
      </c>
      <c r="CM71" s="105">
        <v>3629.9851983002022</v>
      </c>
      <c r="CN71" s="105">
        <v>19.851068789700413</v>
      </c>
      <c r="CO71" s="105">
        <v>3644.6562297889959</v>
      </c>
      <c r="CP71" s="105">
        <v>20.646320193520552</v>
      </c>
      <c r="CQ71" s="105">
        <v>3790.664387530373</v>
      </c>
      <c r="CR71" s="105">
        <v>19.37331885035443</v>
      </c>
      <c r="CS71" s="105">
        <v>3556.9413409250733</v>
      </c>
      <c r="CT71" s="105">
        <v>20.297173723591449</v>
      </c>
      <c r="CU71" s="105">
        <v>3726.5610956513897</v>
      </c>
    </row>
    <row r="72" spans="2:99" x14ac:dyDescent="0.2">
      <c r="C72" s="104" t="s">
        <v>238</v>
      </c>
      <c r="D72" s="105">
        <v>2.5014207282414138</v>
      </c>
      <c r="E72" s="105">
        <v>1224.6955885469961</v>
      </c>
      <c r="F72" s="105">
        <v>2.7511779137254888</v>
      </c>
      <c r="G72" s="105">
        <v>1346.9767065599992</v>
      </c>
      <c r="H72" s="105">
        <v>0</v>
      </c>
      <c r="I72" s="105">
        <v>0</v>
      </c>
      <c r="J72" s="105">
        <v>0</v>
      </c>
      <c r="K72" s="105">
        <v>0</v>
      </c>
      <c r="L72" s="105">
        <v>22.434538017037664</v>
      </c>
      <c r="M72" s="105">
        <v>10983.949813141639</v>
      </c>
      <c r="N72" s="105">
        <v>19.435083088553252</v>
      </c>
      <c r="O72" s="105">
        <v>9515.4166801556712</v>
      </c>
      <c r="P72" s="105">
        <v>19.955019506151174</v>
      </c>
      <c r="Q72" s="105">
        <v>9769.9775502116136</v>
      </c>
      <c r="R72" s="105">
        <v>21.411993381644926</v>
      </c>
      <c r="S72" s="105">
        <v>10483.311959653354</v>
      </c>
      <c r="T72" s="105">
        <v>24.512487798962098</v>
      </c>
      <c r="U72" s="105">
        <v>12001.314026371843</v>
      </c>
      <c r="V72" s="105">
        <v>23.104367343212004</v>
      </c>
      <c r="W72" s="105">
        <v>11311.898251236596</v>
      </c>
      <c r="X72" s="105">
        <v>21.168668241204692</v>
      </c>
      <c r="Y72" s="105">
        <v>10364.179970893816</v>
      </c>
      <c r="Z72" s="105">
        <v>20.591197276917644</v>
      </c>
      <c r="AA72" s="105">
        <v>10081.450186778877</v>
      </c>
      <c r="AB72" s="105">
        <v>19.74741102633174</v>
      </c>
      <c r="AC72" s="105">
        <v>9668.3324384920197</v>
      </c>
      <c r="AD72" s="105">
        <v>19.072483500077396</v>
      </c>
      <c r="AE72" s="105">
        <v>9337.8879216378918</v>
      </c>
      <c r="AF72" s="105">
        <v>21.823866837262848</v>
      </c>
      <c r="AG72" s="105">
        <v>10684.965203523891</v>
      </c>
      <c r="AH72" s="105">
        <v>21.226933817178136</v>
      </c>
      <c r="AI72" s="105">
        <v>10392.706796890414</v>
      </c>
      <c r="AJ72" s="105">
        <v>21.962647085843383</v>
      </c>
      <c r="AK72" s="105">
        <v>10752.912013228919</v>
      </c>
      <c r="AL72" s="105">
        <v>20.652932221705594</v>
      </c>
      <c r="AM72" s="105">
        <v>10111.675615747059</v>
      </c>
      <c r="AN72" s="105">
        <v>22.721748946094376</v>
      </c>
      <c r="AO72" s="105">
        <v>11124.568284007806</v>
      </c>
      <c r="AP72" s="105">
        <v>19.726501408705111</v>
      </c>
      <c r="AQ72" s="105">
        <v>9658.0950897020211</v>
      </c>
      <c r="AR72" s="105">
        <v>19.896149231266136</v>
      </c>
      <c r="AS72" s="105">
        <v>9741.1546636278999</v>
      </c>
      <c r="AT72" s="105">
        <v>23.154959129446102</v>
      </c>
      <c r="AU72" s="105">
        <v>11336.66798977681</v>
      </c>
      <c r="AV72" s="105">
        <v>21.354557266799929</v>
      </c>
      <c r="AW72" s="105">
        <v>10455.191237825245</v>
      </c>
      <c r="AX72" s="105">
        <v>21.968863812254277</v>
      </c>
      <c r="AY72" s="105">
        <v>10755.955722479694</v>
      </c>
      <c r="AZ72" s="105">
        <v>19.831375138247541</v>
      </c>
      <c r="BA72" s="105">
        <v>9709.4412676859956</v>
      </c>
      <c r="BB72" s="105">
        <v>23.299351575944382</v>
      </c>
      <c r="BC72" s="105">
        <v>11407.362531582368</v>
      </c>
      <c r="BD72" s="105">
        <v>17.457247617798785</v>
      </c>
      <c r="BE72" s="105">
        <v>8547.0684336742852</v>
      </c>
      <c r="BF72" s="105">
        <v>22.612423814401005</v>
      </c>
      <c r="BG72" s="105">
        <v>11071.042699530732</v>
      </c>
      <c r="BH72" s="105">
        <v>20.768787649058986</v>
      </c>
      <c r="BI72" s="105">
        <v>10168.398432979278</v>
      </c>
      <c r="BJ72" s="105">
        <v>23.301215258848124</v>
      </c>
      <c r="BK72" s="105">
        <v>11408.274990732041</v>
      </c>
      <c r="BL72" s="105">
        <v>18.545332272993914</v>
      </c>
      <c r="BM72" s="105">
        <v>9079.7946808578199</v>
      </c>
      <c r="BN72" s="105">
        <v>19.480495946400076</v>
      </c>
      <c r="BO72" s="105">
        <v>9537.6508153574759</v>
      </c>
      <c r="BP72" s="105">
        <v>21.490522115778038</v>
      </c>
      <c r="BQ72" s="105">
        <v>10521.759627884927</v>
      </c>
      <c r="BR72" s="105">
        <v>23.494927987094062</v>
      </c>
      <c r="BS72" s="105">
        <v>11503.116742481252</v>
      </c>
      <c r="BT72" s="105">
        <v>20.77854354037002</v>
      </c>
      <c r="BU72" s="105">
        <v>10173.174917365161</v>
      </c>
      <c r="BV72" s="105">
        <v>18.770851456563303</v>
      </c>
      <c r="BW72" s="105">
        <v>9190.2088731333934</v>
      </c>
      <c r="BX72" s="105">
        <v>20.564885915917863</v>
      </c>
      <c r="BY72" s="105">
        <v>10068.568144433384</v>
      </c>
      <c r="BZ72" s="105">
        <v>19.90426444512989</v>
      </c>
      <c r="CA72" s="105">
        <v>9745.1278723355936</v>
      </c>
      <c r="CB72" s="105">
        <v>18.763574772132127</v>
      </c>
      <c r="CC72" s="105">
        <v>9186.6462084358882</v>
      </c>
      <c r="CD72" s="105">
        <v>20.897744097681802</v>
      </c>
      <c r="CE72" s="105">
        <v>10231.535510225009</v>
      </c>
      <c r="CF72" s="105">
        <v>19.766241478931917</v>
      </c>
      <c r="CG72" s="105">
        <v>9677.5518280850665</v>
      </c>
      <c r="CH72" s="105">
        <v>23.726079468942572</v>
      </c>
      <c r="CI72" s="105">
        <v>11616.288507994283</v>
      </c>
      <c r="CJ72" s="105">
        <v>20.479764276353201</v>
      </c>
      <c r="CK72" s="105">
        <v>10026.892589702527</v>
      </c>
      <c r="CL72" s="105">
        <v>20.711445719796853</v>
      </c>
      <c r="CM72" s="105">
        <v>10140.323824412539</v>
      </c>
      <c r="CN72" s="105">
        <v>18.851068789700413</v>
      </c>
      <c r="CO72" s="105">
        <v>9229.4832794373215</v>
      </c>
      <c r="CP72" s="105">
        <v>17.54739385285821</v>
      </c>
      <c r="CQ72" s="105">
        <v>8591.2040303593785</v>
      </c>
      <c r="CR72" s="105">
        <v>19.47442199960809</v>
      </c>
      <c r="CS72" s="105">
        <v>9534.6770110081197</v>
      </c>
      <c r="CT72" s="105">
        <v>21.085234558084764</v>
      </c>
      <c r="CU72" s="105">
        <v>10323.3308396383</v>
      </c>
    </row>
    <row r="73" spans="2:99" x14ac:dyDescent="0.2">
      <c r="C73" s="104" t="s">
        <v>239</v>
      </c>
      <c r="D73" s="105">
        <v>2.5014207282414138</v>
      </c>
      <c r="E73" s="105">
        <v>1419.8064053498265</v>
      </c>
      <c r="F73" s="105">
        <v>2.7511779137254888</v>
      </c>
      <c r="G73" s="105">
        <v>1561.5685838305876</v>
      </c>
      <c r="H73" s="105">
        <v>0</v>
      </c>
      <c r="I73" s="105">
        <v>0</v>
      </c>
      <c r="J73" s="105">
        <v>0</v>
      </c>
      <c r="K73" s="105">
        <v>0</v>
      </c>
      <c r="L73" s="105">
        <v>19.110902755254308</v>
      </c>
      <c r="M73" s="105">
        <v>10847.348403882346</v>
      </c>
      <c r="N73" s="105">
        <v>18.687579892839665</v>
      </c>
      <c r="O73" s="105">
        <v>10607.070347175793</v>
      </c>
      <c r="P73" s="105">
        <v>18.893915094267982</v>
      </c>
      <c r="Q73" s="105">
        <v>10724.186207506507</v>
      </c>
      <c r="R73" s="105">
        <v>20.576695024193345</v>
      </c>
      <c r="S73" s="105">
        <v>11679.332095732143</v>
      </c>
      <c r="T73" s="105">
        <v>25.26602161650742</v>
      </c>
      <c r="U73" s="105">
        <v>14340.993869529611</v>
      </c>
      <c r="V73" s="105">
        <v>20.218030334272594</v>
      </c>
      <c r="W73" s="105">
        <v>11475.754017733125</v>
      </c>
      <c r="X73" s="105">
        <v>22.071716043393231</v>
      </c>
      <c r="Y73" s="105">
        <v>12527.906026229999</v>
      </c>
      <c r="Z73" s="105">
        <v>19.2044198474923</v>
      </c>
      <c r="AA73" s="105">
        <v>10900.42870543663</v>
      </c>
      <c r="AB73" s="105">
        <v>21.488874964616933</v>
      </c>
      <c r="AC73" s="105">
        <v>12197.085429916571</v>
      </c>
      <c r="AD73" s="105">
        <v>19.948147785085176</v>
      </c>
      <c r="AE73" s="105">
        <v>11322.568682814346</v>
      </c>
      <c r="AF73" s="105">
        <v>21.109200635362711</v>
      </c>
      <c r="AG73" s="105">
        <v>11981.582280631876</v>
      </c>
      <c r="AH73" s="105">
        <v>22.662040453166746</v>
      </c>
      <c r="AI73" s="105">
        <v>12862.974161217446</v>
      </c>
      <c r="AJ73" s="105">
        <v>20.024766460621908</v>
      </c>
      <c r="AK73" s="105">
        <v>11366.057443048996</v>
      </c>
      <c r="AL73" s="105">
        <v>21.652932221705594</v>
      </c>
      <c r="AM73" s="105">
        <v>12290.204329040096</v>
      </c>
      <c r="AN73" s="105">
        <v>22.760304246959599</v>
      </c>
      <c r="AO73" s="105">
        <v>12918.74869057427</v>
      </c>
      <c r="AP73" s="105">
        <v>19.884458107794018</v>
      </c>
      <c r="AQ73" s="105">
        <v>11286.418421983884</v>
      </c>
      <c r="AR73" s="105">
        <v>19.225195793616557</v>
      </c>
      <c r="AS73" s="105">
        <v>10912.221132456758</v>
      </c>
      <c r="AT73" s="105">
        <v>23.154959129446102</v>
      </c>
      <c r="AU73" s="105">
        <v>13142.754801873607</v>
      </c>
      <c r="AV73" s="105">
        <v>18.865787506355552</v>
      </c>
      <c r="AW73" s="105">
        <v>10708.220988607412</v>
      </c>
      <c r="AX73" s="105">
        <v>21.905123581846542</v>
      </c>
      <c r="AY73" s="105">
        <v>12433.348145056098</v>
      </c>
      <c r="AZ73" s="105">
        <v>18.731610436927426</v>
      </c>
      <c r="BA73" s="105">
        <v>10632.062084000007</v>
      </c>
      <c r="BB73" s="105">
        <v>22.588592747160252</v>
      </c>
      <c r="BC73" s="105">
        <v>12821.285243288159</v>
      </c>
      <c r="BD73" s="105">
        <v>20.428996469597152</v>
      </c>
      <c r="BE73" s="105">
        <v>11595.498396143345</v>
      </c>
      <c r="BF73" s="105">
        <v>19.511588313957006</v>
      </c>
      <c r="BG73" s="105">
        <v>11074.777527001997</v>
      </c>
      <c r="BH73" s="105">
        <v>18.122613098517178</v>
      </c>
      <c r="BI73" s="105">
        <v>10286.39519471835</v>
      </c>
      <c r="BJ73" s="105">
        <v>21.074027603495082</v>
      </c>
      <c r="BK73" s="105">
        <v>11961.61806774381</v>
      </c>
      <c r="BL73" s="105">
        <v>18.545332272993914</v>
      </c>
      <c r="BM73" s="105">
        <v>10526.330598151346</v>
      </c>
      <c r="BN73" s="105">
        <v>19.490295957954011</v>
      </c>
      <c r="BO73" s="105">
        <v>11062.691985734697</v>
      </c>
      <c r="BP73" s="105">
        <v>19.813273408146124</v>
      </c>
      <c r="BQ73" s="105">
        <v>11246.01398646374</v>
      </c>
      <c r="BR73" s="105">
        <v>20.385634076701599</v>
      </c>
      <c r="BS73" s="105">
        <v>11570.885901935828</v>
      </c>
      <c r="BT73" s="105">
        <v>20.018688137058909</v>
      </c>
      <c r="BU73" s="105">
        <v>11362.607386594636</v>
      </c>
      <c r="BV73" s="105">
        <v>17.109143780262524</v>
      </c>
      <c r="BW73" s="105">
        <v>9711.1500096770087</v>
      </c>
      <c r="BX73" s="105">
        <v>22.168338657201332</v>
      </c>
      <c r="BY73" s="105">
        <v>12582.749021827476</v>
      </c>
      <c r="BZ73" s="105">
        <v>21.350049183890675</v>
      </c>
      <c r="CA73" s="105">
        <v>12118.287916776348</v>
      </c>
      <c r="CB73" s="105">
        <v>21.924627346679888</v>
      </c>
      <c r="CC73" s="105">
        <v>12444.418481975505</v>
      </c>
      <c r="CD73" s="105">
        <v>23.146594220575452</v>
      </c>
      <c r="CE73" s="105">
        <v>13138.006879598626</v>
      </c>
      <c r="CF73" s="105">
        <v>20.508765166532363</v>
      </c>
      <c r="CG73" s="105">
        <v>11640.775108523771</v>
      </c>
      <c r="CH73" s="105">
        <v>23.070266534335119</v>
      </c>
      <c r="CI73" s="105">
        <v>13094.683284888613</v>
      </c>
      <c r="CJ73" s="105">
        <v>17.665953176700928</v>
      </c>
      <c r="CK73" s="105">
        <v>10027.195023095446</v>
      </c>
      <c r="CL73" s="105">
        <v>18.017686071001286</v>
      </c>
      <c r="CM73" s="105">
        <v>10226.838613900331</v>
      </c>
      <c r="CN73" s="105">
        <v>18.65458028119491</v>
      </c>
      <c r="CO73" s="105">
        <v>10588.339767606232</v>
      </c>
      <c r="CP73" s="105">
        <v>17.54739385285821</v>
      </c>
      <c r="CQ73" s="105">
        <v>9959.9007508823197</v>
      </c>
      <c r="CR73" s="105">
        <v>17.483613194994785</v>
      </c>
      <c r="CS73" s="105">
        <v>9923.6988494790403</v>
      </c>
      <c r="CT73" s="105">
        <v>18.715032179324481</v>
      </c>
      <c r="CU73" s="105">
        <v>10622.652264984576</v>
      </c>
    </row>
    <row r="74" spans="2:99" x14ac:dyDescent="0.2">
      <c r="C74" s="104" t="s">
        <v>240</v>
      </c>
      <c r="D74" s="105">
        <v>2.9386533479669339</v>
      </c>
      <c r="E74" s="105">
        <v>923.91261260080398</v>
      </c>
      <c r="F74" s="105">
        <v>2.7511779137254888</v>
      </c>
      <c r="G74" s="105">
        <v>864.97033607529363</v>
      </c>
      <c r="H74" s="105">
        <v>0</v>
      </c>
      <c r="I74" s="105">
        <v>0</v>
      </c>
      <c r="J74" s="105">
        <v>0</v>
      </c>
      <c r="K74" s="105">
        <v>0</v>
      </c>
      <c r="L74" s="105">
        <v>22.434538017037664</v>
      </c>
      <c r="M74" s="105">
        <v>7053.4187525566413</v>
      </c>
      <c r="N74" s="105">
        <v>20.930089479980428</v>
      </c>
      <c r="O74" s="105">
        <v>6580.4201325058457</v>
      </c>
      <c r="P74" s="105">
        <v>21.819877599900444</v>
      </c>
      <c r="Q74" s="105">
        <v>6860.169517408699</v>
      </c>
      <c r="R74" s="105">
        <v>23.076103970602876</v>
      </c>
      <c r="S74" s="105">
        <v>7255.1270883575435</v>
      </c>
      <c r="T74" s="105">
        <v>22.251886346326142</v>
      </c>
      <c r="U74" s="105">
        <v>6995.9930672849387</v>
      </c>
      <c r="V74" s="105">
        <v>23.837010662504724</v>
      </c>
      <c r="W74" s="105">
        <v>7494.3561522914852</v>
      </c>
      <c r="X74" s="105">
        <v>21.324234190294497</v>
      </c>
      <c r="Y74" s="105">
        <v>6704.3392294285895</v>
      </c>
      <c r="Z74" s="105">
        <v>23.117758528301081</v>
      </c>
      <c r="AA74" s="105">
        <v>7268.2232812978591</v>
      </c>
      <c r="AB74" s="105">
        <v>20.634998939304278</v>
      </c>
      <c r="AC74" s="105">
        <v>6487.643666517265</v>
      </c>
      <c r="AD74" s="105">
        <v>19.132171176412317</v>
      </c>
      <c r="AE74" s="105">
        <v>6015.1546178640319</v>
      </c>
      <c r="AF74" s="105">
        <v>23.253199241063122</v>
      </c>
      <c r="AG74" s="105">
        <v>7310.8058413902454</v>
      </c>
      <c r="AH74" s="105">
        <v>22.79117054769765</v>
      </c>
      <c r="AI74" s="105">
        <v>7165.544020196141</v>
      </c>
      <c r="AJ74" s="105">
        <v>22.60860729425054</v>
      </c>
      <c r="AK74" s="105">
        <v>7108.1461333123689</v>
      </c>
      <c r="AL74" s="105">
        <v>22.652932221705594</v>
      </c>
      <c r="AM74" s="105">
        <v>7122.0818905042379</v>
      </c>
      <c r="AN74" s="105">
        <v>23.491436571713109</v>
      </c>
      <c r="AO74" s="105">
        <v>7385.7076581466008</v>
      </c>
      <c r="AP74" s="105">
        <v>19.786689470349675</v>
      </c>
      <c r="AQ74" s="105">
        <v>6220.9351694779371</v>
      </c>
      <c r="AR74" s="105">
        <v>23.250916419514034</v>
      </c>
      <c r="AS74" s="105">
        <v>7310.0881222952121</v>
      </c>
      <c r="AT74" s="105">
        <v>24.864066089646428</v>
      </c>
      <c r="AU74" s="105">
        <v>7817.2623785848364</v>
      </c>
      <c r="AV74" s="105">
        <v>23.001672593064399</v>
      </c>
      <c r="AW74" s="105">
        <v>7231.7258632594467</v>
      </c>
      <c r="AX74" s="105">
        <v>20.417853922424513</v>
      </c>
      <c r="AY74" s="105">
        <v>6419.3732732102662</v>
      </c>
      <c r="AZ74" s="105">
        <v>20.831375138247541</v>
      </c>
      <c r="BA74" s="105">
        <v>6549.3843434650262</v>
      </c>
      <c r="BB74" s="105">
        <v>20.451351485594426</v>
      </c>
      <c r="BC74" s="105">
        <v>6429.904907070887</v>
      </c>
      <c r="BD74" s="105">
        <v>20.623219067747005</v>
      </c>
      <c r="BE74" s="105">
        <v>6483.9400748996577</v>
      </c>
      <c r="BF74" s="105">
        <v>24.281609557330384</v>
      </c>
      <c r="BG74" s="105">
        <v>7634.1380448246719</v>
      </c>
      <c r="BH74" s="105">
        <v>19.004671282031115</v>
      </c>
      <c r="BI74" s="105">
        <v>5975.0686510705818</v>
      </c>
      <c r="BJ74" s="105">
        <v>21.816423488612763</v>
      </c>
      <c r="BK74" s="105">
        <v>6859.0835448198522</v>
      </c>
      <c r="BL74" s="105">
        <v>17.545332272993914</v>
      </c>
      <c r="BM74" s="105">
        <v>5516.2524666292857</v>
      </c>
      <c r="BN74" s="105">
        <v>22.470695934846137</v>
      </c>
      <c r="BO74" s="105">
        <v>7064.7868019156249</v>
      </c>
      <c r="BP74" s="105">
        <v>21.429744092708631</v>
      </c>
      <c r="BQ74" s="105">
        <v>6737.511542747593</v>
      </c>
      <c r="BR74" s="105">
        <v>25.171853250338124</v>
      </c>
      <c r="BS74" s="105">
        <v>7914.0306619063058</v>
      </c>
      <c r="BT74" s="105">
        <v>21.538398943681131</v>
      </c>
      <c r="BU74" s="105">
        <v>6771.6726278933465</v>
      </c>
      <c r="BV74" s="105">
        <v>18.770851456563303</v>
      </c>
      <c r="BW74" s="105">
        <v>5901.5556979435023</v>
      </c>
      <c r="BX74" s="105">
        <v>22.93626903569654</v>
      </c>
      <c r="BY74" s="105">
        <v>7211.1629848229913</v>
      </c>
      <c r="BZ74" s="105">
        <v>22.924557413271231</v>
      </c>
      <c r="CA74" s="105">
        <v>7207.4808507324742</v>
      </c>
      <c r="CB74" s="105">
        <v>21.917548177340539</v>
      </c>
      <c r="CC74" s="105">
        <v>6890.8771469558651</v>
      </c>
      <c r="CD74" s="105">
        <v>20.95088800654629</v>
      </c>
      <c r="CE74" s="105">
        <v>6586.9591892581529</v>
      </c>
      <c r="CF74" s="105">
        <v>20.672743540832769</v>
      </c>
      <c r="CG74" s="105">
        <v>6499.510569237822</v>
      </c>
      <c r="CH74" s="105">
        <v>23.738224440706567</v>
      </c>
      <c r="CI74" s="105">
        <v>7463.2977641581438</v>
      </c>
      <c r="CJ74" s="105">
        <v>18.595190294628654</v>
      </c>
      <c r="CK74" s="105">
        <v>5846.3278286312488</v>
      </c>
      <c r="CL74" s="105">
        <v>20.647898780677483</v>
      </c>
      <c r="CM74" s="105">
        <v>6491.6993766450005</v>
      </c>
      <c r="CN74" s="105">
        <v>19.851068789700413</v>
      </c>
      <c r="CO74" s="105">
        <v>6241.1760274818098</v>
      </c>
      <c r="CP74" s="105">
        <v>17.646320193520552</v>
      </c>
      <c r="CQ74" s="105">
        <v>5548.0030688428615</v>
      </c>
      <c r="CR74" s="105">
        <v>17.47442199960809</v>
      </c>
      <c r="CS74" s="105">
        <v>5493.9582766767835</v>
      </c>
      <c r="CT74" s="105">
        <v>19.509112889098137</v>
      </c>
      <c r="CU74" s="105">
        <v>6133.6650923324542</v>
      </c>
    </row>
    <row r="75" spans="2:99" x14ac:dyDescent="0.2">
      <c r="C75" s="104" t="s">
        <v>241</v>
      </c>
      <c r="D75" s="105">
        <v>2.752250811354525</v>
      </c>
      <c r="E75" s="105">
        <v>1648.0477858390893</v>
      </c>
      <c r="F75" s="105">
        <v>2.7511779137254888</v>
      </c>
      <c r="G75" s="105">
        <v>1647.4053347388226</v>
      </c>
      <c r="H75" s="105">
        <v>0</v>
      </c>
      <c r="I75" s="105">
        <v>0</v>
      </c>
      <c r="J75" s="105">
        <v>0</v>
      </c>
      <c r="K75" s="105">
        <v>0</v>
      </c>
      <c r="L75" s="105">
        <v>22.434538017037664</v>
      </c>
      <c r="M75" s="105">
        <v>13433.801364602152</v>
      </c>
      <c r="N75" s="105">
        <v>17.940076697126081</v>
      </c>
      <c r="O75" s="105">
        <v>10742.517926239096</v>
      </c>
      <c r="P75" s="105">
        <v>18.979698670940351</v>
      </c>
      <c r="Q75" s="105">
        <v>11365.043564159081</v>
      </c>
      <c r="R75" s="105">
        <v>23.082590096548085</v>
      </c>
      <c r="S75" s="105">
        <v>13821.854949812992</v>
      </c>
      <c r="T75" s="105">
        <v>23.005420163871459</v>
      </c>
      <c r="U75" s="105">
        <v>13775.645594126228</v>
      </c>
      <c r="V75" s="105">
        <v>21.639080704626558</v>
      </c>
      <c r="W75" s="105">
        <v>12957.481525930381</v>
      </c>
      <c r="X75" s="105">
        <v>21.176417949152643</v>
      </c>
      <c r="Y75" s="105">
        <v>12680.439067952602</v>
      </c>
      <c r="Z75" s="105">
        <v>21.099643144175953</v>
      </c>
      <c r="AA75" s="105">
        <v>12634.466314732559</v>
      </c>
      <c r="AB75" s="105">
        <v>19.74741102633174</v>
      </c>
      <c r="AC75" s="105">
        <v>11824.749722567445</v>
      </c>
      <c r="AD75" s="105">
        <v>19.132171176412317</v>
      </c>
      <c r="AE75" s="105">
        <v>11456.344100435696</v>
      </c>
      <c r="AF75" s="105">
        <v>20.26657417337633</v>
      </c>
      <c r="AG75" s="105">
        <v>12135.624615017745</v>
      </c>
      <c r="AH75" s="105">
        <v>21.944487135172444</v>
      </c>
      <c r="AI75" s="105">
        <v>13140.358896541258</v>
      </c>
      <c r="AJ75" s="105">
        <v>20.024766460621908</v>
      </c>
      <c r="AK75" s="105">
        <v>11990.830156620397</v>
      </c>
      <c r="AL75" s="105">
        <v>19.652932221705594</v>
      </c>
      <c r="AM75" s="105">
        <v>11768.17581435731</v>
      </c>
      <c r="AN75" s="105">
        <v>20.412686069238177</v>
      </c>
      <c r="AO75" s="105">
        <v>12223.116418259819</v>
      </c>
      <c r="AP75" s="105">
        <v>16.383979687532488</v>
      </c>
      <c r="AQ75" s="105">
        <v>9810.7270368944537</v>
      </c>
      <c r="AR75" s="105">
        <v>21.238056106565296</v>
      </c>
      <c r="AS75" s="105">
        <v>12717.347996611297</v>
      </c>
      <c r="AT75" s="105">
        <v>22.372750122584772</v>
      </c>
      <c r="AU75" s="105">
        <v>13396.802773403761</v>
      </c>
      <c r="AV75" s="105">
        <v>19.538658982221531</v>
      </c>
      <c r="AW75" s="105">
        <v>11699.748998554252</v>
      </c>
      <c r="AX75" s="105">
        <v>20.424936170247594</v>
      </c>
      <c r="AY75" s="105">
        <v>12230.451778744258</v>
      </c>
      <c r="AZ75" s="105">
        <v>17.831375138247541</v>
      </c>
      <c r="BA75" s="105">
        <v>10677.427432782626</v>
      </c>
      <c r="BB75" s="105">
        <v>22.588592747160252</v>
      </c>
      <c r="BC75" s="105">
        <v>13526.049336999558</v>
      </c>
      <c r="BD75" s="105">
        <v>19.438413518997695</v>
      </c>
      <c r="BE75" s="105">
        <v>11639.722015175819</v>
      </c>
      <c r="BF75" s="105">
        <v>22.691602476205922</v>
      </c>
      <c r="BG75" s="105">
        <v>13587.731562752106</v>
      </c>
      <c r="BH75" s="105">
        <v>21.737597390858486</v>
      </c>
      <c r="BI75" s="105">
        <v>13016.473317646061</v>
      </c>
      <c r="BJ75" s="105">
        <v>21.816423488612763</v>
      </c>
      <c r="BK75" s="105">
        <v>13063.674384981321</v>
      </c>
      <c r="BL75" s="105">
        <v>16.545332272993914</v>
      </c>
      <c r="BM75" s="105">
        <v>9907.3449650687544</v>
      </c>
      <c r="BN75" s="105">
        <v>19.686443879161331</v>
      </c>
      <c r="BO75" s="105">
        <v>11788.242594841804</v>
      </c>
      <c r="BP75" s="105">
        <v>20.651897761962083</v>
      </c>
      <c r="BQ75" s="105">
        <v>12366.356379862895</v>
      </c>
      <c r="BR75" s="105">
        <v>21.981040467913772</v>
      </c>
      <c r="BS75" s="105">
        <v>13162.247032186766</v>
      </c>
      <c r="BT75" s="105">
        <v>19.258832733747798</v>
      </c>
      <c r="BU75" s="105">
        <v>11532.18904096818</v>
      </c>
      <c r="BV75" s="105">
        <v>20.606420865667275</v>
      </c>
      <c r="BW75" s="105">
        <v>12339.124814361563</v>
      </c>
      <c r="BX75" s="105">
        <v>20.618959503352308</v>
      </c>
      <c r="BY75" s="105">
        <v>12346.632950607362</v>
      </c>
      <c r="BZ75" s="105">
        <v>20.032987935749667</v>
      </c>
      <c r="CA75" s="105">
        <v>11995.753175926899</v>
      </c>
      <c r="CB75" s="105">
        <v>21.136133995377783</v>
      </c>
      <c r="CC75" s="105">
        <v>12656.317036432216</v>
      </c>
      <c r="CD75" s="105">
        <v>23.146594220575452</v>
      </c>
      <c r="CE75" s="105">
        <v>13860.18061928058</v>
      </c>
      <c r="CF75" s="105">
        <v>20.680941838811925</v>
      </c>
      <c r="CG75" s="105">
        <v>12383.747973080581</v>
      </c>
      <c r="CH75" s="105">
        <v>23.73215195482457</v>
      </c>
      <c r="CI75" s="105">
        <v>14210.812590548951</v>
      </c>
      <c r="CJ75" s="105">
        <v>18.595190294628654</v>
      </c>
      <c r="CK75" s="105">
        <v>11134.799948423637</v>
      </c>
      <c r="CL75" s="105">
        <v>18.894423640893351</v>
      </c>
      <c r="CM75" s="105">
        <v>11313.980876166937</v>
      </c>
      <c r="CN75" s="105">
        <v>18.841766681746357</v>
      </c>
      <c r="CO75" s="105">
        <v>11282.449889029718</v>
      </c>
      <c r="CP75" s="105">
        <v>18.54739385285821</v>
      </c>
      <c r="CQ75" s="105">
        <v>11106.179439091495</v>
      </c>
      <c r="CR75" s="105">
        <v>18.47442199960809</v>
      </c>
      <c r="CS75" s="105">
        <v>11062.483893365323</v>
      </c>
      <c r="CT75" s="105">
        <v>21.079214682804423</v>
      </c>
      <c r="CU75" s="105">
        <v>12622.233752063288</v>
      </c>
    </row>
    <row r="76" spans="2:99" x14ac:dyDescent="0.2">
      <c r="C76" s="104" t="s">
        <v>242</v>
      </c>
      <c r="D76" s="105">
        <v>2.5014207282414138</v>
      </c>
      <c r="E76" s="105">
        <v>2158.2258043266916</v>
      </c>
      <c r="F76" s="105">
        <v>3.0950751529411744</v>
      </c>
      <c r="G76" s="105">
        <v>2670.430841957645</v>
      </c>
      <c r="H76" s="105">
        <v>0</v>
      </c>
      <c r="I76" s="105">
        <v>0</v>
      </c>
      <c r="J76" s="105">
        <v>0</v>
      </c>
      <c r="K76" s="105">
        <v>0</v>
      </c>
      <c r="L76" s="105">
        <v>19.110902755254308</v>
      </c>
      <c r="M76" s="105">
        <v>16488.886897233417</v>
      </c>
      <c r="N76" s="105">
        <v>18.687579892839665</v>
      </c>
      <c r="O76" s="105">
        <v>16123.643931542061</v>
      </c>
      <c r="P76" s="105">
        <v>17.918594259057162</v>
      </c>
      <c r="Q76" s="105">
        <v>15460.163126714519</v>
      </c>
      <c r="R76" s="105">
        <v>19.734910540796559</v>
      </c>
      <c r="S76" s="105">
        <v>17027.280814599271</v>
      </c>
      <c r="T76" s="105">
        <v>21.498352528780821</v>
      </c>
      <c r="U76" s="105">
        <v>18548.778561832092</v>
      </c>
      <c r="V76" s="105">
        <v>21.639080704626558</v>
      </c>
      <c r="W76" s="105">
        <v>18670.198831951791</v>
      </c>
      <c r="X76" s="105">
        <v>23.566107959459888</v>
      </c>
      <c r="Y76" s="105">
        <v>20332.837947421991</v>
      </c>
      <c r="Z76" s="105">
        <v>18.578991488984215</v>
      </c>
      <c r="AA76" s="105">
        <v>16029.95385669558</v>
      </c>
      <c r="AB76" s="105">
        <v>19.74741102633174</v>
      </c>
      <c r="AC76" s="105">
        <v>17038.066233519025</v>
      </c>
      <c r="AD76" s="105">
        <v>19.124710216870454</v>
      </c>
      <c r="AE76" s="105">
        <v>16500.799975115828</v>
      </c>
      <c r="AF76" s="105">
        <v>20.394534433462574</v>
      </c>
      <c r="AG76" s="105">
        <v>17596.404309191508</v>
      </c>
      <c r="AH76" s="105">
        <v>22.073617229703345</v>
      </c>
      <c r="AI76" s="105">
        <v>19045.116945788046</v>
      </c>
      <c r="AJ76" s="105">
        <v>21.316686877436226</v>
      </c>
      <c r="AK76" s="105">
        <v>18392.037437851974</v>
      </c>
      <c r="AL76" s="105">
        <v>18.489699166279195</v>
      </c>
      <c r="AM76" s="105">
        <v>15952.912440665688</v>
      </c>
      <c r="AN76" s="105">
        <v>20.412686069238177</v>
      </c>
      <c r="AO76" s="105">
        <v>17612.065540538697</v>
      </c>
      <c r="AP76" s="105">
        <v>18.186883451602242</v>
      </c>
      <c r="AQ76" s="105">
        <v>15691.643042042413</v>
      </c>
      <c r="AR76" s="105">
        <v>20.439867281168198</v>
      </c>
      <c r="AS76" s="105">
        <v>17635.51749019192</v>
      </c>
      <c r="AT76" s="105">
        <v>20.032261617173209</v>
      </c>
      <c r="AU76" s="105">
        <v>17283.835323297044</v>
      </c>
      <c r="AV76" s="105">
        <v>19.69296452369732</v>
      </c>
      <c r="AW76" s="105">
        <v>16991.089791046048</v>
      </c>
      <c r="AX76" s="105">
        <v>19.58923211883652</v>
      </c>
      <c r="AY76" s="105">
        <v>16901.589472132149</v>
      </c>
      <c r="AZ76" s="105">
        <v>16.831375138247541</v>
      </c>
      <c r="BA76" s="105">
        <v>14522.110469279978</v>
      </c>
      <c r="BB76" s="105">
        <v>19.673801739859361</v>
      </c>
      <c r="BC76" s="105">
        <v>16974.556141150657</v>
      </c>
      <c r="BD76" s="105">
        <v>19.438413518997695</v>
      </c>
      <c r="BE76" s="105">
        <v>16771.463184191212</v>
      </c>
      <c r="BF76" s="105">
        <v>20.306591854519237</v>
      </c>
      <c r="BG76" s="105">
        <v>17520.527452079197</v>
      </c>
      <c r="BH76" s="105">
        <v>20.768787649058986</v>
      </c>
      <c r="BI76" s="105">
        <v>17919.309983608091</v>
      </c>
      <c r="BJ76" s="105">
        <v>21.821156450934751</v>
      </c>
      <c r="BK76" s="105">
        <v>18827.293785866503</v>
      </c>
      <c r="BL76" s="105">
        <v>18.545332272993914</v>
      </c>
      <c r="BM76" s="105">
        <v>16000.912685139148</v>
      </c>
      <c r="BN76" s="105">
        <v>19.490295957954011</v>
      </c>
      <c r="BO76" s="105">
        <v>16816.227352522721</v>
      </c>
      <c r="BP76" s="105">
        <v>18.075246677444802</v>
      </c>
      <c r="BQ76" s="105">
        <v>15595.322833299375</v>
      </c>
      <c r="BR76" s="105">
        <v>21.981040467913772</v>
      </c>
      <c r="BS76" s="105">
        <v>18965.241715716002</v>
      </c>
      <c r="BT76" s="105">
        <v>20.77854354037002</v>
      </c>
      <c r="BU76" s="105">
        <v>17927.727366631254</v>
      </c>
      <c r="BV76" s="105">
        <v>16.935282047459328</v>
      </c>
      <c r="BW76" s="105">
        <v>14611.761350547908</v>
      </c>
      <c r="BX76" s="105">
        <v>22.888954646691399</v>
      </c>
      <c r="BY76" s="105">
        <v>19748.590069165337</v>
      </c>
      <c r="BZ76" s="105">
        <v>19.90426444512989</v>
      </c>
      <c r="CA76" s="105">
        <v>17173.399363258068</v>
      </c>
      <c r="CB76" s="105">
        <v>19.552068123434232</v>
      </c>
      <c r="CC76" s="105">
        <v>16869.524376899055</v>
      </c>
      <c r="CD76" s="105">
        <v>21.629646169024856</v>
      </c>
      <c r="CE76" s="105">
        <v>18662.058714634644</v>
      </c>
      <c r="CF76" s="105">
        <v>18.621976360918246</v>
      </c>
      <c r="CG76" s="105">
        <v>16067.041204200263</v>
      </c>
      <c r="CH76" s="105">
        <v>20.349855021793367</v>
      </c>
      <c r="CI76" s="105">
        <v>17557.854912803316</v>
      </c>
      <c r="CJ76" s="105">
        <v>19.359105471373503</v>
      </c>
      <c r="CK76" s="105">
        <v>16703.036200701059</v>
      </c>
      <c r="CL76" s="105">
        <v>18.017686071001286</v>
      </c>
      <c r="CM76" s="105">
        <v>15545.65954205991</v>
      </c>
      <c r="CN76" s="105">
        <v>19.65458028119491</v>
      </c>
      <c r="CO76" s="105">
        <v>16957.971866614967</v>
      </c>
      <c r="CP76" s="105">
        <v>17.54739385285821</v>
      </c>
      <c r="CQ76" s="105">
        <v>15139.891416246062</v>
      </c>
      <c r="CR76" s="105">
        <v>18.37331885035443</v>
      </c>
      <c r="CS76" s="105">
        <v>15852.499504085801</v>
      </c>
      <c r="CT76" s="105">
        <v>17.926971344831166</v>
      </c>
      <c r="CU76" s="105">
        <v>15467.390876320329</v>
      </c>
    </row>
    <row r="77" spans="2:99" x14ac:dyDescent="0.2">
      <c r="C77" s="104" t="s">
        <v>243</v>
      </c>
      <c r="D77" s="105">
        <v>2.5014207282414138</v>
      </c>
      <c r="E77" s="105">
        <v>1725.9803024865755</v>
      </c>
      <c r="F77" s="105">
        <v>3.0950751529411744</v>
      </c>
      <c r="G77" s="105">
        <v>2135.6018555294104</v>
      </c>
      <c r="H77" s="105">
        <v>0</v>
      </c>
      <c r="I77" s="105">
        <v>0</v>
      </c>
      <c r="J77" s="105">
        <v>0</v>
      </c>
      <c r="K77" s="105">
        <v>0</v>
      </c>
      <c r="L77" s="105">
        <v>18.27999393980847</v>
      </c>
      <c r="M77" s="105">
        <v>12613.195818467844</v>
      </c>
      <c r="N77" s="105">
        <v>17.192573501412493</v>
      </c>
      <c r="O77" s="105">
        <v>11862.87571597462</v>
      </c>
      <c r="P77" s="105">
        <v>17.029057000518712</v>
      </c>
      <c r="Q77" s="105">
        <v>11750.049330357911</v>
      </c>
      <c r="R77" s="105">
        <v>21.405507255699717</v>
      </c>
      <c r="S77" s="105">
        <v>14769.800006432804</v>
      </c>
      <c r="T77" s="105">
        <v>24.512487798962098</v>
      </c>
      <c r="U77" s="105">
        <v>16913.616581283848</v>
      </c>
      <c r="V77" s="105">
        <v>20.173794066041111</v>
      </c>
      <c r="W77" s="105">
        <v>13919.917905568367</v>
      </c>
      <c r="X77" s="105">
        <v>19.518710376048229</v>
      </c>
      <c r="Y77" s="105">
        <v>13467.910159473278</v>
      </c>
      <c r="Z77" s="105">
        <v>21.772348272217663</v>
      </c>
      <c r="AA77" s="105">
        <v>15022.920307830187</v>
      </c>
      <c r="AB77" s="105">
        <v>22.368034905674499</v>
      </c>
      <c r="AC77" s="105">
        <v>15433.944084915403</v>
      </c>
      <c r="AD77" s="105">
        <v>18.256506891404538</v>
      </c>
      <c r="AE77" s="105">
        <v>12596.989755069131</v>
      </c>
      <c r="AF77" s="105">
        <v>20.981240375276467</v>
      </c>
      <c r="AG77" s="105">
        <v>14477.055858940763</v>
      </c>
      <c r="AH77" s="105">
        <v>20.50938049918383</v>
      </c>
      <c r="AI77" s="105">
        <v>14151.472544436843</v>
      </c>
      <c r="AJ77" s="105">
        <v>20.024766460621908</v>
      </c>
      <c r="AK77" s="105">
        <v>13817.088857829116</v>
      </c>
      <c r="AL77" s="105">
        <v>18.652932221705594</v>
      </c>
      <c r="AM77" s="105">
        <v>12870.523232976861</v>
      </c>
      <c r="AN77" s="105">
        <v>22.721748946094376</v>
      </c>
      <c r="AO77" s="105">
        <v>15678.00677280512</v>
      </c>
      <c r="AP77" s="105">
        <v>17.311763846536859</v>
      </c>
      <c r="AQ77" s="105">
        <v>11945.117054110433</v>
      </c>
      <c r="AR77" s="105">
        <v>21.902699169083121</v>
      </c>
      <c r="AS77" s="105">
        <v>15112.862426667354</v>
      </c>
      <c r="AT77" s="105">
        <v>20.026123102000781</v>
      </c>
      <c r="AU77" s="105">
        <v>13818.024940380539</v>
      </c>
      <c r="AV77" s="105">
        <v>19.685725815278253</v>
      </c>
      <c r="AW77" s="105">
        <v>13583.150812541995</v>
      </c>
      <c r="AX77" s="105">
        <v>21.905123581846542</v>
      </c>
      <c r="AY77" s="105">
        <v>15114.535271474115</v>
      </c>
      <c r="AZ77" s="105">
        <v>16.731610436927426</v>
      </c>
      <c r="BA77" s="105">
        <v>11544.811201479924</v>
      </c>
      <c r="BB77" s="105">
        <v>19.568809039095385</v>
      </c>
      <c r="BC77" s="105">
        <v>13502.478236975816</v>
      </c>
      <c r="BD77" s="105">
        <v>18.447830568398242</v>
      </c>
      <c r="BE77" s="105">
        <v>12729.003092194787</v>
      </c>
      <c r="BF77" s="105">
        <v>20.306591854519237</v>
      </c>
      <c r="BG77" s="105">
        <v>14011.548379618273</v>
      </c>
      <c r="BH77" s="105">
        <v>19.091422840316678</v>
      </c>
      <c r="BI77" s="105">
        <v>13173.081759818508</v>
      </c>
      <c r="BJ77" s="105">
        <v>22.558819373730444</v>
      </c>
      <c r="BK77" s="105">
        <v>15565.585367874006</v>
      </c>
      <c r="BL77" s="105">
        <v>17.545332272993914</v>
      </c>
      <c r="BM77" s="105">
        <v>12106.279268365801</v>
      </c>
      <c r="BN77" s="105">
        <v>19.480495946400076</v>
      </c>
      <c r="BO77" s="105">
        <v>13441.542203016052</v>
      </c>
      <c r="BP77" s="105">
        <v>21.645233864881273</v>
      </c>
      <c r="BQ77" s="105">
        <v>14935.211366768079</v>
      </c>
      <c r="BR77" s="105">
        <v>19.646744976044769</v>
      </c>
      <c r="BS77" s="105">
        <v>13556.25403347089</v>
      </c>
      <c r="BT77" s="105">
        <v>21.538398943681131</v>
      </c>
      <c r="BU77" s="105">
        <v>14861.49527113998</v>
      </c>
      <c r="BV77" s="105">
        <v>19.680206923625637</v>
      </c>
      <c r="BW77" s="105">
        <v>13579.342777301688</v>
      </c>
      <c r="BX77" s="105">
        <v>22.943028234125844</v>
      </c>
      <c r="BY77" s="105">
        <v>15830.689481546833</v>
      </c>
      <c r="BZ77" s="105">
        <v>19.181372075749497</v>
      </c>
      <c r="CA77" s="105">
        <v>13235.146732267152</v>
      </c>
      <c r="CB77" s="105">
        <v>18.763574772132127</v>
      </c>
      <c r="CC77" s="105">
        <v>12946.866592771168</v>
      </c>
      <c r="CD77" s="105">
        <v>22.414692149232398</v>
      </c>
      <c r="CE77" s="105">
        <v>15466.137582970354</v>
      </c>
      <c r="CF77" s="105">
        <v>19.766241478931917</v>
      </c>
      <c r="CG77" s="105">
        <v>13638.706620463023</v>
      </c>
      <c r="CH77" s="105">
        <v>21.617100105696753</v>
      </c>
      <c r="CI77" s="105">
        <v>14915.79907293076</v>
      </c>
      <c r="CJ77" s="105">
        <v>20.39276512345624</v>
      </c>
      <c r="CK77" s="105">
        <v>14071.007935184805</v>
      </c>
      <c r="CL77" s="105">
        <v>19.771161210785415</v>
      </c>
      <c r="CM77" s="105">
        <v>13642.101235441936</v>
      </c>
      <c r="CN77" s="105">
        <v>18.841766681746357</v>
      </c>
      <c r="CO77" s="105">
        <v>13000.819010404986</v>
      </c>
      <c r="CP77" s="105">
        <v>16.54739385285821</v>
      </c>
      <c r="CQ77" s="105">
        <v>11417.701758472165</v>
      </c>
      <c r="CR77" s="105">
        <v>17.37331885035443</v>
      </c>
      <c r="CS77" s="105">
        <v>11987.590006744556</v>
      </c>
      <c r="CT77" s="105">
        <v>21.085234558084764</v>
      </c>
      <c r="CU77" s="105">
        <v>14548.811845078488</v>
      </c>
    </row>
    <row r="78" spans="2:99" x14ac:dyDescent="0.2">
      <c r="C78" s="104" t="s">
        <v>244</v>
      </c>
      <c r="D78" s="105">
        <v>2.5014207282414138</v>
      </c>
      <c r="E78" s="105">
        <v>324.18412638008721</v>
      </c>
      <c r="F78" s="105">
        <v>3.0950751529411744</v>
      </c>
      <c r="G78" s="105">
        <v>401.12173982117616</v>
      </c>
      <c r="H78" s="105">
        <v>0</v>
      </c>
      <c r="I78" s="105">
        <v>0</v>
      </c>
      <c r="J78" s="105">
        <v>0</v>
      </c>
      <c r="K78" s="105">
        <v>0</v>
      </c>
      <c r="L78" s="105">
        <v>24.096355647929343</v>
      </c>
      <c r="M78" s="105">
        <v>3122.8876919716427</v>
      </c>
      <c r="N78" s="105">
        <v>18.687579892839665</v>
      </c>
      <c r="O78" s="105">
        <v>2421.9103541120203</v>
      </c>
      <c r="P78" s="105">
        <v>18.004377835729532</v>
      </c>
      <c r="Q78" s="105">
        <v>2333.3673675105474</v>
      </c>
      <c r="R78" s="105">
        <v>23.082590096548085</v>
      </c>
      <c r="S78" s="105">
        <v>2991.5036765126315</v>
      </c>
      <c r="T78" s="105">
        <v>24.512487798962098</v>
      </c>
      <c r="U78" s="105">
        <v>3176.8184187454876</v>
      </c>
      <c r="V78" s="105">
        <v>25.302297301090171</v>
      </c>
      <c r="W78" s="105">
        <v>3279.1777302212859</v>
      </c>
      <c r="X78" s="105">
        <v>21.916150094303426</v>
      </c>
      <c r="Y78" s="105">
        <v>2840.3330522217238</v>
      </c>
      <c r="Z78" s="105">
        <v>21.222535231617428</v>
      </c>
      <c r="AA78" s="105">
        <v>2750.4405660176185</v>
      </c>
      <c r="AB78" s="105">
        <v>20.533863276324624</v>
      </c>
      <c r="AC78" s="105">
        <v>2661.1886806116713</v>
      </c>
      <c r="AD78" s="105">
        <v>21.732611752731714</v>
      </c>
      <c r="AE78" s="105">
        <v>2816.5464831540298</v>
      </c>
      <c r="AF78" s="105">
        <v>24.037432056217305</v>
      </c>
      <c r="AG78" s="105">
        <v>3115.2511944857624</v>
      </c>
      <c r="AH78" s="105">
        <v>24.195779871935706</v>
      </c>
      <c r="AI78" s="105">
        <v>3135.7730714028671</v>
      </c>
      <c r="AJ78" s="105">
        <v>20.024766460621908</v>
      </c>
      <c r="AK78" s="105">
        <v>2595.2097332965991</v>
      </c>
      <c r="AL78" s="105">
        <v>20.489699166279195</v>
      </c>
      <c r="AM78" s="105">
        <v>2655.4650119497837</v>
      </c>
      <c r="AN78" s="105">
        <v>21.990616621340866</v>
      </c>
      <c r="AO78" s="105">
        <v>2849.9839141257762</v>
      </c>
      <c r="AP78" s="105">
        <v>18.186883451602242</v>
      </c>
      <c r="AQ78" s="105">
        <v>2357.0200953276503</v>
      </c>
      <c r="AR78" s="105">
        <v>23.250916419514034</v>
      </c>
      <c r="AS78" s="105">
        <v>3013.3187679690186</v>
      </c>
      <c r="AT78" s="105">
        <v>24.870204604818856</v>
      </c>
      <c r="AU78" s="105">
        <v>3223.1785167845237</v>
      </c>
      <c r="AV78" s="105">
        <v>22.174495575722631</v>
      </c>
      <c r="AW78" s="105">
        <v>2873.8146266136528</v>
      </c>
      <c r="AX78" s="105">
        <v>21.968863812254277</v>
      </c>
      <c r="AY78" s="105">
        <v>2847.1647500681543</v>
      </c>
      <c r="AZ78" s="105">
        <v>19.731610436927426</v>
      </c>
      <c r="BA78" s="105">
        <v>2557.2167126257941</v>
      </c>
      <c r="BB78" s="105">
        <v>25.369801920559269</v>
      </c>
      <c r="BC78" s="105">
        <v>3287.9263289044811</v>
      </c>
      <c r="BD78" s="105">
        <v>18.456497984187866</v>
      </c>
      <c r="BE78" s="105">
        <v>2391.9621387507473</v>
      </c>
      <c r="BF78" s="105">
        <v>23.486606016768153</v>
      </c>
      <c r="BG78" s="105">
        <v>3043.8641397731526</v>
      </c>
      <c r="BH78" s="105">
        <v>20.929270791805138</v>
      </c>
      <c r="BI78" s="105">
        <v>2712.4334946179456</v>
      </c>
      <c r="BJ78" s="105">
        <v>21.821156450934751</v>
      </c>
      <c r="BK78" s="105">
        <v>2828.0218760411435</v>
      </c>
      <c r="BL78" s="105">
        <v>17.635602790715275</v>
      </c>
      <c r="BM78" s="105">
        <v>2285.5741216766996</v>
      </c>
      <c r="BN78" s="105">
        <v>20.480495946400076</v>
      </c>
      <c r="BO78" s="105">
        <v>2654.2722746534496</v>
      </c>
      <c r="BP78" s="105">
        <v>22.423080195627819</v>
      </c>
      <c r="BQ78" s="105">
        <v>2906.0311933533653</v>
      </c>
      <c r="BR78" s="105">
        <v>24.440315911549952</v>
      </c>
      <c r="BS78" s="105">
        <v>3167.4649421368736</v>
      </c>
      <c r="BT78" s="105">
        <v>23.058109750303348</v>
      </c>
      <c r="BU78" s="105">
        <v>2988.331023639314</v>
      </c>
      <c r="BV78" s="105">
        <v>21.698067303022455</v>
      </c>
      <c r="BW78" s="105">
        <v>2812.0695224717101</v>
      </c>
      <c r="BX78" s="105">
        <v>25.213023377464939</v>
      </c>
      <c r="BY78" s="105">
        <v>3267.6078297194558</v>
      </c>
      <c r="BZ78" s="105">
        <v>21.407966915501948</v>
      </c>
      <c r="CA78" s="105">
        <v>2774.4725122490522</v>
      </c>
      <c r="CB78" s="105">
        <v>21.924627346679888</v>
      </c>
      <c r="CC78" s="105">
        <v>2841.4317041297131</v>
      </c>
      <c r="CD78" s="105">
        <v>25.289156525740122</v>
      </c>
      <c r="CE78" s="105">
        <v>3277.4746857359196</v>
      </c>
      <c r="CF78" s="105">
        <v>22.411962982822061</v>
      </c>
      <c r="CG78" s="105">
        <v>2904.5904025737391</v>
      </c>
      <c r="CH78" s="105">
        <v>22.408381113845671</v>
      </c>
      <c r="CI78" s="105">
        <v>2904.1261923543989</v>
      </c>
      <c r="CJ78" s="105">
        <v>20.488464191642901</v>
      </c>
      <c r="CK78" s="105">
        <v>2655.3049592369198</v>
      </c>
      <c r="CL78" s="105">
        <v>21.524636350569548</v>
      </c>
      <c r="CM78" s="105">
        <v>2789.5928710338135</v>
      </c>
      <c r="CN78" s="105">
        <v>21.841766681746357</v>
      </c>
      <c r="CO78" s="105">
        <v>2830.6929619543275</v>
      </c>
      <c r="CP78" s="105">
        <v>20.54739385285821</v>
      </c>
      <c r="CQ78" s="105">
        <v>2662.9422433304239</v>
      </c>
      <c r="CR78" s="105">
        <v>20.483613194994785</v>
      </c>
      <c r="CS78" s="105">
        <v>2654.6762700713239</v>
      </c>
      <c r="CT78" s="105">
        <v>20.291153848311108</v>
      </c>
      <c r="CU78" s="105">
        <v>2629.7335387411194</v>
      </c>
    </row>
    <row r="79" spans="2:99" x14ac:dyDescent="0.2">
      <c r="C79" s="104" t="s">
        <v>245</v>
      </c>
      <c r="D79" s="105">
        <v>2.5014207282414138</v>
      </c>
      <c r="E79" s="105">
        <v>1200.6819495558786</v>
      </c>
      <c r="F79" s="105">
        <v>2.7511779137254888</v>
      </c>
      <c r="G79" s="105">
        <v>1320.5653985882345</v>
      </c>
      <c r="H79" s="105">
        <v>0</v>
      </c>
      <c r="I79" s="105">
        <v>0</v>
      </c>
      <c r="J79" s="105">
        <v>0</v>
      </c>
      <c r="K79" s="105">
        <v>0</v>
      </c>
      <c r="L79" s="105">
        <v>22.434538017037664</v>
      </c>
      <c r="M79" s="105">
        <v>10768.578248178079</v>
      </c>
      <c r="N79" s="105">
        <v>19.435083088553252</v>
      </c>
      <c r="O79" s="105">
        <v>9328.839882505561</v>
      </c>
      <c r="P79" s="105">
        <v>19.869235929478801</v>
      </c>
      <c r="Q79" s="105">
        <v>9537.2332461498245</v>
      </c>
      <c r="R79" s="105">
        <v>23.917888453999662</v>
      </c>
      <c r="S79" s="105">
        <v>11480.586457919839</v>
      </c>
      <c r="T79" s="105">
        <v>25.26602161650742</v>
      </c>
      <c r="U79" s="105">
        <v>12127.690375923561</v>
      </c>
      <c r="V79" s="105">
        <v>23.881246930736211</v>
      </c>
      <c r="W79" s="105">
        <v>11462.998526753381</v>
      </c>
      <c r="X79" s="105">
        <v>22.97419205545096</v>
      </c>
      <c r="Y79" s="105">
        <v>11027.612186616461</v>
      </c>
      <c r="Z79" s="105">
        <v>22.615222257234478</v>
      </c>
      <c r="AA79" s="105">
        <v>10855.306683472551</v>
      </c>
      <c r="AB79" s="105">
        <v>23.230338902902126</v>
      </c>
      <c r="AC79" s="105">
        <v>11150.56267339302</v>
      </c>
      <c r="AD79" s="105">
        <v>18.316194567739458</v>
      </c>
      <c r="AE79" s="105">
        <v>8791.7733925149405</v>
      </c>
      <c r="AF79" s="105">
        <v>21.823866837262848</v>
      </c>
      <c r="AG79" s="105">
        <v>10475.456081886166</v>
      </c>
      <c r="AH79" s="105">
        <v>21.939404249880681</v>
      </c>
      <c r="AI79" s="105">
        <v>10530.914039942727</v>
      </c>
      <c r="AJ79" s="105">
        <v>19.378806252214748</v>
      </c>
      <c r="AK79" s="105">
        <v>9301.8270010630786</v>
      </c>
      <c r="AL79" s="105">
        <v>21.652932221705594</v>
      </c>
      <c r="AM79" s="105">
        <v>10393.407466418685</v>
      </c>
      <c r="AN79" s="105">
        <v>21.18237369485691</v>
      </c>
      <c r="AO79" s="105">
        <v>10167.539373531317</v>
      </c>
      <c r="AP79" s="105">
        <v>19.884458107794018</v>
      </c>
      <c r="AQ79" s="105">
        <v>9544.5398917411294</v>
      </c>
      <c r="AR79" s="105">
        <v>21.231745731433541</v>
      </c>
      <c r="AS79" s="105">
        <v>10191.2379510881</v>
      </c>
      <c r="AT79" s="105">
        <v>24.045025991750542</v>
      </c>
      <c r="AU79" s="105">
        <v>11541.61247604026</v>
      </c>
      <c r="AV79" s="105">
        <v>21.347318558380859</v>
      </c>
      <c r="AW79" s="105">
        <v>10246.712908022813</v>
      </c>
      <c r="AX79" s="105">
        <v>21.968863812254277</v>
      </c>
      <c r="AY79" s="105">
        <v>10545.054629882054</v>
      </c>
      <c r="AZ79" s="105">
        <v>19.731610436927426</v>
      </c>
      <c r="BA79" s="105">
        <v>9471.1730097251639</v>
      </c>
      <c r="BB79" s="105">
        <v>23.546274975229107</v>
      </c>
      <c r="BC79" s="105">
        <v>11302.211988109972</v>
      </c>
      <c r="BD79" s="105">
        <v>18.456497984187866</v>
      </c>
      <c r="BE79" s="105">
        <v>8859.1190324101754</v>
      </c>
      <c r="BF79" s="105">
        <v>23.486606016768153</v>
      </c>
      <c r="BG79" s="105">
        <v>11273.570888048713</v>
      </c>
      <c r="BH79" s="105">
        <v>21.898080533604638</v>
      </c>
      <c r="BI79" s="105">
        <v>10511.078656130227</v>
      </c>
      <c r="BJ79" s="105">
        <v>23.272817484916192</v>
      </c>
      <c r="BK79" s="105">
        <v>11170.952392759773</v>
      </c>
      <c r="BL79" s="105">
        <v>18.545332272993914</v>
      </c>
      <c r="BM79" s="105">
        <v>8901.759491037079</v>
      </c>
      <c r="BN79" s="105">
        <v>20.480495946400076</v>
      </c>
      <c r="BO79" s="105">
        <v>9830.6380542720362</v>
      </c>
      <c r="BP79" s="105">
        <v>21.584455841811863</v>
      </c>
      <c r="BQ79" s="105">
        <v>10360.538804069694</v>
      </c>
      <c r="BR79" s="105">
        <v>21.1018184002758</v>
      </c>
      <c r="BS79" s="105">
        <v>10128.872832132383</v>
      </c>
      <c r="BT79" s="105">
        <v>21.538398943681131</v>
      </c>
      <c r="BU79" s="105">
        <v>10338.431492966942</v>
      </c>
      <c r="BV79" s="105">
        <v>16.935282047459328</v>
      </c>
      <c r="BW79" s="105">
        <v>8128.9353827804771</v>
      </c>
      <c r="BX79" s="105">
        <v>23.663644223615911</v>
      </c>
      <c r="BY79" s="105">
        <v>11358.549227335638</v>
      </c>
      <c r="BZ79" s="105">
        <v>22.072941553271065</v>
      </c>
      <c r="CA79" s="105">
        <v>10595.011945570111</v>
      </c>
      <c r="CB79" s="105">
        <v>21.931706516019233</v>
      </c>
      <c r="CC79" s="105">
        <v>10527.219127689232</v>
      </c>
      <c r="CD79" s="105">
        <v>20.95088800654629</v>
      </c>
      <c r="CE79" s="105">
        <v>10056.426243142219</v>
      </c>
      <c r="CF79" s="105">
        <v>22.49394596261363</v>
      </c>
      <c r="CG79" s="105">
        <v>10797.094062054543</v>
      </c>
      <c r="CH79" s="105">
        <v>22.997396703751168</v>
      </c>
      <c r="CI79" s="105">
        <v>11038.75041780056</v>
      </c>
      <c r="CJ79" s="105">
        <v>20.39276512345624</v>
      </c>
      <c r="CK79" s="105">
        <v>9788.5272592589954</v>
      </c>
      <c r="CL79" s="105">
        <v>21.588183289688917</v>
      </c>
      <c r="CM79" s="105">
        <v>10362.32797905068</v>
      </c>
      <c r="CN79" s="105">
        <v>19.851068789700413</v>
      </c>
      <c r="CO79" s="105">
        <v>9528.5130190561977</v>
      </c>
      <c r="CP79" s="105">
        <v>19.655313497217129</v>
      </c>
      <c r="CQ79" s="105">
        <v>9434.5504786642214</v>
      </c>
      <c r="CR79" s="105">
        <v>19.47442199960809</v>
      </c>
      <c r="CS79" s="105">
        <v>9347.7225598118839</v>
      </c>
      <c r="CT79" s="105">
        <v>19.503093013817793</v>
      </c>
      <c r="CU79" s="105">
        <v>9361.4846466325398</v>
      </c>
    </row>
    <row r="80" spans="2:99" x14ac:dyDescent="0.2">
      <c r="C80" s="104" t="s">
        <v>246</v>
      </c>
      <c r="D80" s="105">
        <v>2.5014207282414138</v>
      </c>
      <c r="E80" s="105">
        <v>1906.0825949199573</v>
      </c>
      <c r="F80" s="105">
        <v>2.7511779137254888</v>
      </c>
      <c r="G80" s="105">
        <v>2096.3975702588223</v>
      </c>
      <c r="H80" s="105">
        <v>0</v>
      </c>
      <c r="I80" s="105">
        <v>0</v>
      </c>
      <c r="J80" s="105">
        <v>0</v>
      </c>
      <c r="K80" s="105">
        <v>0</v>
      </c>
      <c r="L80" s="105">
        <v>19.941811570700146</v>
      </c>
      <c r="M80" s="105">
        <v>15195.660416873512</v>
      </c>
      <c r="N80" s="105">
        <v>19.435083088553252</v>
      </c>
      <c r="O80" s="105">
        <v>14809.533313477579</v>
      </c>
      <c r="P80" s="105">
        <v>16.943273423846339</v>
      </c>
      <c r="Q80" s="105">
        <v>12910.77434897091</v>
      </c>
      <c r="R80" s="105">
        <v>18.899612183344978</v>
      </c>
      <c r="S80" s="105">
        <v>14401.504483708874</v>
      </c>
      <c r="T80" s="105">
        <v>21.498352528780821</v>
      </c>
      <c r="U80" s="105">
        <v>16381.744626930986</v>
      </c>
      <c r="V80" s="105">
        <v>22.371724023919281</v>
      </c>
      <c r="W80" s="105">
        <v>17047.253706226493</v>
      </c>
      <c r="X80" s="105">
        <v>20.343689308626459</v>
      </c>
      <c r="Y80" s="105">
        <v>15501.891253173362</v>
      </c>
      <c r="Z80" s="105">
        <v>21.269812001151056</v>
      </c>
      <c r="AA80" s="105">
        <v>16207.596744877104</v>
      </c>
      <c r="AB80" s="105">
        <v>22.368034905674499</v>
      </c>
      <c r="AC80" s="105">
        <v>17044.442598123969</v>
      </c>
      <c r="AD80" s="105">
        <v>18.468705318040275</v>
      </c>
      <c r="AE80" s="105">
        <v>14073.153452346689</v>
      </c>
      <c r="AF80" s="105">
        <v>18.837241769576057</v>
      </c>
      <c r="AG80" s="105">
        <v>14353.978228416956</v>
      </c>
      <c r="AH80" s="105">
        <v>21.356063911709036</v>
      </c>
      <c r="AI80" s="105">
        <v>16273.320700722286</v>
      </c>
      <c r="AJ80" s="105">
        <v>18.086885835400434</v>
      </c>
      <c r="AK80" s="105">
        <v>13782.20700657513</v>
      </c>
      <c r="AL80" s="105">
        <v>18.489699166279195</v>
      </c>
      <c r="AM80" s="105">
        <v>14089.150764704746</v>
      </c>
      <c r="AN80" s="105">
        <v>21.18237369485691</v>
      </c>
      <c r="AO80" s="105">
        <v>16140.968755480966</v>
      </c>
      <c r="AP80" s="105">
        <v>19.884458107794018</v>
      </c>
      <c r="AQ80" s="105">
        <v>15151.957078139041</v>
      </c>
      <c r="AR80" s="105">
        <v>19.225195793616557</v>
      </c>
      <c r="AS80" s="105">
        <v>14649.599194735816</v>
      </c>
      <c r="AT80" s="105">
        <v>20.170812048478449</v>
      </c>
      <c r="AU80" s="105">
        <v>15370.158780940579</v>
      </c>
      <c r="AV80" s="105">
        <v>22.174495575722631</v>
      </c>
      <c r="AW80" s="105">
        <v>16896.965628700644</v>
      </c>
      <c r="AX80" s="105">
        <v>18.045304476829838</v>
      </c>
      <c r="AY80" s="105">
        <v>13750.522011344336</v>
      </c>
      <c r="AZ80" s="105">
        <v>19.731610436927426</v>
      </c>
      <c r="BA80" s="105">
        <v>15035.487152938698</v>
      </c>
      <c r="BB80" s="105">
        <v>19.740592656810296</v>
      </c>
      <c r="BC80" s="105">
        <v>15042.331604489445</v>
      </c>
      <c r="BD80" s="105">
        <v>17.457247617798785</v>
      </c>
      <c r="BE80" s="105">
        <v>13302.422684762674</v>
      </c>
      <c r="BF80" s="105">
        <v>19.511588313957006</v>
      </c>
      <c r="BG80" s="105">
        <v>14867.830295235239</v>
      </c>
      <c r="BH80" s="105">
        <v>19.004671282031115</v>
      </c>
      <c r="BI80" s="105">
        <v>14481.55951690771</v>
      </c>
      <c r="BJ80" s="105">
        <v>21.074027603495082</v>
      </c>
      <c r="BK80" s="105">
        <v>16058.409033863252</v>
      </c>
      <c r="BL80" s="105">
        <v>16.635602790715275</v>
      </c>
      <c r="BM80" s="105">
        <v>12676.32932652504</v>
      </c>
      <c r="BN80" s="105">
        <v>17.480495946400076</v>
      </c>
      <c r="BO80" s="105">
        <v>13320.137911156859</v>
      </c>
      <c r="BP80" s="105">
        <v>18.913871031260758</v>
      </c>
      <c r="BQ80" s="105">
        <v>14412.369725820698</v>
      </c>
      <c r="BR80" s="105">
        <v>20.296763442801055</v>
      </c>
      <c r="BS80" s="105">
        <v>15466.133743414404</v>
      </c>
      <c r="BT80" s="105">
        <v>21.538398943681131</v>
      </c>
      <c r="BU80" s="105">
        <v>16412.25999508502</v>
      </c>
      <c r="BV80" s="105">
        <v>18.944713189366496</v>
      </c>
      <c r="BW80" s="105">
        <v>14435.871450297271</v>
      </c>
      <c r="BX80" s="105">
        <v>20.564885915917863</v>
      </c>
      <c r="BY80" s="105">
        <v>15670.443067929411</v>
      </c>
      <c r="BZ80" s="105">
        <v>19.90426444512989</v>
      </c>
      <c r="CA80" s="105">
        <v>15167.049507188976</v>
      </c>
      <c r="CB80" s="105">
        <v>17.982160590169375</v>
      </c>
      <c r="CC80" s="105">
        <v>13702.406369709064</v>
      </c>
      <c r="CD80" s="105">
        <v>21.689433066497404</v>
      </c>
      <c r="CE80" s="105">
        <v>16527.347996671022</v>
      </c>
      <c r="CF80" s="105">
        <v>20.598958859020357</v>
      </c>
      <c r="CG80" s="105">
        <v>15696.406650573512</v>
      </c>
      <c r="CH80" s="105">
        <v>19.754766946005876</v>
      </c>
      <c r="CI80" s="105">
        <v>15053.132412856477</v>
      </c>
      <c r="CJ80" s="105">
        <v>18.603890209918351</v>
      </c>
      <c r="CK80" s="105">
        <v>14176.164339957784</v>
      </c>
      <c r="CL80" s="105">
        <v>18.081233010120656</v>
      </c>
      <c r="CM80" s="105">
        <v>13777.899553711939</v>
      </c>
      <c r="CN80" s="105">
        <v>20.841766681746357</v>
      </c>
      <c r="CO80" s="105">
        <v>15881.426211490723</v>
      </c>
      <c r="CP80" s="105">
        <v>18.54739385285821</v>
      </c>
      <c r="CQ80" s="105">
        <v>14133.114115877956</v>
      </c>
      <c r="CR80" s="105">
        <v>17.37331885035443</v>
      </c>
      <c r="CS80" s="105">
        <v>13238.468963970075</v>
      </c>
      <c r="CT80" s="105">
        <v>18.576653745750431</v>
      </c>
      <c r="CU80" s="105">
        <v>14155.410154261828</v>
      </c>
    </row>
    <row r="81" spans="2:99" x14ac:dyDescent="0.2">
      <c r="C81" s="104" t="s">
        <v>247</v>
      </c>
      <c r="D81" s="105">
        <v>2.5014207282414138</v>
      </c>
      <c r="E81" s="105">
        <v>1560.8865344226422</v>
      </c>
      <c r="F81" s="105">
        <v>2.7511779137254888</v>
      </c>
      <c r="G81" s="105">
        <v>1716.735018164705</v>
      </c>
      <c r="H81" s="105">
        <v>0</v>
      </c>
      <c r="I81" s="105">
        <v>0</v>
      </c>
      <c r="J81" s="105">
        <v>0</v>
      </c>
      <c r="K81" s="105">
        <v>0</v>
      </c>
      <c r="L81" s="105">
        <v>19.110902755254308</v>
      </c>
      <c r="M81" s="105">
        <v>11925.203319278688</v>
      </c>
      <c r="N81" s="105">
        <v>17.940076697126081</v>
      </c>
      <c r="O81" s="105">
        <v>11194.607859006674</v>
      </c>
      <c r="P81" s="105">
        <v>17.020478642851476</v>
      </c>
      <c r="Q81" s="105">
        <v>10620.778673139321</v>
      </c>
      <c r="R81" s="105">
        <v>23.911402328054457</v>
      </c>
      <c r="S81" s="105">
        <v>14920.715052705982</v>
      </c>
      <c r="T81" s="105">
        <v>23.005420163871459</v>
      </c>
      <c r="U81" s="105">
        <v>14355.382182255791</v>
      </c>
      <c r="V81" s="105">
        <v>23.104367343212004</v>
      </c>
      <c r="W81" s="105">
        <v>14417.12522216429</v>
      </c>
      <c r="X81" s="105">
        <v>23.799170988029189</v>
      </c>
      <c r="Y81" s="105">
        <v>14850.682696530213</v>
      </c>
      <c r="Z81" s="105">
        <v>20.426938016134244</v>
      </c>
      <c r="AA81" s="105">
        <v>12746.409322067768</v>
      </c>
      <c r="AB81" s="105">
        <v>21.488874964616933</v>
      </c>
      <c r="AC81" s="105">
        <v>13409.057977920966</v>
      </c>
      <c r="AD81" s="105">
        <v>20.100658535385996</v>
      </c>
      <c r="AE81" s="105">
        <v>12542.810926080861</v>
      </c>
      <c r="AF81" s="105">
        <v>20.26657417337633</v>
      </c>
      <c r="AG81" s="105">
        <v>12646.342284186831</v>
      </c>
      <c r="AH81" s="105">
        <v>19.920957275720426</v>
      </c>
      <c r="AI81" s="105">
        <v>12430.677340049546</v>
      </c>
      <c r="AJ81" s="105">
        <v>18.732846043807591</v>
      </c>
      <c r="AK81" s="105">
        <v>11689.295931335937</v>
      </c>
      <c r="AL81" s="105">
        <v>19.652932221705594</v>
      </c>
      <c r="AM81" s="105">
        <v>12263.42970634429</v>
      </c>
      <c r="AN81" s="105">
        <v>19.681553744484663</v>
      </c>
      <c r="AO81" s="105">
        <v>12281.28953655843</v>
      </c>
      <c r="AP81" s="105">
        <v>17.311763846536859</v>
      </c>
      <c r="AQ81" s="105">
        <v>10802.540640239</v>
      </c>
      <c r="AR81" s="105">
        <v>22.573652606732704</v>
      </c>
      <c r="AS81" s="105">
        <v>14085.959226601208</v>
      </c>
      <c r="AT81" s="105">
        <v>20.176950563650877</v>
      </c>
      <c r="AU81" s="105">
        <v>12590.417151718148</v>
      </c>
      <c r="AV81" s="105">
        <v>22.847367051588609</v>
      </c>
      <c r="AW81" s="105">
        <v>14256.757040191293</v>
      </c>
      <c r="AX81" s="105">
        <v>19.64589010142117</v>
      </c>
      <c r="AY81" s="105">
        <v>12259.03542328681</v>
      </c>
      <c r="AZ81" s="105">
        <v>18.731610436927426</v>
      </c>
      <c r="BA81" s="105">
        <v>11688.524912642713</v>
      </c>
      <c r="BB81" s="105">
        <v>23.537926110610236</v>
      </c>
      <c r="BC81" s="105">
        <v>14687.665893020787</v>
      </c>
      <c r="BD81" s="105">
        <v>18.447830568398242</v>
      </c>
      <c r="BE81" s="105">
        <v>11511.446274680504</v>
      </c>
      <c r="BF81" s="105">
        <v>19.367753867135839</v>
      </c>
      <c r="BG81" s="105">
        <v>12085.478413092764</v>
      </c>
      <c r="BH81" s="105">
        <v>19.004671282031115</v>
      </c>
      <c r="BI81" s="105">
        <v>11858.914879987416</v>
      </c>
      <c r="BJ81" s="105">
        <v>20.331631718377402</v>
      </c>
      <c r="BK81" s="105">
        <v>12686.938192267498</v>
      </c>
      <c r="BL81" s="105">
        <v>16.545332272993914</v>
      </c>
      <c r="BM81" s="105">
        <v>10324.287338348202</v>
      </c>
      <c r="BN81" s="105">
        <v>20.490295957954011</v>
      </c>
      <c r="BO81" s="105">
        <v>12785.944677763302</v>
      </c>
      <c r="BP81" s="105">
        <v>21.645233864881273</v>
      </c>
      <c r="BQ81" s="105">
        <v>13506.625931685914</v>
      </c>
      <c r="BR81" s="105">
        <v>19.58793088109551</v>
      </c>
      <c r="BS81" s="105">
        <v>12222.868869803598</v>
      </c>
      <c r="BT81" s="105">
        <v>20.77854354037002</v>
      </c>
      <c r="BU81" s="105">
        <v>12965.811169190893</v>
      </c>
      <c r="BV81" s="105">
        <v>17.844637514521665</v>
      </c>
      <c r="BW81" s="105">
        <v>11135.053809061519</v>
      </c>
      <c r="BX81" s="105">
        <v>20.618959503352308</v>
      </c>
      <c r="BY81" s="105">
        <v>12866.23073009184</v>
      </c>
      <c r="BZ81" s="105">
        <v>20.755880305130059</v>
      </c>
      <c r="CA81" s="105">
        <v>12951.669310401157</v>
      </c>
      <c r="CB81" s="105">
        <v>19.566226462112922</v>
      </c>
      <c r="CC81" s="105">
        <v>12209.325312358464</v>
      </c>
      <c r="CD81" s="105">
        <v>22.361548240367913</v>
      </c>
      <c r="CE81" s="105">
        <v>13953.606101989577</v>
      </c>
      <c r="CF81" s="105">
        <v>20.672743540832769</v>
      </c>
      <c r="CG81" s="105">
        <v>12899.791969479647</v>
      </c>
      <c r="CH81" s="105">
        <v>20.961287171089303</v>
      </c>
      <c r="CI81" s="105">
        <v>13079.843194759726</v>
      </c>
      <c r="CJ81" s="105">
        <v>17.657253261411231</v>
      </c>
      <c r="CK81" s="105">
        <v>11018.126035120607</v>
      </c>
      <c r="CL81" s="105">
        <v>18.089176377510572</v>
      </c>
      <c r="CM81" s="105">
        <v>11287.646059566598</v>
      </c>
      <c r="CN81" s="105">
        <v>21.841766681746357</v>
      </c>
      <c r="CO81" s="105">
        <v>13629.262409409726</v>
      </c>
      <c r="CP81" s="105">
        <v>18.637326889823974</v>
      </c>
      <c r="CQ81" s="105">
        <v>11629.691979250159</v>
      </c>
      <c r="CR81" s="105">
        <v>16.37331885035443</v>
      </c>
      <c r="CS81" s="105">
        <v>10216.950962621164</v>
      </c>
      <c r="CT81" s="105">
        <v>21.079214682804423</v>
      </c>
      <c r="CU81" s="105">
        <v>13153.42996206996</v>
      </c>
    </row>
    <row r="82" spans="2:99" x14ac:dyDescent="0.2">
      <c r="C82" s="104" t="s">
        <v>248</v>
      </c>
      <c r="D82" s="105">
        <v>2.7200370381041741</v>
      </c>
      <c r="E82" s="105">
        <v>972.68524482605255</v>
      </c>
      <c r="F82" s="105">
        <v>2.7511779137254888</v>
      </c>
      <c r="G82" s="105">
        <v>983.82122194823467</v>
      </c>
      <c r="H82" s="105">
        <v>0</v>
      </c>
      <c r="I82" s="105">
        <v>0</v>
      </c>
      <c r="J82" s="105">
        <v>0</v>
      </c>
      <c r="K82" s="105">
        <v>0</v>
      </c>
      <c r="L82" s="105">
        <v>21.603629201591826</v>
      </c>
      <c r="M82" s="105">
        <v>7725.4578024892362</v>
      </c>
      <c r="N82" s="105">
        <v>17.940076697126081</v>
      </c>
      <c r="O82" s="105">
        <v>6415.3714268922859</v>
      </c>
      <c r="P82" s="105">
        <v>21.905661176572814</v>
      </c>
      <c r="Q82" s="105">
        <v>7833.4644367424371</v>
      </c>
      <c r="R82" s="105">
        <v>23.082590096548085</v>
      </c>
      <c r="S82" s="105">
        <v>8254.3342185255951</v>
      </c>
      <c r="T82" s="105">
        <v>23.758953981416781</v>
      </c>
      <c r="U82" s="105">
        <v>8496.2019437546405</v>
      </c>
      <c r="V82" s="105">
        <v>23.104367343212004</v>
      </c>
      <c r="W82" s="105">
        <v>8262.1217619326126</v>
      </c>
      <c r="X82" s="105">
        <v>24.476333679465569</v>
      </c>
      <c r="Y82" s="105">
        <v>8752.7369237768871</v>
      </c>
      <c r="Z82" s="105">
        <v>23.240650615742556</v>
      </c>
      <c r="AA82" s="105">
        <v>8310.8566601895382</v>
      </c>
      <c r="AB82" s="105">
        <v>22.368034905674499</v>
      </c>
      <c r="AC82" s="105">
        <v>7998.8092822691997</v>
      </c>
      <c r="AD82" s="105">
        <v>19.948147785085176</v>
      </c>
      <c r="AE82" s="105">
        <v>7133.4576479464586</v>
      </c>
      <c r="AF82" s="105">
        <v>23.125238980976881</v>
      </c>
      <c r="AG82" s="105">
        <v>8269.5854595973324</v>
      </c>
      <c r="AH82" s="105">
        <v>19.791827181189522</v>
      </c>
      <c r="AI82" s="105">
        <v>7077.5573999933722</v>
      </c>
      <c r="AJ82" s="105">
        <v>21.316686877436226</v>
      </c>
      <c r="AK82" s="105">
        <v>7622.8472273711932</v>
      </c>
      <c r="AL82" s="105">
        <v>20.652932221705594</v>
      </c>
      <c r="AM82" s="105">
        <v>7385.4885624819199</v>
      </c>
      <c r="AN82" s="105">
        <v>20.412686069238177</v>
      </c>
      <c r="AO82" s="105">
        <v>7299.5765383595717</v>
      </c>
      <c r="AP82" s="105">
        <v>20.7595777128594</v>
      </c>
      <c r="AQ82" s="105">
        <v>7423.6249901185211</v>
      </c>
      <c r="AR82" s="105">
        <v>23.865076480977841</v>
      </c>
      <c r="AS82" s="105">
        <v>8534.1513495976742</v>
      </c>
      <c r="AT82" s="105">
        <v>22.517439069062441</v>
      </c>
      <c r="AU82" s="105">
        <v>8052.2362110967279</v>
      </c>
      <c r="AV82" s="105">
        <v>19.69296452369732</v>
      </c>
      <c r="AW82" s="105">
        <v>7042.2041136741609</v>
      </c>
      <c r="AX82" s="105">
        <v>22.733745385434535</v>
      </c>
      <c r="AY82" s="105">
        <v>8129.5873498313886</v>
      </c>
      <c r="AZ82" s="105">
        <v>18.648472529015685</v>
      </c>
      <c r="BA82" s="105">
        <v>6668.6937763760079</v>
      </c>
      <c r="BB82" s="105">
        <v>20.451351485594426</v>
      </c>
      <c r="BC82" s="105">
        <v>7313.4032912485663</v>
      </c>
      <c r="BD82" s="105">
        <v>20.614551651957385</v>
      </c>
      <c r="BE82" s="105">
        <v>7371.7636707399597</v>
      </c>
      <c r="BF82" s="105">
        <v>22.691602476205922</v>
      </c>
      <c r="BG82" s="105">
        <v>8114.5170454912368</v>
      </c>
      <c r="BH82" s="105">
        <v>21.650845832572923</v>
      </c>
      <c r="BI82" s="105">
        <v>7742.3424697280761</v>
      </c>
      <c r="BJ82" s="105">
        <v>22.558819373730444</v>
      </c>
      <c r="BK82" s="105">
        <v>8067.033808046006</v>
      </c>
      <c r="BL82" s="105">
        <v>17.545332272993914</v>
      </c>
      <c r="BM82" s="105">
        <v>6274.2108208226227</v>
      </c>
      <c r="BN82" s="105">
        <v>21.480495946400076</v>
      </c>
      <c r="BO82" s="105">
        <v>7681.4253504326662</v>
      </c>
      <c r="BP82" s="105">
        <v>19.813273408146124</v>
      </c>
      <c r="BQ82" s="105">
        <v>7085.2265707530532</v>
      </c>
      <c r="BR82" s="105">
        <v>20.385634076701599</v>
      </c>
      <c r="BS82" s="105">
        <v>7289.9027458284909</v>
      </c>
      <c r="BT82" s="105">
        <v>22.298254346992241</v>
      </c>
      <c r="BU82" s="105">
        <v>7973.8557544844243</v>
      </c>
      <c r="BV82" s="105">
        <v>19.7950639940013</v>
      </c>
      <c r="BW82" s="105">
        <v>7078.714884254864</v>
      </c>
      <c r="BX82" s="105">
        <v>21.339575492842375</v>
      </c>
      <c r="BY82" s="105">
        <v>7631.0321962404323</v>
      </c>
      <c r="BZ82" s="105">
        <v>19.90426444512989</v>
      </c>
      <c r="CA82" s="105">
        <v>7117.764965578448</v>
      </c>
      <c r="CB82" s="105">
        <v>20.347640644075682</v>
      </c>
      <c r="CC82" s="105">
        <v>7276.3162943214629</v>
      </c>
      <c r="CD82" s="105">
        <v>21.629646169024856</v>
      </c>
      <c r="CE82" s="105">
        <v>7734.7614700432878</v>
      </c>
      <c r="CF82" s="105">
        <v>20.598958859020357</v>
      </c>
      <c r="CG82" s="105">
        <v>7366.1876879856791</v>
      </c>
      <c r="CH82" s="105">
        <v>23.064194048453125</v>
      </c>
      <c r="CI82" s="105">
        <v>8247.7557917268368</v>
      </c>
      <c r="CJ82" s="105">
        <v>21.409001394280931</v>
      </c>
      <c r="CK82" s="105">
        <v>7655.85889859486</v>
      </c>
      <c r="CL82" s="105">
        <v>20.647898780677483</v>
      </c>
      <c r="CM82" s="105">
        <v>7383.6886039702676</v>
      </c>
      <c r="CN82" s="105">
        <v>19.851068789700413</v>
      </c>
      <c r="CO82" s="105">
        <v>7098.7421991968667</v>
      </c>
      <c r="CP82" s="105">
        <v>19.54739385285821</v>
      </c>
      <c r="CQ82" s="105">
        <v>6990.1480417820958</v>
      </c>
      <c r="CR82" s="105">
        <v>19.37331885035443</v>
      </c>
      <c r="CS82" s="105">
        <v>6927.8988208867431</v>
      </c>
      <c r="CT82" s="105">
        <v>19.509112889098137</v>
      </c>
      <c r="CU82" s="105">
        <v>6976.4587691414936</v>
      </c>
    </row>
    <row r="83" spans="2:99" x14ac:dyDescent="0.2">
      <c r="C83" s="104" t="s">
        <v>249</v>
      </c>
      <c r="D83" s="105">
        <v>2.5014207282414138</v>
      </c>
      <c r="E83" s="105">
        <v>1494.8490271970691</v>
      </c>
      <c r="F83" s="105">
        <v>2.4072806745098023</v>
      </c>
      <c r="G83" s="105">
        <v>1438.5909310870579</v>
      </c>
      <c r="H83" s="105">
        <v>0</v>
      </c>
      <c r="I83" s="105">
        <v>0</v>
      </c>
      <c r="J83" s="105">
        <v>0</v>
      </c>
      <c r="K83" s="105">
        <v>0</v>
      </c>
      <c r="L83" s="105">
        <v>18.27999393980847</v>
      </c>
      <c r="M83" s="105">
        <v>10924.124378429542</v>
      </c>
      <c r="N83" s="105">
        <v>19.435083088553252</v>
      </c>
      <c r="O83" s="105">
        <v>11614.405653719425</v>
      </c>
      <c r="P83" s="105">
        <v>18.004377835729532</v>
      </c>
      <c r="Q83" s="105">
        <v>10759.416194631969</v>
      </c>
      <c r="R83" s="105">
        <v>23.082590096548085</v>
      </c>
      <c r="S83" s="105">
        <v>13794.155841697137</v>
      </c>
      <c r="T83" s="105">
        <v>23.005420163871459</v>
      </c>
      <c r="U83" s="105">
        <v>13748.039089929585</v>
      </c>
      <c r="V83" s="105">
        <v>21.639080704626558</v>
      </c>
      <c r="W83" s="105">
        <v>12931.514629084832</v>
      </c>
      <c r="X83" s="105">
        <v>21.916150094303426</v>
      </c>
      <c r="Y83" s="105">
        <v>13097.091296355728</v>
      </c>
      <c r="Z83" s="105">
        <v>21.772348272217663</v>
      </c>
      <c r="AA83" s="105">
        <v>13011.155327477276</v>
      </c>
      <c r="AB83" s="105">
        <v>19.74741102633174</v>
      </c>
      <c r="AC83" s="105">
        <v>11801.052829335847</v>
      </c>
      <c r="AD83" s="105">
        <v>19.132171176412317</v>
      </c>
      <c r="AE83" s="105">
        <v>11433.385495024002</v>
      </c>
      <c r="AF83" s="105">
        <v>21.823866837262848</v>
      </c>
      <c r="AG83" s="105">
        <v>13041.942821948278</v>
      </c>
      <c r="AH83" s="105">
        <v>21.944487135172444</v>
      </c>
      <c r="AI83" s="105">
        <v>13114.025511979053</v>
      </c>
      <c r="AJ83" s="105">
        <v>21.962647085843383</v>
      </c>
      <c r="AK83" s="105">
        <v>13124.877898500006</v>
      </c>
      <c r="AL83" s="105">
        <v>21.652932221705594</v>
      </c>
      <c r="AM83" s="105">
        <v>12939.792295691264</v>
      </c>
      <c r="AN83" s="105">
        <v>21.952061320475639</v>
      </c>
      <c r="AO83" s="105">
        <v>13118.551845116242</v>
      </c>
      <c r="AP83" s="105">
        <v>19.009338502728635</v>
      </c>
      <c r="AQ83" s="105">
        <v>11359.980689230633</v>
      </c>
      <c r="AR83" s="105">
        <v>21.909009544214875</v>
      </c>
      <c r="AS83" s="105">
        <v>13092.82410362281</v>
      </c>
      <c r="AT83" s="105">
        <v>21.55371002468889</v>
      </c>
      <c r="AU83" s="105">
        <v>12880.49711075408</v>
      </c>
      <c r="AV83" s="105">
        <v>20.520141541039088</v>
      </c>
      <c r="AW83" s="105">
        <v>12262.836584924959</v>
      </c>
      <c r="AX83" s="105">
        <v>21.189817743427852</v>
      </c>
      <c r="AY83" s="105">
        <v>12663.035083472485</v>
      </c>
      <c r="AZ83" s="105">
        <v>19.831375138247541</v>
      </c>
      <c r="BA83" s="105">
        <v>11851.229782616731</v>
      </c>
      <c r="BB83" s="105">
        <v>19.502018122144442</v>
      </c>
      <c r="BC83" s="105">
        <v>11654.406029793519</v>
      </c>
      <c r="BD83" s="105">
        <v>16.475332082988952</v>
      </c>
      <c r="BE83" s="105">
        <v>9845.6584527941977</v>
      </c>
      <c r="BF83" s="105">
        <v>21.17343515621063</v>
      </c>
      <c r="BG83" s="105">
        <v>12653.244849351473</v>
      </c>
      <c r="BH83" s="105">
        <v>20.047212608291201</v>
      </c>
      <c r="BI83" s="105">
        <v>11980.214254714821</v>
      </c>
      <c r="BJ83" s="105">
        <v>21.816423488612763</v>
      </c>
      <c r="BK83" s="105">
        <v>13037.494676794988</v>
      </c>
      <c r="BL83" s="105">
        <v>18.545332272993914</v>
      </c>
      <c r="BM83" s="105">
        <v>11082.690566341164</v>
      </c>
      <c r="BN83" s="105">
        <v>20.470695934846137</v>
      </c>
      <c r="BO83" s="105">
        <v>12233.287890664053</v>
      </c>
      <c r="BP83" s="105">
        <v>21.490522115778038</v>
      </c>
      <c r="BQ83" s="105">
        <v>12842.736016388955</v>
      </c>
      <c r="BR83" s="105">
        <v>22.778743663519862</v>
      </c>
      <c r="BS83" s="105">
        <v>13612.57721331947</v>
      </c>
      <c r="BT83" s="105">
        <v>21.538398943681131</v>
      </c>
      <c r="BU83" s="105">
        <v>12871.347208743844</v>
      </c>
      <c r="BV83" s="105">
        <v>16.935282047459328</v>
      </c>
      <c r="BW83" s="105">
        <v>10120.524551561695</v>
      </c>
      <c r="BX83" s="105">
        <v>23.710958612621052</v>
      </c>
      <c r="BY83" s="105">
        <v>14169.668866902341</v>
      </c>
      <c r="BZ83" s="105">
        <v>21.350049183890675</v>
      </c>
      <c r="CA83" s="105">
        <v>12758.789392293069</v>
      </c>
      <c r="CB83" s="105">
        <v>18.770653941471476</v>
      </c>
      <c r="CC83" s="105">
        <v>11217.342795423354</v>
      </c>
      <c r="CD83" s="105">
        <v>22.361548240367913</v>
      </c>
      <c r="CE83" s="105">
        <v>13363.261228443866</v>
      </c>
      <c r="CF83" s="105">
        <v>18.785954735218656</v>
      </c>
      <c r="CG83" s="105">
        <v>11226.486549766669</v>
      </c>
      <c r="CH83" s="105">
        <v>21.752568179238217</v>
      </c>
      <c r="CI83" s="105">
        <v>12999.334743912759</v>
      </c>
      <c r="CJ83" s="105">
        <v>20.479764276353201</v>
      </c>
      <c r="CK83" s="105">
        <v>12238.707131548674</v>
      </c>
      <c r="CL83" s="105">
        <v>18.017686071001286</v>
      </c>
      <c r="CM83" s="105">
        <v>10767.369196030369</v>
      </c>
      <c r="CN83" s="105">
        <v>20.65458028119491</v>
      </c>
      <c r="CO83" s="105">
        <v>12343.177176042078</v>
      </c>
      <c r="CP83" s="105">
        <v>16.54739385285821</v>
      </c>
      <c r="CQ83" s="105">
        <v>9888.7225664680664</v>
      </c>
      <c r="CR83" s="105">
        <v>17.47442199960809</v>
      </c>
      <c r="CS83" s="105">
        <v>10442.714586965794</v>
      </c>
      <c r="CT83" s="105">
        <v>18.715032179324481</v>
      </c>
      <c r="CU83" s="105">
        <v>11184.10323036431</v>
      </c>
    </row>
    <row r="84" spans="2:99" x14ac:dyDescent="0.2">
      <c r="C84" s="104" t="s">
        <v>250</v>
      </c>
      <c r="D84" s="105">
        <v>2.7200370381041741</v>
      </c>
      <c r="E84" s="105">
        <v>1390.4829338788538</v>
      </c>
      <c r="F84" s="105">
        <v>2.7511779137254888</v>
      </c>
      <c r="G84" s="105">
        <v>1406.4021494964697</v>
      </c>
      <c r="H84" s="105">
        <v>0</v>
      </c>
      <c r="I84" s="105">
        <v>0</v>
      </c>
      <c r="J84" s="105">
        <v>0</v>
      </c>
      <c r="K84" s="105">
        <v>0</v>
      </c>
      <c r="L84" s="105">
        <v>21.603629201591826</v>
      </c>
      <c r="M84" s="105">
        <v>11043.77524785374</v>
      </c>
      <c r="N84" s="105">
        <v>19.435083088553252</v>
      </c>
      <c r="O84" s="105">
        <v>9935.2144748684223</v>
      </c>
      <c r="P84" s="105">
        <v>18.893915094267982</v>
      </c>
      <c r="Q84" s="105">
        <v>9658.5693961897923</v>
      </c>
      <c r="R84" s="105">
        <v>19.741396666741764</v>
      </c>
      <c r="S84" s="105">
        <v>10091.80197603839</v>
      </c>
      <c r="T84" s="105">
        <v>23.758953981416781</v>
      </c>
      <c r="U84" s="105">
        <v>12145.577275300258</v>
      </c>
      <c r="V84" s="105">
        <v>23.104367343212004</v>
      </c>
      <c r="W84" s="105">
        <v>11810.952585849976</v>
      </c>
      <c r="X84" s="105">
        <v>21.168668241204692</v>
      </c>
      <c r="Y84" s="105">
        <v>10821.423204903838</v>
      </c>
      <c r="Z84" s="105">
        <v>20.597106873109347</v>
      </c>
      <c r="AA84" s="105">
        <v>10529.241033533497</v>
      </c>
      <c r="AB84" s="105">
        <v>22.368034905674499</v>
      </c>
      <c r="AC84" s="105">
        <v>11434.539443780803</v>
      </c>
      <c r="AD84" s="105">
        <v>20.108119494927859</v>
      </c>
      <c r="AE84" s="105">
        <v>10279.270685807121</v>
      </c>
      <c r="AF84" s="105">
        <v>22.538533039162985</v>
      </c>
      <c r="AG84" s="105">
        <v>11521.698089620118</v>
      </c>
      <c r="AH84" s="105">
        <v>19.07935674848698</v>
      </c>
      <c r="AI84" s="105">
        <v>9753.3671698265443</v>
      </c>
      <c r="AJ84" s="105">
        <v>18.732846043807591</v>
      </c>
      <c r="AK84" s="105">
        <v>9576.2308975944397</v>
      </c>
      <c r="AL84" s="105">
        <v>20.652932221705594</v>
      </c>
      <c r="AM84" s="105">
        <v>10557.7789517359</v>
      </c>
      <c r="AN84" s="105">
        <v>21.18237369485691</v>
      </c>
      <c r="AO84" s="105">
        <v>10828.429432810852</v>
      </c>
      <c r="AP84" s="105">
        <v>19.937122661733007</v>
      </c>
      <c r="AQ84" s="105">
        <v>10191.857104677913</v>
      </c>
      <c r="AR84" s="105">
        <v>20.560792293783962</v>
      </c>
      <c r="AS84" s="105">
        <v>10510.677020582361</v>
      </c>
      <c r="AT84" s="105">
        <v>23.305786591096194</v>
      </c>
      <c r="AU84" s="105">
        <v>11913.918105368373</v>
      </c>
      <c r="AV84" s="105">
        <v>19.69296452369732</v>
      </c>
      <c r="AW84" s="105">
        <v>10067.04346451407</v>
      </c>
      <c r="AX84" s="105">
        <v>21.961781564431195</v>
      </c>
      <c r="AY84" s="105">
        <v>11226.862735737226</v>
      </c>
      <c r="AZ84" s="105">
        <v>18.831375138247541</v>
      </c>
      <c r="BA84" s="105">
        <v>9626.598970672143</v>
      </c>
      <c r="BB84" s="105">
        <v>19.673801739859361</v>
      </c>
      <c r="BC84" s="105">
        <v>10057.247449416105</v>
      </c>
      <c r="BD84" s="105">
        <v>17.457247617798785</v>
      </c>
      <c r="BE84" s="105">
        <v>8924.1449822187387</v>
      </c>
      <c r="BF84" s="105">
        <v>22.547768029384756</v>
      </c>
      <c r="BG84" s="105">
        <v>11526.419016621487</v>
      </c>
      <c r="BH84" s="105">
        <v>18.209364656802745</v>
      </c>
      <c r="BI84" s="105">
        <v>9308.6272125575633</v>
      </c>
      <c r="BJ84" s="105">
        <v>23.301215258848124</v>
      </c>
      <c r="BK84" s="105">
        <v>11911.581240323161</v>
      </c>
      <c r="BL84" s="105">
        <v>18.545332272993914</v>
      </c>
      <c r="BM84" s="105">
        <v>9480.3738579544879</v>
      </c>
      <c r="BN84" s="105">
        <v>20.686443879161331</v>
      </c>
      <c r="BO84" s="105">
        <v>10574.910111027271</v>
      </c>
      <c r="BP84" s="105">
        <v>22.26836844652459</v>
      </c>
      <c r="BQ84" s="105">
        <v>11383.58994986337</v>
      </c>
      <c r="BR84" s="105">
        <v>21.183337272307689</v>
      </c>
      <c r="BS84" s="105">
        <v>10828.922013603691</v>
      </c>
      <c r="BT84" s="105">
        <v>20.77854354037002</v>
      </c>
      <c r="BU84" s="105">
        <v>10621.991457837154</v>
      </c>
      <c r="BV84" s="105">
        <v>16.926852809969681</v>
      </c>
      <c r="BW84" s="105">
        <v>8653.0071564565005</v>
      </c>
      <c r="BX84" s="105">
        <v>22.114265069766887</v>
      </c>
      <c r="BY84" s="105">
        <v>11304.812303664832</v>
      </c>
      <c r="BZ84" s="105">
        <v>18.587203196988884</v>
      </c>
      <c r="CA84" s="105">
        <v>9501.7782743007174</v>
      </c>
      <c r="CB84" s="105">
        <v>18.770653941471476</v>
      </c>
      <c r="CC84" s="105">
        <v>9595.5582948802185</v>
      </c>
      <c r="CD84" s="105">
        <v>20.165842026338748</v>
      </c>
      <c r="CE84" s="105">
        <v>10308.778443864368</v>
      </c>
      <c r="CF84" s="105">
        <v>22.32996758831322</v>
      </c>
      <c r="CG84" s="105">
        <v>11415.079431145718</v>
      </c>
      <c r="CH84" s="105">
        <v>24.394037375314021</v>
      </c>
      <c r="CI84" s="105">
        <v>12470.231906260527</v>
      </c>
      <c r="CJ84" s="105">
        <v>18.43856826873547</v>
      </c>
      <c r="CK84" s="105">
        <v>9425.7960989775711</v>
      </c>
      <c r="CL84" s="105">
        <v>19.771161210785415</v>
      </c>
      <c r="CM84" s="105">
        <v>10107.017610953504</v>
      </c>
      <c r="CN84" s="105">
        <v>21.851068789700413</v>
      </c>
      <c r="CO84" s="105">
        <v>11170.26636529485</v>
      </c>
      <c r="CP84" s="105">
        <v>18.54739385285821</v>
      </c>
      <c r="CQ84" s="105">
        <v>9481.4277375811162</v>
      </c>
      <c r="CR84" s="105">
        <v>17.37331885035443</v>
      </c>
      <c r="CS84" s="105">
        <v>8881.2405963011843</v>
      </c>
      <c r="CT84" s="105">
        <v>21.085234558084764</v>
      </c>
      <c r="CU84" s="105">
        <v>10778.77190609293</v>
      </c>
    </row>
    <row r="85" spans="2:99" x14ac:dyDescent="0.2">
      <c r="C85" s="104" t="s">
        <v>251</v>
      </c>
      <c r="D85" s="105">
        <v>2.9386533479669339</v>
      </c>
      <c r="E85" s="105">
        <v>800.48917198619267</v>
      </c>
      <c r="F85" s="105">
        <v>2.7511779137254888</v>
      </c>
      <c r="G85" s="105">
        <v>749.42086369882304</v>
      </c>
      <c r="H85" s="105">
        <v>0</v>
      </c>
      <c r="I85" s="105">
        <v>0</v>
      </c>
      <c r="J85" s="105">
        <v>0</v>
      </c>
      <c r="K85" s="105">
        <v>0</v>
      </c>
      <c r="L85" s="105">
        <v>20.772720386145984</v>
      </c>
      <c r="M85" s="105">
        <v>5658.4890331861652</v>
      </c>
      <c r="N85" s="105">
        <v>21.677592675694012</v>
      </c>
      <c r="O85" s="105">
        <v>5904.9762448590482</v>
      </c>
      <c r="P85" s="105">
        <v>20.930340341361994</v>
      </c>
      <c r="Q85" s="105">
        <v>5701.4247089870069</v>
      </c>
      <c r="R85" s="105">
        <v>24.753186811451243</v>
      </c>
      <c r="S85" s="105">
        <v>6742.7680874393182</v>
      </c>
      <c r="T85" s="105">
        <v>23.005420163871459</v>
      </c>
      <c r="U85" s="105">
        <v>6266.676452638585</v>
      </c>
      <c r="V85" s="105">
        <v>25.302297301090171</v>
      </c>
      <c r="W85" s="105">
        <v>6892.3457848169619</v>
      </c>
      <c r="X85" s="105">
        <v>25.301312612043802</v>
      </c>
      <c r="Y85" s="105">
        <v>6892.077555520731</v>
      </c>
      <c r="Z85" s="105">
        <v>22.445053400259372</v>
      </c>
      <c r="AA85" s="105">
        <v>6114.0325462306528</v>
      </c>
      <c r="AB85" s="105">
        <v>21.497302936531902</v>
      </c>
      <c r="AC85" s="105">
        <v>5855.8653199112896</v>
      </c>
      <c r="AD85" s="105">
        <v>19.132171176412317</v>
      </c>
      <c r="AE85" s="105">
        <v>5211.603428454715</v>
      </c>
      <c r="AF85" s="105">
        <v>20.394534433462574</v>
      </c>
      <c r="AG85" s="105">
        <v>5555.4711796752044</v>
      </c>
      <c r="AH85" s="105">
        <v>19.791827181189522</v>
      </c>
      <c r="AI85" s="105">
        <v>5391.2937241560248</v>
      </c>
      <c r="AJ85" s="105">
        <v>19.378806252214748</v>
      </c>
      <c r="AK85" s="105">
        <v>5278.7868231032971</v>
      </c>
      <c r="AL85" s="105">
        <v>21.652932221705594</v>
      </c>
      <c r="AM85" s="105">
        <v>5898.2587371926038</v>
      </c>
      <c r="AN85" s="105">
        <v>20.412686069238177</v>
      </c>
      <c r="AO85" s="105">
        <v>5560.4156852604792</v>
      </c>
      <c r="AP85" s="105">
        <v>17.25909929259787</v>
      </c>
      <c r="AQ85" s="105">
        <v>4701.3786473036598</v>
      </c>
      <c r="AR85" s="105">
        <v>23.257226794645785</v>
      </c>
      <c r="AS85" s="105">
        <v>6335.2685788615108</v>
      </c>
      <c r="AT85" s="105">
        <v>21.590541115723443</v>
      </c>
      <c r="AU85" s="105">
        <v>5881.2633999230657</v>
      </c>
      <c r="AV85" s="105">
        <v>23.001672593064399</v>
      </c>
      <c r="AW85" s="105">
        <v>6265.6556143507414</v>
      </c>
      <c r="AX85" s="105">
        <v>22.733745385434535</v>
      </c>
      <c r="AY85" s="105">
        <v>6192.6722429923666</v>
      </c>
      <c r="AZ85" s="105">
        <v>18.548707827695569</v>
      </c>
      <c r="BA85" s="105">
        <v>5052.6680122642729</v>
      </c>
      <c r="BB85" s="105">
        <v>23.537926110610236</v>
      </c>
      <c r="BC85" s="105">
        <v>6411.7310725302277</v>
      </c>
      <c r="BD85" s="105">
        <v>18.387158657870895</v>
      </c>
      <c r="BE85" s="105">
        <v>5008.6620184040312</v>
      </c>
      <c r="BF85" s="105">
        <v>22.691602476205922</v>
      </c>
      <c r="BG85" s="105">
        <v>6181.1925145184923</v>
      </c>
      <c r="BH85" s="105">
        <v>19.004671282031115</v>
      </c>
      <c r="BI85" s="105">
        <v>5176.872457225275</v>
      </c>
      <c r="BJ85" s="105">
        <v>23.301215258848124</v>
      </c>
      <c r="BK85" s="105">
        <v>6347.2510365102289</v>
      </c>
      <c r="BL85" s="105">
        <v>18.653656894259548</v>
      </c>
      <c r="BM85" s="105">
        <v>5081.2561379963008</v>
      </c>
      <c r="BN85" s="105">
        <v>21.480495946400076</v>
      </c>
      <c r="BO85" s="105">
        <v>5851.28709579938</v>
      </c>
      <c r="BP85" s="105">
        <v>20.745831487995904</v>
      </c>
      <c r="BQ85" s="105">
        <v>5651.1644973300836</v>
      </c>
      <c r="BR85" s="105">
        <v>21.833355739063968</v>
      </c>
      <c r="BS85" s="105">
        <v>5947.4061033210246</v>
      </c>
      <c r="BT85" s="105">
        <v>20.77854354037002</v>
      </c>
      <c r="BU85" s="105">
        <v>5660.0752603967931</v>
      </c>
      <c r="BV85" s="105">
        <v>18.770851456563303</v>
      </c>
      <c r="BW85" s="105">
        <v>5113.1799367678432</v>
      </c>
      <c r="BX85" s="105">
        <v>23.663644223615911</v>
      </c>
      <c r="BY85" s="105">
        <v>6445.9766865129741</v>
      </c>
      <c r="BZ85" s="105">
        <v>22.201665043890841</v>
      </c>
      <c r="CA85" s="105">
        <v>6047.7335579558649</v>
      </c>
      <c r="CB85" s="105">
        <v>20.347640644075682</v>
      </c>
      <c r="CC85" s="105">
        <v>5542.6973114462153</v>
      </c>
      <c r="CD85" s="105">
        <v>21.629646169024856</v>
      </c>
      <c r="CE85" s="105">
        <v>5891.9156164423703</v>
      </c>
      <c r="CF85" s="105">
        <v>22.48574766463447</v>
      </c>
      <c r="CG85" s="105">
        <v>6125.1176638464294</v>
      </c>
      <c r="CH85" s="105">
        <v>25.055922795803468</v>
      </c>
      <c r="CI85" s="105">
        <v>6825.2333695768639</v>
      </c>
      <c r="CJ85" s="105">
        <v>21.330702156673667</v>
      </c>
      <c r="CK85" s="105">
        <v>5810.4832674779063</v>
      </c>
      <c r="CL85" s="105">
        <v>22.472864226970902</v>
      </c>
      <c r="CM85" s="105">
        <v>6121.6082154268734</v>
      </c>
      <c r="CN85" s="105">
        <v>21.65458028119491</v>
      </c>
      <c r="CO85" s="105">
        <v>5898.7076685974935</v>
      </c>
      <c r="CP85" s="105">
        <v>18.54739385285821</v>
      </c>
      <c r="CQ85" s="105">
        <v>5052.3100855185758</v>
      </c>
      <c r="CR85" s="105">
        <v>18.37331885035443</v>
      </c>
      <c r="CS85" s="105">
        <v>5004.8920548365459</v>
      </c>
      <c r="CT85" s="105">
        <v>21.873295392578079</v>
      </c>
      <c r="CU85" s="105">
        <v>5958.2856649382684</v>
      </c>
    </row>
    <row r="86" spans="2:99" x14ac:dyDescent="0.2">
      <c r="C86" s="104" t="s">
        <v>252</v>
      </c>
      <c r="D86" s="105">
        <v>2.5014207282414138</v>
      </c>
      <c r="E86" s="105">
        <v>1239.7041129164445</v>
      </c>
      <c r="F86" s="105">
        <v>2.7511779137254888</v>
      </c>
      <c r="G86" s="105">
        <v>1363.4837740423523</v>
      </c>
      <c r="H86" s="105">
        <v>0</v>
      </c>
      <c r="I86" s="105">
        <v>0</v>
      </c>
      <c r="J86" s="105">
        <v>0</v>
      </c>
      <c r="K86" s="105">
        <v>0</v>
      </c>
      <c r="L86" s="105">
        <v>21.603629201591826</v>
      </c>
      <c r="M86" s="105">
        <v>10706.758632308907</v>
      </c>
      <c r="N86" s="105">
        <v>20.18258628426684</v>
      </c>
      <c r="O86" s="105">
        <v>10002.489762482644</v>
      </c>
      <c r="P86" s="105">
        <v>20.844556764689624</v>
      </c>
      <c r="Q86" s="105">
        <v>10330.562332580177</v>
      </c>
      <c r="R86" s="105">
        <v>21.405507255699717</v>
      </c>
      <c r="S86" s="105">
        <v>10608.56939592478</v>
      </c>
      <c r="T86" s="105">
        <v>21.498352528780821</v>
      </c>
      <c r="U86" s="105">
        <v>10654.583513263773</v>
      </c>
      <c r="V86" s="105">
        <v>21.639080704626558</v>
      </c>
      <c r="W86" s="105">
        <v>10724.328397212921</v>
      </c>
      <c r="X86" s="105">
        <v>21.091171161725192</v>
      </c>
      <c r="Y86" s="105">
        <v>10452.784427751005</v>
      </c>
      <c r="Z86" s="105">
        <v>21.099643144175953</v>
      </c>
      <c r="AA86" s="105">
        <v>10456.983142253603</v>
      </c>
      <c r="AB86" s="105">
        <v>19.74741102633174</v>
      </c>
      <c r="AC86" s="105">
        <v>9786.8169046500097</v>
      </c>
      <c r="AD86" s="105">
        <v>20.040970859051072</v>
      </c>
      <c r="AE86" s="105">
        <v>9932.3051577457099</v>
      </c>
      <c r="AF86" s="105">
        <v>21.823866837262848</v>
      </c>
      <c r="AG86" s="105">
        <v>10815.908404547466</v>
      </c>
      <c r="AH86" s="105">
        <v>21.325566599958481</v>
      </c>
      <c r="AI86" s="105">
        <v>10568.950806939423</v>
      </c>
      <c r="AJ86" s="105">
        <v>20.024766460621908</v>
      </c>
      <c r="AK86" s="105">
        <v>9924.2742578842171</v>
      </c>
      <c r="AL86" s="105">
        <v>20.652932221705594</v>
      </c>
      <c r="AM86" s="105">
        <v>10235.593209077291</v>
      </c>
      <c r="AN86" s="105">
        <v>22.760304246959599</v>
      </c>
      <c r="AO86" s="105">
        <v>11280.006784793177</v>
      </c>
      <c r="AP86" s="105">
        <v>18.851381803639729</v>
      </c>
      <c r="AQ86" s="105">
        <v>9342.744821883849</v>
      </c>
      <c r="AR86" s="105">
        <v>23.244606044382284</v>
      </c>
      <c r="AS86" s="105">
        <v>11520.02675559586</v>
      </c>
      <c r="AT86" s="105">
        <v>23.305786591096194</v>
      </c>
      <c r="AU86" s="105">
        <v>11550.347834547272</v>
      </c>
      <c r="AV86" s="105">
        <v>21.347318558380859</v>
      </c>
      <c r="AW86" s="105">
        <v>10579.731077533554</v>
      </c>
      <c r="AX86" s="105">
        <v>21.961781564431195</v>
      </c>
      <c r="AY86" s="105">
        <v>10884.258943332099</v>
      </c>
      <c r="AZ86" s="105">
        <v>19.731610436927426</v>
      </c>
      <c r="BA86" s="105">
        <v>9778.9861325412312</v>
      </c>
      <c r="BB86" s="105">
        <v>21.639259383710268</v>
      </c>
      <c r="BC86" s="105">
        <v>10724.416950566809</v>
      </c>
      <c r="BD86" s="105">
        <v>18.387158657870895</v>
      </c>
      <c r="BE86" s="105">
        <v>9112.6758308408153</v>
      </c>
      <c r="BF86" s="105">
        <v>20.957760948260297</v>
      </c>
      <c r="BG86" s="105">
        <v>10386.666325957802</v>
      </c>
      <c r="BH86" s="105">
        <v>21.016022350090701</v>
      </c>
      <c r="BI86" s="105">
        <v>10415.54067670495</v>
      </c>
      <c r="BJ86" s="105">
        <v>22.530421599798515</v>
      </c>
      <c r="BK86" s="105">
        <v>11166.076944860144</v>
      </c>
      <c r="BL86" s="105">
        <v>18.545332272993914</v>
      </c>
      <c r="BM86" s="105">
        <v>9191.0666744957834</v>
      </c>
      <c r="BN86" s="105">
        <v>21.490295957954011</v>
      </c>
      <c r="BO86" s="105">
        <v>10650.590676762007</v>
      </c>
      <c r="BP86" s="105">
        <v>19.907207134179945</v>
      </c>
      <c r="BQ86" s="105">
        <v>9866.0118556995803</v>
      </c>
      <c r="BR86" s="105">
        <v>22.844909520337776</v>
      </c>
      <c r="BS86" s="105">
        <v>11321.937158279401</v>
      </c>
      <c r="BT86" s="105">
        <v>20.77854354037002</v>
      </c>
      <c r="BU86" s="105">
        <v>10297.84617860738</v>
      </c>
      <c r="BV86" s="105">
        <v>19.680206923625637</v>
      </c>
      <c r="BW86" s="105">
        <v>9753.5105513488652</v>
      </c>
      <c r="BX86" s="105">
        <v>22.168338657201332</v>
      </c>
      <c r="BY86" s="105">
        <v>10986.628638508979</v>
      </c>
      <c r="BZ86" s="105">
        <v>22.201665043890841</v>
      </c>
      <c r="CA86" s="105">
        <v>11003.1451957523</v>
      </c>
      <c r="CB86" s="105">
        <v>19.559147292773581</v>
      </c>
      <c r="CC86" s="105">
        <v>9693.5133982985863</v>
      </c>
      <c r="CD86" s="105">
        <v>21.682790077889344</v>
      </c>
      <c r="CE86" s="105">
        <v>10745.990762601958</v>
      </c>
      <c r="CF86" s="105">
        <v>20.434980484719951</v>
      </c>
      <c r="CG86" s="105">
        <v>10127.576328227207</v>
      </c>
      <c r="CH86" s="105">
        <v>21.078537786984775</v>
      </c>
      <c r="CI86" s="105">
        <v>10446.523327229654</v>
      </c>
      <c r="CJ86" s="105">
        <v>20.488464191642901</v>
      </c>
      <c r="CK86" s="105">
        <v>10154.082853378221</v>
      </c>
      <c r="CL86" s="105">
        <v>18.081233010120656</v>
      </c>
      <c r="CM86" s="105">
        <v>8961.0590798157955</v>
      </c>
      <c r="CN86" s="105">
        <v>18.832464573792297</v>
      </c>
      <c r="CO86" s="105">
        <v>9333.3694427714618</v>
      </c>
      <c r="CP86" s="105">
        <v>18.54739385285821</v>
      </c>
      <c r="CQ86" s="105">
        <v>9192.0883934765279</v>
      </c>
      <c r="CR86" s="105">
        <v>19.483613194994785</v>
      </c>
      <c r="CS86" s="105">
        <v>9656.0786994394148</v>
      </c>
      <c r="CT86" s="105">
        <v>20.297173723591449</v>
      </c>
      <c r="CU86" s="105">
        <v>10059.279297411922</v>
      </c>
    </row>
    <row r="87" spans="2:99" x14ac:dyDescent="0.2">
      <c r="B87" s="104" t="s">
        <v>131</v>
      </c>
      <c r="C87" s="104" t="s">
        <v>253</v>
      </c>
      <c r="D87" s="105">
        <v>4</v>
      </c>
      <c r="E87" s="105">
        <v>3763.2</v>
      </c>
      <c r="F87" s="105">
        <v>0.20149253731343347</v>
      </c>
      <c r="G87" s="105">
        <v>189.5641791044782</v>
      </c>
      <c r="H87" s="105">
        <v>2</v>
      </c>
      <c r="I87" s="105">
        <v>1881.6</v>
      </c>
      <c r="J87" s="105">
        <v>1.8332803552627015</v>
      </c>
      <c r="K87" s="105">
        <v>1724.7501582311495</v>
      </c>
      <c r="L87" s="105">
        <v>17.299984822089002</v>
      </c>
      <c r="M87" s="105">
        <v>16275.825720621331</v>
      </c>
      <c r="N87" s="105">
        <v>17.354498212631267</v>
      </c>
      <c r="O87" s="105">
        <v>16327.111918443496</v>
      </c>
      <c r="P87" s="105">
        <v>20.060916189118711</v>
      </c>
      <c r="Q87" s="105">
        <v>18873.309950722884</v>
      </c>
      <c r="R87" s="105">
        <v>19.508568920923462</v>
      </c>
      <c r="S87" s="105">
        <v>18353.661640804792</v>
      </c>
      <c r="T87" s="105">
        <v>16.073590724595515</v>
      </c>
      <c r="U87" s="105">
        <v>15122.03415369946</v>
      </c>
      <c r="V87" s="105">
        <v>20.385363014253628</v>
      </c>
      <c r="W87" s="105">
        <v>19178.549523809812</v>
      </c>
      <c r="X87" s="105">
        <v>23.526401605514959</v>
      </c>
      <c r="Y87" s="105">
        <v>22133.638630468471</v>
      </c>
      <c r="Z87" s="105">
        <v>24.433315361264601</v>
      </c>
      <c r="AA87" s="105">
        <v>22986.863091877734</v>
      </c>
      <c r="AB87" s="105">
        <v>22.030677672171997</v>
      </c>
      <c r="AC87" s="105">
        <v>20726.461553979414</v>
      </c>
      <c r="AD87" s="105">
        <v>23.381018609969416</v>
      </c>
      <c r="AE87" s="105">
        <v>21996.862308259228</v>
      </c>
      <c r="AF87" s="105">
        <v>16.306120066000151</v>
      </c>
      <c r="AG87" s="105">
        <v>15340.797758092942</v>
      </c>
      <c r="AH87" s="105">
        <v>24.070609809665893</v>
      </c>
      <c r="AI87" s="105">
        <v>22645.629708933669</v>
      </c>
      <c r="AJ87" s="105">
        <v>18.302046082368129</v>
      </c>
      <c r="AK87" s="105">
        <v>17218.564954291935</v>
      </c>
      <c r="AL87" s="105">
        <v>20.789837656743437</v>
      </c>
      <c r="AM87" s="105">
        <v>19559.079267464225</v>
      </c>
      <c r="AN87" s="105">
        <v>20.57225373113884</v>
      </c>
      <c r="AO87" s="105">
        <v>19354.376310255419</v>
      </c>
      <c r="AP87" s="105">
        <v>19.406718006866956</v>
      </c>
      <c r="AQ87" s="105">
        <v>18257.840300860433</v>
      </c>
      <c r="AR87" s="105">
        <v>19.657424429157398</v>
      </c>
      <c r="AS87" s="105">
        <v>18493.704902951278</v>
      </c>
      <c r="AT87" s="105">
        <v>22.610801695428467</v>
      </c>
      <c r="AU87" s="105">
        <v>21272.2422350591</v>
      </c>
      <c r="AV87" s="105">
        <v>19.925999834756833</v>
      </c>
      <c r="AW87" s="105">
        <v>18746.380644539229</v>
      </c>
      <c r="AX87" s="105">
        <v>22.394882716138515</v>
      </c>
      <c r="AY87" s="105">
        <v>21069.105659343113</v>
      </c>
      <c r="AZ87" s="105">
        <v>20.869979528634921</v>
      </c>
      <c r="BA87" s="105">
        <v>19634.476740539732</v>
      </c>
      <c r="BB87" s="105">
        <v>22.596547806977465</v>
      </c>
      <c r="BC87" s="105">
        <v>21258.832176804397</v>
      </c>
      <c r="BD87" s="105">
        <v>18.9345799315692</v>
      </c>
      <c r="BE87" s="105">
        <v>17813.652799620304</v>
      </c>
      <c r="BF87" s="105">
        <v>23.101551143301286</v>
      </c>
      <c r="BG87" s="105">
        <v>21733.939315617848</v>
      </c>
      <c r="BH87" s="105">
        <v>20.995072151621795</v>
      </c>
      <c r="BI87" s="105">
        <v>19752.163880245782</v>
      </c>
      <c r="BJ87" s="105">
        <v>22.416236993567221</v>
      </c>
      <c r="BK87" s="105">
        <v>21089.195763548039</v>
      </c>
      <c r="BL87" s="105">
        <v>20.44713532377197</v>
      </c>
      <c r="BM87" s="105">
        <v>19236.664912604669</v>
      </c>
      <c r="BN87" s="105">
        <v>19.99434785666157</v>
      </c>
      <c r="BO87" s="105">
        <v>18810.682463547204</v>
      </c>
      <c r="BP87" s="105">
        <v>23.705699979179368</v>
      </c>
      <c r="BQ87" s="105">
        <v>22302.322540411948</v>
      </c>
      <c r="BR87" s="105">
        <v>21.825208282744814</v>
      </c>
      <c r="BS87" s="105">
        <v>20533.15595240632</v>
      </c>
      <c r="BT87" s="105">
        <v>21.944035086665359</v>
      </c>
      <c r="BU87" s="105">
        <v>20644.94820953477</v>
      </c>
      <c r="BV87" s="105">
        <v>17.837579867502875</v>
      </c>
      <c r="BW87" s="105">
        <v>16781.595139346704</v>
      </c>
      <c r="BX87" s="105">
        <v>24.811849002156567</v>
      </c>
      <c r="BY87" s="105">
        <v>23342.987541228897</v>
      </c>
      <c r="BZ87" s="105">
        <v>24.280005448541402</v>
      </c>
      <c r="CA87" s="105">
        <v>22842.629125987751</v>
      </c>
      <c r="CB87" s="105">
        <v>21.466814013206974</v>
      </c>
      <c r="CC87" s="105">
        <v>20195.97862362512</v>
      </c>
      <c r="CD87" s="105">
        <v>21.622311785772304</v>
      </c>
      <c r="CE87" s="105">
        <v>20342.270928054582</v>
      </c>
      <c r="CF87" s="105">
        <v>21.154797311358433</v>
      </c>
      <c r="CG87" s="105">
        <v>19902.433310526012</v>
      </c>
      <c r="CH87" s="105">
        <v>23.988373589195565</v>
      </c>
      <c r="CI87" s="105">
        <v>22568.261872715186</v>
      </c>
      <c r="CJ87" s="105">
        <v>25.202537481813859</v>
      </c>
      <c r="CK87" s="105">
        <v>23710.547262890479</v>
      </c>
      <c r="CL87" s="105">
        <v>22.72128724913928</v>
      </c>
      <c r="CM87" s="105">
        <v>21376.187043990234</v>
      </c>
      <c r="CN87" s="105">
        <v>19.74616498408988</v>
      </c>
      <c r="CO87" s="105">
        <v>18577.192017031757</v>
      </c>
      <c r="CP87" s="105">
        <v>20.373842124735827</v>
      </c>
      <c r="CQ87" s="105">
        <v>19167.710670951466</v>
      </c>
      <c r="CR87" s="105">
        <v>23.516051249118782</v>
      </c>
      <c r="CS87" s="105">
        <v>22123.901015170948</v>
      </c>
      <c r="CT87" s="105">
        <v>21.870315575437495</v>
      </c>
      <c r="CU87" s="105">
        <v>20575.592893371595</v>
      </c>
    </row>
    <row r="88" spans="2:99" x14ac:dyDescent="0.2">
      <c r="C88" s="104" t="s">
        <v>254</v>
      </c>
      <c r="D88" s="105">
        <v>3</v>
      </c>
      <c r="E88" s="105">
        <v>2628</v>
      </c>
      <c r="F88" s="105">
        <v>0.20149253731343347</v>
      </c>
      <c r="G88" s="105">
        <v>176.50746268656772</v>
      </c>
      <c r="H88" s="105">
        <v>3</v>
      </c>
      <c r="I88" s="105">
        <v>2628</v>
      </c>
      <c r="J88" s="105">
        <v>1.3749602664470262</v>
      </c>
      <c r="K88" s="105">
        <v>1204.4651934075948</v>
      </c>
      <c r="L88" s="105">
        <v>17.743574176501543</v>
      </c>
      <c r="M88" s="105">
        <v>15543.370978615352</v>
      </c>
      <c r="N88" s="105">
        <v>16.084656879999709</v>
      </c>
      <c r="O88" s="105">
        <v>14090.159426879745</v>
      </c>
      <c r="P88" s="105">
        <v>24.297630063803645</v>
      </c>
      <c r="Q88" s="105">
        <v>21284.723935891994</v>
      </c>
      <c r="R88" s="105">
        <v>20.792608741567665</v>
      </c>
      <c r="S88" s="105">
        <v>18214.325257613276</v>
      </c>
      <c r="T88" s="105">
        <v>15.49953391300282</v>
      </c>
      <c r="U88" s="105">
        <v>13577.591707790471</v>
      </c>
      <c r="V88" s="105">
        <v>21.940376704738838</v>
      </c>
      <c r="W88" s="105">
        <v>19219.769993351223</v>
      </c>
      <c r="X88" s="105">
        <v>20.036212920771693</v>
      </c>
      <c r="Y88" s="105">
        <v>17551.722518596001</v>
      </c>
      <c r="Z88" s="105">
        <v>22.588452805118028</v>
      </c>
      <c r="AA88" s="105">
        <v>19787.484657283392</v>
      </c>
      <c r="AB88" s="105">
        <v>20.56933528070952</v>
      </c>
      <c r="AC88" s="105">
        <v>18018.737705901538</v>
      </c>
      <c r="AD88" s="105">
        <v>24.528859181504355</v>
      </c>
      <c r="AE88" s="105">
        <v>21487.280642997815</v>
      </c>
      <c r="AF88" s="105">
        <v>18.159088255318352</v>
      </c>
      <c r="AG88" s="105">
        <v>15907.361311658877</v>
      </c>
      <c r="AH88" s="105">
        <v>24.721969677774556</v>
      </c>
      <c r="AI88" s="105">
        <v>21656.445437730512</v>
      </c>
      <c r="AJ88" s="105">
        <v>19.580153906202444</v>
      </c>
      <c r="AK88" s="105">
        <v>17152.214821833342</v>
      </c>
      <c r="AL88" s="105">
        <v>19.664715644366851</v>
      </c>
      <c r="AM88" s="105">
        <v>17226.290904465361</v>
      </c>
      <c r="AN88" s="105">
        <v>22.880810120123314</v>
      </c>
      <c r="AO88" s="105">
        <v>20043.589665228024</v>
      </c>
      <c r="AP88" s="105">
        <v>20.776273609903438</v>
      </c>
      <c r="AQ88" s="105">
        <v>18200.015682275411</v>
      </c>
      <c r="AR88" s="105">
        <v>20.176092765898193</v>
      </c>
      <c r="AS88" s="105">
        <v>17674.257262926818</v>
      </c>
      <c r="AT88" s="105">
        <v>22.118963623843953</v>
      </c>
      <c r="AU88" s="105">
        <v>19376.212134487305</v>
      </c>
      <c r="AV88" s="105">
        <v>23.584147357437857</v>
      </c>
      <c r="AW88" s="105">
        <v>20659.713085115563</v>
      </c>
      <c r="AX88" s="105">
        <v>22.286689105784362</v>
      </c>
      <c r="AY88" s="105">
        <v>19523.139656667099</v>
      </c>
      <c r="AZ88" s="105">
        <v>22.081967766747926</v>
      </c>
      <c r="BA88" s="105">
        <v>19343.803763671182</v>
      </c>
      <c r="BB88" s="105">
        <v>24.627664518492566</v>
      </c>
      <c r="BC88" s="105">
        <v>21573.834118199487</v>
      </c>
      <c r="BD88" s="105">
        <v>16.77829072413072</v>
      </c>
      <c r="BE88" s="105">
        <v>14697.78267433851</v>
      </c>
      <c r="BF88" s="105">
        <v>21.858739736331028</v>
      </c>
      <c r="BG88" s="105">
        <v>19148.256009025979</v>
      </c>
      <c r="BH88" s="105">
        <v>20.33936715863706</v>
      </c>
      <c r="BI88" s="105">
        <v>17817.285630966064</v>
      </c>
      <c r="BJ88" s="105">
        <v>23.81679419616961</v>
      </c>
      <c r="BK88" s="105">
        <v>20863.511715844579</v>
      </c>
      <c r="BL88" s="105">
        <v>22.11907674137694</v>
      </c>
      <c r="BM88" s="105">
        <v>19376.311225446199</v>
      </c>
      <c r="BN88" s="105">
        <v>23.070440982765376</v>
      </c>
      <c r="BO88" s="105">
        <v>20209.706300902471</v>
      </c>
      <c r="BP88" s="105">
        <v>21.205287781770007</v>
      </c>
      <c r="BQ88" s="105">
        <v>18575.832096830527</v>
      </c>
      <c r="BR88" s="105">
        <v>25.796491758508338</v>
      </c>
      <c r="BS88" s="105">
        <v>22597.726780453304</v>
      </c>
      <c r="BT88" s="105">
        <v>21.425484341455945</v>
      </c>
      <c r="BU88" s="105">
        <v>18768.724283115407</v>
      </c>
      <c r="BV88" s="105">
        <v>16.286485965980887</v>
      </c>
      <c r="BW88" s="105">
        <v>14266.961706199258</v>
      </c>
      <c r="BX88" s="105">
        <v>24.809364988108584</v>
      </c>
      <c r="BY88" s="105">
        <v>21733.003729583121</v>
      </c>
      <c r="BZ88" s="105">
        <v>23.129726277540321</v>
      </c>
      <c r="CA88" s="105">
        <v>20261.640219125322</v>
      </c>
      <c r="CB88" s="105">
        <v>23.338113483253878</v>
      </c>
      <c r="CC88" s="105">
        <v>20444.187411330397</v>
      </c>
      <c r="CD88" s="105">
        <v>21.622311785772304</v>
      </c>
      <c r="CE88" s="105">
        <v>18941.145124336537</v>
      </c>
      <c r="CF88" s="105">
        <v>22.535478730939545</v>
      </c>
      <c r="CG88" s="105">
        <v>19741.079368303042</v>
      </c>
      <c r="CH88" s="105">
        <v>20.892607801775444</v>
      </c>
      <c r="CI88" s="105">
        <v>18301.924434355289</v>
      </c>
      <c r="CJ88" s="105">
        <v>21.325189471834459</v>
      </c>
      <c r="CK88" s="105">
        <v>18680.865977326986</v>
      </c>
      <c r="CL88" s="105">
        <v>24.196169650106327</v>
      </c>
      <c r="CM88" s="105">
        <v>21195.844613493144</v>
      </c>
      <c r="CN88" s="105">
        <v>21.458688314072393</v>
      </c>
      <c r="CO88" s="105">
        <v>18797.810963127416</v>
      </c>
      <c r="CP88" s="105">
        <v>21.946689649287745</v>
      </c>
      <c r="CQ88" s="105">
        <v>19225.300132776065</v>
      </c>
      <c r="CR88" s="105">
        <v>23.607187181430614</v>
      </c>
      <c r="CS88" s="105">
        <v>20679.895970933219</v>
      </c>
      <c r="CT88" s="105">
        <v>22.634381630059195</v>
      </c>
      <c r="CU88" s="105">
        <v>19827.718307931857</v>
      </c>
    </row>
    <row r="89" spans="2:99" x14ac:dyDescent="0.2">
      <c r="C89" s="104" t="s">
        <v>255</v>
      </c>
      <c r="D89" s="105">
        <v>4</v>
      </c>
      <c r="E89" s="105">
        <v>2332.7999999999997</v>
      </c>
      <c r="F89" s="105">
        <v>0.20149253731343347</v>
      </c>
      <c r="G89" s="105">
        <v>117.51044776119438</v>
      </c>
      <c r="H89" s="105">
        <v>3</v>
      </c>
      <c r="I89" s="105">
        <v>1749.6</v>
      </c>
      <c r="J89" s="105">
        <v>1.8332803552627015</v>
      </c>
      <c r="K89" s="105">
        <v>1069.1691031892074</v>
      </c>
      <c r="L89" s="105">
        <v>16.856395467676464</v>
      </c>
      <c r="M89" s="105">
        <v>9830.649836748913</v>
      </c>
      <c r="N89" s="105">
        <v>15.661376435789194</v>
      </c>
      <c r="O89" s="105">
        <v>9133.7147373522566</v>
      </c>
      <c r="P89" s="105">
        <v>21.984264586279124</v>
      </c>
      <c r="Q89" s="105">
        <v>12821.223106717984</v>
      </c>
      <c r="R89" s="105">
        <v>21.541245328561043</v>
      </c>
      <c r="S89" s="105">
        <v>12562.854275616799</v>
      </c>
      <c r="T89" s="105">
        <v>16.647647536188213</v>
      </c>
      <c r="U89" s="105">
        <v>9708.9080431049642</v>
      </c>
      <c r="V89" s="105">
        <v>24.272897240466662</v>
      </c>
      <c r="W89" s="105">
        <v>14155.953670640156</v>
      </c>
      <c r="X89" s="105">
        <v>22.531793051803302</v>
      </c>
      <c r="Y89" s="105">
        <v>13140.541707811684</v>
      </c>
      <c r="Z89" s="105">
        <v>25.58580216184378</v>
      </c>
      <c r="AA89" s="105">
        <v>14921.639820787292</v>
      </c>
      <c r="AB89" s="105">
        <v>22.813057944804523</v>
      </c>
      <c r="AC89" s="105">
        <v>13304.575393409996</v>
      </c>
      <c r="AD89" s="105">
        <v>25.12073581912156</v>
      </c>
      <c r="AE89" s="105">
        <v>14650.413129711693</v>
      </c>
      <c r="AF89" s="105">
        <v>15.935526428136512</v>
      </c>
      <c r="AG89" s="105">
        <v>9293.5990128892136</v>
      </c>
      <c r="AH89" s="105">
        <v>29.299835712157602</v>
      </c>
      <c r="AI89" s="105">
        <v>17087.664187330312</v>
      </c>
      <c r="AJ89" s="105">
        <v>20.173104345473703</v>
      </c>
      <c r="AK89" s="105">
        <v>11764.954454280263</v>
      </c>
      <c r="AL89" s="105">
        <v>24.727764700061485</v>
      </c>
      <c r="AM89" s="105">
        <v>14421.232373075856</v>
      </c>
      <c r="AN89" s="105">
        <v>25.215916771171937</v>
      </c>
      <c r="AO89" s="105">
        <v>14705.922660947472</v>
      </c>
      <c r="AP89" s="105">
        <v>20.908682722044912</v>
      </c>
      <c r="AQ89" s="105">
        <v>12193.943763496591</v>
      </c>
      <c r="AR89" s="105">
        <v>20.801471661506401</v>
      </c>
      <c r="AS89" s="105">
        <v>12131.418272990531</v>
      </c>
      <c r="AT89" s="105">
        <v>22.000020513862413</v>
      </c>
      <c r="AU89" s="105">
        <v>12830.411963684557</v>
      </c>
      <c r="AV89" s="105">
        <v>22.545828050162864</v>
      </c>
      <c r="AW89" s="105">
        <v>13148.726918854982</v>
      </c>
      <c r="AX89" s="105">
        <v>24.192607824313118</v>
      </c>
      <c r="AY89" s="105">
        <v>14109.128883139409</v>
      </c>
      <c r="AZ89" s="105">
        <v>22.081967766747926</v>
      </c>
      <c r="BA89" s="105">
        <v>12878.203601567389</v>
      </c>
      <c r="BB89" s="105">
        <v>25.279272371784494</v>
      </c>
      <c r="BC89" s="105">
        <v>14742.871647224714</v>
      </c>
      <c r="BD89" s="105">
        <v>18.181796473533986</v>
      </c>
      <c r="BE89" s="105">
        <v>10603.62370336502</v>
      </c>
      <c r="BF89" s="105">
        <v>23.101551143301286</v>
      </c>
      <c r="BG89" s="105">
        <v>13472.824626773308</v>
      </c>
      <c r="BH89" s="105">
        <v>23.685138912182055</v>
      </c>
      <c r="BI89" s="105">
        <v>13813.173013584572</v>
      </c>
      <c r="BJ89" s="105">
        <v>23.693198250320044</v>
      </c>
      <c r="BK89" s="105">
        <v>13817.873219586649</v>
      </c>
      <c r="BL89" s="105">
        <v>22.582325372618779</v>
      </c>
      <c r="BM89" s="105">
        <v>13170.01215731127</v>
      </c>
      <c r="BN89" s="105">
        <v>24.562838289723235</v>
      </c>
      <c r="BO89" s="105">
        <v>14325.047290566588</v>
      </c>
      <c r="BP89" s="105">
        <v>21.613534385718239</v>
      </c>
      <c r="BQ89" s="105">
        <v>12605.013253750876</v>
      </c>
      <c r="BR89" s="105">
        <v>24.800268114134543</v>
      </c>
      <c r="BS89" s="105">
        <v>14463.516364163264</v>
      </c>
      <c r="BT89" s="105">
        <v>23.852930020611492</v>
      </c>
      <c r="BU89" s="105">
        <v>13911.02878802062</v>
      </c>
      <c r="BV89" s="105">
        <v>17.449806392122376</v>
      </c>
      <c r="BW89" s="105">
        <v>10176.727087885769</v>
      </c>
      <c r="BX89" s="105">
        <v>26.950672813323763</v>
      </c>
      <c r="BY89" s="105">
        <v>15717.632384730417</v>
      </c>
      <c r="BZ89" s="105">
        <v>27.031569512578642</v>
      </c>
      <c r="CA89" s="105">
        <v>15764.811339735863</v>
      </c>
      <c r="CB89" s="105">
        <v>26.469278004310702</v>
      </c>
      <c r="CC89" s="105">
        <v>15436.882932114</v>
      </c>
      <c r="CD89" s="105">
        <v>25.498494290816677</v>
      </c>
      <c r="CE89" s="105">
        <v>14870.721870404284</v>
      </c>
      <c r="CF89" s="105">
        <v>24.495812820468888</v>
      </c>
      <c r="CG89" s="105">
        <v>14285.958036897455</v>
      </c>
      <c r="CH89" s="105">
        <v>24.769315581356352</v>
      </c>
      <c r="CI89" s="105">
        <v>14445.464847047022</v>
      </c>
      <c r="CJ89" s="105">
        <v>23.954651607170053</v>
      </c>
      <c r="CK89" s="105">
        <v>13970.352817301573</v>
      </c>
      <c r="CL89" s="105">
        <v>22.730035945794249</v>
      </c>
      <c r="CM89" s="105">
        <v>13256.156963587204</v>
      </c>
      <c r="CN89" s="105">
        <v>22.545959514058246</v>
      </c>
      <c r="CO89" s="105">
        <v>13148.803588598768</v>
      </c>
      <c r="CP89" s="105">
        <v>22.845596665737983</v>
      </c>
      <c r="CQ89" s="105">
        <v>13323.551975458389</v>
      </c>
      <c r="CR89" s="105">
        <v>21.99534191176134</v>
      </c>
      <c r="CS89" s="105">
        <v>12827.683402939212</v>
      </c>
      <c r="CT89" s="105">
        <v>23.162651148295346</v>
      </c>
      <c r="CU89" s="105">
        <v>13508.458149685845</v>
      </c>
    </row>
    <row r="90" spans="2:99" x14ac:dyDescent="0.2">
      <c r="C90" s="104" t="s">
        <v>256</v>
      </c>
      <c r="D90" s="105">
        <v>4</v>
      </c>
      <c r="E90" s="105">
        <v>3273.6</v>
      </c>
      <c r="F90" s="105">
        <v>0.20149253731343347</v>
      </c>
      <c r="G90" s="105">
        <v>164.90149253731394</v>
      </c>
      <c r="H90" s="105">
        <v>3</v>
      </c>
      <c r="I90" s="105">
        <v>2455.1999999999998</v>
      </c>
      <c r="J90" s="105">
        <v>1.3749602664470262</v>
      </c>
      <c r="K90" s="105">
        <v>1125.2674820602463</v>
      </c>
      <c r="L90" s="105">
        <v>15.969216758851388</v>
      </c>
      <c r="M90" s="105">
        <v>13069.206995443976</v>
      </c>
      <c r="N90" s="105">
        <v>16.507937324210229</v>
      </c>
      <c r="O90" s="105">
        <v>13510.095906133651</v>
      </c>
      <c r="P90" s="105">
        <v>22.59026177562755</v>
      </c>
      <c r="Q90" s="105">
        <v>18487.870237173585</v>
      </c>
      <c r="R90" s="105">
        <v>20.899225418238945</v>
      </c>
      <c r="S90" s="105">
        <v>17103.926082286751</v>
      </c>
      <c r="T90" s="105">
        <v>14.925477101410122</v>
      </c>
      <c r="U90" s="105">
        <v>12215.010459794043</v>
      </c>
      <c r="V90" s="105">
        <v>20.385363014253628</v>
      </c>
      <c r="W90" s="105">
        <v>16683.381090865169</v>
      </c>
      <c r="X90" s="105">
        <v>23.37361858059425</v>
      </c>
      <c r="Y90" s="105">
        <v>19128.969446358333</v>
      </c>
      <c r="Z90" s="105">
        <v>23.746331889488644</v>
      </c>
      <c r="AA90" s="105">
        <v>19433.998018357506</v>
      </c>
      <c r="AB90" s="105">
        <v>21.887691920729303</v>
      </c>
      <c r="AC90" s="105">
        <v>17912.887067924861</v>
      </c>
      <c r="AD90" s="105">
        <v>20.948497462556787</v>
      </c>
      <c r="AE90" s="105">
        <v>17144.250323356475</v>
      </c>
      <c r="AF90" s="105">
        <v>18.159088255318352</v>
      </c>
      <c r="AG90" s="105">
        <v>14861.39782815254</v>
      </c>
      <c r="AH90" s="105">
        <v>27.992529236534672</v>
      </c>
      <c r="AI90" s="105">
        <v>22909.085927179975</v>
      </c>
      <c r="AJ90" s="105">
        <v>20.827526081606166</v>
      </c>
      <c r="AK90" s="105">
        <v>17045.247345186486</v>
      </c>
      <c r="AL90" s="105">
        <v>22.477520675308316</v>
      </c>
      <c r="AM90" s="105">
        <v>18395.602920672325</v>
      </c>
      <c r="AN90" s="105">
        <v>24.507614555755953</v>
      </c>
      <c r="AO90" s="105">
        <v>20057.03175243067</v>
      </c>
      <c r="AP90" s="105">
        <v>19.406718006866956</v>
      </c>
      <c r="AQ90" s="105">
        <v>15882.458016819917</v>
      </c>
      <c r="AR90" s="105">
        <v>19.662721065403897</v>
      </c>
      <c r="AS90" s="105">
        <v>16091.970919926549</v>
      </c>
      <c r="AT90" s="105">
        <v>23.832364058560579</v>
      </c>
      <c r="AU90" s="105">
        <v>19504.406745525976</v>
      </c>
      <c r="AV90" s="105">
        <v>24.117724979406482</v>
      </c>
      <c r="AW90" s="105">
        <v>19737.946123146263</v>
      </c>
      <c r="AX90" s="105">
        <v>20.591755429166888</v>
      </c>
      <c r="AY90" s="105">
        <v>16852.292643230179</v>
      </c>
      <c r="AZ90" s="105">
        <v>21.461199098198264</v>
      </c>
      <c r="BA90" s="105">
        <v>17563.845341965458</v>
      </c>
      <c r="BB90" s="105">
        <v>25.270019133500984</v>
      </c>
      <c r="BC90" s="105">
        <v>20680.983658857203</v>
      </c>
      <c r="BD90" s="105">
        <v>18.181796473533986</v>
      </c>
      <c r="BE90" s="105">
        <v>14879.982233940213</v>
      </c>
      <c r="BF90" s="105">
        <v>24.344362550271544</v>
      </c>
      <c r="BG90" s="105">
        <v>19923.42631114223</v>
      </c>
      <c r="BH90" s="105">
        <v>20.984218563278091</v>
      </c>
      <c r="BI90" s="105">
        <v>17173.484472186788</v>
      </c>
      <c r="BJ90" s="105">
        <v>23.119585585869054</v>
      </c>
      <c r="BK90" s="105">
        <v>18921.068843475234</v>
      </c>
      <c r="BL90" s="105">
        <v>23.763627291609918</v>
      </c>
      <c r="BM90" s="105">
        <v>19448.152575453558</v>
      </c>
      <c r="BN90" s="105">
        <v>19.99434785666157</v>
      </c>
      <c r="BO90" s="105">
        <v>16363.374285891829</v>
      </c>
      <c r="BP90" s="105">
        <v>24.75422604328509</v>
      </c>
      <c r="BQ90" s="105">
        <v>20258.858593824516</v>
      </c>
      <c r="BR90" s="105">
        <v>21.825208282744814</v>
      </c>
      <c r="BS90" s="105">
        <v>17861.750458598355</v>
      </c>
      <c r="BT90" s="105">
        <v>25.752617043325998</v>
      </c>
      <c r="BU90" s="105">
        <v>21075.941788257995</v>
      </c>
      <c r="BV90" s="105">
        <v>17.837579867502875</v>
      </c>
      <c r="BW90" s="105">
        <v>14598.275363564353</v>
      </c>
      <c r="BX90" s="105">
        <v>26.35953228245927</v>
      </c>
      <c r="BY90" s="105">
        <v>21572.641219964666</v>
      </c>
      <c r="BZ90" s="105">
        <v>21.878447961424552</v>
      </c>
      <c r="CA90" s="105">
        <v>17905.321811629852</v>
      </c>
      <c r="CB90" s="105">
        <v>24.593929857557256</v>
      </c>
      <c r="CC90" s="105">
        <v>20127.672195424857</v>
      </c>
      <c r="CD90" s="105">
        <v>23.508605825077421</v>
      </c>
      <c r="CE90" s="105">
        <v>19239.443007243361</v>
      </c>
      <c r="CF90" s="105">
        <v>23.024549623109863</v>
      </c>
      <c r="CG90" s="105">
        <v>18843.291411553109</v>
      </c>
      <c r="CH90" s="105">
        <v>23.988373589195565</v>
      </c>
      <c r="CI90" s="105">
        <v>19632.084945397648</v>
      </c>
      <c r="CJ90" s="105">
        <v>23.943065414131496</v>
      </c>
      <c r="CK90" s="105">
        <v>19595.004734925216</v>
      </c>
      <c r="CL90" s="105">
        <v>22.235492246586912</v>
      </c>
      <c r="CM90" s="105">
        <v>18197.526854606727</v>
      </c>
      <c r="CN90" s="105">
        <v>20.889362722644645</v>
      </c>
      <c r="CO90" s="105">
        <v>17095.854452212378</v>
      </c>
      <c r="CP90" s="105">
        <v>20.373842124735827</v>
      </c>
      <c r="CQ90" s="105">
        <v>16673.9523948838</v>
      </c>
      <c r="CR90" s="105">
        <v>23.602649395100997</v>
      </c>
      <c r="CS90" s="105">
        <v>19316.408264950656</v>
      </c>
      <c r="CT90" s="105">
        <v>22.020929658692932</v>
      </c>
      <c r="CU90" s="105">
        <v>18021.928832674294</v>
      </c>
    </row>
    <row r="91" spans="2:99" x14ac:dyDescent="0.2">
      <c r="C91" s="104" t="s">
        <v>257</v>
      </c>
      <c r="D91" s="105">
        <v>3</v>
      </c>
      <c r="E91" s="105">
        <v>2358</v>
      </c>
      <c r="F91" s="105">
        <v>0.13432835820895564</v>
      </c>
      <c r="G91" s="105">
        <v>105.58208955223914</v>
      </c>
      <c r="H91" s="105">
        <v>3</v>
      </c>
      <c r="I91" s="105">
        <v>2358</v>
      </c>
      <c r="J91" s="105">
        <v>1.3749602664470262</v>
      </c>
      <c r="K91" s="105">
        <v>1080.7187694273625</v>
      </c>
      <c r="L91" s="105">
        <v>18.187163530914081</v>
      </c>
      <c r="M91" s="105">
        <v>14295.110535298467</v>
      </c>
      <c r="N91" s="105">
        <v>16.507937324210229</v>
      </c>
      <c r="O91" s="105">
        <v>12975.23873682924</v>
      </c>
      <c r="P91" s="105">
        <v>21.378267396930703</v>
      </c>
      <c r="Q91" s="105">
        <v>16803.318173987533</v>
      </c>
      <c r="R91" s="105">
        <v>19.513862936382367</v>
      </c>
      <c r="S91" s="105">
        <v>15337.896267996541</v>
      </c>
      <c r="T91" s="105">
        <v>14.925477101410122</v>
      </c>
      <c r="U91" s="105">
        <v>11731.425001708356</v>
      </c>
      <c r="V91" s="105">
        <v>21.053319646648859</v>
      </c>
      <c r="W91" s="105">
        <v>16547.909242266003</v>
      </c>
      <c r="X91" s="105">
        <v>20.870564335727334</v>
      </c>
      <c r="Y91" s="105">
        <v>16404.263567881684</v>
      </c>
      <c r="Z91" s="105">
        <v>23.27004399310254</v>
      </c>
      <c r="AA91" s="105">
        <v>18290.254578578595</v>
      </c>
      <c r="AB91" s="105">
        <v>23.595438217437053</v>
      </c>
      <c r="AC91" s="105">
        <v>18546.014438905524</v>
      </c>
      <c r="AD91" s="105">
        <v>20.948497462556787</v>
      </c>
      <c r="AE91" s="105">
        <v>16465.519005569633</v>
      </c>
      <c r="AF91" s="105">
        <v>18.529681893181991</v>
      </c>
      <c r="AG91" s="105">
        <v>14564.329968041046</v>
      </c>
      <c r="AH91" s="105">
        <v>25.377916285288819</v>
      </c>
      <c r="AI91" s="105">
        <v>19947.042200237011</v>
      </c>
      <c r="AJ91" s="105">
        <v>20.796790433175563</v>
      </c>
      <c r="AK91" s="105">
        <v>16346.277280475992</v>
      </c>
      <c r="AL91" s="105">
        <v>22.472717005482451</v>
      </c>
      <c r="AM91" s="105">
        <v>17663.555566309205</v>
      </c>
      <c r="AN91" s="105">
        <v>21.605325155735269</v>
      </c>
      <c r="AO91" s="105">
        <v>16981.78557240792</v>
      </c>
      <c r="AP91" s="105">
        <v>19.439995087489276</v>
      </c>
      <c r="AQ91" s="105">
        <v>15279.83613876657</v>
      </c>
      <c r="AR91" s="105">
        <v>20.908182220373806</v>
      </c>
      <c r="AS91" s="105">
        <v>16433.831225213813</v>
      </c>
      <c r="AT91" s="105">
        <v>22.616394417257034</v>
      </c>
      <c r="AU91" s="105">
        <v>17776.486011964029</v>
      </c>
      <c r="AV91" s="105">
        <v>23.064987703800359</v>
      </c>
      <c r="AW91" s="105">
        <v>18129.080335187082</v>
      </c>
      <c r="AX91" s="105">
        <v>23.59336612158825</v>
      </c>
      <c r="AY91" s="105">
        <v>18544.385771568366</v>
      </c>
      <c r="AZ91" s="105">
        <v>20.89952862762124</v>
      </c>
      <c r="BA91" s="105">
        <v>16427.029501310295</v>
      </c>
      <c r="BB91" s="105">
        <v>22.04236794367489</v>
      </c>
      <c r="BC91" s="105">
        <v>17325.301203728464</v>
      </c>
      <c r="BD91" s="105">
        <v>18.89914715504996</v>
      </c>
      <c r="BE91" s="105">
        <v>14854.729663869268</v>
      </c>
      <c r="BF91" s="105">
        <v>23.837208405297808</v>
      </c>
      <c r="BG91" s="105">
        <v>18736.045806564078</v>
      </c>
      <c r="BH91" s="105">
        <v>21.750584698258958</v>
      </c>
      <c r="BI91" s="105">
        <v>17095.95957283154</v>
      </c>
      <c r="BJ91" s="105">
        <v>23.113445603867778</v>
      </c>
      <c r="BK91" s="105">
        <v>18167.168244640074</v>
      </c>
      <c r="BL91" s="105">
        <v>24.124530290303632</v>
      </c>
      <c r="BM91" s="105">
        <v>18961.880808178656</v>
      </c>
      <c r="BN91" s="105">
        <v>20.491813625647524</v>
      </c>
      <c r="BO91" s="105">
        <v>16106.565509758953</v>
      </c>
      <c r="BP91" s="105">
        <v>23.82660294203431</v>
      </c>
      <c r="BQ91" s="105">
        <v>18727.709912438968</v>
      </c>
      <c r="BR91" s="105">
        <v>23.804044469760747</v>
      </c>
      <c r="BS91" s="105">
        <v>18709.978953231948</v>
      </c>
      <c r="BT91" s="105">
        <v>21.918082823847485</v>
      </c>
      <c r="BU91" s="105">
        <v>17227.613099544124</v>
      </c>
      <c r="BV91" s="105">
        <v>17.449806392122376</v>
      </c>
      <c r="BW91" s="105">
        <v>13715.547824208188</v>
      </c>
      <c r="BX91" s="105">
        <v>28.426422008260182</v>
      </c>
      <c r="BY91" s="105">
        <v>22343.167698492503</v>
      </c>
      <c r="BZ91" s="105">
        <v>21.989729203584027</v>
      </c>
      <c r="CA91" s="105">
        <v>17283.927154017045</v>
      </c>
      <c r="CB91" s="105">
        <v>21.917593524820699</v>
      </c>
      <c r="CC91" s="105">
        <v>17227.22851050907</v>
      </c>
      <c r="CD91" s="105">
        <v>21.532087028133233</v>
      </c>
      <c r="CE91" s="105">
        <v>16924.220404112722</v>
      </c>
      <c r="CF91" s="105">
        <v>25.556435340891298</v>
      </c>
      <c r="CG91" s="105">
        <v>20087.358177940561</v>
      </c>
      <c r="CH91" s="105">
        <v>21.680550339241989</v>
      </c>
      <c r="CI91" s="105">
        <v>17040.912566644205</v>
      </c>
      <c r="CJ91" s="105">
        <v>21.441500568324589</v>
      </c>
      <c r="CK91" s="105">
        <v>16853.019446703125</v>
      </c>
      <c r="CL91" s="105">
        <v>22.235492246586912</v>
      </c>
      <c r="CM91" s="105">
        <v>17477.096905817314</v>
      </c>
      <c r="CN91" s="105">
        <v>23.647822053526756</v>
      </c>
      <c r="CO91" s="105">
        <v>18587.188134072032</v>
      </c>
      <c r="CP91" s="105">
        <v>20.369603444387572</v>
      </c>
      <c r="CQ91" s="105">
        <v>16010.508307288632</v>
      </c>
      <c r="CR91" s="105">
        <v>21.904205979449511</v>
      </c>
      <c r="CS91" s="105">
        <v>17216.705899847315</v>
      </c>
      <c r="CT91" s="105">
        <v>22.988027975596719</v>
      </c>
      <c r="CU91" s="105">
        <v>18068.589988819022</v>
      </c>
    </row>
    <row r="92" spans="2:99" x14ac:dyDescent="0.2">
      <c r="C92" s="104" t="s">
        <v>258</v>
      </c>
      <c r="D92" s="105">
        <v>3</v>
      </c>
      <c r="E92" s="105">
        <v>2811.6</v>
      </c>
      <c r="F92" s="105">
        <v>0.20149253731343347</v>
      </c>
      <c r="G92" s="105">
        <v>188.83880597014985</v>
      </c>
      <c r="H92" s="105">
        <v>2</v>
      </c>
      <c r="I92" s="105">
        <v>1874.3999999999999</v>
      </c>
      <c r="J92" s="105">
        <v>1.8332803552627015</v>
      </c>
      <c r="K92" s="105">
        <v>1718.1503489522038</v>
      </c>
      <c r="L92" s="105">
        <v>16.412806113263926</v>
      </c>
      <c r="M92" s="105">
        <v>15382.081889350949</v>
      </c>
      <c r="N92" s="105">
        <v>17.354498212631267</v>
      </c>
      <c r="O92" s="105">
        <v>16264.635724878022</v>
      </c>
      <c r="P92" s="105">
        <v>23.696899325209255</v>
      </c>
      <c r="Q92" s="105">
        <v>22208.734047586113</v>
      </c>
      <c r="R92" s="105">
        <v>19.513862936382367</v>
      </c>
      <c r="S92" s="105">
        <v>18288.392343977554</v>
      </c>
      <c r="T92" s="105">
        <v>13.777363478224727</v>
      </c>
      <c r="U92" s="105">
        <v>12912.145051792213</v>
      </c>
      <c r="V92" s="105">
        <v>23.376928909825494</v>
      </c>
      <c r="W92" s="105">
        <v>21908.857774288452</v>
      </c>
      <c r="X92" s="105">
        <v>21.697441636847657</v>
      </c>
      <c r="Y92" s="105">
        <v>20334.842302053621</v>
      </c>
      <c r="Z92" s="105">
        <v>24.314486864091066</v>
      </c>
      <c r="AA92" s="105">
        <v>22787.537089026144</v>
      </c>
      <c r="AB92" s="105">
        <v>19.683536854274408</v>
      </c>
      <c r="AC92" s="105">
        <v>18447.410739825973</v>
      </c>
      <c r="AD92" s="105">
        <v>21.540374100173999</v>
      </c>
      <c r="AE92" s="105">
        <v>20187.638606683071</v>
      </c>
      <c r="AF92" s="105">
        <v>18.159088255318352</v>
      </c>
      <c r="AG92" s="105">
        <v>17018.697512884359</v>
      </c>
      <c r="AH92" s="105">
        <v>24.068316439963091</v>
      </c>
      <c r="AI92" s="105">
        <v>22556.826167533407</v>
      </c>
      <c r="AJ92" s="105">
        <v>20.173104345473703</v>
      </c>
      <c r="AK92" s="105">
        <v>18906.233392577953</v>
      </c>
      <c r="AL92" s="105">
        <v>23.035278011670741</v>
      </c>
      <c r="AM92" s="105">
        <v>21588.662552537815</v>
      </c>
      <c r="AN92" s="105">
        <v>24.622183760135727</v>
      </c>
      <c r="AO92" s="105">
        <v>23075.910619999202</v>
      </c>
      <c r="AP92" s="105">
        <v>20.091495808385197</v>
      </c>
      <c r="AQ92" s="105">
        <v>18829.749871618606</v>
      </c>
      <c r="AR92" s="105">
        <v>20.282803324765602</v>
      </c>
      <c r="AS92" s="105">
        <v>19009.043275970322</v>
      </c>
      <c r="AT92" s="105">
        <v>20.173269690992818</v>
      </c>
      <c r="AU92" s="105">
        <v>18906.388354398467</v>
      </c>
      <c r="AV92" s="105">
        <v>19.916387855869413</v>
      </c>
      <c r="AW92" s="105">
        <v>18665.638698520812</v>
      </c>
      <c r="AX92" s="105">
        <v>20.003318084036067</v>
      </c>
      <c r="AY92" s="105">
        <v>18747.109708358599</v>
      </c>
      <c r="AZ92" s="105">
        <v>22.676126501603669</v>
      </c>
      <c r="BA92" s="105">
        <v>21252.065757302957</v>
      </c>
      <c r="BB92" s="105">
        <v>22.591921187835712</v>
      </c>
      <c r="BC92" s="105">
        <v>21173.148537239627</v>
      </c>
      <c r="BD92" s="105">
        <v>18.181796473533986</v>
      </c>
      <c r="BE92" s="105">
        <v>17039.979654996048</v>
      </c>
      <c r="BF92" s="105">
        <v>24.451057294931118</v>
      </c>
      <c r="BG92" s="105">
        <v>22915.530896809443</v>
      </c>
      <c r="BH92" s="105">
        <v>22.400862897071843</v>
      </c>
      <c r="BI92" s="105">
        <v>20994.088707135728</v>
      </c>
      <c r="BJ92" s="105">
        <v>23.119585585869054</v>
      </c>
      <c r="BK92" s="105">
        <v>21667.675611076476</v>
      </c>
      <c r="BL92" s="105">
        <v>21.570893224632616</v>
      </c>
      <c r="BM92" s="105">
        <v>20216.241130125687</v>
      </c>
      <c r="BN92" s="105">
        <v>22.568436034471333</v>
      </c>
      <c r="BO92" s="105">
        <v>21151.138251506531</v>
      </c>
      <c r="BP92" s="105">
        <v>23.705699979179368</v>
      </c>
      <c r="BQ92" s="105">
        <v>22216.982020486903</v>
      </c>
      <c r="BR92" s="105">
        <v>24.308961842813471</v>
      </c>
      <c r="BS92" s="105">
        <v>22782.359039084782</v>
      </c>
      <c r="BT92" s="105">
        <v>20.679111723394289</v>
      </c>
      <c r="BU92" s="105">
        <v>19380.463507165125</v>
      </c>
      <c r="BV92" s="105">
        <v>16.674259441361382</v>
      </c>
      <c r="BW92" s="105">
        <v>15627.115948443887</v>
      </c>
      <c r="BX92" s="105">
        <v>24.292642556658357</v>
      </c>
      <c r="BY92" s="105">
        <v>22767.064604100211</v>
      </c>
      <c r="BZ92" s="105">
        <v>25.319003377383002</v>
      </c>
      <c r="CA92" s="105">
        <v>23728.969965283348</v>
      </c>
      <c r="CB92" s="105">
        <v>23.253737352835707</v>
      </c>
      <c r="CC92" s="105">
        <v>21793.402647077623</v>
      </c>
      <c r="CD92" s="105">
        <v>23.607743695246537</v>
      </c>
      <c r="CE92" s="105">
        <v>22125.177391185054</v>
      </c>
      <c r="CF92" s="105">
        <v>24.491762299620817</v>
      </c>
      <c r="CG92" s="105">
        <v>22953.679627204627</v>
      </c>
      <c r="CH92" s="105">
        <v>22.454491786097019</v>
      </c>
      <c r="CI92" s="105">
        <v>21044.349701930125</v>
      </c>
      <c r="CJ92" s="105">
        <v>21.325189471834459</v>
      </c>
      <c r="CK92" s="105">
        <v>19985.967573003254</v>
      </c>
      <c r="CL92" s="105">
        <v>24.196169650106327</v>
      </c>
      <c r="CM92" s="105">
        <v>22676.650196079649</v>
      </c>
      <c r="CN92" s="105">
        <v>20.889362722644645</v>
      </c>
      <c r="CO92" s="105">
        <v>19577.510743662559</v>
      </c>
      <c r="CP92" s="105">
        <v>20.369603444387572</v>
      </c>
      <c r="CQ92" s="105">
        <v>19090.392348080029</v>
      </c>
      <c r="CR92" s="105">
        <v>24.077661268006327</v>
      </c>
      <c r="CS92" s="105">
        <v>22565.584140375529</v>
      </c>
      <c r="CT92" s="105">
        <v>19.903593319309905</v>
      </c>
      <c r="CU92" s="105">
        <v>18653.64765885724</v>
      </c>
    </row>
    <row r="93" spans="2:99" x14ac:dyDescent="0.2">
      <c r="C93" s="104" t="s">
        <v>259</v>
      </c>
      <c r="D93" s="105">
        <v>4</v>
      </c>
      <c r="E93" s="105">
        <v>2337.6</v>
      </c>
      <c r="F93" s="105">
        <v>0.20149253731343347</v>
      </c>
      <c r="G93" s="105">
        <v>117.75223880597052</v>
      </c>
      <c r="H93" s="105">
        <v>3</v>
      </c>
      <c r="I93" s="105">
        <v>1753.1999999999998</v>
      </c>
      <c r="J93" s="105">
        <v>1.8332803552627015</v>
      </c>
      <c r="K93" s="105">
        <v>1071.3690396155228</v>
      </c>
      <c r="L93" s="105">
        <v>19.517931594151694</v>
      </c>
      <c r="M93" s="105">
        <v>11406.27922362225</v>
      </c>
      <c r="N93" s="105">
        <v>18.201059101052305</v>
      </c>
      <c r="O93" s="105">
        <v>10636.698938654967</v>
      </c>
      <c r="P93" s="105">
        <v>23.796989703570365</v>
      </c>
      <c r="Q93" s="105">
        <v>13906.96078276652</v>
      </c>
      <c r="R93" s="105">
        <v>19.508568920923462</v>
      </c>
      <c r="S93" s="105">
        <v>11400.807677387671</v>
      </c>
      <c r="T93" s="105">
        <v>16.073590724595515</v>
      </c>
      <c r="U93" s="105">
        <v>9393.4064194536186</v>
      </c>
      <c r="V93" s="105">
        <v>22.60833333713407</v>
      </c>
      <c r="W93" s="105">
        <v>13212.310002221149</v>
      </c>
      <c r="X93" s="105">
        <v>22.699524304394629</v>
      </c>
      <c r="Y93" s="105">
        <v>13265.60200348822</v>
      </c>
      <c r="Z93" s="105">
        <v>23.84898353528785</v>
      </c>
      <c r="AA93" s="105">
        <v>13937.345978022218</v>
      </c>
      <c r="AB93" s="105">
        <v>22.037605643948794</v>
      </c>
      <c r="AC93" s="105">
        <v>12878.776738323675</v>
      </c>
      <c r="AD93" s="105">
        <v>22.161352631035513</v>
      </c>
      <c r="AE93" s="105">
        <v>12951.094477577153</v>
      </c>
      <c r="AF93" s="105">
        <v>16.676713703863793</v>
      </c>
      <c r="AG93" s="105">
        <v>9745.8714885380014</v>
      </c>
      <c r="AH93" s="105">
        <v>27.338875998723211</v>
      </c>
      <c r="AI93" s="105">
        <v>15976.839133653844</v>
      </c>
      <c r="AJ93" s="105">
        <v>20.173104345473703</v>
      </c>
      <c r="AK93" s="105">
        <v>11789.162179494831</v>
      </c>
      <c r="AL93" s="105">
        <v>22.477520675308316</v>
      </c>
      <c r="AM93" s="105">
        <v>13135.863082650179</v>
      </c>
      <c r="AN93" s="105">
        <v>25.668530315764226</v>
      </c>
      <c r="AO93" s="105">
        <v>15000.689116532612</v>
      </c>
      <c r="AP93" s="105">
        <v>20.091495808385197</v>
      </c>
      <c r="AQ93" s="105">
        <v>11741.470150420309</v>
      </c>
      <c r="AR93" s="105">
        <v>19.662721065403897</v>
      </c>
      <c r="AS93" s="105">
        <v>11490.894190622037</v>
      </c>
      <c r="AT93" s="105">
        <v>22.724152083581437</v>
      </c>
      <c r="AU93" s="105">
        <v>13279.994477644992</v>
      </c>
      <c r="AV93" s="105">
        <v>22.541022060719154</v>
      </c>
      <c r="AW93" s="105">
        <v>13172.973292284272</v>
      </c>
      <c r="AX93" s="105">
        <v>21.795641013413647</v>
      </c>
      <c r="AY93" s="105">
        <v>12737.372608238935</v>
      </c>
      <c r="AZ93" s="105">
        <v>22.676126501603669</v>
      </c>
      <c r="BA93" s="105">
        <v>13251.928327537184</v>
      </c>
      <c r="BB93" s="105">
        <v>24.263714016026942</v>
      </c>
      <c r="BC93" s="105">
        <v>14179.714470966144</v>
      </c>
      <c r="BD93" s="105">
        <v>19.61649783656593</v>
      </c>
      <c r="BE93" s="105">
        <v>11463.88133568913</v>
      </c>
      <c r="BF93" s="105">
        <v>25.080019812268066</v>
      </c>
      <c r="BG93" s="105">
        <v>14656.763578289458</v>
      </c>
      <c r="BH93" s="105">
        <v>22.395436102899993</v>
      </c>
      <c r="BI93" s="105">
        <v>13087.892858534755</v>
      </c>
      <c r="BJ93" s="105">
        <v>23.81679419616961</v>
      </c>
      <c r="BK93" s="105">
        <v>13918.53452824152</v>
      </c>
      <c r="BL93" s="105">
        <v>24.775059439596081</v>
      </c>
      <c r="BM93" s="105">
        <v>14478.544736499949</v>
      </c>
      <c r="BN93" s="105">
        <v>21.076038727513467</v>
      </c>
      <c r="BO93" s="105">
        <v>12316.83703235887</v>
      </c>
      <c r="BP93" s="105">
        <v>22.23112108657919</v>
      </c>
      <c r="BQ93" s="105">
        <v>12991.867162996878</v>
      </c>
      <c r="BR93" s="105">
        <v>27.284021674203199</v>
      </c>
      <c r="BS93" s="105">
        <v>15944.782266404349</v>
      </c>
      <c r="BT93" s="105">
        <v>26.503593617003471</v>
      </c>
      <c r="BU93" s="105">
        <v>15488.700109776828</v>
      </c>
      <c r="BV93" s="105">
        <v>17.062032916741881</v>
      </c>
      <c r="BW93" s="105">
        <v>9971.0520365439552</v>
      </c>
      <c r="BX93" s="105">
        <v>30.495795748109078</v>
      </c>
      <c r="BY93" s="105">
        <v>17821.743035194944</v>
      </c>
      <c r="BZ93" s="105">
        <v>23.813576580939142</v>
      </c>
      <c r="CA93" s="105">
        <v>13916.654153900834</v>
      </c>
      <c r="CB93" s="105">
        <v>22.360275683021339</v>
      </c>
      <c r="CC93" s="105">
        <v>13067.34510915767</v>
      </c>
      <c r="CD93" s="105">
        <v>22.023988449236768</v>
      </c>
      <c r="CE93" s="105">
        <v>12870.818849733967</v>
      </c>
      <c r="CF93" s="105">
        <v>25.958974976131774</v>
      </c>
      <c r="CG93" s="105">
        <v>15170.424976051409</v>
      </c>
      <c r="CH93" s="105">
        <v>23.221432687646292</v>
      </c>
      <c r="CI93" s="105">
        <v>13570.605262660492</v>
      </c>
      <c r="CJ93" s="105">
        <v>23.948858510650769</v>
      </c>
      <c r="CK93" s="105">
        <v>13995.712913624309</v>
      </c>
      <c r="CL93" s="105">
        <v>24.196169650106327</v>
      </c>
      <c r="CM93" s="105">
        <v>14140.241543522137</v>
      </c>
      <c r="CN93" s="105">
        <v>23.104186453533828</v>
      </c>
      <c r="CO93" s="105">
        <v>13502.086563445167</v>
      </c>
      <c r="CP93" s="105">
        <v>24.82639124281831</v>
      </c>
      <c r="CQ93" s="105">
        <v>14508.543042303019</v>
      </c>
      <c r="CR93" s="105">
        <v>24.082199054335941</v>
      </c>
      <c r="CS93" s="105">
        <v>14073.637127353924</v>
      </c>
      <c r="CT93" s="105">
        <v>24.134007731637546</v>
      </c>
      <c r="CU93" s="105">
        <v>14103.914118368981</v>
      </c>
    </row>
    <row r="94" spans="2:99" x14ac:dyDescent="0.2">
      <c r="C94" s="104" t="s">
        <v>260</v>
      </c>
      <c r="D94" s="105">
        <v>3</v>
      </c>
      <c r="E94" s="105">
        <v>2404.8000000000002</v>
      </c>
      <c r="F94" s="105">
        <v>0.13432835820895564</v>
      </c>
      <c r="G94" s="105">
        <v>107.67761194029885</v>
      </c>
      <c r="H94" s="105">
        <v>3</v>
      </c>
      <c r="I94" s="105">
        <v>2404.8000000000002</v>
      </c>
      <c r="J94" s="105">
        <v>1.8332803552627015</v>
      </c>
      <c r="K94" s="105">
        <v>1469.5575327785816</v>
      </c>
      <c r="L94" s="105">
        <v>18.630752885326618</v>
      </c>
      <c r="M94" s="105">
        <v>14934.411512877818</v>
      </c>
      <c r="N94" s="105">
        <v>15.238095991578675</v>
      </c>
      <c r="O94" s="105">
        <v>12214.857746849466</v>
      </c>
      <c r="P94" s="105">
        <v>23.796989703570365</v>
      </c>
      <c r="Q94" s="105">
        <v>19075.666946382004</v>
      </c>
      <c r="R94" s="105">
        <v>19.620479613053647</v>
      </c>
      <c r="S94" s="105">
        <v>15727.776457823804</v>
      </c>
      <c r="T94" s="105">
        <v>15.49953391300282</v>
      </c>
      <c r="U94" s="105">
        <v>12424.42638466306</v>
      </c>
      <c r="V94" s="105">
        <v>23.49984603149964</v>
      </c>
      <c r="W94" s="105">
        <v>18837.476578850114</v>
      </c>
      <c r="X94" s="105">
        <v>23.518927491679644</v>
      </c>
      <c r="Y94" s="105">
        <v>18852.772277330405</v>
      </c>
      <c r="Z94" s="105">
        <v>24.904210973859268</v>
      </c>
      <c r="AA94" s="105">
        <v>19963.215516645589</v>
      </c>
      <c r="AB94" s="105">
        <v>22.670072193361833</v>
      </c>
      <c r="AC94" s="105">
        <v>18172.329870198846</v>
      </c>
      <c r="AD94" s="105">
        <v>21.540374100173999</v>
      </c>
      <c r="AE94" s="105">
        <v>17266.763878699479</v>
      </c>
      <c r="AF94" s="105">
        <v>16.306120066000151</v>
      </c>
      <c r="AG94" s="105">
        <v>13070.985844905721</v>
      </c>
      <c r="AH94" s="105">
        <v>24.703622720152143</v>
      </c>
      <c r="AI94" s="105">
        <v>19802.42397247396</v>
      </c>
      <c r="AJ94" s="105">
        <v>20.796790433175563</v>
      </c>
      <c r="AK94" s="105">
        <v>16670.70721123353</v>
      </c>
      <c r="AL94" s="105">
        <v>20.232080320381005</v>
      </c>
      <c r="AM94" s="105">
        <v>16218.035584817415</v>
      </c>
      <c r="AN94" s="105">
        <v>22.771597478070472</v>
      </c>
      <c r="AO94" s="105">
        <v>18253.712538421292</v>
      </c>
      <c r="AP94" s="105">
        <v>18.037162403830479</v>
      </c>
      <c r="AQ94" s="105">
        <v>14458.589382910512</v>
      </c>
      <c r="AR94" s="105">
        <v>20.288099961012101</v>
      </c>
      <c r="AS94" s="105">
        <v>16262.940928747301</v>
      </c>
      <c r="AT94" s="105">
        <v>23.221582876994525</v>
      </c>
      <c r="AU94" s="105">
        <v>18614.420834198812</v>
      </c>
      <c r="AV94" s="105">
        <v>20.445159488394324</v>
      </c>
      <c r="AW94" s="105">
        <v>16388.839845896891</v>
      </c>
      <c r="AX94" s="105">
        <v>19.889722294884894</v>
      </c>
      <c r="AY94" s="105">
        <v>15943.601391579732</v>
      </c>
      <c r="AZ94" s="105">
        <v>20.929077726607559</v>
      </c>
      <c r="BA94" s="105">
        <v>16776.748705648621</v>
      </c>
      <c r="BB94" s="105">
        <v>24.259087396885189</v>
      </c>
      <c r="BC94" s="105">
        <v>19446.084457343168</v>
      </c>
      <c r="BD94" s="105">
        <v>18.181796473533986</v>
      </c>
      <c r="BE94" s="105">
        <v>14574.528053184844</v>
      </c>
      <c r="BF94" s="105">
        <v>22.485824998162187</v>
      </c>
      <c r="BG94" s="105">
        <v>18024.637318526809</v>
      </c>
      <c r="BH94" s="105">
        <v>20.460881888976896</v>
      </c>
      <c r="BI94" s="105">
        <v>16401.442922203882</v>
      </c>
      <c r="BJ94" s="105">
        <v>23.822934178170886</v>
      </c>
      <c r="BK94" s="105">
        <v>19096.464037221784</v>
      </c>
      <c r="BL94" s="105">
        <v>21.022709707888293</v>
      </c>
      <c r="BM94" s="105">
        <v>16851.804101843256</v>
      </c>
      <c r="BN94" s="105">
        <v>23.070440982765376</v>
      </c>
      <c r="BO94" s="105">
        <v>18493.265491784725</v>
      </c>
      <c r="BP94" s="105">
        <v>21.711744589276641</v>
      </c>
      <c r="BQ94" s="105">
        <v>17404.134462764156</v>
      </c>
      <c r="BR94" s="105">
        <v>23.317275232350227</v>
      </c>
      <c r="BS94" s="105">
        <v>18691.127826251941</v>
      </c>
      <c r="BT94" s="105">
        <v>23.219156656482202</v>
      </c>
      <c r="BU94" s="105">
        <v>18612.475975836132</v>
      </c>
      <c r="BV94" s="105">
        <v>17.449806392122376</v>
      </c>
      <c r="BW94" s="105">
        <v>13987.764803925296</v>
      </c>
      <c r="BX94" s="105">
        <v>29.462350885208622</v>
      </c>
      <c r="BY94" s="105">
        <v>23617.020469583233</v>
      </c>
      <c r="BZ94" s="105">
        <v>25.987430535214646</v>
      </c>
      <c r="CA94" s="105">
        <v>20831.524317028059</v>
      </c>
      <c r="CB94" s="105">
        <v>22.364324359727881</v>
      </c>
      <c r="CC94" s="105">
        <v>17927.242406757869</v>
      </c>
      <c r="CD94" s="105">
        <v>23.102472605347934</v>
      </c>
      <c r="CE94" s="105">
        <v>18518.942040446906</v>
      </c>
      <c r="CF94" s="105">
        <v>25.063313927872915</v>
      </c>
      <c r="CG94" s="105">
        <v>20090.752444582929</v>
      </c>
      <c r="CH94" s="105">
        <v>23.22843323295205</v>
      </c>
      <c r="CI94" s="105">
        <v>18619.912079534362</v>
      </c>
      <c r="CJ94" s="105">
        <v>22.573075346478269</v>
      </c>
      <c r="CK94" s="105">
        <v>18094.57719773698</v>
      </c>
      <c r="CL94" s="105">
        <v>25.578117277564306</v>
      </c>
      <c r="CM94" s="105">
        <v>20503.418809695548</v>
      </c>
      <c r="CN94" s="105">
        <v>20.285254194289539</v>
      </c>
      <c r="CO94" s="105">
        <v>16260.659762142495</v>
      </c>
      <c r="CP94" s="105">
        <v>23.340795310008062</v>
      </c>
      <c r="CQ94" s="105">
        <v>18709.981520502464</v>
      </c>
      <c r="CR94" s="105">
        <v>20.119164417815806</v>
      </c>
      <c r="CS94" s="105">
        <v>16127.52219732115</v>
      </c>
      <c r="CT94" s="105">
        <v>20.964390622220623</v>
      </c>
      <c r="CU94" s="105">
        <v>16805.055522772051</v>
      </c>
    </row>
    <row r="95" spans="2:99" x14ac:dyDescent="0.2">
      <c r="B95" s="104" t="s">
        <v>132</v>
      </c>
      <c r="C95" s="104" t="s">
        <v>261</v>
      </c>
      <c r="D95" s="105">
        <v>5</v>
      </c>
      <c r="E95" s="105">
        <v>1920</v>
      </c>
      <c r="F95" s="105">
        <v>0.33582089552238908</v>
      </c>
      <c r="G95" s="105">
        <v>128.9552238805974</v>
      </c>
      <c r="H95" s="105">
        <v>4</v>
      </c>
      <c r="I95" s="105">
        <v>1536</v>
      </c>
      <c r="J95" s="105">
        <v>2.291600444078377</v>
      </c>
      <c r="K95" s="105">
        <v>879.97457052609684</v>
      </c>
      <c r="L95" s="105">
        <v>4.4358935441253857</v>
      </c>
      <c r="M95" s="105">
        <v>1703.3831209441482</v>
      </c>
      <c r="N95" s="105">
        <v>4.6560848863157061</v>
      </c>
      <c r="O95" s="105">
        <v>1787.936596345231</v>
      </c>
      <c r="P95" s="105">
        <v>5.2533891965237132</v>
      </c>
      <c r="Q95" s="105">
        <v>2017.3014514651059</v>
      </c>
      <c r="R95" s="105">
        <v>7.3491325708455211</v>
      </c>
      <c r="S95" s="105">
        <v>2822.0669072046803</v>
      </c>
      <c r="T95" s="105">
        <v>6.3146249275196658</v>
      </c>
      <c r="U95" s="105">
        <v>2424.8159721675515</v>
      </c>
      <c r="V95" s="105">
        <v>9.3150677626073044</v>
      </c>
      <c r="W95" s="105">
        <v>3576.9860208412047</v>
      </c>
      <c r="X95" s="105">
        <v>6.2894391812155623</v>
      </c>
      <c r="Y95" s="105">
        <v>2415.1446455867758</v>
      </c>
      <c r="Z95" s="105">
        <v>5.0896795671103394</v>
      </c>
      <c r="AA95" s="105">
        <v>1954.4369537703703</v>
      </c>
      <c r="AB95" s="105">
        <v>5.9005193933278584</v>
      </c>
      <c r="AC95" s="105">
        <v>2265.7994470378976</v>
      </c>
      <c r="AD95" s="105">
        <v>6.4480905306209202</v>
      </c>
      <c r="AE95" s="105">
        <v>2476.0667637584334</v>
      </c>
      <c r="AF95" s="105">
        <v>4.0765300165000378</v>
      </c>
      <c r="AG95" s="105">
        <v>1565.3875263360146</v>
      </c>
      <c r="AH95" s="105">
        <v>7.044115894109952</v>
      </c>
      <c r="AI95" s="105">
        <v>2704.9405033382218</v>
      </c>
      <c r="AJ95" s="105">
        <v>7.7608538882977367</v>
      </c>
      <c r="AK95" s="105">
        <v>2980.1678931063307</v>
      </c>
      <c r="AL95" s="105">
        <v>6.5707798810033369</v>
      </c>
      <c r="AM95" s="105">
        <v>2523.1794743052815</v>
      </c>
      <c r="AN95" s="105">
        <v>5.4777868446530666</v>
      </c>
      <c r="AO95" s="105">
        <v>2103.4701483467775</v>
      </c>
      <c r="AP95" s="105">
        <v>9.2735433957746256</v>
      </c>
      <c r="AQ95" s="105">
        <v>3561.0406639774565</v>
      </c>
      <c r="AR95" s="105">
        <v>7.7151791288093179</v>
      </c>
      <c r="AS95" s="105">
        <v>2962.6287854627781</v>
      </c>
      <c r="AT95" s="105">
        <v>6.703239899395558</v>
      </c>
      <c r="AU95" s="105">
        <v>2574.0441213678941</v>
      </c>
      <c r="AV95" s="105">
        <v>6.0880721276844447</v>
      </c>
      <c r="AW95" s="105">
        <v>2337.8196970308268</v>
      </c>
      <c r="AX95" s="105">
        <v>7.4601852572956746</v>
      </c>
      <c r="AY95" s="105">
        <v>2864.7111388015392</v>
      </c>
      <c r="AZ95" s="105">
        <v>6.4683568063712515</v>
      </c>
      <c r="BA95" s="105">
        <v>2483.8490136465607</v>
      </c>
      <c r="BB95" s="105">
        <v>4.6820970055522437</v>
      </c>
      <c r="BC95" s="105">
        <v>1797.9252501320616</v>
      </c>
      <c r="BD95" s="105">
        <v>9.6348650255395523</v>
      </c>
      <c r="BE95" s="105">
        <v>3699.7881698071878</v>
      </c>
      <c r="BF95" s="105">
        <v>5.5548306513162018</v>
      </c>
      <c r="BG95" s="105">
        <v>2133.0549701054215</v>
      </c>
      <c r="BH95" s="105">
        <v>7.040517121855066</v>
      </c>
      <c r="BI95" s="105">
        <v>2703.5585747923451</v>
      </c>
      <c r="BJ95" s="105">
        <v>6.2207994246212337</v>
      </c>
      <c r="BK95" s="105">
        <v>2388.7869790545537</v>
      </c>
      <c r="BL95" s="105">
        <v>5.7831347085351767</v>
      </c>
      <c r="BM95" s="105">
        <v>2220.723728077508</v>
      </c>
      <c r="BN95" s="105">
        <v>7.4345102703952488</v>
      </c>
      <c r="BO95" s="105">
        <v>2854.8519438317753</v>
      </c>
      <c r="BP95" s="105">
        <v>6.1851605695579543</v>
      </c>
      <c r="BQ95" s="105">
        <v>2375.1016587102545</v>
      </c>
      <c r="BR95" s="105">
        <v>4.7540510456739478</v>
      </c>
      <c r="BS95" s="105">
        <v>1825.5556015387961</v>
      </c>
      <c r="BT95" s="105">
        <v>5.5563928553699373</v>
      </c>
      <c r="BU95" s="105">
        <v>2133.6548564620562</v>
      </c>
      <c r="BV95" s="105">
        <v>3.8777347538049733</v>
      </c>
      <c r="BW95" s="105">
        <v>1489.0501454611099</v>
      </c>
      <c r="BX95" s="105">
        <v>5.6873872467558355</v>
      </c>
      <c r="BY95" s="105">
        <v>2183.9567027542407</v>
      </c>
      <c r="BZ95" s="105">
        <v>4.3407816147783036</v>
      </c>
      <c r="CA95" s="105">
        <v>1666.8601400748685</v>
      </c>
      <c r="CB95" s="105">
        <v>5.192704409718246</v>
      </c>
      <c r="CC95" s="105">
        <v>1993.9984933318065</v>
      </c>
      <c r="CD95" s="105">
        <v>5.7296255887143062</v>
      </c>
      <c r="CE95" s="105">
        <v>2200.1762260662936</v>
      </c>
      <c r="CF95" s="105">
        <v>5.534645411316971</v>
      </c>
      <c r="CG95" s="105">
        <v>2125.3038379457166</v>
      </c>
      <c r="CH95" s="105">
        <v>5.7658288584645909</v>
      </c>
      <c r="CI95" s="105">
        <v>2214.0782816504029</v>
      </c>
      <c r="CJ95" s="105">
        <v>5.2644833962072477</v>
      </c>
      <c r="CK95" s="105">
        <v>2021.5616241435832</v>
      </c>
      <c r="CL95" s="105">
        <v>5.1680188593588126</v>
      </c>
      <c r="CM95" s="105">
        <v>1984.5192419937839</v>
      </c>
      <c r="CN95" s="105">
        <v>6.5628384111786273</v>
      </c>
      <c r="CO95" s="105">
        <v>2520.1299498925928</v>
      </c>
      <c r="CP95" s="105">
        <v>6.5535457127464936</v>
      </c>
      <c r="CQ95" s="105">
        <v>2516.5615536946534</v>
      </c>
      <c r="CR95" s="105">
        <v>5.9715603080367909</v>
      </c>
      <c r="CS95" s="105">
        <v>2293.0791582861275</v>
      </c>
      <c r="CT95" s="105">
        <v>5.5467768420555261</v>
      </c>
      <c r="CU95" s="105">
        <v>2129.9623073493221</v>
      </c>
    </row>
    <row r="96" spans="2:99" x14ac:dyDescent="0.2">
      <c r="C96" s="104" t="s">
        <v>262</v>
      </c>
      <c r="D96" s="105">
        <v>1.0930815493138006</v>
      </c>
      <c r="E96" s="105">
        <v>914.25340784606283</v>
      </c>
      <c r="F96" s="105">
        <v>1.7194861960784305</v>
      </c>
      <c r="G96" s="105">
        <v>1438.1782543999991</v>
      </c>
      <c r="H96" s="105">
        <v>0</v>
      </c>
      <c r="I96" s="105">
        <v>0</v>
      </c>
      <c r="J96" s="105">
        <v>0</v>
      </c>
      <c r="K96" s="105">
        <v>0</v>
      </c>
      <c r="L96" s="105">
        <v>6.6472705235667151</v>
      </c>
      <c r="M96" s="105">
        <v>5559.7770659112002</v>
      </c>
      <c r="N96" s="105">
        <v>8.9700383485630404</v>
      </c>
      <c r="O96" s="105">
        <v>7502.5400747381263</v>
      </c>
      <c r="P96" s="105">
        <v>8.3900413971993917</v>
      </c>
      <c r="Q96" s="105">
        <v>7017.4306246175711</v>
      </c>
      <c r="R96" s="105">
        <v>10.459535185311704</v>
      </c>
      <c r="S96" s="105">
        <v>8748.3552289947093</v>
      </c>
      <c r="T96" s="105">
        <v>7.8596515932853874</v>
      </c>
      <c r="U96" s="105">
        <v>6573.8125926238981</v>
      </c>
      <c r="V96" s="105">
        <v>8.8316772274456312</v>
      </c>
      <c r="W96" s="105">
        <v>7386.8148330355261</v>
      </c>
      <c r="X96" s="105">
        <v>6.2269232035977167</v>
      </c>
      <c r="Y96" s="105">
        <v>5208.1985674891303</v>
      </c>
      <c r="Z96" s="105">
        <v>5.8799702413739858</v>
      </c>
      <c r="AA96" s="105">
        <v>4918.0071098852013</v>
      </c>
      <c r="AB96" s="105">
        <v>6.4859101491521542</v>
      </c>
      <c r="AC96" s="105">
        <v>5424.8152487508614</v>
      </c>
      <c r="AD96" s="105">
        <v>8.8208396643491955</v>
      </c>
      <c r="AE96" s="105">
        <v>7377.7502952616669</v>
      </c>
      <c r="AF96" s="105">
        <v>8.9645283882672704</v>
      </c>
      <c r="AG96" s="105">
        <v>7497.9315439467446</v>
      </c>
      <c r="AH96" s="105">
        <v>5.9663841702900298</v>
      </c>
      <c r="AI96" s="105">
        <v>4990.2837200305812</v>
      </c>
      <c r="AJ96" s="105">
        <v>7.1055622924787416</v>
      </c>
      <c r="AK96" s="105">
        <v>5943.0923014292193</v>
      </c>
      <c r="AL96" s="105">
        <v>12.28526277596958</v>
      </c>
      <c r="AM96" s="105">
        <v>10275.393785820956</v>
      </c>
      <c r="AN96" s="105">
        <v>5.6194387625482021</v>
      </c>
      <c r="AO96" s="105">
        <v>4700.0985809953163</v>
      </c>
      <c r="AP96" s="105">
        <v>11.840323930551509</v>
      </c>
      <c r="AQ96" s="105">
        <v>9903.2469355132816</v>
      </c>
      <c r="AR96" s="105">
        <v>8.855801580949084</v>
      </c>
      <c r="AS96" s="105">
        <v>7406.9924423058137</v>
      </c>
      <c r="AT96" s="105">
        <v>8.5665712237701541</v>
      </c>
      <c r="AU96" s="105">
        <v>7165.080171561357</v>
      </c>
      <c r="AV96" s="105">
        <v>9.6075564230909549</v>
      </c>
      <c r="AW96" s="105">
        <v>8035.7601922732747</v>
      </c>
      <c r="AX96" s="105">
        <v>8.0211369776354307</v>
      </c>
      <c r="AY96" s="105">
        <v>6708.8789680942737</v>
      </c>
      <c r="AZ96" s="105">
        <v>10.572055093476799</v>
      </c>
      <c r="BA96" s="105">
        <v>8842.4668801839944</v>
      </c>
      <c r="BB96" s="105">
        <v>7.9637757125045043</v>
      </c>
      <c r="BC96" s="105">
        <v>6660.9020059387676</v>
      </c>
      <c r="BD96" s="105">
        <v>11.440140331343178</v>
      </c>
      <c r="BE96" s="105">
        <v>9568.5333731354349</v>
      </c>
      <c r="BF96" s="105">
        <v>5.9620984037329618</v>
      </c>
      <c r="BG96" s="105">
        <v>4986.6991048822492</v>
      </c>
      <c r="BH96" s="105">
        <v>7.5766215233081695</v>
      </c>
      <c r="BI96" s="105">
        <v>6337.0862420949525</v>
      </c>
      <c r="BJ96" s="105">
        <v>6.4028205649280592</v>
      </c>
      <c r="BK96" s="105">
        <v>5355.3191205058283</v>
      </c>
      <c r="BL96" s="105">
        <v>9.7533484920195086</v>
      </c>
      <c r="BM96" s="105">
        <v>8157.7006787251166</v>
      </c>
      <c r="BN96" s="105">
        <v>11.599548228313655</v>
      </c>
      <c r="BO96" s="105">
        <v>9701.8621381615412</v>
      </c>
      <c r="BP96" s="105">
        <v>8.0226613521902639</v>
      </c>
      <c r="BQ96" s="105">
        <v>6710.1539549719364</v>
      </c>
      <c r="BR96" s="105">
        <v>7.954045757639288</v>
      </c>
      <c r="BS96" s="105">
        <v>6652.7638716894999</v>
      </c>
      <c r="BT96" s="105">
        <v>5.0506535446516834</v>
      </c>
      <c r="BU96" s="105">
        <v>4224.3666247466681</v>
      </c>
      <c r="BV96" s="105">
        <v>10.843753490624399</v>
      </c>
      <c r="BW96" s="105">
        <v>9069.715419558248</v>
      </c>
      <c r="BX96" s="105">
        <v>7.3807519622871389</v>
      </c>
      <c r="BY96" s="105">
        <v>6173.2609412569627</v>
      </c>
      <c r="BZ96" s="105">
        <v>5.4577835821712872</v>
      </c>
      <c r="CA96" s="105">
        <v>4564.8901881280644</v>
      </c>
      <c r="CB96" s="105">
        <v>10.690058922635389</v>
      </c>
      <c r="CC96" s="105">
        <v>8941.1652828922397</v>
      </c>
      <c r="CD96" s="105">
        <v>8.4115297713596018</v>
      </c>
      <c r="CE96" s="105">
        <v>7035.403500765171</v>
      </c>
      <c r="CF96" s="105">
        <v>7.8411982254231773</v>
      </c>
      <c r="CG96" s="105">
        <v>6558.3781957439451</v>
      </c>
      <c r="CH96" s="105">
        <v>4.2320448472776153</v>
      </c>
      <c r="CI96" s="105">
        <v>3539.6823102629974</v>
      </c>
      <c r="CJ96" s="105">
        <v>10.085929244817292</v>
      </c>
      <c r="CK96" s="105">
        <v>8435.871220365183</v>
      </c>
      <c r="CL96" s="105">
        <v>9.199996238048449</v>
      </c>
      <c r="CM96" s="105">
        <v>7694.8768535037225</v>
      </c>
      <c r="CN96" s="105">
        <v>12.198582025376759</v>
      </c>
      <c r="CO96" s="105">
        <v>10202.894006025121</v>
      </c>
      <c r="CP96" s="105">
        <v>13.640743118204753</v>
      </c>
      <c r="CQ96" s="105">
        <v>11409.117544066456</v>
      </c>
      <c r="CR96" s="105">
        <v>9.4431641124027532</v>
      </c>
      <c r="CS96" s="105">
        <v>7898.2624636136625</v>
      </c>
      <c r="CT96" s="105">
        <v>8.957685774986226</v>
      </c>
      <c r="CU96" s="105">
        <v>7492.2083821984788</v>
      </c>
    </row>
    <row r="97" spans="2:99" x14ac:dyDescent="0.2">
      <c r="C97" s="104" t="s">
        <v>263</v>
      </c>
      <c r="D97" s="105">
        <v>6</v>
      </c>
      <c r="E97" s="105">
        <v>1512</v>
      </c>
      <c r="F97" s="105">
        <v>0.33582089552238908</v>
      </c>
      <c r="G97" s="105">
        <v>84.626865671642051</v>
      </c>
      <c r="H97" s="105">
        <v>4</v>
      </c>
      <c r="I97" s="105">
        <v>1008</v>
      </c>
      <c r="J97" s="105">
        <v>2.291600444078377</v>
      </c>
      <c r="K97" s="105">
        <v>577.48331190775104</v>
      </c>
      <c r="L97" s="105">
        <v>3.5487148353003088</v>
      </c>
      <c r="M97" s="105">
        <v>894.27613849567786</v>
      </c>
      <c r="N97" s="105">
        <v>5.0793653305262252</v>
      </c>
      <c r="O97" s="105">
        <v>1280.0000632926087</v>
      </c>
      <c r="P97" s="105">
        <v>5.864652836626175</v>
      </c>
      <c r="Q97" s="105">
        <v>1477.892514829796</v>
      </c>
      <c r="R97" s="105">
        <v>8.5011759648588026</v>
      </c>
      <c r="S97" s="105">
        <v>2142.2963431444182</v>
      </c>
      <c r="T97" s="105">
        <v>6.3146249275196658</v>
      </c>
      <c r="U97" s="105">
        <v>1591.2854817349557</v>
      </c>
      <c r="V97" s="105">
        <v>10.202124820697287</v>
      </c>
      <c r="W97" s="105">
        <v>2570.9354548157166</v>
      </c>
      <c r="X97" s="105">
        <v>6.371071776947578</v>
      </c>
      <c r="Y97" s="105">
        <v>1605.5100877907896</v>
      </c>
      <c r="Z97" s="105">
        <v>4.4281969914336008</v>
      </c>
      <c r="AA97" s="105">
        <v>1115.9056418412674</v>
      </c>
      <c r="AB97" s="105">
        <v>5.9074473651046535</v>
      </c>
      <c r="AC97" s="105">
        <v>1488.6767360063727</v>
      </c>
      <c r="AD97" s="105">
        <v>5.9719610987790048</v>
      </c>
      <c r="AE97" s="105">
        <v>1504.9341968923093</v>
      </c>
      <c r="AF97" s="105">
        <v>4.8177172922273179</v>
      </c>
      <c r="AG97" s="105">
        <v>1214.0647576412841</v>
      </c>
      <c r="AH97" s="105">
        <v>7.3551876467867441</v>
      </c>
      <c r="AI97" s="105">
        <v>1853.5072869902594</v>
      </c>
      <c r="AJ97" s="105">
        <v>8.68972280816633</v>
      </c>
      <c r="AK97" s="105">
        <v>2189.810147657915</v>
      </c>
      <c r="AL97" s="105">
        <v>7.1879992890390758</v>
      </c>
      <c r="AM97" s="105">
        <v>1811.3758208378472</v>
      </c>
      <c r="AN97" s="105">
        <v>4.3115145223178635</v>
      </c>
      <c r="AO97" s="105">
        <v>1086.5016596241016</v>
      </c>
      <c r="AP97" s="105">
        <v>7.9100710922779385</v>
      </c>
      <c r="AQ97" s="105">
        <v>1993.3379152540406</v>
      </c>
      <c r="AR97" s="105">
        <v>7.2516600842974448</v>
      </c>
      <c r="AS97" s="105">
        <v>1827.4183412429561</v>
      </c>
      <c r="AT97" s="105">
        <v>5.8285268232573841</v>
      </c>
      <c r="AU97" s="105">
        <v>1468.7887594608608</v>
      </c>
      <c r="AV97" s="105">
        <v>6.6216497496530682</v>
      </c>
      <c r="AW97" s="105">
        <v>1668.6557369125733</v>
      </c>
      <c r="AX97" s="105">
        <v>6.2317813157795765</v>
      </c>
      <c r="AY97" s="105">
        <v>1570.4088915764532</v>
      </c>
      <c r="AZ97" s="105">
        <v>7.06498649706172</v>
      </c>
      <c r="BA97" s="105">
        <v>1780.3765972595534</v>
      </c>
      <c r="BB97" s="105">
        <v>5.2362768688548185</v>
      </c>
      <c r="BC97" s="105">
        <v>1319.5417709514143</v>
      </c>
      <c r="BD97" s="105">
        <v>9.5102930591921329</v>
      </c>
      <c r="BE97" s="105">
        <v>2396.5938509164175</v>
      </c>
      <c r="BF97" s="105">
        <v>5.2801525693254137</v>
      </c>
      <c r="BG97" s="105">
        <v>1330.5984474700042</v>
      </c>
      <c r="BH97" s="105">
        <v>6.1654031595112802</v>
      </c>
      <c r="BI97" s="105">
        <v>1553.6815961968425</v>
      </c>
      <c r="BJ97" s="105">
        <v>5.237907817435385</v>
      </c>
      <c r="BK97" s="105">
        <v>1319.9527699937171</v>
      </c>
      <c r="BL97" s="105">
        <v>6.4745399486012056</v>
      </c>
      <c r="BM97" s="105">
        <v>1631.5840670475038</v>
      </c>
      <c r="BN97" s="105">
        <v>6.7391180236992811</v>
      </c>
      <c r="BO97" s="105">
        <v>1698.2577419722188</v>
      </c>
      <c r="BP97" s="105">
        <v>5.6608975375050941</v>
      </c>
      <c r="BQ97" s="105">
        <v>1426.5461794512837</v>
      </c>
      <c r="BR97" s="105">
        <v>4.2824961819914389</v>
      </c>
      <c r="BS97" s="105">
        <v>1079.1890378618425</v>
      </c>
      <c r="BT97" s="105">
        <v>4.9216291959264966</v>
      </c>
      <c r="BU97" s="105">
        <v>1240.2505573734772</v>
      </c>
      <c r="BV97" s="105">
        <v>4.6532817045659671</v>
      </c>
      <c r="BW97" s="105">
        <v>1172.6269895506236</v>
      </c>
      <c r="BX97" s="105">
        <v>6.2760437635723498</v>
      </c>
      <c r="BY97" s="105">
        <v>1581.5630284202321</v>
      </c>
      <c r="BZ97" s="105">
        <v>4.9133506760176466</v>
      </c>
      <c r="CA97" s="105">
        <v>1238.1643703564469</v>
      </c>
      <c r="CB97" s="105">
        <v>5.6179994580301038</v>
      </c>
      <c r="CC97" s="105">
        <v>1415.7358634235861</v>
      </c>
      <c r="CD97" s="105">
        <v>6.6978244673004994</v>
      </c>
      <c r="CE97" s="105">
        <v>1687.8517657597258</v>
      </c>
      <c r="CF97" s="105">
        <v>4.7619024874581513</v>
      </c>
      <c r="CG97" s="105">
        <v>1199.9994268394541</v>
      </c>
      <c r="CH97" s="105">
        <v>5.7658288584645909</v>
      </c>
      <c r="CI97" s="105">
        <v>1452.9888723330769</v>
      </c>
      <c r="CJ97" s="105">
        <v>5.2957043351516084</v>
      </c>
      <c r="CK97" s="105">
        <v>1334.5174924582054</v>
      </c>
      <c r="CL97" s="105">
        <v>5.6581882102386665</v>
      </c>
      <c r="CM97" s="105">
        <v>1425.8634289801439</v>
      </c>
      <c r="CN97" s="105">
        <v>6.5628384111786273</v>
      </c>
      <c r="CO97" s="105">
        <v>1653.8352796170141</v>
      </c>
      <c r="CP97" s="105">
        <v>6.2551213370615919</v>
      </c>
      <c r="CQ97" s="105">
        <v>1576.2905769395211</v>
      </c>
      <c r="CR97" s="105">
        <v>6.3300130166340738</v>
      </c>
      <c r="CS97" s="105">
        <v>1595.1632801917865</v>
      </c>
      <c r="CT97" s="105">
        <v>6.3517255507453623</v>
      </c>
      <c r="CU97" s="105">
        <v>1600.6348387878313</v>
      </c>
    </row>
    <row r="98" spans="2:99" x14ac:dyDescent="0.2">
      <c r="C98" s="104" t="s">
        <v>264</v>
      </c>
      <c r="D98" s="105">
        <v>5</v>
      </c>
      <c r="E98" s="105">
        <v>4068</v>
      </c>
      <c r="F98" s="105">
        <v>0.26865671641791128</v>
      </c>
      <c r="G98" s="105">
        <v>218.57910447761262</v>
      </c>
      <c r="H98" s="105">
        <v>4</v>
      </c>
      <c r="I98" s="105">
        <v>3254.4</v>
      </c>
      <c r="J98" s="105">
        <v>2.291600444078377</v>
      </c>
      <c r="K98" s="105">
        <v>1864.4461213021675</v>
      </c>
      <c r="L98" s="105">
        <v>3.5487148353003088</v>
      </c>
      <c r="M98" s="105">
        <v>2887.2343900003311</v>
      </c>
      <c r="N98" s="105">
        <v>5.0793653305262252</v>
      </c>
      <c r="O98" s="105">
        <v>4132.5716329161369</v>
      </c>
      <c r="P98" s="105">
        <v>5.7540295567569952</v>
      </c>
      <c r="Q98" s="105">
        <v>4681.4784473774916</v>
      </c>
      <c r="R98" s="105">
        <v>6.7071126605234213</v>
      </c>
      <c r="S98" s="105">
        <v>5456.9068606018554</v>
      </c>
      <c r="T98" s="105">
        <v>6.3146249275196658</v>
      </c>
      <c r="U98" s="105">
        <v>5137.5788410300001</v>
      </c>
      <c r="V98" s="105">
        <v>10.09257460784991</v>
      </c>
      <c r="W98" s="105">
        <v>8211.3187009466874</v>
      </c>
      <c r="X98" s="105">
        <v>5.4550877662599229</v>
      </c>
      <c r="Y98" s="105">
        <v>4438.2594066290731</v>
      </c>
      <c r="Z98" s="105">
        <v>3.7625758655244992</v>
      </c>
      <c r="AA98" s="105">
        <v>3061.2317241907326</v>
      </c>
      <c r="AB98" s="105">
        <v>5.9074473651046535</v>
      </c>
      <c r="AC98" s="105">
        <v>4806.2991762491465</v>
      </c>
      <c r="AD98" s="105">
        <v>5.7508299059961034</v>
      </c>
      <c r="AE98" s="105">
        <v>4678.8752115184298</v>
      </c>
      <c r="AF98" s="105">
        <v>4.0765300165000378</v>
      </c>
      <c r="AG98" s="105">
        <v>3316.664821424431</v>
      </c>
      <c r="AH98" s="105">
        <v>6.4941532405240849</v>
      </c>
      <c r="AI98" s="105">
        <v>5283.6430764903953</v>
      </c>
      <c r="AJ98" s="105">
        <v>7.7608538882977367</v>
      </c>
      <c r="AK98" s="105">
        <v>6314.2307235190392</v>
      </c>
      <c r="AL98" s="105">
        <v>5.9808896738913209</v>
      </c>
      <c r="AM98" s="105">
        <v>4866.0518386779786</v>
      </c>
      <c r="AN98" s="105">
        <v>5.001185044374842</v>
      </c>
      <c r="AO98" s="105">
        <v>4068.9641521033714</v>
      </c>
      <c r="AP98" s="105">
        <v>8.588765594256385</v>
      </c>
      <c r="AQ98" s="105">
        <v>6987.8196874869955</v>
      </c>
      <c r="AR98" s="105">
        <v>8.3352613881710251</v>
      </c>
      <c r="AS98" s="105">
        <v>6781.5686654159463</v>
      </c>
      <c r="AT98" s="105">
        <v>5.8586628404540102</v>
      </c>
      <c r="AU98" s="105">
        <v>4766.608086993383</v>
      </c>
      <c r="AV98" s="105">
        <v>5.6671547033099685</v>
      </c>
      <c r="AW98" s="105">
        <v>4610.7970666129904</v>
      </c>
      <c r="AX98" s="105">
        <v>6.2317813157795765</v>
      </c>
      <c r="AY98" s="105">
        <v>5070.1772785182638</v>
      </c>
      <c r="AZ98" s="105">
        <v>7.0595763759345944</v>
      </c>
      <c r="BA98" s="105">
        <v>5743.6713394603858</v>
      </c>
      <c r="BB98" s="105">
        <v>4.6544683278709504</v>
      </c>
      <c r="BC98" s="105">
        <v>3786.8754315558053</v>
      </c>
      <c r="BD98" s="105">
        <v>8.7929423776761624</v>
      </c>
      <c r="BE98" s="105">
        <v>7153.9379184773261</v>
      </c>
      <c r="BF98" s="105">
        <v>4.6587468658402837</v>
      </c>
      <c r="BG98" s="105">
        <v>3790.356450047655</v>
      </c>
      <c r="BH98" s="105">
        <v>6.2687241927023436</v>
      </c>
      <c r="BI98" s="105">
        <v>5100.234003182627</v>
      </c>
      <c r="BJ98" s="105">
        <v>5.3877149044685595</v>
      </c>
      <c r="BK98" s="105">
        <v>4383.44484627562</v>
      </c>
      <c r="BL98" s="105">
        <v>5.9161287049676181</v>
      </c>
      <c r="BM98" s="105">
        <v>4813.3623143616542</v>
      </c>
      <c r="BN98" s="105">
        <v>6.2416522547133271</v>
      </c>
      <c r="BO98" s="105">
        <v>5078.2082744347626</v>
      </c>
      <c r="BP98" s="105">
        <v>5.5034819868126066</v>
      </c>
      <c r="BQ98" s="105">
        <v>4477.6329444707371</v>
      </c>
      <c r="BR98" s="105">
        <v>3.7866528767598182</v>
      </c>
      <c r="BS98" s="105">
        <v>3080.8207805317884</v>
      </c>
      <c r="BT98" s="105">
        <v>4.7998220307625017</v>
      </c>
      <c r="BU98" s="105">
        <v>3905.1352042283715</v>
      </c>
      <c r="BV98" s="105">
        <v>4.2655082291854702</v>
      </c>
      <c r="BW98" s="105">
        <v>3470.4174952652988</v>
      </c>
      <c r="BX98" s="105">
        <v>5.6849032327078541</v>
      </c>
      <c r="BY98" s="105">
        <v>4625.2372701311106</v>
      </c>
      <c r="BZ98" s="105">
        <v>4.313048432603062</v>
      </c>
      <c r="CA98" s="105">
        <v>3509.0962047658513</v>
      </c>
      <c r="CB98" s="105">
        <v>5.1498328365275947</v>
      </c>
      <c r="CC98" s="105">
        <v>4189.9039957988516</v>
      </c>
      <c r="CD98" s="105">
        <v>5.7051085125633829</v>
      </c>
      <c r="CE98" s="105">
        <v>4641.6762858215689</v>
      </c>
      <c r="CF98" s="105">
        <v>5.1280552552284275</v>
      </c>
      <c r="CG98" s="105">
        <v>4172.1857556538489</v>
      </c>
      <c r="CH98" s="105">
        <v>5.7658288584645909</v>
      </c>
      <c r="CI98" s="105">
        <v>4691.0783592467915</v>
      </c>
      <c r="CJ98" s="105">
        <v>5.8913228817887928</v>
      </c>
      <c r="CK98" s="105">
        <v>4793.1802966233618</v>
      </c>
      <c r="CL98" s="105">
        <v>5.1438074638533333</v>
      </c>
      <c r="CM98" s="105">
        <v>4185.0017525910725</v>
      </c>
      <c r="CN98" s="105">
        <v>6.5673848009719</v>
      </c>
      <c r="CO98" s="105">
        <v>5343.2242740707379</v>
      </c>
      <c r="CP98" s="105">
        <v>6.7743767202409515</v>
      </c>
      <c r="CQ98" s="105">
        <v>5511.6328995880385</v>
      </c>
      <c r="CR98" s="105">
        <v>5.3490339108441436</v>
      </c>
      <c r="CS98" s="105">
        <v>4351.973989862795</v>
      </c>
      <c r="CT98" s="105">
        <v>5.0185073238193727</v>
      </c>
      <c r="CU98" s="105">
        <v>4083.0575586594418</v>
      </c>
    </row>
    <row r="99" spans="2:99" x14ac:dyDescent="0.2">
      <c r="C99" s="104" t="s">
        <v>265</v>
      </c>
      <c r="D99" s="105">
        <v>4</v>
      </c>
      <c r="E99" s="105">
        <v>15532.8</v>
      </c>
      <c r="F99" s="105">
        <v>0.33582089552238908</v>
      </c>
      <c r="G99" s="105">
        <v>1304.0597014925413</v>
      </c>
      <c r="H99" s="105">
        <v>3</v>
      </c>
      <c r="I99" s="105">
        <v>11649.599999999999</v>
      </c>
      <c r="J99" s="105">
        <v>1.8332803552627015</v>
      </c>
      <c r="K99" s="105">
        <v>7118.9942755561224</v>
      </c>
      <c r="L99" s="105">
        <v>2.6615361264752315</v>
      </c>
      <c r="M99" s="105">
        <v>10335.277086328619</v>
      </c>
      <c r="N99" s="105">
        <v>3.8095239978946687</v>
      </c>
      <c r="O99" s="105">
        <v>14793.143588624576</v>
      </c>
      <c r="P99" s="105">
        <v>4.4261454474369266</v>
      </c>
      <c r="Q99" s="105">
        <v>17187.608001487071</v>
      </c>
      <c r="R99" s="105">
        <v>6.2446781729608487</v>
      </c>
      <c r="S99" s="105">
        <v>24249.334281241565</v>
      </c>
      <c r="T99" s="105">
        <v>4.5924544927415756</v>
      </c>
      <c r="U99" s="105">
        <v>17833.419286214084</v>
      </c>
      <c r="V99" s="105">
        <v>7.2862081305278643</v>
      </c>
      <c r="W99" s="105">
        <v>28293.803412465801</v>
      </c>
      <c r="X99" s="105">
        <v>4.5799200534382756</v>
      </c>
      <c r="Y99" s="105">
        <v>17784.745551511511</v>
      </c>
      <c r="Z99" s="105">
        <v>3.7049280559755347</v>
      </c>
      <c r="AA99" s="105">
        <v>14386.976626964195</v>
      </c>
      <c r="AB99" s="105">
        <v>4.8252396460331521</v>
      </c>
      <c r="AC99" s="105">
        <v>18737.370593475935</v>
      </c>
      <c r="AD99" s="105">
        <v>4.4513294249863904</v>
      </c>
      <c r="AE99" s="105">
        <v>17285.402423107149</v>
      </c>
      <c r="AF99" s="105">
        <v>2.9647491029091184</v>
      </c>
      <c r="AG99" s="105">
        <v>11512.713716416689</v>
      </c>
      <c r="AH99" s="105">
        <v>4.9748788570443621</v>
      </c>
      <c r="AI99" s="105">
        <v>19318.449577674666</v>
      </c>
      <c r="AJ99" s="105">
        <v>6.4587081935826145</v>
      </c>
      <c r="AK99" s="105">
        <v>25080.455657320006</v>
      </c>
      <c r="AL99" s="105">
        <v>4.8011092596672915</v>
      </c>
      <c r="AM99" s="105">
        <v>18643.667477140025</v>
      </c>
      <c r="AN99" s="105">
        <v>4.1915887556111633</v>
      </c>
      <c r="AO99" s="105">
        <v>16276.777455789268</v>
      </c>
      <c r="AP99" s="105">
        <v>6.4031663799496705</v>
      </c>
      <c r="AQ99" s="105">
        <v>24864.77568662056</v>
      </c>
      <c r="AR99" s="105">
        <v>6.1231031160046925</v>
      </c>
      <c r="AS99" s="105">
        <v>23777.23402006942</v>
      </c>
      <c r="AT99" s="105">
        <v>4.5768284429286483</v>
      </c>
      <c r="AU99" s="105">
        <v>17772.740209580526</v>
      </c>
      <c r="AV99" s="105">
        <v>4.9322866333715947</v>
      </c>
      <c r="AW99" s="105">
        <v>19153.055454708574</v>
      </c>
      <c r="AX99" s="105">
        <v>5.0033773742634793</v>
      </c>
      <c r="AY99" s="105">
        <v>19429.11501973994</v>
      </c>
      <c r="AZ99" s="105">
        <v>5.053195458508057</v>
      </c>
      <c r="BA99" s="105">
        <v>19622.568604478485</v>
      </c>
      <c r="BB99" s="105">
        <v>3.5184799235845063</v>
      </c>
      <c r="BC99" s="105">
        <v>13662.961239263353</v>
      </c>
      <c r="BD99" s="105">
        <v>7.8264477634653522</v>
      </c>
      <c r="BE99" s="105">
        <v>30391.661955088653</v>
      </c>
      <c r="BF99" s="105">
        <v>3.9446690799218405</v>
      </c>
      <c r="BG99" s="105">
        <v>15317.938971152491</v>
      </c>
      <c r="BH99" s="105">
        <v>4.7359919227406078</v>
      </c>
      <c r="BI99" s="105">
        <v>18390.803834386326</v>
      </c>
      <c r="BJ99" s="105">
        <v>3.7613289280933735</v>
      </c>
      <c r="BK99" s="105">
        <v>14605.992493572187</v>
      </c>
      <c r="BL99" s="105">
        <v>4.0566591627491322</v>
      </c>
      <c r="BM99" s="105">
        <v>15752.818860787429</v>
      </c>
      <c r="BN99" s="105">
        <v>5.2529718114590995</v>
      </c>
      <c r="BO99" s="105">
        <v>20398.340138257976</v>
      </c>
      <c r="BP99" s="105">
        <v>4.2981947237229221</v>
      </c>
      <c r="BQ99" s="105">
        <v>16690.749751160849</v>
      </c>
      <c r="BR99" s="105">
        <v>3.7659477685499922</v>
      </c>
      <c r="BS99" s="105">
        <v>14623.928374833329</v>
      </c>
      <c r="BT99" s="105">
        <v>4.0376569552251</v>
      </c>
      <c r="BU99" s="105">
        <v>15679.029488530108</v>
      </c>
      <c r="BV99" s="105">
        <v>3.4899612784244756</v>
      </c>
      <c r="BW99" s="105">
        <v>13552.217636377924</v>
      </c>
      <c r="BX99" s="105">
        <v>4.4306880856125765</v>
      </c>
      <c r="BY99" s="105">
        <v>17205.247974050755</v>
      </c>
      <c r="BZ99" s="105">
        <v>3.7127461891884765</v>
      </c>
      <c r="CA99" s="105">
        <v>14417.336001856691</v>
      </c>
      <c r="CB99" s="105">
        <v>3.78820454521072</v>
      </c>
      <c r="CC99" s="105">
        <v>14710.355889962268</v>
      </c>
      <c r="CD99" s="105">
        <v>4.167000428155859</v>
      </c>
      <c r="CE99" s="105">
        <v>16181.296062614831</v>
      </c>
      <c r="CF99" s="105">
        <v>3.1746016583054346</v>
      </c>
      <c r="CG99" s="105">
        <v>12327.613159531664</v>
      </c>
      <c r="CH99" s="105">
        <v>4.1018663879280703</v>
      </c>
      <c r="CI99" s="105">
        <v>15928.367557602282</v>
      </c>
      <c r="CJ99" s="105">
        <v>3.9795834860997976</v>
      </c>
      <c r="CK99" s="105">
        <v>15453.518593222734</v>
      </c>
      <c r="CL99" s="105">
        <v>4.1392573665881471</v>
      </c>
      <c r="CM99" s="105">
        <v>16073.564205935092</v>
      </c>
      <c r="CN99" s="105">
        <v>4.725876702847251</v>
      </c>
      <c r="CO99" s="105">
        <v>18351.524412496445</v>
      </c>
      <c r="CP99" s="105">
        <v>4.7214119264327907</v>
      </c>
      <c r="CQ99" s="105">
        <v>18334.186792723813</v>
      </c>
      <c r="CR99" s="105">
        <v>4.188549004422077</v>
      </c>
      <c r="CS99" s="105">
        <v>16264.973493971809</v>
      </c>
      <c r="CT99" s="105">
        <v>5.2014875282661244</v>
      </c>
      <c r="CU99" s="105">
        <v>20198.416369763014</v>
      </c>
    </row>
    <row r="100" spans="2:99" x14ac:dyDescent="0.2">
      <c r="C100" s="104" t="s">
        <v>266</v>
      </c>
      <c r="D100" s="105">
        <v>5</v>
      </c>
      <c r="E100" s="105">
        <v>2765.9999999999995</v>
      </c>
      <c r="F100" s="105">
        <v>0.40298507462686695</v>
      </c>
      <c r="G100" s="105">
        <v>222.93134328358278</v>
      </c>
      <c r="H100" s="105">
        <v>3</v>
      </c>
      <c r="I100" s="105">
        <v>1659.6</v>
      </c>
      <c r="J100" s="105">
        <v>2.291600444078377</v>
      </c>
      <c r="K100" s="105">
        <v>1267.7133656641581</v>
      </c>
      <c r="L100" s="105">
        <v>3.9923041897128471</v>
      </c>
      <c r="M100" s="105">
        <v>2208.5426777491466</v>
      </c>
      <c r="N100" s="105">
        <v>4.6560848863157061</v>
      </c>
      <c r="O100" s="105">
        <v>2575.7461591098481</v>
      </c>
      <c r="P100" s="105">
        <v>5.0426755382934276</v>
      </c>
      <c r="Q100" s="105">
        <v>2789.608107783924</v>
      </c>
      <c r="R100" s="105">
        <v>8.5064699803177053</v>
      </c>
      <c r="S100" s="105">
        <v>4705.7791931117536</v>
      </c>
      <c r="T100" s="105">
        <v>5.1665113043342723</v>
      </c>
      <c r="U100" s="105">
        <v>2858.1140535577192</v>
      </c>
      <c r="V100" s="105">
        <v>9.1921506409331588</v>
      </c>
      <c r="W100" s="105">
        <v>5085.0977345642232</v>
      </c>
      <c r="X100" s="105">
        <v>6.2894391812155623</v>
      </c>
      <c r="Y100" s="105">
        <v>3479.3177550484488</v>
      </c>
      <c r="Z100" s="105">
        <v>4.5107400249250293</v>
      </c>
      <c r="AA100" s="105">
        <v>2495.3413817885257</v>
      </c>
      <c r="AB100" s="105">
        <v>6.6898276377371824</v>
      </c>
      <c r="AC100" s="105">
        <v>3700.8126491962089</v>
      </c>
      <c r="AD100" s="105">
        <v>5.8562138930037113</v>
      </c>
      <c r="AE100" s="105">
        <v>3239.6575256096526</v>
      </c>
      <c r="AF100" s="105">
        <v>4.0765300165000378</v>
      </c>
      <c r="AG100" s="105">
        <v>2255.1364051278206</v>
      </c>
      <c r="AH100" s="105">
        <v>6.3904626562984888</v>
      </c>
      <c r="AI100" s="105">
        <v>3535.2039414643236</v>
      </c>
      <c r="AJ100" s="105">
        <v>8.384539975999596</v>
      </c>
      <c r="AK100" s="105">
        <v>4638.327514722976</v>
      </c>
      <c r="AL100" s="105">
        <v>6.5981090819270598</v>
      </c>
      <c r="AM100" s="105">
        <v>3650.0739441220489</v>
      </c>
      <c r="AN100" s="105">
        <v>5.001185044374842</v>
      </c>
      <c r="AO100" s="105">
        <v>2766.6555665481624</v>
      </c>
      <c r="AP100" s="105">
        <v>7.9039877927381443</v>
      </c>
      <c r="AQ100" s="105">
        <v>4372.4860469427413</v>
      </c>
      <c r="AR100" s="105">
        <v>8.3352613881710251</v>
      </c>
      <c r="AS100" s="105">
        <v>4611.0665999362109</v>
      </c>
      <c r="AT100" s="105">
        <v>5.8285268232573841</v>
      </c>
      <c r="AU100" s="105">
        <v>3224.3410386259843</v>
      </c>
      <c r="AV100" s="105">
        <v>6.0880721276844447</v>
      </c>
      <c r="AW100" s="105">
        <v>3367.9215010350345</v>
      </c>
      <c r="AX100" s="105">
        <v>6.2317813157795765</v>
      </c>
      <c r="AY100" s="105">
        <v>3447.4214238892614</v>
      </c>
      <c r="AZ100" s="105">
        <v>6.3655210048208115</v>
      </c>
      <c r="BA100" s="105">
        <v>3521.4062198668726</v>
      </c>
      <c r="BB100" s="105">
        <v>5.2362768688548185</v>
      </c>
      <c r="BC100" s="105">
        <v>2896.7083638504851</v>
      </c>
      <c r="BD100" s="105">
        <v>8.7988058575348607</v>
      </c>
      <c r="BE100" s="105">
        <v>4867.4994003882839</v>
      </c>
      <c r="BF100" s="105">
        <v>5.5548306513162018</v>
      </c>
      <c r="BG100" s="105">
        <v>3072.9323163081226</v>
      </c>
      <c r="BH100" s="105">
        <v>6.3956657172140341</v>
      </c>
      <c r="BI100" s="105">
        <v>3538.0822747628031</v>
      </c>
      <c r="BJ100" s="105">
        <v>4.5345592251335516</v>
      </c>
      <c r="BK100" s="105">
        <v>2508.5181633438806</v>
      </c>
      <c r="BL100" s="105">
        <v>6.4694260851565746</v>
      </c>
      <c r="BM100" s="105">
        <v>3578.8865103086168</v>
      </c>
      <c r="BN100" s="105">
        <v>6.2416522547133271</v>
      </c>
      <c r="BO100" s="105">
        <v>3452.882027307412</v>
      </c>
      <c r="BP100" s="105">
        <v>5.978967092940529</v>
      </c>
      <c r="BQ100" s="105">
        <v>3307.5645958147002</v>
      </c>
      <c r="BR100" s="105">
        <v>3.7623644352107051</v>
      </c>
      <c r="BS100" s="105">
        <v>2081.3400055585616</v>
      </c>
      <c r="BT100" s="105">
        <v>4.9272234468564617</v>
      </c>
      <c r="BU100" s="105">
        <v>2725.7400108009942</v>
      </c>
      <c r="BV100" s="105">
        <v>4.2655082291854702</v>
      </c>
      <c r="BW100" s="105">
        <v>2359.6791523854017</v>
      </c>
      <c r="BX100" s="105">
        <v>5.8262873893924434</v>
      </c>
      <c r="BY100" s="105">
        <v>3223.1021838118991</v>
      </c>
      <c r="BZ100" s="105">
        <v>4.9410838581928882</v>
      </c>
      <c r="CA100" s="105">
        <v>2733.4075903523053</v>
      </c>
      <c r="CB100" s="105">
        <v>5.1498328365275947</v>
      </c>
      <c r="CC100" s="105">
        <v>2848.8875251670652</v>
      </c>
      <c r="CD100" s="105">
        <v>5.2332676113457479</v>
      </c>
      <c r="CE100" s="105">
        <v>2895.0436425964672</v>
      </c>
      <c r="CF100" s="105">
        <v>3.7357254420608106</v>
      </c>
      <c r="CG100" s="105">
        <v>2066.6033145480401</v>
      </c>
      <c r="CH100" s="105">
        <v>5.7271356661891044</v>
      </c>
      <c r="CI100" s="105">
        <v>3168.2514505358122</v>
      </c>
      <c r="CJ100" s="105">
        <v>5.9225438207331536</v>
      </c>
      <c r="CK100" s="105">
        <v>3276.3512416295803</v>
      </c>
      <c r="CL100" s="105">
        <v>5.1680188593588126</v>
      </c>
      <c r="CM100" s="105">
        <v>2858.9480329972948</v>
      </c>
      <c r="CN100" s="105">
        <v>7.2026818806579405</v>
      </c>
      <c r="CO100" s="105">
        <v>3984.5236163799723</v>
      </c>
      <c r="CP100" s="105">
        <v>6.7503199813316739</v>
      </c>
      <c r="CQ100" s="105">
        <v>3734.2770136726817</v>
      </c>
      <c r="CR100" s="105">
        <v>5.3772232068318866</v>
      </c>
      <c r="CS100" s="105">
        <v>2974.6798780193994</v>
      </c>
      <c r="CT100" s="105">
        <v>5.8277142989476198</v>
      </c>
      <c r="CU100" s="105">
        <v>3223.8915501778229</v>
      </c>
    </row>
    <row r="101" spans="2:99" x14ac:dyDescent="0.2">
      <c r="C101" s="104" t="s">
        <v>267</v>
      </c>
      <c r="D101" s="105">
        <v>1.0930815493138006</v>
      </c>
      <c r="E101" s="105">
        <v>931.30548001535817</v>
      </c>
      <c r="F101" s="105">
        <v>1.7194861960784305</v>
      </c>
      <c r="G101" s="105">
        <v>1465.0022390588229</v>
      </c>
      <c r="H101" s="105">
        <v>0</v>
      </c>
      <c r="I101" s="105">
        <v>0</v>
      </c>
      <c r="J101" s="105">
        <v>0</v>
      </c>
      <c r="K101" s="105">
        <v>0</v>
      </c>
      <c r="L101" s="105">
        <v>7.4781793390125557</v>
      </c>
      <c r="M101" s="105">
        <v>6371.4087968386975</v>
      </c>
      <c r="N101" s="105">
        <v>7.4750319571358661</v>
      </c>
      <c r="O101" s="105">
        <v>6368.7272274797579</v>
      </c>
      <c r="P101" s="105">
        <v>8.3814630395321554</v>
      </c>
      <c r="Q101" s="105">
        <v>7141.006509681396</v>
      </c>
      <c r="R101" s="105">
        <v>10.302482081362177</v>
      </c>
      <c r="S101" s="105">
        <v>8777.7147333205739</v>
      </c>
      <c r="T101" s="105">
        <v>7.8596515932853874</v>
      </c>
      <c r="U101" s="105">
        <v>6696.4231574791502</v>
      </c>
      <c r="V101" s="105">
        <v>9.5587910132094187</v>
      </c>
      <c r="W101" s="105">
        <v>8144.0899432544247</v>
      </c>
      <c r="X101" s="105">
        <v>6.4429636326530204</v>
      </c>
      <c r="Y101" s="105">
        <v>5489.405015020373</v>
      </c>
      <c r="Z101" s="105">
        <v>6.0087719250071645</v>
      </c>
      <c r="AA101" s="105">
        <v>5119.4736801061044</v>
      </c>
      <c r="AB101" s="105">
        <v>5.6151781800095586</v>
      </c>
      <c r="AC101" s="105">
        <v>4784.1318093681439</v>
      </c>
      <c r="AD101" s="105">
        <v>7.9974020961344703</v>
      </c>
      <c r="AE101" s="105">
        <v>6813.7865859065687</v>
      </c>
      <c r="AF101" s="105">
        <v>8.9645283882672704</v>
      </c>
      <c r="AG101" s="105">
        <v>7637.7781868037146</v>
      </c>
      <c r="AH101" s="105">
        <v>6.6181803279568072</v>
      </c>
      <c r="AI101" s="105">
        <v>5638.6896394191999</v>
      </c>
      <c r="AJ101" s="105">
        <v>7.1055622924787416</v>
      </c>
      <c r="AK101" s="105">
        <v>6053.9390731918875</v>
      </c>
      <c r="AL101" s="105">
        <v>13.122029720543182</v>
      </c>
      <c r="AM101" s="105">
        <v>11179.96932190279</v>
      </c>
      <c r="AN101" s="105">
        <v>6.517221089093697</v>
      </c>
      <c r="AO101" s="105">
        <v>5552.6723679078295</v>
      </c>
      <c r="AP101" s="105">
        <v>9.9246045136262708</v>
      </c>
      <c r="AQ101" s="105">
        <v>8455.7630456095831</v>
      </c>
      <c r="AR101" s="105">
        <v>8.855801580949084</v>
      </c>
      <c r="AS101" s="105">
        <v>7545.14294696862</v>
      </c>
      <c r="AT101" s="105">
        <v>8.6989831399029676</v>
      </c>
      <c r="AU101" s="105">
        <v>7411.5336351973283</v>
      </c>
      <c r="AV101" s="105">
        <v>9.7618619645667444</v>
      </c>
      <c r="AW101" s="105">
        <v>8317.1063938108655</v>
      </c>
      <c r="AX101" s="105">
        <v>8.0211369776354307</v>
      </c>
      <c r="AY101" s="105">
        <v>6834.0087049453869</v>
      </c>
      <c r="AZ101" s="105">
        <v>10.764027221010483</v>
      </c>
      <c r="BA101" s="105">
        <v>9170.9511923009322</v>
      </c>
      <c r="BB101" s="105">
        <v>7.9637757125045043</v>
      </c>
      <c r="BC101" s="105">
        <v>6785.1369070538376</v>
      </c>
      <c r="BD101" s="105">
        <v>13.615528830691941</v>
      </c>
      <c r="BE101" s="105">
        <v>11600.430563749534</v>
      </c>
      <c r="BF101" s="105">
        <v>6.0018057657126977</v>
      </c>
      <c r="BG101" s="105">
        <v>5113.5385123872184</v>
      </c>
      <c r="BH101" s="105">
        <v>9.4775099999250365</v>
      </c>
      <c r="BI101" s="105">
        <v>8074.838519936131</v>
      </c>
      <c r="BJ101" s="105">
        <v>5.6604246798103777</v>
      </c>
      <c r="BK101" s="105">
        <v>4822.6818271984421</v>
      </c>
      <c r="BL101" s="105">
        <v>8.5462590850254312</v>
      </c>
      <c r="BM101" s="105">
        <v>7281.4127404416677</v>
      </c>
      <c r="BN101" s="105">
        <v>11.599548228313655</v>
      </c>
      <c r="BO101" s="105">
        <v>9882.8150905232342</v>
      </c>
      <c r="BP101" s="105">
        <v>8.7141712097866684</v>
      </c>
      <c r="BQ101" s="105">
        <v>7424.4738707382412</v>
      </c>
      <c r="BR101" s="105">
        <v>7.954045757639288</v>
      </c>
      <c r="BS101" s="105">
        <v>6776.8469855086732</v>
      </c>
      <c r="BT101" s="105">
        <v>5.0128442273605271</v>
      </c>
      <c r="BU101" s="105">
        <v>4270.9432817111692</v>
      </c>
      <c r="BV101" s="105">
        <v>11.58767646237319</v>
      </c>
      <c r="BW101" s="105">
        <v>9872.7003459419575</v>
      </c>
      <c r="BX101" s="105">
        <v>6.6060623853626268</v>
      </c>
      <c r="BY101" s="105">
        <v>5628.3651523289582</v>
      </c>
      <c r="BZ101" s="105">
        <v>5.4577835821712872</v>
      </c>
      <c r="CA101" s="105">
        <v>4650.0316120099369</v>
      </c>
      <c r="CB101" s="105">
        <v>10.690058922635389</v>
      </c>
      <c r="CC101" s="105">
        <v>9107.930202085352</v>
      </c>
      <c r="CD101" s="105">
        <v>10.204184731059648</v>
      </c>
      <c r="CE101" s="105">
        <v>8693.9653908628206</v>
      </c>
      <c r="CF101" s="105">
        <v>6.9800178350774322</v>
      </c>
      <c r="CG101" s="105">
        <v>5946.9751954859721</v>
      </c>
      <c r="CH101" s="105">
        <v>4.2320448472776153</v>
      </c>
      <c r="CI101" s="105">
        <v>3605.7022098805282</v>
      </c>
      <c r="CJ101" s="105">
        <v>7.8786203059703626</v>
      </c>
      <c r="CK101" s="105">
        <v>6712.5845006867485</v>
      </c>
      <c r="CL101" s="105">
        <v>10.303556759689709</v>
      </c>
      <c r="CM101" s="105">
        <v>8778.6303592556324</v>
      </c>
      <c r="CN101" s="105">
        <v>12.002093516871255</v>
      </c>
      <c r="CO101" s="105">
        <v>10225.783676374309</v>
      </c>
      <c r="CP101" s="105">
        <v>12.591455186035157</v>
      </c>
      <c r="CQ101" s="105">
        <v>10727.919818501954</v>
      </c>
      <c r="CR101" s="105">
        <v>10.492404569336394</v>
      </c>
      <c r="CS101" s="105">
        <v>8939.5286930746079</v>
      </c>
      <c r="CT101" s="105">
        <v>9.7457466094795411</v>
      </c>
      <c r="CU101" s="105">
        <v>8303.3761112765696</v>
      </c>
    </row>
    <row r="102" spans="2:99" x14ac:dyDescent="0.2">
      <c r="C102" s="104" t="s">
        <v>268</v>
      </c>
      <c r="D102" s="105">
        <v>6</v>
      </c>
      <c r="E102" s="105">
        <v>367.2</v>
      </c>
      <c r="F102" s="105">
        <v>0.33582089552238908</v>
      </c>
      <c r="G102" s="105">
        <v>20.552238805970209</v>
      </c>
      <c r="H102" s="105">
        <v>4</v>
      </c>
      <c r="I102" s="105">
        <v>244.79999999999998</v>
      </c>
      <c r="J102" s="105">
        <v>2.291600444078377</v>
      </c>
      <c r="K102" s="105">
        <v>140.24594717759666</v>
      </c>
      <c r="L102" s="105">
        <v>4.4358935441253857</v>
      </c>
      <c r="M102" s="105">
        <v>271.47668490047357</v>
      </c>
      <c r="N102" s="105">
        <v>5.0793653305262252</v>
      </c>
      <c r="O102" s="105">
        <v>310.85715822820498</v>
      </c>
      <c r="P102" s="105">
        <v>6.4653835752205628</v>
      </c>
      <c r="Q102" s="105">
        <v>395.68147480349842</v>
      </c>
      <c r="R102" s="105">
        <v>8.7249973491191728</v>
      </c>
      <c r="S102" s="105">
        <v>533.96983776609329</v>
      </c>
      <c r="T102" s="105">
        <v>5.7405681159269699</v>
      </c>
      <c r="U102" s="105">
        <v>351.32276869473054</v>
      </c>
      <c r="V102" s="105">
        <v>10.09257460784991</v>
      </c>
      <c r="W102" s="105">
        <v>617.6655660004144</v>
      </c>
      <c r="X102" s="105">
        <v>6.371071776947578</v>
      </c>
      <c r="Y102" s="105">
        <v>389.90959274919175</v>
      </c>
      <c r="Z102" s="105">
        <v>5.0896795671103394</v>
      </c>
      <c r="AA102" s="105">
        <v>311.48838950715276</v>
      </c>
      <c r="AB102" s="105">
        <v>6.5468418862944908</v>
      </c>
      <c r="AC102" s="105">
        <v>400.66672344122281</v>
      </c>
      <c r="AD102" s="105">
        <v>5.9667794893951616</v>
      </c>
      <c r="AE102" s="105">
        <v>365.16690475098386</v>
      </c>
      <c r="AF102" s="105">
        <v>4.0765300165000378</v>
      </c>
      <c r="AG102" s="105">
        <v>249.48363700980229</v>
      </c>
      <c r="AH102" s="105">
        <v>7.3551876467867441</v>
      </c>
      <c r="AI102" s="105">
        <v>450.13748398334872</v>
      </c>
      <c r="AJ102" s="105">
        <v>9.1934234453754762</v>
      </c>
      <c r="AK102" s="105">
        <v>562.63751485697912</v>
      </c>
      <c r="AL102" s="105">
        <v>6.5707798810033369</v>
      </c>
      <c r="AM102" s="105">
        <v>402.1317287174042</v>
      </c>
      <c r="AN102" s="105">
        <v>5.006541606701771</v>
      </c>
      <c r="AO102" s="105">
        <v>306.40034633014835</v>
      </c>
      <c r="AP102" s="105">
        <v>8.7200314040083793</v>
      </c>
      <c r="AQ102" s="105">
        <v>533.66592192531277</v>
      </c>
      <c r="AR102" s="105">
        <v>7.8770389799056506</v>
      </c>
      <c r="AS102" s="105">
        <v>482.0747855702258</v>
      </c>
      <c r="AT102" s="105">
        <v>6.439308004823439</v>
      </c>
      <c r="AU102" s="105">
        <v>394.08564989519442</v>
      </c>
      <c r="AV102" s="105">
        <v>6.7150859894723824</v>
      </c>
      <c r="AW102" s="105">
        <v>410.96326255570978</v>
      </c>
      <c r="AX102" s="105">
        <v>6.8310230185044434</v>
      </c>
      <c r="AY102" s="105">
        <v>418.0586087324719</v>
      </c>
      <c r="AZ102" s="105">
        <v>6.3655210048208115</v>
      </c>
      <c r="BA102" s="105">
        <v>389.56988549503365</v>
      </c>
      <c r="BB102" s="105">
        <v>5.2362768688548185</v>
      </c>
      <c r="BC102" s="105">
        <v>320.46014437391489</v>
      </c>
      <c r="BD102" s="105">
        <v>10.245234180284198</v>
      </c>
      <c r="BE102" s="105">
        <v>627.00833183339284</v>
      </c>
      <c r="BF102" s="105">
        <v>5.311043263469851</v>
      </c>
      <c r="BG102" s="105">
        <v>325.03584772435488</v>
      </c>
      <c r="BH102" s="105">
        <v>6.2256932458016125</v>
      </c>
      <c r="BI102" s="105">
        <v>381.01242664305869</v>
      </c>
      <c r="BJ102" s="105">
        <v>5.237907817435385</v>
      </c>
      <c r="BK102" s="105">
        <v>320.55995842704556</v>
      </c>
      <c r="BL102" s="105">
        <v>5.9212425684122501</v>
      </c>
      <c r="BM102" s="105">
        <v>362.3800451868297</v>
      </c>
      <c r="BN102" s="105">
        <v>6.2416522547133271</v>
      </c>
      <c r="BO102" s="105">
        <v>381.98911798845558</v>
      </c>
      <c r="BP102" s="105">
        <v>4.9792189547597463</v>
      </c>
      <c r="BQ102" s="105">
        <v>304.72820003129647</v>
      </c>
      <c r="BR102" s="105">
        <v>5.5494935314411364</v>
      </c>
      <c r="BS102" s="105">
        <v>339.62900412419754</v>
      </c>
      <c r="BT102" s="105">
        <v>5.5619871062999033</v>
      </c>
      <c r="BU102" s="105">
        <v>340.39361090555406</v>
      </c>
      <c r="BV102" s="105">
        <v>4.2655082291854702</v>
      </c>
      <c r="BW102" s="105">
        <v>261.04910362615078</v>
      </c>
      <c r="BX102" s="105">
        <v>6.3454938348906547</v>
      </c>
      <c r="BY102" s="105">
        <v>388.34422269530802</v>
      </c>
      <c r="BZ102" s="105">
        <v>4.9410838581928882</v>
      </c>
      <c r="CA102" s="105">
        <v>302.39433212140472</v>
      </c>
      <c r="CB102" s="105">
        <v>6.0647302929372868</v>
      </c>
      <c r="CC102" s="105">
        <v>371.16149392776191</v>
      </c>
      <c r="CD102" s="105">
        <v>5.7541426648652303</v>
      </c>
      <c r="CE102" s="105">
        <v>352.15353108975205</v>
      </c>
      <c r="CF102" s="105">
        <v>4.7378848569298002</v>
      </c>
      <c r="CG102" s="105">
        <v>289.95855324410377</v>
      </c>
      <c r="CH102" s="105">
        <v>5.7271356661891044</v>
      </c>
      <c r="CI102" s="105">
        <v>350.50070277077316</v>
      </c>
      <c r="CJ102" s="105">
        <v>5.9225438207331536</v>
      </c>
      <c r="CK102" s="105">
        <v>362.45968182886895</v>
      </c>
      <c r="CL102" s="105">
        <v>5.1922302548642936</v>
      </c>
      <c r="CM102" s="105">
        <v>317.76449159769476</v>
      </c>
      <c r="CN102" s="105">
        <v>7.1064740111715539</v>
      </c>
      <c r="CO102" s="105">
        <v>434.91620948369905</v>
      </c>
      <c r="CP102" s="105">
        <v>6.7743767202409515</v>
      </c>
      <c r="CQ102" s="105">
        <v>414.59185527874621</v>
      </c>
      <c r="CR102" s="105">
        <v>5.3772232068318866</v>
      </c>
      <c r="CS102" s="105">
        <v>329.08606025811144</v>
      </c>
      <c r="CT102" s="105">
        <v>6.9651775221116248</v>
      </c>
      <c r="CU102" s="105">
        <v>426.26886435323138</v>
      </c>
    </row>
    <row r="103" spans="2:99" x14ac:dyDescent="0.2">
      <c r="C103" s="104" t="s">
        <v>269</v>
      </c>
      <c r="D103" s="105">
        <v>5</v>
      </c>
      <c r="E103" s="105">
        <v>624</v>
      </c>
      <c r="F103" s="105">
        <v>0.33582089552238908</v>
      </c>
      <c r="G103" s="105">
        <v>41.910447761194156</v>
      </c>
      <c r="H103" s="105">
        <v>4</v>
      </c>
      <c r="I103" s="105">
        <v>499.2</v>
      </c>
      <c r="J103" s="105">
        <v>2.291600444078377</v>
      </c>
      <c r="K103" s="105">
        <v>285.99173542098146</v>
      </c>
      <c r="L103" s="105">
        <v>3.9923041897128471</v>
      </c>
      <c r="M103" s="105">
        <v>498.23956287616329</v>
      </c>
      <c r="N103" s="105">
        <v>5.0793653305262252</v>
      </c>
      <c r="O103" s="105">
        <v>633.90479324967293</v>
      </c>
      <c r="P103" s="105">
        <v>5.14803236740857</v>
      </c>
      <c r="Q103" s="105">
        <v>642.47443945258954</v>
      </c>
      <c r="R103" s="105">
        <v>7.7525393778654204</v>
      </c>
      <c r="S103" s="105">
        <v>967.51691435760449</v>
      </c>
      <c r="T103" s="105">
        <v>6.3146249275196658</v>
      </c>
      <c r="U103" s="105">
        <v>788.06519095445424</v>
      </c>
      <c r="V103" s="105">
        <v>9.9830243950025324</v>
      </c>
      <c r="W103" s="105">
        <v>1245.8814444963159</v>
      </c>
      <c r="X103" s="105">
        <v>6.371071776947578</v>
      </c>
      <c r="Y103" s="105">
        <v>795.1097577630577</v>
      </c>
      <c r="Z103" s="105">
        <v>5.0842872833188943</v>
      </c>
      <c r="AA103" s="105">
        <v>634.51905295819802</v>
      </c>
      <c r="AB103" s="105">
        <v>6.6828996659603872</v>
      </c>
      <c r="AC103" s="105">
        <v>834.02587831185633</v>
      </c>
      <c r="AD103" s="105">
        <v>5.9615978800113174</v>
      </c>
      <c r="AE103" s="105">
        <v>744.00741542541243</v>
      </c>
      <c r="AF103" s="105">
        <v>4.4471236543636774</v>
      </c>
      <c r="AG103" s="105">
        <v>555.00103206458698</v>
      </c>
      <c r="AH103" s="105">
        <v>6.4941532405240849</v>
      </c>
      <c r="AI103" s="105">
        <v>810.47032441740578</v>
      </c>
      <c r="AJ103" s="105">
        <v>8.5697373576736169</v>
      </c>
      <c r="AK103" s="105">
        <v>1069.5032222376674</v>
      </c>
      <c r="AL103" s="105">
        <v>6.0082188748150447</v>
      </c>
      <c r="AM103" s="105">
        <v>749.82571557691756</v>
      </c>
      <c r="AN103" s="105">
        <v>5.001185044374842</v>
      </c>
      <c r="AO103" s="105">
        <v>624.14789353798028</v>
      </c>
      <c r="AP103" s="105">
        <v>9.154444185102216</v>
      </c>
      <c r="AQ103" s="105">
        <v>1142.4746343007566</v>
      </c>
      <c r="AR103" s="105">
        <v>8.228550829303618</v>
      </c>
      <c r="AS103" s="105">
        <v>1026.9231434970916</v>
      </c>
      <c r="AT103" s="105">
        <v>6.4694440220200651</v>
      </c>
      <c r="AU103" s="105">
        <v>807.38661394810413</v>
      </c>
      <c r="AV103" s="105">
        <v>6.6120377707656512</v>
      </c>
      <c r="AW103" s="105">
        <v>825.18231379155327</v>
      </c>
      <c r="AX103" s="105">
        <v>6.8609435545708077</v>
      </c>
      <c r="AY103" s="105">
        <v>856.24575561043673</v>
      </c>
      <c r="AZ103" s="105">
        <v>6.4737669274983771</v>
      </c>
      <c r="BA103" s="105">
        <v>807.92611255179747</v>
      </c>
      <c r="BB103" s="105">
        <v>4.6544683278709504</v>
      </c>
      <c r="BC103" s="105">
        <v>580.87764731829463</v>
      </c>
      <c r="BD103" s="105">
        <v>9.6407285053982505</v>
      </c>
      <c r="BE103" s="105">
        <v>1203.1629174737016</v>
      </c>
      <c r="BF103" s="105">
        <v>5.2801525693254137</v>
      </c>
      <c r="BG103" s="105">
        <v>658.96304065181164</v>
      </c>
      <c r="BH103" s="105">
        <v>7.0350903276832133</v>
      </c>
      <c r="BI103" s="105">
        <v>877.97927289486495</v>
      </c>
      <c r="BJ103" s="105">
        <v>5.3877149044685595</v>
      </c>
      <c r="BK103" s="105">
        <v>672.38682007767625</v>
      </c>
      <c r="BL103" s="105">
        <v>5.8105255759071701</v>
      </c>
      <c r="BM103" s="105">
        <v>725.15359187321485</v>
      </c>
      <c r="BN103" s="105">
        <v>6.7391180236992811</v>
      </c>
      <c r="BO103" s="105">
        <v>841.04192935767026</v>
      </c>
      <c r="BP103" s="105">
        <v>6.1851605695579543</v>
      </c>
      <c r="BQ103" s="105">
        <v>771.90803908083274</v>
      </c>
      <c r="BR103" s="105">
        <v>5.4523339270125604</v>
      </c>
      <c r="BS103" s="105">
        <v>680.45127409116753</v>
      </c>
      <c r="BT103" s="105">
        <v>5.5619871062999033</v>
      </c>
      <c r="BU103" s="105">
        <v>694.13599086622787</v>
      </c>
      <c r="BV103" s="105">
        <v>4.2655082291854702</v>
      </c>
      <c r="BW103" s="105">
        <v>532.33542700234671</v>
      </c>
      <c r="BX103" s="105">
        <v>5.23763087257593</v>
      </c>
      <c r="BY103" s="105">
        <v>653.65633289747609</v>
      </c>
      <c r="BZ103" s="105">
        <v>4.3962479791287858</v>
      </c>
      <c r="CA103" s="105">
        <v>548.65174779527251</v>
      </c>
      <c r="CB103" s="105">
        <v>5.639435244625429</v>
      </c>
      <c r="CC103" s="105">
        <v>703.80151852925349</v>
      </c>
      <c r="CD103" s="105">
        <v>5.7296255887143062</v>
      </c>
      <c r="CE103" s="105">
        <v>715.05727347154539</v>
      </c>
      <c r="CF103" s="105">
        <v>4.2247963342311285</v>
      </c>
      <c r="CG103" s="105">
        <v>527.25458251204486</v>
      </c>
      <c r="CH103" s="105">
        <v>4.9531942193340743</v>
      </c>
      <c r="CI103" s="105">
        <v>618.15863857289241</v>
      </c>
      <c r="CJ103" s="105">
        <v>5.9225438207331536</v>
      </c>
      <c r="CK103" s="105">
        <v>739.1334688274975</v>
      </c>
      <c r="CL103" s="105">
        <v>5.1680188593588126</v>
      </c>
      <c r="CM103" s="105">
        <v>644.96875364797984</v>
      </c>
      <c r="CN103" s="105">
        <v>6.6681390602515611</v>
      </c>
      <c r="CO103" s="105">
        <v>832.18375471939476</v>
      </c>
      <c r="CP103" s="105">
        <v>8.1306319176466619</v>
      </c>
      <c r="CQ103" s="105">
        <v>1014.7028633223034</v>
      </c>
      <c r="CR103" s="105">
        <v>5.9715603080367909</v>
      </c>
      <c r="CS103" s="105">
        <v>745.25072644299155</v>
      </c>
      <c r="CT103" s="105">
        <v>7.054618241680144</v>
      </c>
      <c r="CU103" s="105">
        <v>880.41635656168194</v>
      </c>
    </row>
    <row r="104" spans="2:99" x14ac:dyDescent="0.2">
      <c r="C104" s="104" t="s">
        <v>270</v>
      </c>
      <c r="D104" s="105">
        <v>5</v>
      </c>
      <c r="E104" s="105">
        <v>1188</v>
      </c>
      <c r="F104" s="105">
        <v>0.33582089552238908</v>
      </c>
      <c r="G104" s="105">
        <v>79.791044776119648</v>
      </c>
      <c r="H104" s="105">
        <v>3</v>
      </c>
      <c r="I104" s="105">
        <v>712.8</v>
      </c>
      <c r="J104" s="105">
        <v>2.291600444078377</v>
      </c>
      <c r="K104" s="105">
        <v>544.48426551302236</v>
      </c>
      <c r="L104" s="105">
        <v>4.4358935441253857</v>
      </c>
      <c r="M104" s="105">
        <v>1053.9683060841917</v>
      </c>
      <c r="N104" s="105">
        <v>4.6560848863157061</v>
      </c>
      <c r="O104" s="105">
        <v>1106.2857689886118</v>
      </c>
      <c r="P104" s="105">
        <v>5.8593863858721376</v>
      </c>
      <c r="Q104" s="105">
        <v>1392.1902052832199</v>
      </c>
      <c r="R104" s="105">
        <v>8.6183806724478895</v>
      </c>
      <c r="S104" s="105">
        <v>2047.7272477736185</v>
      </c>
      <c r="T104" s="105">
        <v>5.7405681159269699</v>
      </c>
      <c r="U104" s="105">
        <v>1363.9589843442479</v>
      </c>
      <c r="V104" s="105">
        <v>10.088118971574321</v>
      </c>
      <c r="W104" s="105">
        <v>2396.9370676460585</v>
      </c>
      <c r="X104" s="105">
        <v>6.3302554790815693</v>
      </c>
      <c r="Y104" s="105">
        <v>1504.0687018297808</v>
      </c>
      <c r="Z104" s="105">
        <v>4.3993031301923375</v>
      </c>
      <c r="AA104" s="105">
        <v>1045.2744237336995</v>
      </c>
      <c r="AB104" s="105">
        <v>6.6828996659603872</v>
      </c>
      <c r="AC104" s="105">
        <v>1587.856960632188</v>
      </c>
      <c r="AD104" s="105">
        <v>5.8613955023875537</v>
      </c>
      <c r="AE104" s="105">
        <v>1392.6675713672828</v>
      </c>
      <c r="AF104" s="105">
        <v>4.4471236543636774</v>
      </c>
      <c r="AG104" s="105">
        <v>1056.6365802768098</v>
      </c>
      <c r="AH104" s="105">
        <v>7.1455131086327501</v>
      </c>
      <c r="AI104" s="105">
        <v>1697.7739146111414</v>
      </c>
      <c r="AJ104" s="105">
        <v>8.5810078593074</v>
      </c>
      <c r="AK104" s="105">
        <v>2038.8474673714381</v>
      </c>
      <c r="AL104" s="105">
        <v>7.649373320775041</v>
      </c>
      <c r="AM104" s="105">
        <v>1817.4911010161497</v>
      </c>
      <c r="AN104" s="105">
        <v>5.001185044374842</v>
      </c>
      <c r="AO104" s="105">
        <v>1188.2815665434625</v>
      </c>
      <c r="AP104" s="105">
        <v>8.463583084044183</v>
      </c>
      <c r="AQ104" s="105">
        <v>2010.9473407688979</v>
      </c>
      <c r="AR104" s="105">
        <v>8.447268583284929</v>
      </c>
      <c r="AS104" s="105">
        <v>2007.0710153884991</v>
      </c>
      <c r="AT104" s="105">
        <v>5.8586628404540102</v>
      </c>
      <c r="AU104" s="105">
        <v>1392.0182908918728</v>
      </c>
      <c r="AV104" s="105">
        <v>6.6168437602093597</v>
      </c>
      <c r="AW104" s="105">
        <v>1572.1620774257437</v>
      </c>
      <c r="AX104" s="105">
        <v>6.8609435545708077</v>
      </c>
      <c r="AY104" s="105">
        <v>1630.1601885660239</v>
      </c>
      <c r="AZ104" s="105">
        <v>6.9513304532570288</v>
      </c>
      <c r="BA104" s="105">
        <v>1651.6361156938699</v>
      </c>
      <c r="BB104" s="105">
        <v>4.6820970055522437</v>
      </c>
      <c r="BC104" s="105">
        <v>1112.4662485192132</v>
      </c>
      <c r="BD104" s="105">
        <v>9.7653004717456717</v>
      </c>
      <c r="BE104" s="105">
        <v>2320.2353920867718</v>
      </c>
      <c r="BF104" s="105">
        <v>5.2492618751809754</v>
      </c>
      <c r="BG104" s="105">
        <v>1247.2246215429998</v>
      </c>
      <c r="BH104" s="105">
        <v>7.040517121855066</v>
      </c>
      <c r="BI104" s="105">
        <v>1672.8268681527636</v>
      </c>
      <c r="BJ104" s="105">
        <v>4.4996183727643793</v>
      </c>
      <c r="BK104" s="105">
        <v>1069.1093253688166</v>
      </c>
      <c r="BL104" s="105">
        <v>6.4694260851565746</v>
      </c>
      <c r="BM104" s="105">
        <v>1537.1356378332021</v>
      </c>
      <c r="BN104" s="105">
        <v>6.7638510261430875</v>
      </c>
      <c r="BO104" s="105">
        <v>1607.0910038115976</v>
      </c>
      <c r="BP104" s="105">
        <v>5.4595905956379802</v>
      </c>
      <c r="BQ104" s="105">
        <v>1297.198725523584</v>
      </c>
      <c r="BR104" s="105">
        <v>4.7783394872230609</v>
      </c>
      <c r="BS104" s="105">
        <v>1135.3334621641993</v>
      </c>
      <c r="BT104" s="105">
        <v>5.4457741920658735</v>
      </c>
      <c r="BU104" s="105">
        <v>1293.9159480348515</v>
      </c>
      <c r="BV104" s="105">
        <v>3.8777347538049733</v>
      </c>
      <c r="BW104" s="105">
        <v>921.34977750406165</v>
      </c>
      <c r="BX104" s="105">
        <v>5.8287714034404265</v>
      </c>
      <c r="BY104" s="105">
        <v>1384.9160854574452</v>
      </c>
      <c r="BZ104" s="105">
        <v>4.3407816147783036</v>
      </c>
      <c r="CA104" s="105">
        <v>1031.3697116713249</v>
      </c>
      <c r="CB104" s="105">
        <v>6.0647302929372868</v>
      </c>
      <c r="CC104" s="105">
        <v>1440.9799176018994</v>
      </c>
      <c r="CD104" s="105">
        <v>5.7296255887143062</v>
      </c>
      <c r="CE104" s="105">
        <v>1361.3590398785191</v>
      </c>
      <c r="CF104" s="105">
        <v>5.6996068834805227</v>
      </c>
      <c r="CG104" s="105">
        <v>1354.2265955149721</v>
      </c>
      <c r="CH104" s="105">
        <v>4.99188741160956</v>
      </c>
      <c r="CI104" s="105">
        <v>1186.0724489984314</v>
      </c>
      <c r="CJ104" s="105">
        <v>5.9225438207331536</v>
      </c>
      <c r="CK104" s="105">
        <v>1407.1964118061971</v>
      </c>
      <c r="CL104" s="105">
        <v>5.1680188593588126</v>
      </c>
      <c r="CM104" s="105">
        <v>1227.9212809836538</v>
      </c>
      <c r="CN104" s="105">
        <v>7.0193589212717127</v>
      </c>
      <c r="CO104" s="105">
        <v>1667.7996796941588</v>
      </c>
      <c r="CP104" s="105">
        <v>5.7839794317007875</v>
      </c>
      <c r="CQ104" s="105">
        <v>1374.273512972107</v>
      </c>
      <c r="CR104" s="105">
        <v>6.3300130166340738</v>
      </c>
      <c r="CS104" s="105">
        <v>1504.011092752256</v>
      </c>
      <c r="CT104" s="105">
        <v>6.4369080038754705</v>
      </c>
      <c r="CU104" s="105">
        <v>1529.4093417208117</v>
      </c>
    </row>
    <row r="105" spans="2:99" x14ac:dyDescent="0.2">
      <c r="C105" s="104" t="s">
        <v>271</v>
      </c>
      <c r="D105" s="105">
        <v>5</v>
      </c>
      <c r="E105" s="105">
        <v>863.99999999999989</v>
      </c>
      <c r="F105" s="105">
        <v>0.33582089552238908</v>
      </c>
      <c r="G105" s="105">
        <v>58.029850746268828</v>
      </c>
      <c r="H105" s="105">
        <v>4</v>
      </c>
      <c r="I105" s="105">
        <v>691.19999999999993</v>
      </c>
      <c r="J105" s="105">
        <v>2.291600444078377</v>
      </c>
      <c r="K105" s="105">
        <v>395.98855673674353</v>
      </c>
      <c r="L105" s="105">
        <v>3.9923041897128471</v>
      </c>
      <c r="M105" s="105">
        <v>689.87016398237995</v>
      </c>
      <c r="N105" s="105">
        <v>4.6560848863157061</v>
      </c>
      <c r="O105" s="105">
        <v>804.57146835535389</v>
      </c>
      <c r="P105" s="105">
        <v>5.8699192873802133</v>
      </c>
      <c r="Q105" s="105">
        <v>1014.3220528593008</v>
      </c>
      <c r="R105" s="105">
        <v>8.6183806724478895</v>
      </c>
      <c r="S105" s="105">
        <v>1489.2561801989953</v>
      </c>
      <c r="T105" s="105">
        <v>5.7405681159269699</v>
      </c>
      <c r="U105" s="105">
        <v>991.97017043218034</v>
      </c>
      <c r="V105" s="105">
        <v>10.979631665939895</v>
      </c>
      <c r="W105" s="105">
        <v>1897.2803518744136</v>
      </c>
      <c r="X105" s="105">
        <v>6.371071776947578</v>
      </c>
      <c r="Y105" s="105">
        <v>1100.9212030565413</v>
      </c>
      <c r="Z105" s="105">
        <v>3.8492574492482912</v>
      </c>
      <c r="AA105" s="105">
        <v>665.1516872301047</v>
      </c>
      <c r="AB105" s="105">
        <v>6.6828996659603872</v>
      </c>
      <c r="AC105" s="105">
        <v>1154.8050622779549</v>
      </c>
      <c r="AD105" s="105">
        <v>5.9719610987790048</v>
      </c>
      <c r="AE105" s="105">
        <v>1031.9548778690119</v>
      </c>
      <c r="AF105" s="105">
        <v>4.4471236543636774</v>
      </c>
      <c r="AG105" s="105">
        <v>768.46296747404335</v>
      </c>
      <c r="AH105" s="105">
        <v>7.2492036928583463</v>
      </c>
      <c r="AI105" s="105">
        <v>1252.6623981259222</v>
      </c>
      <c r="AJ105" s="105">
        <v>8.0660367204644725</v>
      </c>
      <c r="AK105" s="105">
        <v>1393.8111452962607</v>
      </c>
      <c r="AL105" s="105">
        <v>6.5707798810033369</v>
      </c>
      <c r="AM105" s="105">
        <v>1135.4307634373765</v>
      </c>
      <c r="AN105" s="105">
        <v>4.4314402890245628</v>
      </c>
      <c r="AO105" s="105">
        <v>765.75288194344432</v>
      </c>
      <c r="AP105" s="105">
        <v>8.588765594256385</v>
      </c>
      <c r="AQ105" s="105">
        <v>1484.1386946875032</v>
      </c>
      <c r="AR105" s="105">
        <v>7.5978752974489145</v>
      </c>
      <c r="AS105" s="105">
        <v>1312.9128513991723</v>
      </c>
      <c r="AT105" s="105">
        <v>6.439308004823439</v>
      </c>
      <c r="AU105" s="105">
        <v>1112.7124232334902</v>
      </c>
      <c r="AV105" s="105">
        <v>6.0968418490272542</v>
      </c>
      <c r="AW105" s="105">
        <v>1053.5342715119095</v>
      </c>
      <c r="AX105" s="105">
        <v>6.8609435545708077</v>
      </c>
      <c r="AY105" s="105">
        <v>1185.5710462298355</v>
      </c>
      <c r="AZ105" s="105">
        <v>6.9621506955112791</v>
      </c>
      <c r="BA105" s="105">
        <v>1203.0596401843488</v>
      </c>
      <c r="BB105" s="105">
        <v>4.7097256832335379</v>
      </c>
      <c r="BC105" s="105">
        <v>813.84059806275525</v>
      </c>
      <c r="BD105" s="105">
        <v>10.239370700425502</v>
      </c>
      <c r="BE105" s="105">
        <v>1769.3632570335265</v>
      </c>
      <c r="BF105" s="105">
        <v>4.6587468658402837</v>
      </c>
      <c r="BG105" s="105">
        <v>805.03145841720095</v>
      </c>
      <c r="BH105" s="105">
        <v>6.3956657172140341</v>
      </c>
      <c r="BI105" s="105">
        <v>1105.171035934585</v>
      </c>
      <c r="BJ105" s="105">
        <v>4.5345592251335516</v>
      </c>
      <c r="BK105" s="105">
        <v>783.57183410307766</v>
      </c>
      <c r="BL105" s="105">
        <v>5.8188969358641254</v>
      </c>
      <c r="BM105" s="105">
        <v>1005.5053905173207</v>
      </c>
      <c r="BN105" s="105">
        <v>7.2365837926852352</v>
      </c>
      <c r="BO105" s="105">
        <v>1250.4816793760085</v>
      </c>
      <c r="BP105" s="105">
        <v>5.562687333946692</v>
      </c>
      <c r="BQ105" s="105">
        <v>961.23237130598829</v>
      </c>
      <c r="BR105" s="105">
        <v>4.306784623540552</v>
      </c>
      <c r="BS105" s="105">
        <v>744.21238294780733</v>
      </c>
      <c r="BT105" s="105">
        <v>4.9216291959264966</v>
      </c>
      <c r="BU105" s="105">
        <v>850.45752505609858</v>
      </c>
      <c r="BV105" s="105">
        <v>4.6532817045659671</v>
      </c>
      <c r="BW105" s="105">
        <v>804.08707854899899</v>
      </c>
      <c r="BX105" s="105">
        <v>6.2016256641580823</v>
      </c>
      <c r="BY105" s="105">
        <v>1071.6409147665165</v>
      </c>
      <c r="BZ105" s="105">
        <v>4.3407816147783036</v>
      </c>
      <c r="CA105" s="105">
        <v>750.08706303369081</v>
      </c>
      <c r="CB105" s="105">
        <v>5.639435244625429</v>
      </c>
      <c r="CC105" s="105">
        <v>974.49441027127409</v>
      </c>
      <c r="CD105" s="105">
        <v>6.7223415434514235</v>
      </c>
      <c r="CE105" s="105">
        <v>1161.6206187084058</v>
      </c>
      <c r="CF105" s="105">
        <v>4.2247963342311285</v>
      </c>
      <c r="CG105" s="105">
        <v>730.04480655513896</v>
      </c>
      <c r="CH105" s="105">
        <v>5.7658288584645909</v>
      </c>
      <c r="CI105" s="105">
        <v>996.33522674268124</v>
      </c>
      <c r="CJ105" s="105">
        <v>5.8913228817887928</v>
      </c>
      <c r="CK105" s="105">
        <v>1018.0205939731032</v>
      </c>
      <c r="CL105" s="105">
        <v>5.1680188593588126</v>
      </c>
      <c r="CM105" s="105">
        <v>893.03365889720271</v>
      </c>
      <c r="CN105" s="105">
        <v>6.6635926704582875</v>
      </c>
      <c r="CO105" s="105">
        <v>1151.468813455192</v>
      </c>
      <c r="CP105" s="105">
        <v>7.1402346291064998</v>
      </c>
      <c r="CQ105" s="105">
        <v>1233.8325439096031</v>
      </c>
      <c r="CR105" s="105">
        <v>5.4054125028196287</v>
      </c>
      <c r="CS105" s="105">
        <v>934.0552804872317</v>
      </c>
      <c r="CT105" s="105">
        <v>6.4411662703138814</v>
      </c>
      <c r="CU105" s="105">
        <v>1113.0335315102386</v>
      </c>
    </row>
    <row r="107" spans="2:99" x14ac:dyDescent="0.2">
      <c r="B107" s="109" t="s">
        <v>276</v>
      </c>
    </row>
    <row r="108" spans="2:99" x14ac:dyDescent="0.2">
      <c r="C108" s="104" t="s">
        <v>277</v>
      </c>
      <c r="D108" s="104" t="s">
        <v>92</v>
      </c>
      <c r="E108" s="104" t="s">
        <v>93</v>
      </c>
      <c r="F108" s="104" t="s">
        <v>94</v>
      </c>
      <c r="G108" s="104" t="s">
        <v>95</v>
      </c>
      <c r="H108" s="104" t="s">
        <v>96</v>
      </c>
      <c r="I108" s="104" t="s">
        <v>97</v>
      </c>
      <c r="J108" s="104" t="s">
        <v>98</v>
      </c>
      <c r="K108" s="104" t="s">
        <v>99</v>
      </c>
      <c r="L108" s="104" t="s">
        <v>100</v>
      </c>
      <c r="M108" s="104" t="s">
        <v>101</v>
      </c>
      <c r="N108" s="104" t="s">
        <v>102</v>
      </c>
      <c r="O108" s="104" t="s">
        <v>103</v>
      </c>
    </row>
    <row r="109" spans="2:99" x14ac:dyDescent="0.2">
      <c r="C109" s="104" t="s">
        <v>126</v>
      </c>
      <c r="D109" s="105">
        <f>SUM(D$6:D$19)+SUM(F$6:F$19)+SUM(H$6:H$19)+SUM(J$6:J$19)</f>
        <v>140.44064931245731</v>
      </c>
      <c r="E109" s="105">
        <f>SUM(L$6:L$19)+SUM(N$6:N$19)+SUM(P$6:P$19)+SUM(R$6:R$19)</f>
        <v>2059.9575333078769</v>
      </c>
      <c r="F109" s="105">
        <f>SUM(T$6:T$19)+SUM(V$6:V$19)+SUM(X$6:X$19)+SUM(Z$6:Z$19)</f>
        <v>2376.4797955362719</v>
      </c>
      <c r="G109" s="105">
        <f>SUM(AB$6:AB$19)+SUM(AD$6:AD$19)+SUM(AF$6:AF$19)+SUM(AH$6:AH$19)</f>
        <v>2161.9371852437862</v>
      </c>
      <c r="H109" s="105">
        <f>SUM(AJ$6:AJ$19)+SUM(AL$6:AL$19)+SUM(AN$6:AN$19)+SUM(AP$6:AP$19)</f>
        <v>2378.0299380910637</v>
      </c>
      <c r="I109" s="105">
        <f>SUM(AR$6:AR$19)+SUM(AT$6:AT$19)+SUM(AV$6:AV$19)+SUM(AX$6:AX$19)</f>
        <v>2370.6969225965395</v>
      </c>
      <c r="J109" s="105">
        <f>SUM(AZ$6:AZ$19)+SUM(BB$6:BB$19)+SUM(BD$6:BD$19)+SUM(BF$6:BF$19)</f>
        <v>2263.0630071371179</v>
      </c>
      <c r="K109" s="105">
        <f>SUM(BH$6:BH$19)+SUM(BJ$6:BJ$19)+SUM(BL$6:BL$19)+SUM(BN$6:BN$19)</f>
        <v>2333.8410821345087</v>
      </c>
      <c r="L109" s="105">
        <f>SUM(BP$6:BP$19)+SUM(BR$6:BR$19)+SUM(BT$6:BT$19)+SUM(BV$6:BV$19)</f>
        <v>2146.4461258862862</v>
      </c>
      <c r="M109" s="105">
        <f>SUM(BX$6:BX$19)+SUM(BZ$6:BZ$19)+SUM(CB$6:CB$19)+SUM(CD$6:CD$19)</f>
        <v>2391.3055027008677</v>
      </c>
      <c r="N109" s="105">
        <f>SUM(CF$6:CF$19)+SUM(CH$6:CH$19)+SUM(CJ$6:CJ$19)+SUM(CL$6:CL$19)</f>
        <v>2273.0862694615034</v>
      </c>
      <c r="O109" s="105">
        <f>SUM(CN$6:CN$19)+SUM(CP$6:CP$19)+SUM(CR$6:CR$19)+SUM(CT$6:CT$19)</f>
        <v>2500.6602673656071</v>
      </c>
    </row>
    <row r="110" spans="2:99" x14ac:dyDescent="0.2">
      <c r="C110" s="104" t="s">
        <v>127</v>
      </c>
      <c r="D110" s="105">
        <f>SUM(D$20:D$36)+SUM(F$20:F$36)+SUM(H$20:H$36)+SUM(J$20:J$36)</f>
        <v>209.61789523171686</v>
      </c>
      <c r="E110" s="105">
        <f>SUM(L$20:L$36)+SUM(N$20:N$36)+SUM(P$20:P$36)+SUM(R$20:R$36)</f>
        <v>2665.2563794766866</v>
      </c>
      <c r="F110" s="105">
        <f>SUM(T$20:T$36)+SUM(V$20:V$36)+SUM(X$20:X$36)+SUM(Z$20:Z$36)</f>
        <v>3000.2983192419397</v>
      </c>
      <c r="G110" s="105">
        <f>SUM(AB$20:AB$36)+SUM(AD$20:AD$36)+SUM(AF$20:AF$36)+SUM(AH$20:AH$36)</f>
        <v>2653.5997059790225</v>
      </c>
      <c r="H110" s="105">
        <f>SUM(AJ$20:AJ$36)+SUM(AL$20:AL$36)+SUM(AN$20:AN$36)+SUM(AP$20:AP$36)</f>
        <v>2890.7187911409856</v>
      </c>
      <c r="I110" s="105">
        <f>SUM(AR$20:AR$36)+SUM(AT$20:AT$36)+SUM(AV$20:AV$36)+SUM(AX$20:AX$36)</f>
        <v>2406.4366855791604</v>
      </c>
      <c r="J110" s="105">
        <f>SUM(AZ$20:AZ$36)+SUM(BB$20:BB$36)+SUM(BD$20:BD$36)+SUM(BF$20:BF$36)</f>
        <v>2707.7862070979704</v>
      </c>
      <c r="K110" s="105">
        <f>SUM(BH$20:BH$36)+SUM(BJ$20:BJ$36)+SUM(BL$20:BL$36)+SUM(BN$20:BN$36)</f>
        <v>3052.4789886510534</v>
      </c>
      <c r="L110" s="105">
        <f>SUM(BP$20:BP$36)+SUM(BR$20:BR$36)+SUM(BT$20:BT$36)+SUM(BV$20:BV$36)</f>
        <v>2762.4434531098027</v>
      </c>
      <c r="M110" s="105">
        <f>SUM(BX$20:BX$36)+SUM(BZ$20:BZ$36)+SUM(CB$20:CB$36)+SUM(CD$20:CD$36)</f>
        <v>2804.0891245251769</v>
      </c>
      <c r="N110" s="105">
        <f>SUM(CF$20:CF$36)+SUM(CH$20:CH$36)+SUM(CJ$20:CJ$36)+SUM(CL$20:CL$36)</f>
        <v>2590.2924852461774</v>
      </c>
      <c r="O110" s="105">
        <f>SUM(CN$20:CN$36)+SUM(CP$20:CP$36)+SUM(CR$20:CR$36)+SUM(CT$20:CT$36)</f>
        <v>2803.93657934474</v>
      </c>
    </row>
    <row r="111" spans="2:99" x14ac:dyDescent="0.2">
      <c r="C111" s="104" t="s">
        <v>128</v>
      </c>
      <c r="D111" s="105">
        <f>SUM(D$37:D$48)+SUM(F$37:F$48)+SUM(H$37:H$48)+SUM(J$37:J$48)</f>
        <v>261.20122803591335</v>
      </c>
      <c r="E111" s="105">
        <f>SUM(L$37:L$48)+SUM(N$37:N$48)+SUM(P$37:P$48)+SUM(R$37:R$48)</f>
        <v>1995.6615723519735</v>
      </c>
      <c r="F111" s="105">
        <f>SUM(T$37:T$48)+SUM(V$37:V$48)+SUM(X$37:X$48)+SUM(Z$37:Z$48)</f>
        <v>1815.4966843124978</v>
      </c>
      <c r="G111" s="105">
        <f>SUM(AB$37:AB$48)+SUM(AD$37:AD$48)+SUM(AF$37:AF$48)+SUM(AH$37:AH$48)</f>
        <v>2136.1793918328276</v>
      </c>
      <c r="H111" s="105">
        <f>SUM(AJ$37:AJ$48)+SUM(AL$37:AL$48)+SUM(AN$37:AN$48)+SUM(AP$37:AP$48)</f>
        <v>1674.4525012831923</v>
      </c>
      <c r="I111" s="105">
        <f>SUM(AR$37:AR$48)+SUM(AT$37:AT$48)+SUM(AV$37:AV$48)+SUM(AX$37:AX$48)</f>
        <v>2172.3655350171048</v>
      </c>
      <c r="J111" s="105">
        <f>SUM(AZ$37:AZ$48)+SUM(BB$37:BB$48)+SUM(BD$37:BD$48)+SUM(BF$37:BF$48)</f>
        <v>2047.2907919028494</v>
      </c>
      <c r="K111" s="105">
        <f>SUM(BH$37:BH$48)+SUM(BJ$37:BJ$48)+SUM(BL$37:BL$48)+SUM(BN$37:BN$48)</f>
        <v>1717.3880443736889</v>
      </c>
      <c r="L111" s="105">
        <f>SUM(BP$37:BP$48)+SUM(BR$37:BR$48)+SUM(BT$37:BT$48)+SUM(BV$37:BV$48)</f>
        <v>1991.4250520348405</v>
      </c>
      <c r="M111" s="105">
        <f>SUM(BX$37:BX$48)+SUM(BZ$37:BZ$48)+SUM(CB$37:CB$48)+SUM(CD$37:CD$48)</f>
        <v>1901.1667639878956</v>
      </c>
      <c r="N111" s="105">
        <f>SUM(CF$37:CF$48)+SUM(CH$37:CH$48)+SUM(CJ$37:CJ$48)+SUM(CL$37:CL$48)</f>
        <v>1977.1548152429832</v>
      </c>
      <c r="O111" s="105">
        <f>SUM(CN$37:CN$48)+SUM(CP$37:CP$48)+SUM(CR$37:CR$48)+SUM(CT$37:CT$48)</f>
        <v>1781.6743545868298</v>
      </c>
    </row>
    <row r="112" spans="2:99" x14ac:dyDescent="0.2">
      <c r="C112" s="104" t="s">
        <v>129</v>
      </c>
      <c r="D112" s="105">
        <f>SUM(D$49:D$70)+SUM(F$49:F$70)+SUM(H$49:H$70)+SUM(J$49:J$70)</f>
        <v>179.25699226228556</v>
      </c>
      <c r="E112" s="105">
        <f>SUM(L$49:L$70)+SUM(N$49:N$70)+SUM(P$49:P$70)+SUM(R$49:R$70)</f>
        <v>2301.6548592712224</v>
      </c>
      <c r="F112" s="105">
        <f>SUM(T$49:T$70)+SUM(V$49:V$70)+SUM(X$49:X$70)+SUM(Z$49:Z$70)</f>
        <v>2172.668657670778</v>
      </c>
      <c r="G112" s="105">
        <f>SUM(AB$49:AB$70)+SUM(AD$49:AD$70)+SUM(AF$49:AF$70)+SUM(AH$49:AH$70)</f>
        <v>2604.2015076882308</v>
      </c>
      <c r="H112" s="105">
        <f>SUM(AJ$49:AJ$70)+SUM(AL$49:AL$70)+SUM(AN$49:AN$70)+SUM(AP$49:AP$70)</f>
        <v>2569.5537955921791</v>
      </c>
      <c r="I112" s="105">
        <f>SUM(AR$49:AR$70)+SUM(AT$49:AT$70)+SUM(AV$49:AV$70)+SUM(AX$49:AX$70)</f>
        <v>2281.7531310225795</v>
      </c>
      <c r="J112" s="105">
        <f>SUM(AZ$49:AZ$70)+SUM(BB$49:BB$70)+SUM(BD$49:BD$70)+SUM(BF$49:BF$70)</f>
        <v>2500.9981943455014</v>
      </c>
      <c r="K112" s="105">
        <f>SUM(BH$49:BH$70)+SUM(BJ$49:BJ$70)+SUM(BL$49:BL$70)+SUM(BN$49:BN$70)</f>
        <v>2482.0147682202455</v>
      </c>
      <c r="L112" s="105">
        <f>SUM(BP$49:BP$70)+SUM(BR$49:BR$70)+SUM(BT$49:BT$70)+SUM(BV$49:BV$70)</f>
        <v>2530.9871447022697</v>
      </c>
      <c r="M112" s="105">
        <f>SUM(BX$49:BX$70)+SUM(BZ$49:BZ$70)+SUM(CB$49:CB$70)+SUM(CD$49:CD$70)</f>
        <v>2377.7898619517614</v>
      </c>
      <c r="N112" s="105">
        <f>SUM(CF$49:CF$70)+SUM(CH$49:CH$70)+SUM(CJ$49:CJ$70)+SUM(CL$49:CL$70)</f>
        <v>2578.2541795353568</v>
      </c>
      <c r="O112" s="105">
        <f>SUM(CN$49:CN$70)+SUM(CP$49:CP$70)+SUM(CR$49:CR$70)+SUM(CT$49:CT$70)</f>
        <v>2544.431596847282</v>
      </c>
    </row>
    <row r="113" spans="2:15" x14ac:dyDescent="0.2">
      <c r="C113" s="104" t="s">
        <v>130</v>
      </c>
      <c r="D113" s="105">
        <f>SUM(D$71:D$86)+SUM(F$71:F$86)+SUM(H$71:H$86)+SUM(J$71:J$86)</f>
        <v>86.635797931407183</v>
      </c>
      <c r="E113" s="105">
        <f>SUM(L$71:L$86)+SUM(N$71:N$86)+SUM(P$71:P$86)+SUM(R$71:R$86)</f>
        <v>1302.750156366586</v>
      </c>
      <c r="F113" s="105">
        <f>SUM(T$71:T$86)+SUM(V$71:V$86)+SUM(X$71:X$86)+SUM(Z$71:Z$86)</f>
        <v>1434.9314031838217</v>
      </c>
      <c r="G113" s="105">
        <f>SUM(AB$71:AB$86)+SUM(AD$71:AD$86)+SUM(AF$71:AF$86)+SUM(AH$71:AH$86)</f>
        <v>1339.9683254792913</v>
      </c>
      <c r="H113" s="105">
        <f>SUM(AJ$71:AJ$86)+SUM(AL$71:AL$86)+SUM(AN$71:AN$86)+SUM(AP$71:AP$86)</f>
        <v>1300.7249023551672</v>
      </c>
      <c r="I113" s="105">
        <f>SUM(AR$71:AR$86)+SUM(AT$71:AT$86)+SUM(AV$71:AV$86)+SUM(AX$71:AX$86)</f>
        <v>1381.3152622945736</v>
      </c>
      <c r="J113" s="105">
        <f>SUM(AZ$71:AZ$86)+SUM(BB$71:BB$86)+SUM(BD$71:BD$86)+SUM(BF$71:BF$86)</f>
        <v>1300.897715817528</v>
      </c>
      <c r="K113" s="105">
        <f>SUM(BH$71:BH$86)+SUM(BJ$71:BJ$86)+SUM(BL$71:BL$86)+SUM(BN$71:BN$86)</f>
        <v>1285.3515881423016</v>
      </c>
      <c r="L113" s="105">
        <f>SUM(BP$71:BP$86)+SUM(BR$71:BR$86)+SUM(BT$71:BT$86)+SUM(BV$71:BV$86)</f>
        <v>1320.1610992410037</v>
      </c>
      <c r="M113" s="105">
        <f>SUM(BX$71:BX$86)+SUM(BZ$71:BZ$86)+SUM(CB$71:CB$86)+SUM(CD$71:CD$86)</f>
        <v>1370.4177537935072</v>
      </c>
      <c r="N113" s="105">
        <f>SUM(CF$71:CF$86)+SUM(CH$71:CH$86)+SUM(CJ$71:CJ$86)+SUM(CL$71:CL$86)</f>
        <v>1318.1484796151165</v>
      </c>
      <c r="O113" s="105">
        <f>SUM(CN$71:CN$86)+SUM(CP$71:CP$86)+SUM(CR$71:CR$86)+SUM(CT$71:CT$86)</f>
        <v>1231.3574772089271</v>
      </c>
    </row>
    <row r="114" spans="2:15" x14ac:dyDescent="0.2">
      <c r="C114" s="104" t="s">
        <v>131</v>
      </c>
      <c r="D114" s="105">
        <f>SUM(D$87:D$94)+SUM(F$87:F$94)+SUM(H$87:H$94)+SUM(J$87:J$94)</f>
        <v>64.768894515953107</v>
      </c>
      <c r="E114" s="105">
        <f>SUM(L$87:L$94)+SUM(N$87:N$94)+SUM(P$87:P$94)+SUM(R$87:R$94)</f>
        <v>616.02852639102025</v>
      </c>
      <c r="F114" s="105">
        <f>SUM(T$87:T$94)+SUM(V$87:V$94)+SUM(X$87:X$94)+SUM(Z$87:Z$94)</f>
        <v>671.89075390263997</v>
      </c>
      <c r="G114" s="105">
        <f>SUM(AB$87:AB$94)+SUM(AD$87:AD$94)+SUM(AF$87:AF$94)+SUM(AH$87:AH$94)</f>
        <v>701.26222789792746</v>
      </c>
      <c r="H114" s="105">
        <f>SUM(AJ$87:AJ$94)+SUM(AL$87:AL$94)+SUM(AN$87:AN$94)+SUM(AP$87:AP$94)</f>
        <v>682.70282800393966</v>
      </c>
      <c r="I114" s="105">
        <f>SUM(AR$87:AR$94)+SUM(AT$87:AT$94)+SUM(AV$87:AV$94)+SUM(AX$87:AX$94)</f>
        <v>691.62630537391556</v>
      </c>
      <c r="J114" s="105">
        <f>SUM(AZ$87:AZ$94)+SUM(BB$87:BB$94)+SUM(BD$87:BD$94)+SUM(BF$87:BF$94)</f>
        <v>699.82258451825942</v>
      </c>
      <c r="K114" s="105">
        <f>SUM(BH$87:BH$94)+SUM(BJ$87:BJ$94)+SUM(BL$87:BL$94)+SUM(BN$87:BN$94)</f>
        <v>715.16419871093763</v>
      </c>
      <c r="L114" s="105">
        <f>SUM(BP$87:BP$94)+SUM(BR$87:BR$94)+SUM(BT$87:BT$94)+SUM(BV$87:BV$94)</f>
        <v>699.05776499252568</v>
      </c>
      <c r="M114" s="105">
        <f>SUM(BX$87:BX$94)+SUM(BZ$87:BZ$94)+SUM(CB$87:CB$94)+SUM(CD$87:CD$94)</f>
        <v>777.32020092562777</v>
      </c>
      <c r="N114" s="105">
        <f>SUM(CF$87:CF$94)+SUM(CH$87:CH$94)+SUM(CJ$87:CJ$94)+SUM(CL$87:CL$94)</f>
        <v>748.30770542608241</v>
      </c>
      <c r="O114" s="105">
        <f>SUM(CN$87:CN$94)+SUM(CP$87:CP$94)+SUM(CR$87:CR$94)+SUM(CT$87:CT$94)</f>
        <v>707.59592308322794</v>
      </c>
    </row>
    <row r="115" spans="2:15" x14ac:dyDescent="0.2">
      <c r="C115" s="104" t="s">
        <v>132</v>
      </c>
      <c r="D115" s="105">
        <f>SUM(D$95:D$105)+SUM(F$95:F$105)+SUM(H$95:H$105)+SUM(J$95:J$105)</f>
        <v>107.81360745837569</v>
      </c>
      <c r="E115" s="105">
        <f>SUM(L$95:L$105)+SUM(N$95:N$105)+SUM(P$95:P$105)+SUM(R$95:R$105)</f>
        <v>266.60540734844187</v>
      </c>
      <c r="F115" s="105">
        <f>SUM(T$95:T$105)+SUM(V$95:V$105)+SUM(X$95:X$105)+SUM(Z$95:Z$105)</f>
        <v>292.48612259161536</v>
      </c>
      <c r="G115" s="105">
        <f>SUM(AB$95:AB$105)+SUM(AD$95:AD$105)+SUM(AF$95:AF$105)+SUM(AH$95:AH$105)</f>
        <v>265.43194588766227</v>
      </c>
      <c r="H115" s="105">
        <f>SUM(AJ$95:AJ$105)+SUM(AL$95:AL$105)+SUM(AN$95:AN$105)+SUM(AP$95:AP$105)</f>
        <v>323.35289937579546</v>
      </c>
      <c r="I115" s="105">
        <f>SUM(AR$95:AR$105)+SUM(AT$95:AT$105)+SUM(AV$95:AV$105)+SUM(AX$95:AX$105)</f>
        <v>308.31336133760334</v>
      </c>
      <c r="J115" s="105">
        <f>SUM(AZ$95:AZ$105)+SUM(BB$95:BB$105)+SUM(BD$95:BD$105)+SUM(BF$95:BF$105)</f>
        <v>305.60420150778805</v>
      </c>
      <c r="K115" s="105">
        <f>SUM(BH$95:BH$105)+SUM(BJ$95:BJ$105)+SUM(BL$95:BL$105)+SUM(BN$95:BN$105)</f>
        <v>284.33254943534621</v>
      </c>
      <c r="L115" s="105">
        <f>SUM(BP$95:BP$105)+SUM(BR$95:BR$105)+SUM(BT$95:BT$105)+SUM(BV$95:BV$105)</f>
        <v>238.73980424075091</v>
      </c>
      <c r="M115" s="105">
        <f>SUM(BX$95:BX$105)+SUM(BZ$95:BZ$105)+SUM(CB$95:CB$105)+SUM(CD$95:CD$105)</f>
        <v>256.43241834541197</v>
      </c>
      <c r="N115" s="105">
        <f>SUM(CF$95:CF$105)+SUM(CH$95:CH$105)+SUM(CJ$95:CJ$105)+SUM(CL$95:CL$105)</f>
        <v>246.52612760823965</v>
      </c>
      <c r="O115" s="105">
        <f>SUM(CN$95:CN$105)+SUM(CP$95:CP$105)+SUM(CR$95:CR$105)+SUM(CT$95:CT$105)</f>
        <v>312.17972822209521</v>
      </c>
    </row>
    <row r="116" spans="2:15" x14ac:dyDescent="0.2">
      <c r="C116" s="104" t="s">
        <v>278</v>
      </c>
      <c r="D116" s="105">
        <f t="shared" ref="D116:O116" si="0">SUM(D$109:D$115)</f>
        <v>1049.7350647481089</v>
      </c>
      <c r="E116" s="105">
        <f t="shared" si="0"/>
        <v>11207.914434513808</v>
      </c>
      <c r="F116" s="105">
        <f t="shared" si="0"/>
        <v>11764.251736439566</v>
      </c>
      <c r="G116" s="105">
        <f t="shared" si="0"/>
        <v>11862.580290008747</v>
      </c>
      <c r="H116" s="105">
        <f t="shared" si="0"/>
        <v>11819.535655842323</v>
      </c>
      <c r="I116" s="105">
        <f t="shared" si="0"/>
        <v>11612.507203221478</v>
      </c>
      <c r="J116" s="105">
        <f t="shared" si="0"/>
        <v>11825.462702327011</v>
      </c>
      <c r="K116" s="105">
        <f t="shared" si="0"/>
        <v>11870.571219668082</v>
      </c>
      <c r="L116" s="105">
        <f t="shared" si="0"/>
        <v>11689.260444207479</v>
      </c>
      <c r="M116" s="105">
        <f t="shared" si="0"/>
        <v>11878.521626230247</v>
      </c>
      <c r="N116" s="105">
        <f t="shared" si="0"/>
        <v>11731.77006213546</v>
      </c>
      <c r="O116" s="105">
        <f t="shared" si="0"/>
        <v>11881.83592665871</v>
      </c>
    </row>
    <row r="118" spans="2:15" x14ac:dyDescent="0.2">
      <c r="B118" s="108" t="s">
        <v>279</v>
      </c>
    </row>
    <row r="119" spans="2:15" x14ac:dyDescent="0.2">
      <c r="C119" s="104" t="s">
        <v>277</v>
      </c>
      <c r="D119" s="104" t="s">
        <v>92</v>
      </c>
      <c r="E119" s="104" t="s">
        <v>93</v>
      </c>
      <c r="F119" s="104" t="s">
        <v>94</v>
      </c>
      <c r="G119" s="104" t="s">
        <v>95</v>
      </c>
      <c r="H119" s="104" t="s">
        <v>96</v>
      </c>
      <c r="I119" s="104" t="s">
        <v>97</v>
      </c>
      <c r="J119" s="104" t="s">
        <v>98</v>
      </c>
      <c r="K119" s="104" t="s">
        <v>99</v>
      </c>
      <c r="L119" s="104" t="s">
        <v>100</v>
      </c>
      <c r="M119" s="104" t="s">
        <v>101</v>
      </c>
      <c r="N119" s="104" t="s">
        <v>102</v>
      </c>
      <c r="O119" s="104" t="s">
        <v>103</v>
      </c>
    </row>
    <row r="120" spans="2:15" x14ac:dyDescent="0.2">
      <c r="C120" s="104" t="s">
        <v>126</v>
      </c>
      <c r="D120" s="105">
        <f>D109*pricing!D33*2000</f>
        <v>786467.63614976092</v>
      </c>
      <c r="E120" s="105">
        <f>E109*pricing!E33*2000</f>
        <v>5520686.1892651105</v>
      </c>
      <c r="F120" s="105">
        <f>F109*pricing!F33*2000</f>
        <v>6368965.8520372091</v>
      </c>
      <c r="G120" s="105">
        <f>G109*pricing!G33*2000</f>
        <v>5793991.6564533468</v>
      </c>
      <c r="H120" s="105">
        <f>H109*pricing!H33*2000</f>
        <v>6373120.2340840511</v>
      </c>
      <c r="I120" s="105">
        <f>I109*pricing!I33*2000</f>
        <v>6353467.7525587259</v>
      </c>
      <c r="J120" s="105">
        <f>J109*pricing!J33*2000</f>
        <v>6065008.8591274759</v>
      </c>
      <c r="K120" s="105">
        <f>K109*pricing!K33*2000</f>
        <v>6254694.1001204839</v>
      </c>
      <c r="L120" s="105">
        <f>L109*pricing!L33*2000</f>
        <v>5752475.6173752472</v>
      </c>
      <c r="M120" s="105">
        <f>M109*pricing!M33*2000</f>
        <v>6408698.7472383259</v>
      </c>
      <c r="N120" s="105">
        <f>N109*pricing!N33*2000</f>
        <v>6091871.2021568296</v>
      </c>
      <c r="O120" s="105">
        <f>O109*pricing!O33*2000</f>
        <v>6701769.516539827</v>
      </c>
    </row>
    <row r="121" spans="2:15" x14ac:dyDescent="0.2">
      <c r="C121" s="104" t="s">
        <v>127</v>
      </c>
      <c r="D121" s="105">
        <f>D110*pricing!D34*2000</f>
        <v>1090013.0552049277</v>
      </c>
      <c r="E121" s="105">
        <f>E110*pricing!E34*2000</f>
        <v>6823056.3314603176</v>
      </c>
      <c r="F121" s="105">
        <f>F110*pricing!F34*2000</f>
        <v>7680763.6972593656</v>
      </c>
      <c r="G121" s="105">
        <f>G110*pricing!G34*2000</f>
        <v>6793215.2473062975</v>
      </c>
      <c r="H121" s="105">
        <f>H110*pricing!H34*2000</f>
        <v>7400240.105320923</v>
      </c>
      <c r="I121" s="105">
        <f>I110*pricing!I34*2000</f>
        <v>6160477.9150826503</v>
      </c>
      <c r="J121" s="105">
        <f>J110*pricing!J34*2000</f>
        <v>6931932.690170805</v>
      </c>
      <c r="K121" s="105">
        <f>K110*pricing!K34*2000</f>
        <v>7814346.2109466977</v>
      </c>
      <c r="L121" s="105">
        <f>L110*pricing!L34*2000</f>
        <v>7071855.2399610952</v>
      </c>
      <c r="M121" s="105">
        <f>M110*pricing!M34*2000</f>
        <v>7178468.1587844538</v>
      </c>
      <c r="N121" s="105">
        <f>N110*pricing!N34*2000</f>
        <v>6631148.7622302147</v>
      </c>
      <c r="O121" s="105">
        <f>O110*pricing!O34*2000</f>
        <v>7178077.6431225352</v>
      </c>
    </row>
    <row r="122" spans="2:15" x14ac:dyDescent="0.2">
      <c r="C122" s="104" t="s">
        <v>128</v>
      </c>
      <c r="D122" s="105">
        <f>D111*pricing!D35*2000</f>
        <v>1306006.1401795668</v>
      </c>
      <c r="E122" s="105">
        <f>E111*pricing!E35*2000</f>
        <v>6186550.8742911182</v>
      </c>
      <c r="F122" s="105">
        <f>F111*pricing!F35*2000</f>
        <v>5628039.7213687431</v>
      </c>
      <c r="G122" s="105">
        <f>G111*pricing!G35*2000</f>
        <v>6622156.1146817654</v>
      </c>
      <c r="H122" s="105">
        <f>H111*pricing!H35*2000</f>
        <v>5190802.7539778957</v>
      </c>
      <c r="I122" s="105">
        <f>I111*pricing!I35*2000</f>
        <v>6734333.1585530248</v>
      </c>
      <c r="J122" s="105">
        <f>J111*pricing!J35*2000</f>
        <v>6346601.4548988333</v>
      </c>
      <c r="K122" s="105">
        <f>K111*pricing!K35*2000</f>
        <v>5323902.9375584358</v>
      </c>
      <c r="L122" s="105">
        <f>L111*pricing!L35*2000</f>
        <v>6173417.6613080055</v>
      </c>
      <c r="M122" s="105">
        <f>M111*pricing!M35*2000</f>
        <v>5893616.9683624767</v>
      </c>
      <c r="N122" s="105">
        <f>N111*pricing!N35*2000</f>
        <v>6129179.9272532482</v>
      </c>
      <c r="O122" s="105">
        <f>O111*pricing!O35*2000</f>
        <v>5523190.4992191726</v>
      </c>
    </row>
    <row r="123" spans="2:15" x14ac:dyDescent="0.2">
      <c r="C123" s="104" t="s">
        <v>129</v>
      </c>
      <c r="D123" s="105">
        <f>D112*pricing!D36*2000</f>
        <v>1434055.9380982844</v>
      </c>
      <c r="E123" s="105">
        <f>E112*pricing!E36*2000</f>
        <v>7319262.452482488</v>
      </c>
      <c r="F123" s="105">
        <f>F112*pricing!F36*2000</f>
        <v>6909086.3313930742</v>
      </c>
      <c r="G123" s="105">
        <f>G112*pricing!G36*2000</f>
        <v>8281360.7944485741</v>
      </c>
      <c r="H123" s="105">
        <f>H112*pricing!H36*2000</f>
        <v>8171181.0699831303</v>
      </c>
      <c r="I123" s="105">
        <f>I112*pricing!I36*2000</f>
        <v>7255974.9566518031</v>
      </c>
      <c r="J123" s="105">
        <f>J112*pricing!J36*2000</f>
        <v>7953174.2580186948</v>
      </c>
      <c r="K123" s="105">
        <f>K112*pricing!K36*2000</f>
        <v>7892806.9629403809</v>
      </c>
      <c r="L123" s="105">
        <f>L112*pricing!L36*2000</f>
        <v>8048539.1201532185</v>
      </c>
      <c r="M123" s="105">
        <f>M112*pricing!M36*2000</f>
        <v>7561371.7610066012</v>
      </c>
      <c r="N123" s="105">
        <f>N112*pricing!N36*2000</f>
        <v>8198848.290922435</v>
      </c>
      <c r="O123" s="105">
        <f>O112*pricing!O36*2000</f>
        <v>8091292.4779743571</v>
      </c>
    </row>
    <row r="124" spans="2:15" x14ac:dyDescent="0.2">
      <c r="C124" s="104" t="s">
        <v>130</v>
      </c>
      <c r="D124" s="105">
        <f>D113*pricing!D37*2000</f>
        <v>415851.83007075451</v>
      </c>
      <c r="E124" s="105">
        <f>E113*pricing!E37*2000</f>
        <v>4273020.5128824022</v>
      </c>
      <c r="F124" s="105">
        <f>F113*pricing!F37*2000</f>
        <v>4706575.0024429346</v>
      </c>
      <c r="G124" s="105">
        <f>G113*pricing!G37*2000</f>
        <v>4395096.107572075</v>
      </c>
      <c r="H124" s="105">
        <f>H113*pricing!H37*2000</f>
        <v>4266377.6797249485</v>
      </c>
      <c r="I124" s="105">
        <f>I113*pricing!I37*2000</f>
        <v>4530714.0603262018</v>
      </c>
      <c r="J124" s="105">
        <f>J113*pricing!J37*2000</f>
        <v>4266944.5078814914</v>
      </c>
      <c r="K124" s="105">
        <f>K113*pricing!K37*2000</f>
        <v>4215953.2091067489</v>
      </c>
      <c r="L124" s="105">
        <f>L113*pricing!L37*2000</f>
        <v>4330128.4055104917</v>
      </c>
      <c r="M124" s="105">
        <f>M113*pricing!M37*2000</f>
        <v>4494970.2324427031</v>
      </c>
      <c r="N124" s="105">
        <f>N113*pricing!N37*2000</f>
        <v>4323527.0131375818</v>
      </c>
      <c r="O124" s="105">
        <f>O113*pricing!O37*2000</f>
        <v>4038852.5252452805</v>
      </c>
    </row>
    <row r="125" spans="2:15" x14ac:dyDescent="0.2">
      <c r="C125" s="104" t="s">
        <v>131</v>
      </c>
      <c r="D125" s="105">
        <f>D114*pricing!D38*2000</f>
        <v>518151.15612762485</v>
      </c>
      <c r="E125" s="105">
        <f>E114*pricing!E38*2000</f>
        <v>1761841.5854783179</v>
      </c>
      <c r="F125" s="105">
        <f>F114*pricing!F38*2000</f>
        <v>1921607.5561615503</v>
      </c>
      <c r="G125" s="105">
        <f>G114*pricing!G38*2000</f>
        <v>2005609.9717880725</v>
      </c>
      <c r="H125" s="105">
        <f>H114*pricing!H38*2000</f>
        <v>1952530.0880912673</v>
      </c>
      <c r="I125" s="105">
        <f>I114*pricing!I38*2000</f>
        <v>1978051.2333693984</v>
      </c>
      <c r="J125" s="105">
        <f>J114*pricing!J38*2000</f>
        <v>2001492.591722222</v>
      </c>
      <c r="K125" s="105">
        <f>K114*pricing!K38*2000</f>
        <v>2045369.6083132816</v>
      </c>
      <c r="L125" s="105">
        <f>L114*pricing!L38*2000</f>
        <v>1999305.2078786234</v>
      </c>
      <c r="M125" s="105">
        <f>M114*pricing!M38*2000</f>
        <v>2223135.7746472955</v>
      </c>
      <c r="N125" s="105">
        <f>N114*pricing!N38*2000</f>
        <v>2140160.0375185958</v>
      </c>
      <c r="O125" s="105">
        <f>O114*pricing!O38*2000</f>
        <v>2023724.3400180319</v>
      </c>
    </row>
    <row r="126" spans="2:15" x14ac:dyDescent="0.2">
      <c r="C126" s="104" t="s">
        <v>132</v>
      </c>
      <c r="D126" s="105">
        <f>D115*pricing!D39*2000</f>
        <v>862508.85966700548</v>
      </c>
      <c r="E126" s="105">
        <f>E115*pricing!E39*2000</f>
        <v>1514318.71373915</v>
      </c>
      <c r="F126" s="105">
        <f>F115*pricing!F39*2000</f>
        <v>1661321.1763203752</v>
      </c>
      <c r="G126" s="105">
        <f>G115*pricing!G39*2000</f>
        <v>1507653.4526419216</v>
      </c>
      <c r="H126" s="105">
        <f>H115*pricing!H39*2000</f>
        <v>1836644.4684545181</v>
      </c>
      <c r="I126" s="105">
        <f>I115*pricing!I39*2000</f>
        <v>1751219.8923975867</v>
      </c>
      <c r="J126" s="105">
        <f>J115*pricing!J39*2000</f>
        <v>1735831.864564236</v>
      </c>
      <c r="K126" s="105">
        <f>K115*pricing!K39*2000</f>
        <v>1615008.8807927663</v>
      </c>
      <c r="L126" s="105">
        <f>L115*pricing!L39*2000</f>
        <v>1356042.0880874651</v>
      </c>
      <c r="M126" s="105">
        <f>M115*pricing!M39*2000</f>
        <v>1456536.13620194</v>
      </c>
      <c r="N126" s="105">
        <f>N115*pricing!N39*2000</f>
        <v>1400268.4048148012</v>
      </c>
      <c r="O126" s="105">
        <f>O115*pricing!O39*2000</f>
        <v>1773180.8563015007</v>
      </c>
    </row>
    <row r="127" spans="2:15" x14ac:dyDescent="0.2">
      <c r="C127" s="104" t="s">
        <v>278</v>
      </c>
      <c r="D127" s="105">
        <f>SUM(D$120:D$126)</f>
        <v>6413054.6154979244</v>
      </c>
      <c r="E127" s="105">
        <f t="shared" ref="E127:O127" si="1">SUM(E$120:E$126)</f>
        <v>33398736.659598906</v>
      </c>
      <c r="F127" s="105">
        <f t="shared" si="1"/>
        <v>34876359.336983249</v>
      </c>
      <c r="G127" s="105">
        <f t="shared" si="1"/>
        <v>35399083.344892047</v>
      </c>
      <c r="H127" s="105">
        <f t="shared" si="1"/>
        <v>35190896.399636731</v>
      </c>
      <c r="I127" s="105">
        <f t="shared" si="1"/>
        <v>34764238.968939386</v>
      </c>
      <c r="J127" s="105">
        <f t="shared" si="1"/>
        <v>35300986.226383753</v>
      </c>
      <c r="K127" s="105">
        <f t="shared" si="1"/>
        <v>35162081.909778789</v>
      </c>
      <c r="L127" s="105">
        <f t="shared" si="1"/>
        <v>34731763.340274148</v>
      </c>
      <c r="M127" s="105">
        <f t="shared" si="1"/>
        <v>35216797.778683797</v>
      </c>
      <c r="N127" s="105">
        <f t="shared" si="1"/>
        <v>34915003.638033703</v>
      </c>
      <c r="O127" s="105">
        <f t="shared" si="1"/>
        <v>35330087.858420707</v>
      </c>
    </row>
    <row r="129" spans="2:15" x14ac:dyDescent="0.2">
      <c r="B129" s="108" t="s">
        <v>280</v>
      </c>
    </row>
    <row r="130" spans="2:15" x14ac:dyDescent="0.2">
      <c r="C130" s="110" t="s">
        <v>277</v>
      </c>
      <c r="D130" s="110" t="s">
        <v>92</v>
      </c>
      <c r="E130" s="110" t="s">
        <v>93</v>
      </c>
      <c r="F130" s="110" t="s">
        <v>94</v>
      </c>
      <c r="G130" s="110" t="s">
        <v>95</v>
      </c>
      <c r="H130" s="110" t="s">
        <v>96</v>
      </c>
      <c r="I130" s="110" t="s">
        <v>97</v>
      </c>
      <c r="J130" s="110" t="s">
        <v>98</v>
      </c>
      <c r="K130" s="110" t="s">
        <v>99</v>
      </c>
      <c r="L130" s="110" t="s">
        <v>100</v>
      </c>
      <c r="M130" s="110" t="s">
        <v>101</v>
      </c>
      <c r="N130" s="110" t="s">
        <v>102</v>
      </c>
      <c r="O130" s="110" t="s">
        <v>103</v>
      </c>
    </row>
    <row r="131" spans="2:15" x14ac:dyDescent="0.2">
      <c r="C131" s="110" t="s">
        <v>126</v>
      </c>
      <c r="D131" s="111">
        <f>SUM(E$6:E$19)+SUM(G$6:G$19)+SUM(I$6:I$19)+SUM(K$6:K$19)</f>
        <v>80013.655445145996</v>
      </c>
      <c r="E131" s="111">
        <f>SUM(M$6:M$19)+SUM(O$6:O$19)+SUM(Q$6:Q$19)+SUM(S$6:S$19)</f>
        <v>1172179.9503666922</v>
      </c>
      <c r="F131" s="111">
        <f>SUM(U$6:U$19)+SUM(W$6:W$19)+SUM(Y$6:Y$19)+SUM(AA$6:AA$19)</f>
        <v>1356760.5703364806</v>
      </c>
      <c r="G131" s="111">
        <f>SUM(AC$6:AC$19)+SUM(AE$6:AE$19)+SUM(AG$6:AG$19)+SUM(AI$6:AI$19)</f>
        <v>1236371.2946006148</v>
      </c>
      <c r="H131" s="111">
        <f>SUM(AK$6:AK$19)+SUM(AM$6:AM$19)+SUM(AO$6:AO$19)+SUM(AQ$6:AQ$19)</f>
        <v>1353450.2703160772</v>
      </c>
      <c r="I131" s="111">
        <f>SUM(AS$6:AS$19)+SUM(AU$6:AU$19)+SUM(AW$6:AW$19)+SUM(AY$6:AY$19)</f>
        <v>1349562.1207928888</v>
      </c>
      <c r="J131" s="111">
        <f>SUM(BA$6:BA$19)+SUM(BC$6:BC$19)+SUM(BE$6:BE$19)+SUM(BG$6:BG$19)</f>
        <v>1287991.9354950713</v>
      </c>
      <c r="K131" s="111">
        <f>SUM(BI$6:BI$19)+SUM(BK$6:BK$19)+SUM(BM$6:BM$19)+SUM(BO$6:BO$19)</f>
        <v>1324631.6698983295</v>
      </c>
      <c r="L131" s="111">
        <f>SUM(BQ$6:BQ$19)+SUM(BS$6:BS$19)+SUM(BU$6:BU$19)+SUM(BW$6:BW$19)</f>
        <v>1223734.8998821732</v>
      </c>
      <c r="M131" s="111">
        <f>SUM(BY$6:BY$19)+SUM(CA$6:CA$19)+SUM(CC$6:CC$19)+SUM(CE$6:CE$19)</f>
        <v>1357972.523994833</v>
      </c>
      <c r="N131" s="111">
        <f>SUM(CG$6:CG$19)+SUM(CI$6:CI$19)+SUM(CK$6:CK$19)+SUM(CM$6:CM$19)</f>
        <v>1291564.1701414841</v>
      </c>
      <c r="O131" s="111">
        <f>SUM(CO$6:CO$19)+SUM(CQ$6:CQ$19)+SUM(CS$6:CS$19)+SUM(CU$6:CU$19)</f>
        <v>1421051.2623124644</v>
      </c>
    </row>
    <row r="132" spans="2:15" x14ac:dyDescent="0.2">
      <c r="C132" s="110" t="s">
        <v>127</v>
      </c>
      <c r="D132" s="111">
        <f>SUM(E$20:E$36)+SUM(G$20:G$36)+SUM(I$20:I$36)+SUM(K$20:K$36)</f>
        <v>71690.191408901374</v>
      </c>
      <c r="E132" s="111">
        <f>SUM(M$20:M$36)+SUM(O$20:O$36)+SUM(Q$20:Q$36)+SUM(S$20:S$36)</f>
        <v>826077.39598628064</v>
      </c>
      <c r="F132" s="111">
        <f>SUM(U$20:U$36)+SUM(W$20:W$36)+SUM(Y$20:Y$36)+SUM(AA$20:AA$36)</f>
        <v>959555.40818826156</v>
      </c>
      <c r="G132" s="111">
        <f>SUM(AC$20:AC$36)+SUM(AE$20:AE$36)+SUM(AG$20:AG$36)+SUM(AI$20:AI$36)</f>
        <v>828227.90147238108</v>
      </c>
      <c r="H132" s="111">
        <f>SUM(AK$20:AK$36)+SUM(AM$20:AM$36)+SUM(AO$20:AO$36)+SUM(AQ$20:AQ$36)</f>
        <v>896090.75071172661</v>
      </c>
      <c r="I132" s="111">
        <f>SUM(AS$20:AS$36)+SUM(AU$20:AU$36)+SUM(AW$20:AW$36)+SUM(AY$20:AY$36)</f>
        <v>756311.61401669355</v>
      </c>
      <c r="J132" s="111">
        <f>SUM(BA$20:BA$36)+SUM(BC$20:BC$36)+SUM(BE$20:BE$36)+SUM(BG$20:BG$36)</f>
        <v>856457.56188641838</v>
      </c>
      <c r="K132" s="111">
        <f>SUM(BI$20:BI$36)+SUM(BK$20:BK$36)+SUM(BM$20:BM$36)+SUM(BO$20:BO$36)</f>
        <v>965604.39251531544</v>
      </c>
      <c r="L132" s="111">
        <f>SUM(BQ$20:BQ$36)+SUM(BS$20:BS$36)+SUM(BU$20:BU$36)+SUM(BW$20:BW$36)</f>
        <v>863852.2560175024</v>
      </c>
      <c r="M132" s="111">
        <f>SUM(BY$20:BY$36)+SUM(CA$20:CA$36)+SUM(CC$20:CC$36)+SUM(CE$20:CE$36)</f>
        <v>886380.41771162476</v>
      </c>
      <c r="N132" s="111">
        <f>SUM(CG$20:CG$36)+SUM(CI$20:CI$36)+SUM(CK$20:CK$36)+SUM(CM$20:CM$36)</f>
        <v>810647.18078074022</v>
      </c>
      <c r="O132" s="111">
        <f>SUM(CO$20:CO$36)+SUM(CQ$20:CQ$36)+SUM(CS$20:CS$36)+SUM(CU$20:CU$36)</f>
        <v>875723.80029587552</v>
      </c>
    </row>
    <row r="133" spans="2:15" x14ac:dyDescent="0.2">
      <c r="C133" s="110" t="s">
        <v>128</v>
      </c>
      <c r="D133" s="111">
        <f>SUM(E$37:E$48)+SUM(G$37:G$48)+SUM(I$37:I$48)+SUM(K$37:K$48)</f>
        <v>221149.76419517439</v>
      </c>
      <c r="E133" s="111">
        <f>SUM(M$37:M$48)+SUM(O$37:O$48)+SUM(Q$37:Q$48)+SUM(S$37:S$48)</f>
        <v>1689665.5067356592</v>
      </c>
      <c r="F133" s="111">
        <f>SUM(U$37:U$48)+SUM(W$37:W$48)+SUM(Y$37:Y$48)+SUM(AA$37:AA$48)</f>
        <v>1533233.403999483</v>
      </c>
      <c r="G133" s="111">
        <f>SUM(AC$37:AC$48)+SUM(AE$37:AE$48)+SUM(AG$37:AG$48)+SUM(AI$37:AI$48)</f>
        <v>1796094.4617686875</v>
      </c>
      <c r="H133" s="111">
        <f>SUM(AK$37:AK$48)+SUM(AM$37:AM$48)+SUM(AO$37:AO$48)+SUM(AQ$37:AQ$48)</f>
        <v>1419674.6419488003</v>
      </c>
      <c r="I133" s="111">
        <f>SUM(AS$37:AS$48)+SUM(AU$37:AU$48)+SUM(AW$37:AW$48)+SUM(AY$37:AY$48)</f>
        <v>1839144.8060309952</v>
      </c>
      <c r="J133" s="111">
        <f>SUM(BA$37:BA$48)+SUM(BC$37:BC$48)+SUM(BE$37:BE$48)+SUM(BG$37:BG$48)</f>
        <v>1733157.3931599793</v>
      </c>
      <c r="K133" s="111">
        <f>SUM(BI$37:BI$48)+SUM(BK$37:BK$48)+SUM(BM$37:BM$48)+SUM(BO$37:BO$48)</f>
        <v>1454769.4420498074</v>
      </c>
      <c r="L133" s="111">
        <f>SUM(BQ$37:BQ$48)+SUM(BS$37:BS$48)+SUM(BU$37:BU$48)+SUM(BW$37:BW$48)</f>
        <v>1681137.4290131202</v>
      </c>
      <c r="M133" s="111">
        <f>SUM(BY$37:BY$48)+SUM(CA$37:CA$48)+SUM(CC$37:CC$48)+SUM(CE$37:CE$48)</f>
        <v>1597348.0289991498</v>
      </c>
      <c r="N133" s="111">
        <f>SUM(CG$37:CG$48)+SUM(CI$37:CI$48)+SUM(CK$37:CK$48)+SUM(CM$37:CM$48)</f>
        <v>1664889.2099010572</v>
      </c>
      <c r="O133" s="111">
        <f>SUM(CO$37:CO$48)+SUM(CQ$37:CQ$48)+SUM(CS$37:CS$48)+SUM(CU$37:CU$48)</f>
        <v>1512978.2255726389</v>
      </c>
    </row>
    <row r="134" spans="2:15" x14ac:dyDescent="0.2">
      <c r="C134" s="110" t="s">
        <v>129</v>
      </c>
      <c r="D134" s="111">
        <f>SUM(E$49:E$70)+SUM(G$49:G$70)+SUM(I$49:I$70)+SUM(K$49:K$70)</f>
        <v>65773.422558785984</v>
      </c>
      <c r="E134" s="111">
        <f>SUM(M$49:M$70)+SUM(O$49:O$70)+SUM(Q$49:Q$70)+SUM(S$49:S$70)</f>
        <v>912094.36411144806</v>
      </c>
      <c r="F134" s="111">
        <f>SUM(U$49:U$70)+SUM(W$49:W$70)+SUM(Y$49:Y$70)+SUM(AA$49:AA$70)</f>
        <v>842845.77515786537</v>
      </c>
      <c r="G134" s="111">
        <f>SUM(AC$49:AC$70)+SUM(AE$49:AE$70)+SUM(AG$49:AG$70)+SUM(AI$49:AI$70)</f>
        <v>1021594.4596384371</v>
      </c>
      <c r="H134" s="111">
        <f>SUM(AK$49:AK$70)+SUM(AM$49:AM$70)+SUM(AO$49:AO$70)+SUM(AQ$49:AQ$70)</f>
        <v>1029806.2172436882</v>
      </c>
      <c r="I134" s="111">
        <f>SUM(AS$49:AS$70)+SUM(AU$49:AU$70)+SUM(AW$49:AW$70)+SUM(AY$49:AY$70)</f>
        <v>890544.02327205054</v>
      </c>
      <c r="J134" s="111">
        <f>SUM(BA$49:BA$70)+SUM(BC$49:BC$70)+SUM(BE$49:BE$70)+SUM(BG$49:BG$70)</f>
        <v>993506.47496959823</v>
      </c>
      <c r="K134" s="111">
        <f>SUM(BI$49:BI$70)+SUM(BK$49:BK$70)+SUM(BM$49:BM$70)+SUM(BO$49:BO$70)</f>
        <v>997043.04457547131</v>
      </c>
      <c r="L134" s="111">
        <f>SUM(BQ$49:BQ$70)+SUM(BS$49:BS$70)+SUM(BU$49:BU$70)+SUM(BW$49:BW$70)</f>
        <v>1003286.2630465252</v>
      </c>
      <c r="M134" s="111">
        <f>SUM(BY$49:BY$70)+SUM(CA$49:CA$70)+SUM(CC$49:CC$70)+SUM(CE$49:CE$70)</f>
        <v>937910.94056610519</v>
      </c>
      <c r="N134" s="111">
        <f>SUM(CG$49:CG$70)+SUM(CI$49:CI$70)+SUM(CK$49:CK$70)+SUM(CM$49:CM$70)</f>
        <v>1021445.9015066049</v>
      </c>
      <c r="O134" s="111">
        <f>SUM(CO$49:CO$70)+SUM(CQ$49:CQ$70)+SUM(CS$49:CS$70)+SUM(CU$49:CU$70)</f>
        <v>1028548.517152671</v>
      </c>
    </row>
    <row r="135" spans="2:15" x14ac:dyDescent="0.2">
      <c r="C135" s="110" t="s">
        <v>130</v>
      </c>
      <c r="D135" s="111">
        <f>SUM(E$71:E$86)+SUM(G$71:G$86)+SUM(I$71:I$86)+SUM(K$71:K$86)</f>
        <v>42721.723164815921</v>
      </c>
      <c r="E135" s="111">
        <f>SUM(M$71:M$86)+SUM(O$71:O$86)+SUM(Q$71:Q$86)+SUM(S$71:S$86)</f>
        <v>634962.34656079812</v>
      </c>
      <c r="F135" s="111">
        <f>SUM(U$71:U$86)+SUM(W$71:W$86)+SUM(Y$71:Y$86)+SUM(AA$71:AA$86)</f>
        <v>703014.11176961393</v>
      </c>
      <c r="G135" s="111">
        <f>SUM(AC$71:AC$86)+SUM(AE$71:AE$86)+SUM(AG$71:AG$86)+SUM(AI$71:AI$86)</f>
        <v>658443.33221402764</v>
      </c>
      <c r="H135" s="111">
        <f>SUM(AK$71:AK$86)+SUM(AM$71:AM$86)+SUM(AO$71:AO$86)+SUM(AQ$71:AQ$86)</f>
        <v>640269.07794577791</v>
      </c>
      <c r="I135" s="111">
        <f>SUM(AS$71:AS$86)+SUM(AU$71:AU$86)+SUM(AW$71:AW$86)+SUM(AY$71:AY$86)</f>
        <v>674785.28039609082</v>
      </c>
      <c r="J135" s="111">
        <f>SUM(BA$71:BA$86)+SUM(BC$71:BC$86)+SUM(BE$71:BE$86)+SUM(BG$71:BG$86)</f>
        <v>635392.95502370223</v>
      </c>
      <c r="K135" s="111">
        <f>SUM(BI$71:BI$86)+SUM(BK$71:BK$86)+SUM(BM$71:BM$86)+SUM(BO$71:BO$86)</f>
        <v>634026.2980427061</v>
      </c>
      <c r="L135" s="111">
        <f>SUM(BQ$71:BQ$86)+SUM(BS$71:BS$86)+SUM(BU$71:BU$86)+SUM(BW$71:BW$86)</f>
        <v>646956.97119429766</v>
      </c>
      <c r="M135" s="111">
        <f>SUM(BY$71:BY$86)+SUM(CA$71:CA$86)+SUM(CC$71:CC$86)+SUM(CE$71:CE$86)</f>
        <v>671242.67874041072</v>
      </c>
      <c r="N135" s="111">
        <f>SUM(CG$71:CG$86)+SUM(CI$71:CI$86)+SUM(CK$71:CK$86)+SUM(CM$71:CM$86)</f>
        <v>644894.86295733601</v>
      </c>
      <c r="O135" s="111">
        <f>SUM(CO$71:CO$86)+SUM(CQ$71:CQ$86)+SUM(CS$71:CS$86)+SUM(CU$71:CU$86)</f>
        <v>604161.68935046357</v>
      </c>
    </row>
    <row r="136" spans="2:15" x14ac:dyDescent="0.2">
      <c r="C136" s="110" t="s">
        <v>131</v>
      </c>
      <c r="D136" s="111">
        <f>SUM(E$87:E$94)+SUM(G$87:G$94)+SUM(I$87:I$94)+SUM(K$87:K$94)</f>
        <v>50646.181956020082</v>
      </c>
      <c r="E136" s="111">
        <f>SUM(M$87:M$94)+SUM(O$87:O$94)+SUM(Q$87:Q$94)+SUM(S$87:S$94)</f>
        <v>486340.89701333572</v>
      </c>
      <c r="F136" s="111">
        <f>SUM(U$87:U$94)+SUM(W$87:W$94)+SUM(Y$87:Y$94)+SUM(AA$87:AA$94)</f>
        <v>529749.84630286519</v>
      </c>
      <c r="G136" s="111">
        <f>SUM(AC$87:AC$94)+SUM(AE$87:AE$94)+SUM(AG$87:AG$94)+SUM(AI$87:AI$94)</f>
        <v>552542.0133415598</v>
      </c>
      <c r="H136" s="111">
        <f>SUM(AK$87:AK$94)+SUM(AM$87:AM$94)+SUM(AO$87:AO$94)+SUM(AQ$87:AQ$94)</f>
        <v>537418.60543475766</v>
      </c>
      <c r="I136" s="111">
        <f>SUM(AS$87:AS$94)+SUM(AU$87:AU$94)+SUM(AW$87:AW$94)+SUM(AY$87:AY$94)</f>
        <v>545324.05900198244</v>
      </c>
      <c r="J136" s="111">
        <f>SUM(BA$87:BA$94)+SUM(BC$87:BC$94)+SUM(BE$87:BE$94)+SUM(BG$87:BG$94)</f>
        <v>552048.4559916585</v>
      </c>
      <c r="K136" s="111">
        <f>SUM(BI$87:BI$94)+SUM(BK$87:BK$94)+SUM(BM$87:BM$94)+SUM(BO$87:BO$94)</f>
        <v>563193.21129510389</v>
      </c>
      <c r="L136" s="111">
        <f>SUM(BQ$87:BQ$94)+SUM(BS$87:BS$94)+SUM(BU$87:BU$94)+SUM(BW$87:BW$94)</f>
        <v>550902.05335546739</v>
      </c>
      <c r="M136" s="111">
        <f>SUM(BY$87:BY$94)+SUM(CA$87:CA$94)+SUM(CC$87:CC$94)+SUM(CE$87:CE$94)</f>
        <v>611503.41822110012</v>
      </c>
      <c r="N136" s="111">
        <f>SUM(CG$87:CG$94)+SUM(CI$87:CI$94)+SUM(CK$87:CK$94)+SUM(CM$87:CM$94)</f>
        <v>590007.66391764733</v>
      </c>
      <c r="O136" s="111">
        <f>SUM(CO$87:CO$94)+SUM(CQ$87:CQ$94)+SUM(CS$87:CS$94)+SUM(CU$87:CU$94)</f>
        <v>556753.29010790936</v>
      </c>
    </row>
    <row r="137" spans="2:15" x14ac:dyDescent="0.2">
      <c r="C137" s="110" t="s">
        <v>132</v>
      </c>
      <c r="D137" s="111">
        <f>SUM(E$95:E$105)+SUM(G$95:G$105)+SUM(I$95:I$105)+SUM(K$95:K$105)</f>
        <v>70081.097352020413</v>
      </c>
      <c r="E137" s="111">
        <f>SUM(M$95:M$105)+SUM(O$95:O$105)+SUM(Q$95:Q$105)+SUM(S$95:S$105)</f>
        <v>181467.65608279599</v>
      </c>
      <c r="F137" s="111">
        <f>SUM(U$95:U$105)+SUM(W$95:W$105)+SUM(Y$95:Y$105)+SUM(AA$95:AA$105)</f>
        <v>195955.973985624</v>
      </c>
      <c r="G137" s="111">
        <f>SUM(AC$95:AC$105)+SUM(AE$95:AE$105)+SUM(AG$95:AG$105)+SUM(AI$95:AI$105)</f>
        <v>177260.5530972821</v>
      </c>
      <c r="H137" s="111">
        <f>SUM(AK$95:AK$105)+SUM(AM$95:AM$105)+SUM(AO$95:AO$105)+SUM(AQ$95:AQ$105)</f>
        <v>220068.83282502147</v>
      </c>
      <c r="I137" s="111">
        <f>SUM(AS$95:AS$105)+SUM(AU$95:AU$105)+SUM(AW$95:AW$105)+SUM(AY$95:AY$105)</f>
        <v>209198.08759038569</v>
      </c>
      <c r="J137" s="111">
        <f>SUM(BA$95:BA$105)+SUM(BC$95:BC$105)+SUM(BE$95:BE$105)+SUM(BG$95:BG$105)</f>
        <v>209334.7660788215</v>
      </c>
      <c r="K137" s="111">
        <f>SUM(BI$95:BI$105)+SUM(BK$95:BK$105)+SUM(BM$95:BM$105)+SUM(BO$95:BO$105)</f>
        <v>192180.08343708084</v>
      </c>
      <c r="L137" s="111">
        <f>SUM(BQ$95:BQ$105)+SUM(BS$95:BS$105)+SUM(BU$95:BU$105)+SUM(BW$95:BW$105)</f>
        <v>165630.61274204723</v>
      </c>
      <c r="M137" s="111">
        <f>SUM(BY$95:BY$105)+SUM(CA$95:CA$105)+SUM(CC$95:CC$105)+SUM(CE$95:CE$105)</f>
        <v>173155.59770136321</v>
      </c>
      <c r="N137" s="111">
        <f>SUM(CG$95:CG$105)+SUM(CI$95:CI$105)+SUM(CK$95:CK$105)+SUM(CM$95:CM$105)</f>
        <v>166689.24666811991</v>
      </c>
      <c r="O137" s="111">
        <f>SUM(CO$95:CO$105)+SUM(CQ$95:CQ$105)+SUM(CS$95:CS$105)+SUM(CU$95:CU$105)</f>
        <v>213026.40997619773</v>
      </c>
    </row>
    <row r="138" spans="2:15" x14ac:dyDescent="0.2">
      <c r="C138" s="110" t="s">
        <v>278</v>
      </c>
      <c r="D138" s="105">
        <f t="shared" ref="D138:O138" si="2">SUM(D$131:D$137)</f>
        <v>602076.03608086426</v>
      </c>
      <c r="E138" s="105">
        <f t="shared" si="2"/>
        <v>5902788.1168570099</v>
      </c>
      <c r="F138" s="105">
        <f t="shared" si="2"/>
        <v>6121115.0897401925</v>
      </c>
      <c r="G138" s="105">
        <f t="shared" si="2"/>
        <v>6270534.0161329908</v>
      </c>
      <c r="H138" s="105">
        <f t="shared" si="2"/>
        <v>6096778.3964258498</v>
      </c>
      <c r="I138" s="105">
        <f t="shared" si="2"/>
        <v>6264869.9911010861</v>
      </c>
      <c r="J138" s="105">
        <f t="shared" si="2"/>
        <v>6267889.5426052492</v>
      </c>
      <c r="K138" s="105">
        <f t="shared" si="2"/>
        <v>6131448.1418138137</v>
      </c>
      <c r="L138" s="105">
        <f t="shared" si="2"/>
        <v>6135500.4852511333</v>
      </c>
      <c r="M138" s="105">
        <f t="shared" si="2"/>
        <v>6235513.6059345873</v>
      </c>
      <c r="N138" s="105">
        <f t="shared" si="2"/>
        <v>6190138.2358729895</v>
      </c>
      <c r="O138" s="105">
        <f t="shared" si="2"/>
        <v>6212243.1947682202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1" max="2" width="9.140625" style="105"/>
    <col min="3" max="3" width="14.5703125" style="105" bestFit="1" customWidth="1"/>
    <col min="4" max="4" width="16.85546875" style="105" bestFit="1" customWidth="1"/>
    <col min="5" max="5" width="22.85546875" style="105" bestFit="1" customWidth="1"/>
    <col min="6" max="16384" width="9.140625" style="105"/>
  </cols>
  <sheetData>
    <row r="1" spans="1:5" x14ac:dyDescent="0.2">
      <c r="A1" s="104" t="s">
        <v>167</v>
      </c>
      <c r="B1" s="104" t="s">
        <v>168</v>
      </c>
      <c r="C1" s="104" t="s">
        <v>169</v>
      </c>
      <c r="D1" s="104" t="s">
        <v>170</v>
      </c>
      <c r="E1" s="104" t="s">
        <v>171</v>
      </c>
    </row>
    <row r="2" spans="1:5" x14ac:dyDescent="0.2">
      <c r="A2" s="104" t="s">
        <v>126</v>
      </c>
      <c r="B2" s="104" t="s">
        <v>172</v>
      </c>
      <c r="C2" s="105" t="s">
        <v>49</v>
      </c>
      <c r="D2" s="105">
        <v>569</v>
      </c>
      <c r="E2" s="105">
        <v>682.8</v>
      </c>
    </row>
    <row r="3" spans="1:5" x14ac:dyDescent="0.2">
      <c r="B3" s="104" t="s">
        <v>173</v>
      </c>
      <c r="C3" s="105" t="s">
        <v>49</v>
      </c>
      <c r="D3" s="105">
        <v>719</v>
      </c>
      <c r="E3" s="105">
        <v>862.8</v>
      </c>
    </row>
    <row r="4" spans="1:5" x14ac:dyDescent="0.2">
      <c r="B4" s="104" t="s">
        <v>174</v>
      </c>
      <c r="C4" s="105" t="s">
        <v>49</v>
      </c>
      <c r="D4" s="105">
        <v>273</v>
      </c>
      <c r="E4" s="105">
        <v>327.59999999999997</v>
      </c>
    </row>
    <row r="5" spans="1:5" x14ac:dyDescent="0.2">
      <c r="B5" s="104" t="s">
        <v>175</v>
      </c>
      <c r="C5" s="105" t="s">
        <v>49</v>
      </c>
      <c r="D5" s="105">
        <v>669</v>
      </c>
      <c r="E5" s="105">
        <v>802.8</v>
      </c>
    </row>
    <row r="6" spans="1:5" x14ac:dyDescent="0.2">
      <c r="B6" s="104" t="s">
        <v>176</v>
      </c>
      <c r="C6" s="105" t="s">
        <v>49</v>
      </c>
      <c r="D6" s="105">
        <v>464</v>
      </c>
      <c r="E6" s="105">
        <v>556.79999999999995</v>
      </c>
    </row>
    <row r="7" spans="1:5" x14ac:dyDescent="0.2">
      <c r="B7" s="104" t="s">
        <v>177</v>
      </c>
      <c r="C7" s="105" t="s">
        <v>49</v>
      </c>
      <c r="D7" s="105">
        <v>499</v>
      </c>
      <c r="E7" s="105">
        <v>598.79999999999995</v>
      </c>
    </row>
    <row r="8" spans="1:5" x14ac:dyDescent="0.2">
      <c r="B8" s="104" t="s">
        <v>178</v>
      </c>
      <c r="C8" s="105" t="s">
        <v>49</v>
      </c>
      <c r="D8" s="105">
        <v>504</v>
      </c>
      <c r="E8" s="105">
        <v>604.79999999999995</v>
      </c>
    </row>
    <row r="9" spans="1:5" x14ac:dyDescent="0.2">
      <c r="B9" s="104" t="s">
        <v>179</v>
      </c>
      <c r="C9" s="105" t="s">
        <v>49</v>
      </c>
      <c r="D9" s="105">
        <v>139</v>
      </c>
      <c r="E9" s="105">
        <v>166.79999999999998</v>
      </c>
    </row>
    <row r="10" spans="1:5" x14ac:dyDescent="0.2">
      <c r="B10" s="104" t="s">
        <v>180</v>
      </c>
      <c r="C10" s="105" t="s">
        <v>49</v>
      </c>
      <c r="D10" s="105">
        <v>416</v>
      </c>
      <c r="E10" s="105">
        <v>499.2</v>
      </c>
    </row>
    <row r="11" spans="1:5" x14ac:dyDescent="0.2">
      <c r="B11" s="104" t="s">
        <v>181</v>
      </c>
      <c r="C11" s="105" t="s">
        <v>49</v>
      </c>
      <c r="D11" s="105">
        <v>687</v>
      </c>
      <c r="E11" s="105">
        <v>824.4</v>
      </c>
    </row>
    <row r="12" spans="1:5" x14ac:dyDescent="0.2">
      <c r="B12" s="104" t="s">
        <v>182</v>
      </c>
      <c r="C12" s="105" t="s">
        <v>49</v>
      </c>
      <c r="D12" s="105">
        <v>424</v>
      </c>
      <c r="E12" s="105">
        <v>508.7999999999999</v>
      </c>
    </row>
    <row r="13" spans="1:5" x14ac:dyDescent="0.2">
      <c r="B13" s="104" t="s">
        <v>183</v>
      </c>
      <c r="C13" s="105" t="s">
        <v>49</v>
      </c>
      <c r="D13" s="105">
        <v>414</v>
      </c>
      <c r="E13" s="105">
        <v>496.79999999999995</v>
      </c>
    </row>
    <row r="14" spans="1:5" x14ac:dyDescent="0.2">
      <c r="B14" s="104" t="s">
        <v>184</v>
      </c>
      <c r="C14" s="105" t="s">
        <v>49</v>
      </c>
      <c r="D14" s="105">
        <v>609</v>
      </c>
      <c r="E14" s="105">
        <v>730.8</v>
      </c>
    </row>
    <row r="15" spans="1:5" x14ac:dyDescent="0.2">
      <c r="B15" s="104" t="s">
        <v>185</v>
      </c>
      <c r="C15" s="105" t="s">
        <v>49</v>
      </c>
      <c r="D15" s="105">
        <v>322</v>
      </c>
      <c r="E15" s="105">
        <v>386.4</v>
      </c>
    </row>
    <row r="16" spans="1:5" x14ac:dyDescent="0.2">
      <c r="A16" s="104" t="s">
        <v>127</v>
      </c>
      <c r="B16" s="104" t="s">
        <v>186</v>
      </c>
      <c r="C16" s="105" t="s">
        <v>49</v>
      </c>
      <c r="D16" s="105">
        <v>80</v>
      </c>
      <c r="E16" s="105">
        <v>96</v>
      </c>
    </row>
    <row r="17" spans="2:5" x14ac:dyDescent="0.2">
      <c r="B17" s="104" t="s">
        <v>187</v>
      </c>
      <c r="C17" s="105" t="s">
        <v>49</v>
      </c>
      <c r="D17" s="105">
        <v>202</v>
      </c>
      <c r="E17" s="105">
        <v>242.39999999999998</v>
      </c>
    </row>
    <row r="18" spans="2:5" x14ac:dyDescent="0.2">
      <c r="B18" s="104" t="s">
        <v>188</v>
      </c>
      <c r="C18" s="105" t="s">
        <v>49</v>
      </c>
      <c r="D18" s="105">
        <v>52</v>
      </c>
      <c r="E18" s="105">
        <v>62.4</v>
      </c>
    </row>
    <row r="19" spans="2:5" x14ac:dyDescent="0.2">
      <c r="B19" s="104" t="s">
        <v>189</v>
      </c>
      <c r="C19" s="105" t="s">
        <v>49</v>
      </c>
      <c r="D19" s="105">
        <v>233</v>
      </c>
      <c r="E19" s="105">
        <v>279.59999999999997</v>
      </c>
    </row>
    <row r="20" spans="2:5" x14ac:dyDescent="0.2">
      <c r="B20" s="104" t="s">
        <v>190</v>
      </c>
      <c r="C20" s="105" t="s">
        <v>49</v>
      </c>
      <c r="D20" s="105">
        <v>254</v>
      </c>
      <c r="E20" s="105">
        <v>304.8</v>
      </c>
    </row>
    <row r="21" spans="2:5" x14ac:dyDescent="0.2">
      <c r="B21" s="104" t="s">
        <v>191</v>
      </c>
      <c r="C21" s="105" t="s">
        <v>49</v>
      </c>
      <c r="D21" s="105">
        <v>271</v>
      </c>
      <c r="E21" s="105">
        <v>325.2</v>
      </c>
    </row>
    <row r="22" spans="2:5" x14ac:dyDescent="0.2">
      <c r="B22" s="104" t="s">
        <v>192</v>
      </c>
      <c r="C22" s="105" t="s">
        <v>49</v>
      </c>
      <c r="D22" s="105">
        <v>239</v>
      </c>
      <c r="E22" s="105">
        <v>286.8</v>
      </c>
    </row>
    <row r="23" spans="2:5" x14ac:dyDescent="0.2">
      <c r="B23" s="104" t="s">
        <v>193</v>
      </c>
      <c r="C23" s="105" t="s">
        <v>49</v>
      </c>
      <c r="D23" s="105">
        <v>263</v>
      </c>
      <c r="E23" s="105">
        <v>315.59999999999997</v>
      </c>
    </row>
    <row r="24" spans="2:5" x14ac:dyDescent="0.2">
      <c r="B24" s="104" t="s">
        <v>194</v>
      </c>
      <c r="C24" s="105" t="s">
        <v>70</v>
      </c>
      <c r="D24" s="105">
        <v>478</v>
      </c>
      <c r="E24" s="105">
        <v>573.6</v>
      </c>
    </row>
    <row r="25" spans="2:5" x14ac:dyDescent="0.2">
      <c r="B25" s="104" t="s">
        <v>195</v>
      </c>
      <c r="C25" s="105" t="s">
        <v>49</v>
      </c>
      <c r="D25" s="105">
        <v>196</v>
      </c>
      <c r="E25" s="105">
        <v>235.2</v>
      </c>
    </row>
    <row r="26" spans="2:5" x14ac:dyDescent="0.2">
      <c r="B26" s="104" t="s">
        <v>196</v>
      </c>
      <c r="C26" s="105" t="s">
        <v>49</v>
      </c>
      <c r="D26" s="105">
        <v>193</v>
      </c>
      <c r="E26" s="105">
        <v>231.6</v>
      </c>
    </row>
    <row r="27" spans="2:5" x14ac:dyDescent="0.2">
      <c r="B27" s="104" t="s">
        <v>197</v>
      </c>
      <c r="C27" s="105" t="s">
        <v>49</v>
      </c>
      <c r="D27" s="105">
        <v>148</v>
      </c>
      <c r="E27" s="105">
        <v>177.6</v>
      </c>
    </row>
    <row r="28" spans="2:5" x14ac:dyDescent="0.2">
      <c r="B28" s="104" t="s">
        <v>198</v>
      </c>
      <c r="C28" s="105" t="s">
        <v>70</v>
      </c>
      <c r="D28" s="105">
        <v>553</v>
      </c>
      <c r="E28" s="105">
        <v>663.6</v>
      </c>
    </row>
    <row r="29" spans="2:5" x14ac:dyDescent="0.2">
      <c r="B29" s="104" t="s">
        <v>199</v>
      </c>
      <c r="C29" s="105" t="s">
        <v>49</v>
      </c>
      <c r="D29" s="105">
        <v>279</v>
      </c>
      <c r="E29" s="105">
        <v>334.8</v>
      </c>
    </row>
    <row r="30" spans="2:5" x14ac:dyDescent="0.2">
      <c r="B30" s="104" t="s">
        <v>200</v>
      </c>
      <c r="C30" s="105" t="s">
        <v>49</v>
      </c>
      <c r="D30" s="105">
        <v>317</v>
      </c>
      <c r="E30" s="105">
        <v>380.4</v>
      </c>
    </row>
    <row r="31" spans="2:5" x14ac:dyDescent="0.2">
      <c r="B31" s="104" t="s">
        <v>201</v>
      </c>
      <c r="C31" s="105" t="s">
        <v>49</v>
      </c>
      <c r="D31" s="105">
        <v>342</v>
      </c>
      <c r="E31" s="105">
        <v>410.4</v>
      </c>
    </row>
    <row r="32" spans="2:5" x14ac:dyDescent="0.2">
      <c r="B32" s="104" t="s">
        <v>202</v>
      </c>
      <c r="C32" s="105" t="s">
        <v>70</v>
      </c>
      <c r="D32" s="105">
        <v>382</v>
      </c>
      <c r="E32" s="105">
        <v>458.4</v>
      </c>
    </row>
    <row r="33" spans="1:5" x14ac:dyDescent="0.2">
      <c r="A33" s="104" t="s">
        <v>128</v>
      </c>
      <c r="B33" s="104" t="s">
        <v>203</v>
      </c>
      <c r="C33" s="105" t="s">
        <v>49</v>
      </c>
      <c r="D33" s="105">
        <v>543</v>
      </c>
      <c r="E33" s="105">
        <v>651.6</v>
      </c>
    </row>
    <row r="34" spans="1:5" x14ac:dyDescent="0.2">
      <c r="B34" s="104" t="s">
        <v>204</v>
      </c>
      <c r="C34" s="105" t="s">
        <v>49</v>
      </c>
      <c r="D34" s="105">
        <v>860</v>
      </c>
      <c r="E34" s="105">
        <v>1032</v>
      </c>
    </row>
    <row r="35" spans="1:5" x14ac:dyDescent="0.2">
      <c r="B35" s="104" t="s">
        <v>205</v>
      </c>
      <c r="C35" s="105" t="s">
        <v>49</v>
      </c>
      <c r="D35" s="105">
        <v>1010</v>
      </c>
      <c r="E35" s="105">
        <v>1212</v>
      </c>
    </row>
    <row r="36" spans="1:5" x14ac:dyDescent="0.2">
      <c r="B36" s="104" t="s">
        <v>206</v>
      </c>
      <c r="C36" s="105" t="s">
        <v>49</v>
      </c>
      <c r="D36" s="105">
        <v>431</v>
      </c>
      <c r="E36" s="105">
        <v>517.19999999999993</v>
      </c>
    </row>
    <row r="37" spans="1:5" x14ac:dyDescent="0.2">
      <c r="B37" s="104" t="s">
        <v>207</v>
      </c>
      <c r="C37" s="105" t="s">
        <v>49</v>
      </c>
      <c r="D37" s="105">
        <v>379</v>
      </c>
      <c r="E37" s="105">
        <v>454.8</v>
      </c>
    </row>
    <row r="38" spans="1:5" x14ac:dyDescent="0.2">
      <c r="B38" s="104" t="s">
        <v>208</v>
      </c>
      <c r="C38" s="105" t="s">
        <v>49</v>
      </c>
      <c r="D38" s="105">
        <v>580</v>
      </c>
      <c r="E38" s="105">
        <v>696</v>
      </c>
    </row>
    <row r="39" spans="1:5" x14ac:dyDescent="0.2">
      <c r="B39" s="104" t="s">
        <v>209</v>
      </c>
      <c r="C39" s="105" t="s">
        <v>49</v>
      </c>
      <c r="D39" s="105">
        <v>679</v>
      </c>
      <c r="E39" s="105">
        <v>814.8</v>
      </c>
    </row>
    <row r="40" spans="1:5" x14ac:dyDescent="0.2">
      <c r="B40" s="104" t="s">
        <v>210</v>
      </c>
      <c r="C40" s="105" t="s">
        <v>49</v>
      </c>
      <c r="D40" s="105">
        <v>703</v>
      </c>
      <c r="E40" s="105">
        <v>843.6</v>
      </c>
    </row>
    <row r="41" spans="1:5" x14ac:dyDescent="0.2">
      <c r="B41" s="104" t="s">
        <v>211</v>
      </c>
      <c r="C41" s="105" t="s">
        <v>49</v>
      </c>
      <c r="D41" s="105">
        <v>867</v>
      </c>
      <c r="E41" s="105">
        <v>1040.3999999999999</v>
      </c>
    </row>
    <row r="42" spans="1:5" x14ac:dyDescent="0.2">
      <c r="B42" s="104" t="s">
        <v>212</v>
      </c>
      <c r="C42" s="105" t="s">
        <v>49</v>
      </c>
      <c r="D42" s="105">
        <v>848</v>
      </c>
      <c r="E42" s="105">
        <v>1017.5999999999998</v>
      </c>
    </row>
    <row r="43" spans="1:5" x14ac:dyDescent="0.2">
      <c r="B43" s="104" t="s">
        <v>213</v>
      </c>
      <c r="C43" s="105" t="s">
        <v>49</v>
      </c>
      <c r="D43" s="105">
        <v>1098</v>
      </c>
      <c r="E43" s="105">
        <v>1317.6</v>
      </c>
    </row>
    <row r="44" spans="1:5" x14ac:dyDescent="0.2">
      <c r="B44" s="104" t="s">
        <v>214</v>
      </c>
      <c r="C44" s="105" t="s">
        <v>49</v>
      </c>
      <c r="D44" s="105">
        <v>548</v>
      </c>
      <c r="E44" s="105">
        <v>657.6</v>
      </c>
    </row>
    <row r="45" spans="1:5" x14ac:dyDescent="0.2">
      <c r="A45" s="104" t="s">
        <v>129</v>
      </c>
      <c r="B45" s="104" t="s">
        <v>215</v>
      </c>
      <c r="C45" s="105" t="s">
        <v>34</v>
      </c>
      <c r="D45" s="105">
        <v>493</v>
      </c>
      <c r="E45" s="105">
        <v>591.6</v>
      </c>
    </row>
    <row r="46" spans="1:5" x14ac:dyDescent="0.2">
      <c r="B46" s="104" t="s">
        <v>216</v>
      </c>
      <c r="C46" s="105" t="s">
        <v>49</v>
      </c>
      <c r="D46" s="105">
        <v>322</v>
      </c>
      <c r="E46" s="105">
        <v>386.4</v>
      </c>
    </row>
    <row r="47" spans="1:5" x14ac:dyDescent="0.2">
      <c r="B47" s="104" t="s">
        <v>217</v>
      </c>
      <c r="C47" s="105" t="s">
        <v>70</v>
      </c>
      <c r="D47" s="105">
        <v>113</v>
      </c>
      <c r="E47" s="105">
        <v>135.6</v>
      </c>
    </row>
    <row r="48" spans="1:5" x14ac:dyDescent="0.2">
      <c r="B48" s="104" t="s">
        <v>218</v>
      </c>
      <c r="C48" s="105" t="s">
        <v>70</v>
      </c>
      <c r="D48" s="105">
        <v>222</v>
      </c>
      <c r="E48" s="105">
        <v>266.39999999999998</v>
      </c>
    </row>
    <row r="49" spans="2:5" x14ac:dyDescent="0.2">
      <c r="B49" s="104" t="s">
        <v>219</v>
      </c>
      <c r="C49" s="105" t="s">
        <v>70</v>
      </c>
      <c r="D49" s="105">
        <v>327</v>
      </c>
      <c r="E49" s="105">
        <v>392.4</v>
      </c>
    </row>
    <row r="50" spans="2:5" x14ac:dyDescent="0.2">
      <c r="B50" s="104" t="s">
        <v>220</v>
      </c>
      <c r="C50" s="105" t="s">
        <v>49</v>
      </c>
      <c r="D50" s="105">
        <v>340</v>
      </c>
      <c r="E50" s="105">
        <v>408</v>
      </c>
    </row>
    <row r="51" spans="2:5" x14ac:dyDescent="0.2">
      <c r="B51" s="104" t="s">
        <v>221</v>
      </c>
      <c r="C51" s="105" t="s">
        <v>70</v>
      </c>
      <c r="D51" s="105">
        <v>212</v>
      </c>
      <c r="E51" s="105">
        <v>254.39999999999995</v>
      </c>
    </row>
    <row r="52" spans="2:5" x14ac:dyDescent="0.2">
      <c r="B52" s="104" t="s">
        <v>222</v>
      </c>
      <c r="C52" s="105" t="s">
        <v>34</v>
      </c>
      <c r="D52" s="105">
        <v>632</v>
      </c>
      <c r="E52" s="105">
        <v>758.4</v>
      </c>
    </row>
    <row r="53" spans="2:5" x14ac:dyDescent="0.2">
      <c r="B53" s="104" t="s">
        <v>223</v>
      </c>
      <c r="C53" s="105" t="s">
        <v>70</v>
      </c>
      <c r="D53" s="105">
        <v>583</v>
      </c>
      <c r="E53" s="105">
        <v>699.6</v>
      </c>
    </row>
    <row r="54" spans="2:5" x14ac:dyDescent="0.2">
      <c r="B54" s="104" t="s">
        <v>224</v>
      </c>
      <c r="C54" s="105" t="s">
        <v>34</v>
      </c>
      <c r="D54" s="105">
        <v>630</v>
      </c>
      <c r="E54" s="105">
        <v>756</v>
      </c>
    </row>
    <row r="55" spans="2:5" x14ac:dyDescent="0.2">
      <c r="B55" s="104" t="s">
        <v>225</v>
      </c>
      <c r="C55" s="105" t="s">
        <v>49</v>
      </c>
      <c r="D55" s="105">
        <v>366</v>
      </c>
      <c r="E55" s="105">
        <v>439.2</v>
      </c>
    </row>
    <row r="56" spans="2:5" x14ac:dyDescent="0.2">
      <c r="B56" s="104" t="s">
        <v>226</v>
      </c>
      <c r="C56" s="105" t="s">
        <v>70</v>
      </c>
      <c r="D56" s="105">
        <v>175</v>
      </c>
      <c r="E56" s="105">
        <v>210</v>
      </c>
    </row>
    <row r="57" spans="2:5" x14ac:dyDescent="0.2">
      <c r="B57" s="104" t="s">
        <v>227</v>
      </c>
      <c r="C57" s="105" t="s">
        <v>70</v>
      </c>
      <c r="D57" s="105">
        <v>165</v>
      </c>
      <c r="E57" s="105">
        <v>198</v>
      </c>
    </row>
    <row r="58" spans="2:5" x14ac:dyDescent="0.2">
      <c r="B58" s="104" t="s">
        <v>228</v>
      </c>
      <c r="C58" s="105" t="s">
        <v>70</v>
      </c>
      <c r="D58" s="105">
        <v>797</v>
      </c>
      <c r="E58" s="105">
        <v>956.4</v>
      </c>
    </row>
    <row r="59" spans="2:5" x14ac:dyDescent="0.2">
      <c r="B59" s="104" t="s">
        <v>229</v>
      </c>
      <c r="C59" s="105" t="s">
        <v>70</v>
      </c>
      <c r="D59" s="105">
        <v>25</v>
      </c>
      <c r="E59" s="105">
        <v>30</v>
      </c>
    </row>
    <row r="60" spans="2:5" x14ac:dyDescent="0.2">
      <c r="B60" s="104" t="s">
        <v>230</v>
      </c>
      <c r="C60" s="105" t="s">
        <v>70</v>
      </c>
      <c r="D60" s="105">
        <v>187</v>
      </c>
      <c r="E60" s="105">
        <v>224.4</v>
      </c>
    </row>
    <row r="61" spans="2:5" x14ac:dyDescent="0.2">
      <c r="B61" s="104" t="s">
        <v>231</v>
      </c>
      <c r="C61" s="105" t="s">
        <v>70</v>
      </c>
      <c r="D61" s="105">
        <v>412</v>
      </c>
      <c r="E61" s="105">
        <v>494.4</v>
      </c>
    </row>
    <row r="62" spans="2:5" x14ac:dyDescent="0.2">
      <c r="B62" s="104" t="s">
        <v>232</v>
      </c>
      <c r="C62" s="105" t="s">
        <v>70</v>
      </c>
      <c r="D62" s="105">
        <v>332</v>
      </c>
      <c r="E62" s="105">
        <v>398.4</v>
      </c>
    </row>
    <row r="63" spans="2:5" x14ac:dyDescent="0.2">
      <c r="B63" s="104" t="s">
        <v>233</v>
      </c>
      <c r="C63" s="105" t="s">
        <v>70</v>
      </c>
      <c r="D63" s="105">
        <v>395</v>
      </c>
      <c r="E63" s="105">
        <v>474</v>
      </c>
    </row>
    <row r="64" spans="2:5" x14ac:dyDescent="0.2">
      <c r="B64" s="104" t="s">
        <v>234</v>
      </c>
      <c r="C64" s="105" t="s">
        <v>70</v>
      </c>
      <c r="D64" s="105">
        <v>225</v>
      </c>
      <c r="E64" s="105">
        <v>270</v>
      </c>
    </row>
    <row r="65" spans="1:5" x14ac:dyDescent="0.2">
      <c r="B65" s="104" t="s">
        <v>235</v>
      </c>
      <c r="C65" s="105" t="s">
        <v>70</v>
      </c>
      <c r="D65" s="105">
        <v>144</v>
      </c>
      <c r="E65" s="105">
        <v>172.79999999999998</v>
      </c>
    </row>
    <row r="66" spans="1:5" x14ac:dyDescent="0.2">
      <c r="B66" s="104" t="s">
        <v>236</v>
      </c>
      <c r="C66" s="105" t="s">
        <v>70</v>
      </c>
      <c r="D66" s="105">
        <v>358</v>
      </c>
      <c r="E66" s="105">
        <v>429.59999999999997</v>
      </c>
    </row>
    <row r="67" spans="1:5" x14ac:dyDescent="0.2">
      <c r="A67" s="104" t="s">
        <v>130</v>
      </c>
      <c r="B67" s="104" t="s">
        <v>237</v>
      </c>
      <c r="C67" s="105" t="s">
        <v>34</v>
      </c>
      <c r="D67" s="105">
        <v>153</v>
      </c>
      <c r="E67" s="105">
        <v>183.6</v>
      </c>
    </row>
    <row r="68" spans="1:5" x14ac:dyDescent="0.2">
      <c r="B68" s="104" t="s">
        <v>238</v>
      </c>
      <c r="C68" s="105" t="s">
        <v>34</v>
      </c>
      <c r="D68" s="105">
        <v>408</v>
      </c>
      <c r="E68" s="105">
        <v>489.59999999999997</v>
      </c>
    </row>
    <row r="69" spans="1:5" x14ac:dyDescent="0.2">
      <c r="B69" s="104" t="s">
        <v>239</v>
      </c>
      <c r="C69" s="105" t="s">
        <v>34</v>
      </c>
      <c r="D69" s="105">
        <v>473</v>
      </c>
      <c r="E69" s="105">
        <v>567.6</v>
      </c>
    </row>
    <row r="70" spans="1:5" x14ac:dyDescent="0.2">
      <c r="B70" s="104" t="s">
        <v>240</v>
      </c>
      <c r="C70" s="105" t="s">
        <v>34</v>
      </c>
      <c r="D70" s="105">
        <v>262</v>
      </c>
      <c r="E70" s="105">
        <v>314.39999999999998</v>
      </c>
    </row>
    <row r="71" spans="1:5" x14ac:dyDescent="0.2">
      <c r="B71" s="104" t="s">
        <v>241</v>
      </c>
      <c r="C71" s="105" t="s">
        <v>34</v>
      </c>
      <c r="D71" s="105">
        <v>499</v>
      </c>
      <c r="E71" s="105">
        <v>598.79999999999995</v>
      </c>
    </row>
    <row r="72" spans="1:5" x14ac:dyDescent="0.2">
      <c r="B72" s="104" t="s">
        <v>242</v>
      </c>
      <c r="C72" s="105" t="s">
        <v>34</v>
      </c>
      <c r="D72" s="105">
        <v>719</v>
      </c>
      <c r="E72" s="105">
        <v>862.8</v>
      </c>
    </row>
    <row r="73" spans="1:5" x14ac:dyDescent="0.2">
      <c r="B73" s="104" t="s">
        <v>243</v>
      </c>
      <c r="C73" s="105" t="s">
        <v>34</v>
      </c>
      <c r="D73" s="105">
        <v>575</v>
      </c>
      <c r="E73" s="105">
        <v>690</v>
      </c>
    </row>
    <row r="74" spans="1:5" x14ac:dyDescent="0.2">
      <c r="B74" s="104" t="s">
        <v>244</v>
      </c>
      <c r="C74" s="105" t="s">
        <v>34</v>
      </c>
      <c r="D74" s="105">
        <v>108</v>
      </c>
      <c r="E74" s="105">
        <v>129.6</v>
      </c>
    </row>
    <row r="75" spans="1:5" x14ac:dyDescent="0.2">
      <c r="B75" s="104" t="s">
        <v>245</v>
      </c>
      <c r="C75" s="105" t="s">
        <v>34</v>
      </c>
      <c r="D75" s="105">
        <v>400</v>
      </c>
      <c r="E75" s="105">
        <v>480</v>
      </c>
    </row>
    <row r="76" spans="1:5" x14ac:dyDescent="0.2">
      <c r="B76" s="104" t="s">
        <v>246</v>
      </c>
      <c r="C76" s="105" t="s">
        <v>34</v>
      </c>
      <c r="D76" s="105">
        <v>635</v>
      </c>
      <c r="E76" s="105">
        <v>762</v>
      </c>
    </row>
    <row r="77" spans="1:5" x14ac:dyDescent="0.2">
      <c r="B77" s="104" t="s">
        <v>247</v>
      </c>
      <c r="C77" s="105" t="s">
        <v>34</v>
      </c>
      <c r="D77" s="105">
        <v>520</v>
      </c>
      <c r="E77" s="105">
        <v>624</v>
      </c>
    </row>
    <row r="78" spans="1:5" x14ac:dyDescent="0.2">
      <c r="B78" s="104" t="s">
        <v>248</v>
      </c>
      <c r="C78" s="105" t="s">
        <v>34</v>
      </c>
      <c r="D78" s="105">
        <v>298</v>
      </c>
      <c r="E78" s="105">
        <v>357.59999999999997</v>
      </c>
    </row>
    <row r="79" spans="1:5" x14ac:dyDescent="0.2">
      <c r="B79" s="104" t="s">
        <v>249</v>
      </c>
      <c r="C79" s="105" t="s">
        <v>34</v>
      </c>
      <c r="D79" s="105">
        <v>498</v>
      </c>
      <c r="E79" s="105">
        <v>597.6</v>
      </c>
    </row>
    <row r="80" spans="1:5" x14ac:dyDescent="0.2">
      <c r="B80" s="104" t="s">
        <v>250</v>
      </c>
      <c r="C80" s="105" t="s">
        <v>34</v>
      </c>
      <c r="D80" s="105">
        <v>426</v>
      </c>
      <c r="E80" s="105">
        <v>511.2</v>
      </c>
    </row>
    <row r="81" spans="1:5" x14ac:dyDescent="0.2">
      <c r="B81" s="104" t="s">
        <v>251</v>
      </c>
      <c r="C81" s="105" t="s">
        <v>34</v>
      </c>
      <c r="D81" s="105">
        <v>227</v>
      </c>
      <c r="E81" s="105">
        <v>272.39999999999998</v>
      </c>
    </row>
    <row r="82" spans="1:5" x14ac:dyDescent="0.2">
      <c r="B82" s="104" t="s">
        <v>252</v>
      </c>
      <c r="C82" s="105" t="s">
        <v>34</v>
      </c>
      <c r="D82" s="105">
        <v>413</v>
      </c>
      <c r="E82" s="105">
        <v>495.59999999999997</v>
      </c>
    </row>
    <row r="83" spans="1:5" x14ac:dyDescent="0.2">
      <c r="A83" s="104" t="s">
        <v>131</v>
      </c>
      <c r="B83" s="104" t="s">
        <v>253</v>
      </c>
      <c r="C83" s="105" t="s">
        <v>57</v>
      </c>
      <c r="D83" s="105">
        <v>784</v>
      </c>
      <c r="E83" s="105">
        <v>940.8</v>
      </c>
    </row>
    <row r="84" spans="1:5" x14ac:dyDescent="0.2">
      <c r="B84" s="104" t="s">
        <v>254</v>
      </c>
      <c r="C84" s="105" t="s">
        <v>57</v>
      </c>
      <c r="D84" s="105">
        <v>730</v>
      </c>
      <c r="E84" s="105">
        <v>876</v>
      </c>
    </row>
    <row r="85" spans="1:5" x14ac:dyDescent="0.2">
      <c r="B85" s="104" t="s">
        <v>255</v>
      </c>
      <c r="C85" s="105" t="s">
        <v>57</v>
      </c>
      <c r="D85" s="105">
        <v>486</v>
      </c>
      <c r="E85" s="105">
        <v>583.19999999999993</v>
      </c>
    </row>
    <row r="86" spans="1:5" x14ac:dyDescent="0.2">
      <c r="B86" s="104" t="s">
        <v>256</v>
      </c>
      <c r="C86" s="105" t="s">
        <v>57</v>
      </c>
      <c r="D86" s="105">
        <v>682</v>
      </c>
      <c r="E86" s="105">
        <v>818.4</v>
      </c>
    </row>
    <row r="87" spans="1:5" x14ac:dyDescent="0.2">
      <c r="B87" s="104" t="s">
        <v>257</v>
      </c>
      <c r="C87" s="105" t="s">
        <v>57</v>
      </c>
      <c r="D87" s="105">
        <v>655</v>
      </c>
      <c r="E87" s="105">
        <v>786</v>
      </c>
    </row>
    <row r="88" spans="1:5" x14ac:dyDescent="0.2">
      <c r="B88" s="104" t="s">
        <v>258</v>
      </c>
      <c r="C88" s="105" t="s">
        <v>57</v>
      </c>
      <c r="D88" s="105">
        <v>781</v>
      </c>
      <c r="E88" s="105">
        <v>937.19999999999993</v>
      </c>
    </row>
    <row r="89" spans="1:5" x14ac:dyDescent="0.2">
      <c r="B89" s="104" t="s">
        <v>259</v>
      </c>
      <c r="C89" s="105" t="s">
        <v>57</v>
      </c>
      <c r="D89" s="105">
        <v>487</v>
      </c>
      <c r="E89" s="105">
        <v>584.4</v>
      </c>
    </row>
    <row r="90" spans="1:5" x14ac:dyDescent="0.2">
      <c r="B90" s="104" t="s">
        <v>260</v>
      </c>
      <c r="C90" s="105" t="s">
        <v>57</v>
      </c>
      <c r="D90" s="105">
        <v>668</v>
      </c>
      <c r="E90" s="105">
        <v>801.6</v>
      </c>
    </row>
    <row r="91" spans="1:5" x14ac:dyDescent="0.2">
      <c r="A91" s="104" t="s">
        <v>132</v>
      </c>
      <c r="B91" s="104" t="s">
        <v>261</v>
      </c>
      <c r="C91" s="105" t="s">
        <v>57</v>
      </c>
      <c r="D91" s="105">
        <v>320</v>
      </c>
      <c r="E91" s="105">
        <v>384</v>
      </c>
    </row>
    <row r="92" spans="1:5" x14ac:dyDescent="0.2">
      <c r="B92" s="104" t="s">
        <v>262</v>
      </c>
      <c r="C92" s="105" t="s">
        <v>34</v>
      </c>
      <c r="D92" s="105">
        <v>697</v>
      </c>
      <c r="E92" s="105">
        <v>836.4</v>
      </c>
    </row>
    <row r="93" spans="1:5" x14ac:dyDescent="0.2">
      <c r="B93" s="104" t="s">
        <v>263</v>
      </c>
      <c r="C93" s="105" t="s">
        <v>57</v>
      </c>
      <c r="D93" s="105">
        <v>210</v>
      </c>
      <c r="E93" s="105">
        <v>252</v>
      </c>
    </row>
    <row r="94" spans="1:5" x14ac:dyDescent="0.2">
      <c r="B94" s="104" t="s">
        <v>264</v>
      </c>
      <c r="C94" s="105" t="s">
        <v>57</v>
      </c>
      <c r="D94" s="105">
        <v>678</v>
      </c>
      <c r="E94" s="105">
        <v>813.6</v>
      </c>
    </row>
    <row r="95" spans="1:5" x14ac:dyDescent="0.2">
      <c r="B95" s="104" t="s">
        <v>265</v>
      </c>
      <c r="C95" s="105" t="s">
        <v>57</v>
      </c>
      <c r="D95" s="105">
        <v>3236</v>
      </c>
      <c r="E95" s="105">
        <v>3883.2</v>
      </c>
    </row>
    <row r="96" spans="1:5" x14ac:dyDescent="0.2">
      <c r="B96" s="104" t="s">
        <v>266</v>
      </c>
      <c r="C96" s="105" t="s">
        <v>57</v>
      </c>
      <c r="D96" s="105">
        <v>461</v>
      </c>
      <c r="E96" s="105">
        <v>553.19999999999993</v>
      </c>
    </row>
    <row r="97" spans="2:5" x14ac:dyDescent="0.2">
      <c r="B97" s="104" t="s">
        <v>267</v>
      </c>
      <c r="C97" s="105" t="s">
        <v>34</v>
      </c>
      <c r="D97" s="105">
        <v>710</v>
      </c>
      <c r="E97" s="105">
        <v>852</v>
      </c>
    </row>
    <row r="98" spans="2:5" x14ac:dyDescent="0.2">
      <c r="B98" s="104" t="s">
        <v>268</v>
      </c>
      <c r="C98" s="105" t="s">
        <v>57</v>
      </c>
      <c r="D98" s="105">
        <v>51</v>
      </c>
      <c r="E98" s="105">
        <v>61.199999999999996</v>
      </c>
    </row>
    <row r="99" spans="2:5" x14ac:dyDescent="0.2">
      <c r="B99" s="104" t="s">
        <v>269</v>
      </c>
      <c r="C99" s="105" t="s">
        <v>57</v>
      </c>
      <c r="D99" s="105">
        <v>104</v>
      </c>
      <c r="E99" s="105">
        <v>124.8</v>
      </c>
    </row>
    <row r="100" spans="2:5" x14ac:dyDescent="0.2">
      <c r="B100" s="104" t="s">
        <v>270</v>
      </c>
      <c r="C100" s="105" t="s">
        <v>57</v>
      </c>
      <c r="D100" s="105">
        <v>198</v>
      </c>
      <c r="E100" s="105">
        <v>237.6</v>
      </c>
    </row>
    <row r="101" spans="2:5" x14ac:dyDescent="0.2">
      <c r="B101" s="104" t="s">
        <v>271</v>
      </c>
      <c r="C101" s="105" t="s">
        <v>57</v>
      </c>
      <c r="D101" s="105">
        <v>144</v>
      </c>
      <c r="E101" s="105">
        <v>172.79999999999998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9</vt:i4>
      </vt:variant>
    </vt:vector>
  </HeadingPairs>
  <TitlesOfParts>
    <vt:vector size="29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P02</vt:lpstr>
      <vt:lpstr>P03</vt:lpstr>
      <vt:lpstr>P05</vt:lpstr>
      <vt:lpstr>P09</vt:lpstr>
      <vt:lpstr>S35</vt:lpstr>
      <vt:lpstr>S51</vt:lpstr>
      <vt:lpstr>S59</vt:lpstr>
      <vt:lpstr>S73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Jeff</cp:lastModifiedBy>
  <dcterms:created xsi:type="dcterms:W3CDTF">2003-07-09T21:14:27Z</dcterms:created>
  <dcterms:modified xsi:type="dcterms:W3CDTF">2015-12-15T22:05:37Z</dcterms:modified>
</cp:coreProperties>
</file>